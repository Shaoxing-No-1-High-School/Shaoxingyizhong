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20" activeTab="7"/>
  </bookViews>
  <sheets>
    <sheet name="原始数据" sheetId="1" r:id="rId1"/>
    <sheet name="数据处理总" sheetId="7" r:id="rId2"/>
    <sheet name="平均值总" sheetId="10" r:id="rId3"/>
    <sheet name="数据男" sheetId="8" r:id="rId4"/>
    <sheet name="平均值男" sheetId="11" r:id="rId5"/>
    <sheet name="数据女" sheetId="9" r:id="rId6"/>
    <sheet name="平均值女" sheetId="12" r:id="rId7"/>
    <sheet name="总分前16" sheetId="13" r:id="rId8"/>
  </sheets>
  <definedNames>
    <definedName name="_xlnm._FilterDatabase" localSheetId="0" hidden="1">原始数据!$A$1:$K$1087</definedName>
    <definedName name="_xlnm._FilterDatabase" localSheetId="1" hidden="1">数据处理总!$A$1:$Z$755</definedName>
    <definedName name="_xlnm._FilterDatabase" localSheetId="2" hidden="1">平均值总!$A$1:$Z$771</definedName>
    <definedName name="_xlnm._FilterDatabase" localSheetId="3" hidden="1">数据男!$A$1:$Z$438</definedName>
    <definedName name="_xlnm._FilterDatabase" localSheetId="4" hidden="1">平均值男!$A$1:$Z$454</definedName>
    <definedName name="_xlnm._FilterDatabase" localSheetId="5" hidden="1">数据女!$A$1:$Z$318</definedName>
    <definedName name="_xlnm._FilterDatabase" localSheetId="6" hidden="1">平均值女!$A$1:$Z$333</definedName>
  </definedNames>
  <calcPr calcId="144525"/>
</workbook>
</file>

<file path=xl/sharedStrings.xml><?xml version="1.0" encoding="utf-8"?>
<sst xmlns="http://schemas.openxmlformats.org/spreadsheetml/2006/main" count="8799" uniqueCount="871">
  <si>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</si>
  <si>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</si>
  <si>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</si>
  <si>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</si>
  <si>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</si>
  <si>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</si>
  <si>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</si>
  <si>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</si>
  <si>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50m</t>
  </si>
  <si>
    <t>长跑</t>
  </si>
  <si>
    <t>备注</t>
  </si>
  <si>
    <t>陈冲</t>
  </si>
  <si>
    <t>男</t>
  </si>
  <si>
    <t>陈戟</t>
  </si>
  <si>
    <t>陈宇杰</t>
  </si>
  <si>
    <t>邓冯玮</t>
  </si>
  <si>
    <t>杜正浩</t>
  </si>
  <si>
    <t>范泽祺</t>
  </si>
  <si>
    <t>韩泽南</t>
  </si>
  <si>
    <t>胡嘉</t>
  </si>
  <si>
    <t>胡哲越</t>
  </si>
  <si>
    <t>第2组</t>
  </si>
  <si>
    <t>金泽宇</t>
  </si>
  <si>
    <t>马天泽</t>
  </si>
  <si>
    <t>钱炜程</t>
  </si>
  <si>
    <t>裘家瑞</t>
  </si>
  <si>
    <t>沈子炫</t>
  </si>
  <si>
    <t>宋禹泽</t>
  </si>
  <si>
    <t>唐睿</t>
  </si>
  <si>
    <t>唐秀聚</t>
  </si>
  <si>
    <t>万沅昕</t>
  </si>
  <si>
    <t>汪泓烨</t>
  </si>
  <si>
    <t>第3组</t>
  </si>
  <si>
    <t>宣澍苗</t>
  </si>
  <si>
    <t>杨震垠</t>
  </si>
  <si>
    <t>俞可炀</t>
  </si>
  <si>
    <t>张吴健</t>
  </si>
  <si>
    <t>张再瑜</t>
  </si>
  <si>
    <t>祝元</t>
  </si>
  <si>
    <t>丁熠冬</t>
  </si>
  <si>
    <t>尉涵杰</t>
  </si>
  <si>
    <t>魏铖栋</t>
  </si>
  <si>
    <t>徐浩然</t>
  </si>
  <si>
    <t>张烨培</t>
  </si>
  <si>
    <t>第4组</t>
  </si>
  <si>
    <t>傅彬尔</t>
  </si>
  <si>
    <t>女</t>
  </si>
  <si>
    <t>黄筱雅</t>
  </si>
  <si>
    <t>刘语桐</t>
  </si>
  <si>
    <t>马赫优</t>
  </si>
  <si>
    <t>宋冰冰</t>
  </si>
  <si>
    <t>唐与涵</t>
  </si>
  <si>
    <t>周诗遥</t>
  </si>
  <si>
    <t>沈晔盈</t>
  </si>
  <si>
    <t>宋雨欣</t>
  </si>
  <si>
    <t>谭佳怡</t>
  </si>
  <si>
    <t>汪于靖</t>
  </si>
  <si>
    <t>第5组</t>
  </si>
  <si>
    <t>曾奕豪</t>
  </si>
  <si>
    <t>陈飞帆</t>
  </si>
  <si>
    <t>冯烨涛</t>
  </si>
  <si>
    <t>金旅道</t>
  </si>
  <si>
    <t>沈俊磊</t>
  </si>
  <si>
    <t>唐恺洛</t>
  </si>
  <si>
    <t>王哲煜</t>
  </si>
  <si>
    <t>夏江南</t>
  </si>
  <si>
    <t>徐赫</t>
  </si>
  <si>
    <t>严思杰</t>
  </si>
  <si>
    <t>第6组</t>
  </si>
  <si>
    <t>叶乐天</t>
  </si>
  <si>
    <t>俞涵康</t>
  </si>
  <si>
    <t>张严涛</t>
  </si>
  <si>
    <t>朱弘阳</t>
  </si>
  <si>
    <t>朱毅轩</t>
  </si>
  <si>
    <t>诸乐轩</t>
  </si>
  <si>
    <t>戴唯</t>
  </si>
  <si>
    <t>戴煦力</t>
  </si>
  <si>
    <t>无</t>
  </si>
  <si>
    <t>金增迅</t>
  </si>
  <si>
    <t>宋泽钧</t>
  </si>
  <si>
    <t>第7组</t>
  </si>
  <si>
    <t>王祎宁</t>
  </si>
  <si>
    <t>王煜</t>
  </si>
  <si>
    <t>周常乐</t>
  </si>
  <si>
    <t>周禛</t>
  </si>
  <si>
    <t>朱一鸣</t>
  </si>
  <si>
    <t>陈楷</t>
  </si>
  <si>
    <t>傅奕杰</t>
  </si>
  <si>
    <t>沈子煜</t>
  </si>
  <si>
    <t>徐旸</t>
  </si>
  <si>
    <t>严实</t>
  </si>
  <si>
    <t>第8组</t>
  </si>
  <si>
    <t>单静怡</t>
  </si>
  <si>
    <t>傅予</t>
  </si>
  <si>
    <t>兰雨婷</t>
  </si>
  <si>
    <t>邱子怡</t>
  </si>
  <si>
    <t>俞景怡</t>
  </si>
  <si>
    <t>喻晨宁</t>
  </si>
  <si>
    <t>傅嘉钰</t>
  </si>
  <si>
    <t>何诗琦</t>
  </si>
  <si>
    <t>宋晨语</t>
  </si>
  <si>
    <t>宋佳怡</t>
  </si>
  <si>
    <t>第9组</t>
  </si>
  <si>
    <t>陈均浩</t>
  </si>
  <si>
    <t>陈锴</t>
  </si>
  <si>
    <t>陈乐言</t>
  </si>
  <si>
    <t>陈郦超</t>
  </si>
  <si>
    <t>陈添翼</t>
  </si>
  <si>
    <t>董凌杰</t>
  </si>
  <si>
    <t>董石楷</t>
  </si>
  <si>
    <t>冯逍播</t>
  </si>
  <si>
    <t>高远</t>
  </si>
  <si>
    <t>顾泽隽</t>
  </si>
  <si>
    <t>黄邦博</t>
  </si>
  <si>
    <t>第10组</t>
  </si>
  <si>
    <t>黄毅成</t>
  </si>
  <si>
    <t>钮天宸</t>
  </si>
  <si>
    <t>蒲加培</t>
  </si>
  <si>
    <t>阮铮</t>
  </si>
  <si>
    <t>商煜航</t>
  </si>
  <si>
    <t>沈璐皓</t>
  </si>
  <si>
    <t>宋加</t>
  </si>
  <si>
    <t>谈恩哲</t>
  </si>
  <si>
    <t>唐仁本</t>
  </si>
  <si>
    <t>唐思承</t>
  </si>
  <si>
    <t>王开阳</t>
  </si>
  <si>
    <t>第11组</t>
  </si>
  <si>
    <t>严翔宇</t>
  </si>
  <si>
    <t>杨佳辉</t>
  </si>
  <si>
    <t>张王晨</t>
  </si>
  <si>
    <t>张逸磊</t>
  </si>
  <si>
    <t>张翌晨</t>
  </si>
  <si>
    <t>赵正阳</t>
  </si>
  <si>
    <t>周擎天</t>
  </si>
  <si>
    <t>葛峻嵩</t>
  </si>
  <si>
    <t>李越楷</t>
  </si>
  <si>
    <t>徐梁策</t>
  </si>
  <si>
    <t>俞俊言</t>
  </si>
  <si>
    <t>第12组</t>
  </si>
  <si>
    <t>陈梓菲</t>
  </si>
  <si>
    <t>单雨涵</t>
  </si>
  <si>
    <t>范一之</t>
  </si>
  <si>
    <t>章缘可</t>
  </si>
  <si>
    <t>朱晨燕</t>
  </si>
  <si>
    <t>陈佳妮</t>
  </si>
  <si>
    <t>金烨乔</t>
  </si>
  <si>
    <t>章婕</t>
  </si>
  <si>
    <t>第13组</t>
  </si>
  <si>
    <t>边栋成</t>
  </si>
  <si>
    <t>陈非鱼</t>
  </si>
  <si>
    <t>陈奕仁</t>
  </si>
  <si>
    <t>傅天宇</t>
  </si>
  <si>
    <t>郭扬帆</t>
  </si>
  <si>
    <t>何卓锟</t>
  </si>
  <si>
    <t>蒋宏烨</t>
  </si>
  <si>
    <t>李昊</t>
  </si>
  <si>
    <t>厉振凯</t>
  </si>
  <si>
    <t>林川翔</t>
  </si>
  <si>
    <t>刘亿臻</t>
  </si>
  <si>
    <t>第14组</t>
  </si>
  <si>
    <t>罗立诚</t>
  </si>
  <si>
    <t>孟煜皓</t>
  </si>
  <si>
    <t>莫皓翔</t>
  </si>
  <si>
    <t>潘涵</t>
  </si>
  <si>
    <t>钱靖</t>
  </si>
  <si>
    <t>是凯宁</t>
  </si>
  <si>
    <t>陶佳呈</t>
  </si>
  <si>
    <t>王奕清</t>
  </si>
  <si>
    <t>王熠阳</t>
  </si>
  <si>
    <t>王泽</t>
  </si>
  <si>
    <t>王震</t>
  </si>
  <si>
    <t>吴昊野</t>
  </si>
  <si>
    <t>第15组</t>
  </si>
  <si>
    <t>吴启航</t>
  </si>
  <si>
    <t>吴雨航</t>
  </si>
  <si>
    <t>吴泽铭</t>
  </si>
  <si>
    <t>徐可聲</t>
  </si>
  <si>
    <t>徐正阳</t>
  </si>
  <si>
    <t>俞喆川</t>
  </si>
  <si>
    <t>袁宇轩</t>
  </si>
  <si>
    <t>张湫阳</t>
  </si>
  <si>
    <t>周靖凯</t>
  </si>
  <si>
    <t>朱一翀</t>
  </si>
  <si>
    <t>朱羿恺</t>
  </si>
  <si>
    <t>第16组</t>
  </si>
  <si>
    <t>陈可昱</t>
  </si>
  <si>
    <t>陈文杰</t>
  </si>
  <si>
    <t>陈文泽</t>
  </si>
  <si>
    <t>陈烨</t>
  </si>
  <si>
    <t>陈昱宁</t>
  </si>
  <si>
    <t>陈远哲</t>
  </si>
  <si>
    <t>高天予</t>
  </si>
  <si>
    <t>韩秋锋</t>
  </si>
  <si>
    <t>贺钱超</t>
  </si>
  <si>
    <t>李晨浩</t>
  </si>
  <si>
    <t>第17组</t>
  </si>
  <si>
    <t>李睿祺</t>
  </si>
  <si>
    <t>郦涵宇</t>
  </si>
  <si>
    <t>梁锦源</t>
  </si>
  <si>
    <t>凌沐阳</t>
  </si>
  <si>
    <t>凌哲男</t>
  </si>
  <si>
    <t>鲁烨凯</t>
  </si>
  <si>
    <t>骆俊哲</t>
  </si>
  <si>
    <t>吕璟晗</t>
  </si>
  <si>
    <t>任俊辉</t>
  </si>
  <si>
    <t>邵恺文</t>
  </si>
  <si>
    <t>第18组</t>
  </si>
  <si>
    <t>沈乐汀</t>
  </si>
  <si>
    <t>施嘉涛</t>
  </si>
  <si>
    <t>唐晨致</t>
  </si>
  <si>
    <t>王奕淇</t>
  </si>
  <si>
    <t>吴夏熠</t>
  </si>
  <si>
    <t>谢哲铭</t>
  </si>
  <si>
    <t>徐灵城</t>
  </si>
  <si>
    <t>姚鸿彬</t>
  </si>
  <si>
    <t>俞东垚</t>
  </si>
  <si>
    <t>岳俊楷</t>
  </si>
  <si>
    <t>第19组</t>
  </si>
  <si>
    <t>张弛</t>
  </si>
  <si>
    <t>张德烨</t>
  </si>
  <si>
    <t>张涵</t>
  </si>
  <si>
    <t>张洪银</t>
  </si>
  <si>
    <t>张子晗</t>
  </si>
  <si>
    <t>章鑫</t>
  </si>
  <si>
    <t>赵子涵</t>
  </si>
  <si>
    <t>朱陈斌</t>
  </si>
  <si>
    <t>朱志飞</t>
  </si>
  <si>
    <t>第20组</t>
  </si>
  <si>
    <t>陈彦凝</t>
  </si>
  <si>
    <t>凌思瑜</t>
  </si>
  <si>
    <t>陆景儿</t>
  </si>
  <si>
    <t>孟熠玲</t>
  </si>
  <si>
    <t>沈佳颖</t>
  </si>
  <si>
    <t>孙文羽</t>
  </si>
  <si>
    <t>孙小雨</t>
  </si>
  <si>
    <t>陶佳琪</t>
  </si>
  <si>
    <t>王英泽</t>
  </si>
  <si>
    <t>徐佳梦</t>
  </si>
  <si>
    <t>叶畅畅</t>
  </si>
  <si>
    <t>俞昕岑</t>
  </si>
  <si>
    <t>张烨蓉</t>
  </si>
  <si>
    <t>第21组</t>
  </si>
  <si>
    <t>陈舒可</t>
  </si>
  <si>
    <t>陈炜烨</t>
  </si>
  <si>
    <t>陈烨达</t>
  </si>
  <si>
    <t>陈熠</t>
  </si>
  <si>
    <t>陈颖鳌</t>
  </si>
  <si>
    <t>丁徐浩</t>
  </si>
  <si>
    <t>冯子羽</t>
  </si>
  <si>
    <t>何漪垚</t>
  </si>
  <si>
    <t>贾昀皓</t>
  </si>
  <si>
    <t>李俊涛</t>
  </si>
  <si>
    <t>第22组</t>
  </si>
  <si>
    <t>李志豪</t>
  </si>
  <si>
    <t>钮通</t>
  </si>
  <si>
    <t>祁意洋</t>
  </si>
  <si>
    <t>施敏凯</t>
  </si>
  <si>
    <t>唐文浩</t>
  </si>
  <si>
    <t>陶佳宇</t>
  </si>
  <si>
    <t>王鹏超</t>
  </si>
  <si>
    <t>尉启伦</t>
  </si>
  <si>
    <t>吴涵中</t>
  </si>
  <si>
    <t>席豪</t>
  </si>
  <si>
    <t>徐蒋帅</t>
  </si>
  <si>
    <t>第23组</t>
  </si>
  <si>
    <t>徐依纬</t>
  </si>
  <si>
    <t>许本豪</t>
  </si>
  <si>
    <t>姚炫</t>
  </si>
  <si>
    <t>余煜越</t>
  </si>
  <si>
    <t>余跃</t>
  </si>
  <si>
    <t>张倍源</t>
  </si>
  <si>
    <t>章培之</t>
  </si>
  <si>
    <t>郑荣发</t>
  </si>
  <si>
    <t>朱宸章</t>
  </si>
  <si>
    <t>朱南垚</t>
  </si>
  <si>
    <t>祝文韬</t>
  </si>
  <si>
    <t>第24组</t>
  </si>
  <si>
    <t>曹雨彤</t>
  </si>
  <si>
    <t>陈静怡</t>
  </si>
  <si>
    <t>邓欣悦</t>
  </si>
  <si>
    <t>胡航奕</t>
  </si>
  <si>
    <t>华与涵</t>
  </si>
  <si>
    <t>黄佳逸</t>
  </si>
  <si>
    <t>金孔语恬</t>
  </si>
  <si>
    <t>孟祖琰</t>
  </si>
  <si>
    <t>沈菲尔</t>
  </si>
  <si>
    <t>宋绮玥</t>
  </si>
  <si>
    <t>第25组</t>
  </si>
  <si>
    <t>陶睿洁</t>
  </si>
  <si>
    <t>王嘉悦</t>
  </si>
  <si>
    <t>王梦瑶</t>
  </si>
  <si>
    <t>王诗雨</t>
  </si>
  <si>
    <t>翁尔非</t>
  </si>
  <si>
    <t>吴厉文</t>
  </si>
  <si>
    <t>徐文捷</t>
  </si>
  <si>
    <t>张恺瑞</t>
  </si>
  <si>
    <t>赵安</t>
  </si>
  <si>
    <t>徐卓音</t>
  </si>
  <si>
    <t>第26组</t>
  </si>
  <si>
    <t>陈锦耀</t>
  </si>
  <si>
    <t>戴琪琛</t>
  </si>
  <si>
    <t>丁俊晖</t>
  </si>
  <si>
    <t>郭宇乐</t>
  </si>
  <si>
    <t>金典</t>
  </si>
  <si>
    <t>吕泓哲</t>
  </si>
  <si>
    <t>钱行</t>
  </si>
  <si>
    <t>茹春豪</t>
  </si>
  <si>
    <t>沈熠宁</t>
  </si>
  <si>
    <t>第27组</t>
  </si>
  <si>
    <t>王诚宇</t>
  </si>
  <si>
    <t>王闻一</t>
  </si>
  <si>
    <t>吴浩天</t>
  </si>
  <si>
    <t>徐书楷</t>
  </si>
  <si>
    <t>袁见海</t>
  </si>
  <si>
    <t>张洁煜</t>
  </si>
  <si>
    <t>钟一鸣</t>
  </si>
  <si>
    <t>诸慧峰</t>
  </si>
  <si>
    <t>第28组</t>
  </si>
  <si>
    <t>陈慧兰</t>
  </si>
  <si>
    <t>陈佳颖</t>
  </si>
  <si>
    <t>陈诗瑶</t>
  </si>
  <si>
    <t>陈雨扬</t>
  </si>
  <si>
    <t>池潇语</t>
  </si>
  <si>
    <t>丁文妤</t>
  </si>
  <si>
    <t>范翊雯</t>
  </si>
  <si>
    <t>高格格</t>
  </si>
  <si>
    <t>高海灵</t>
  </si>
  <si>
    <t>何佳蕾</t>
  </si>
  <si>
    <t>第29组</t>
  </si>
  <si>
    <t>蒋怡宁</t>
  </si>
  <si>
    <t>李斯羽</t>
  </si>
  <si>
    <t>李玺</t>
  </si>
  <si>
    <t>李圆圆</t>
  </si>
  <si>
    <t>潘欣妍</t>
  </si>
  <si>
    <t>邵雨佳</t>
  </si>
  <si>
    <t>沈雨欣</t>
  </si>
  <si>
    <t>王思媛</t>
  </si>
  <si>
    <t>王艺璇</t>
  </si>
  <si>
    <t>王瑜梦</t>
  </si>
  <si>
    <t>第30组</t>
  </si>
  <si>
    <t>夏颖萱</t>
  </si>
  <si>
    <t>徐婧怡</t>
  </si>
  <si>
    <t>许佳怡</t>
  </si>
  <si>
    <t>宣宁</t>
  </si>
  <si>
    <t>杨予希</t>
  </si>
  <si>
    <t>张晨雨</t>
  </si>
  <si>
    <t>张雨涵</t>
  </si>
  <si>
    <t>章宇</t>
  </si>
  <si>
    <t>赵泓媛</t>
  </si>
  <si>
    <t>赵婧彤</t>
  </si>
  <si>
    <t>周瑜璇</t>
  </si>
  <si>
    <t>第31组</t>
  </si>
  <si>
    <t>陈瓴睿</t>
  </si>
  <si>
    <t>陈正阳</t>
  </si>
  <si>
    <t>戴天佑</t>
  </si>
  <si>
    <t>郭科煜</t>
  </si>
  <si>
    <t>何吾健</t>
  </si>
  <si>
    <t>季燃</t>
  </si>
  <si>
    <t>蒋熠帆</t>
  </si>
  <si>
    <t>林奕炜</t>
  </si>
  <si>
    <t>沈子开</t>
  </si>
  <si>
    <t>屠宸恺</t>
  </si>
  <si>
    <t>第32组</t>
  </si>
  <si>
    <t>王一昊</t>
  </si>
  <si>
    <t>王子蘅</t>
  </si>
  <si>
    <t>邬天麟</t>
  </si>
  <si>
    <t>吴成康</t>
  </si>
  <si>
    <t>吴世民</t>
  </si>
  <si>
    <t>叶峻辰</t>
  </si>
  <si>
    <t>叶吴琦</t>
  </si>
  <si>
    <t>叶哲宇</t>
  </si>
  <si>
    <t>周晨涛</t>
  </si>
  <si>
    <t>朱煜珂</t>
  </si>
  <si>
    <t>第33组</t>
  </si>
  <si>
    <t>陈妍瑄</t>
  </si>
  <si>
    <t>陈知非</t>
  </si>
  <si>
    <t>葛卓</t>
  </si>
  <si>
    <t>华瑜欣</t>
  </si>
  <si>
    <t>姜雪颖</t>
  </si>
  <si>
    <t>揭李芳</t>
  </si>
  <si>
    <t>金佳琪</t>
  </si>
  <si>
    <t>李佳雯</t>
  </si>
  <si>
    <t>李天嘉</t>
  </si>
  <si>
    <t>李易柔</t>
  </si>
  <si>
    <t>第34组</t>
  </si>
  <si>
    <t>龙城希</t>
  </si>
  <si>
    <t>娄思琪</t>
  </si>
  <si>
    <t>骆佳欣</t>
  </si>
  <si>
    <t>钱靖男</t>
  </si>
  <si>
    <t>裘可</t>
  </si>
  <si>
    <t>寿誉杰</t>
  </si>
  <si>
    <t>王佳怡</t>
  </si>
  <si>
    <t>肖昳涵</t>
  </si>
  <si>
    <t>邢佳韵</t>
  </si>
  <si>
    <t>第35组</t>
  </si>
  <si>
    <t>徐颖</t>
  </si>
  <si>
    <t>杨之易</t>
  </si>
  <si>
    <t>张馨元</t>
  </si>
  <si>
    <t>章励勤</t>
  </si>
  <si>
    <t>赵婧含</t>
  </si>
  <si>
    <t>周璐扬</t>
  </si>
  <si>
    <t>周于炜</t>
  </si>
  <si>
    <t>朱悦月</t>
  </si>
  <si>
    <t>朱越</t>
  </si>
  <si>
    <t>第36组</t>
  </si>
  <si>
    <t>陈烁</t>
  </si>
  <si>
    <t>陈童昕</t>
  </si>
  <si>
    <t>邓屹宇</t>
  </si>
  <si>
    <t>丁容予</t>
  </si>
  <si>
    <t>董飞宇</t>
  </si>
  <si>
    <t>傅炯琰</t>
  </si>
  <si>
    <t>傅开</t>
  </si>
  <si>
    <t>高昊宇</t>
  </si>
  <si>
    <t>高泽宇</t>
  </si>
  <si>
    <t>李世恒</t>
  </si>
  <si>
    <t>第37组</t>
  </si>
  <si>
    <t>娄煜浩</t>
  </si>
  <si>
    <t>鲁俊炜</t>
  </si>
  <si>
    <t>陆天浩</t>
  </si>
  <si>
    <t>彭彦博</t>
  </si>
  <si>
    <t>邱晨灏</t>
  </si>
  <si>
    <t>裘驷浩</t>
  </si>
  <si>
    <t>沈译文</t>
  </si>
  <si>
    <t>宋程毅</t>
  </si>
  <si>
    <t>孙宇辰</t>
  </si>
  <si>
    <t>汤正清</t>
  </si>
  <si>
    <t>第38组</t>
  </si>
  <si>
    <t>王辰凯</t>
  </si>
  <si>
    <t>吴宣卫</t>
  </si>
  <si>
    <t>徐晨鸣</t>
  </si>
  <si>
    <t>徐炜坤</t>
  </si>
  <si>
    <t>徐烨琪</t>
  </si>
  <si>
    <t>杨溢善</t>
  </si>
  <si>
    <t>於宙</t>
  </si>
  <si>
    <t>余佳辉</t>
  </si>
  <si>
    <t>俞铭珂</t>
  </si>
  <si>
    <t>第39组</t>
  </si>
  <si>
    <t>张垚烨</t>
  </si>
  <si>
    <t>张哲垲</t>
  </si>
  <si>
    <t>张哲宇</t>
  </si>
  <si>
    <t>钟宇涛</t>
  </si>
  <si>
    <t>周鸣涛</t>
  </si>
  <si>
    <t>朱澔祺</t>
  </si>
  <si>
    <t>朱金琦</t>
  </si>
  <si>
    <t>朱铭扬</t>
  </si>
  <si>
    <t>邹天麒</t>
  </si>
  <si>
    <t>第40组</t>
  </si>
  <si>
    <t>陈奕汝</t>
  </si>
  <si>
    <t>戴瑜洁</t>
  </si>
  <si>
    <t>何奕轩</t>
  </si>
  <si>
    <t>卢雪凝</t>
  </si>
  <si>
    <t>陆麦沙</t>
  </si>
  <si>
    <t>吕俊凝</t>
  </si>
  <si>
    <t>任佳雯</t>
  </si>
  <si>
    <t>任欣童</t>
  </si>
  <si>
    <t>吴诗慧</t>
  </si>
  <si>
    <t>叶昕露</t>
  </si>
  <si>
    <t>第41组</t>
  </si>
  <si>
    <t>蔡怀渔</t>
  </si>
  <si>
    <t>柴闻祺</t>
  </si>
  <si>
    <t>陈佳成</t>
  </si>
  <si>
    <t>陈徐燎颖</t>
  </si>
  <si>
    <t>单一丁</t>
  </si>
  <si>
    <t>丁鑫宇</t>
  </si>
  <si>
    <t>钭俊畅</t>
  </si>
  <si>
    <t>范佳润</t>
  </si>
  <si>
    <t>冯家源</t>
  </si>
  <si>
    <t>傅则玮</t>
  </si>
  <si>
    <t>第42组</t>
  </si>
  <si>
    <t>高凌轩</t>
  </si>
  <si>
    <t>顾则宇</t>
  </si>
  <si>
    <t>胡乐天</t>
  </si>
  <si>
    <t>蒋巍巍</t>
  </si>
  <si>
    <t>金浩南</t>
  </si>
  <si>
    <t>金奕轲</t>
  </si>
  <si>
    <t>金振宇</t>
  </si>
  <si>
    <t>孔泽凡</t>
  </si>
  <si>
    <t>兰悦来</t>
  </si>
  <si>
    <t>劳嘉晔</t>
  </si>
  <si>
    <t>第43组</t>
  </si>
  <si>
    <t>鲁宇航</t>
  </si>
  <si>
    <t>鲁贇涛</t>
  </si>
  <si>
    <t>骆诚开</t>
  </si>
  <si>
    <t>邵世超</t>
  </si>
  <si>
    <t>沈家伟</t>
  </si>
  <si>
    <t>孙朝阳</t>
  </si>
  <si>
    <t>唐承源</t>
  </si>
  <si>
    <t>汪晨翰</t>
  </si>
  <si>
    <t>王程洋</t>
  </si>
  <si>
    <t>王世瑶</t>
  </si>
  <si>
    <t>王天星</t>
  </si>
  <si>
    <t>第44组</t>
  </si>
  <si>
    <t>王向宇</t>
  </si>
  <si>
    <t>韦可淳</t>
  </si>
  <si>
    <t>谢文景</t>
  </si>
  <si>
    <t>徐墨凡</t>
  </si>
  <si>
    <t>徐涛</t>
  </si>
  <si>
    <t>叶之恒</t>
  </si>
  <si>
    <t>俞灵楠</t>
  </si>
  <si>
    <t>张欣宣</t>
  </si>
  <si>
    <t>赵冬晨</t>
  </si>
  <si>
    <t>朱夏斌</t>
  </si>
  <si>
    <t>陈睿益</t>
  </si>
  <si>
    <t>第45组</t>
  </si>
  <si>
    <t>陈音曼</t>
  </si>
  <si>
    <t>方悦周</t>
  </si>
  <si>
    <t>胡欣怡</t>
  </si>
  <si>
    <t>金嘉琪</t>
  </si>
  <si>
    <t>裘婕</t>
  </si>
  <si>
    <t>唐静妍</t>
  </si>
  <si>
    <t>屠坪儿</t>
  </si>
  <si>
    <t>余箐洋</t>
  </si>
  <si>
    <t>赵玉芷</t>
  </si>
  <si>
    <t>第46组</t>
  </si>
  <si>
    <t>曹康祈</t>
  </si>
  <si>
    <t>陈飞尹</t>
  </si>
  <si>
    <t>陈一栋</t>
  </si>
  <si>
    <t>程邓</t>
  </si>
  <si>
    <t>戴逸涵</t>
  </si>
  <si>
    <t>董毅伟</t>
  </si>
  <si>
    <t>傅宇烨</t>
  </si>
  <si>
    <t>何子涵</t>
  </si>
  <si>
    <t>胡一展</t>
  </si>
  <si>
    <t>蒋子渊</t>
  </si>
  <si>
    <t>焦典</t>
  </si>
  <si>
    <t>金焰涛</t>
  </si>
  <si>
    <t>第47组</t>
  </si>
  <si>
    <t>刘浩波</t>
  </si>
  <si>
    <t>鲁佳敏</t>
  </si>
  <si>
    <t>罗雨航</t>
  </si>
  <si>
    <t>骆一凡</t>
  </si>
  <si>
    <t>马跃涛</t>
  </si>
  <si>
    <t>聂卫东</t>
  </si>
  <si>
    <t>钱俊呈</t>
  </si>
  <si>
    <t>阮弘哲</t>
  </si>
  <si>
    <t>沈君涛</t>
  </si>
  <si>
    <t>沈逸</t>
  </si>
  <si>
    <t>沈逸程</t>
  </si>
  <si>
    <t>沈铮</t>
  </si>
  <si>
    <t>第48组</t>
  </si>
  <si>
    <t>施博文</t>
  </si>
  <si>
    <t>石健晖</t>
  </si>
  <si>
    <t>唐德斌</t>
  </si>
  <si>
    <t>陶毅铭</t>
  </si>
  <si>
    <t>陶毅远</t>
  </si>
  <si>
    <t>王昶晋</t>
  </si>
  <si>
    <t>王晨洋</t>
  </si>
  <si>
    <t>王静恒</t>
  </si>
  <si>
    <t>吴周胤杰</t>
  </si>
  <si>
    <t>吴主越</t>
  </si>
  <si>
    <t>徐李晔涛</t>
  </si>
  <si>
    <t>徐力飞</t>
  </si>
  <si>
    <t>第49组</t>
  </si>
  <si>
    <t>徐一明</t>
  </si>
  <si>
    <t>徐之恒</t>
  </si>
  <si>
    <t>徐子彦</t>
  </si>
  <si>
    <t>杨磊</t>
  </si>
  <si>
    <t>杨骐远</t>
  </si>
  <si>
    <t>杨张浩</t>
  </si>
  <si>
    <t>叶泽航</t>
  </si>
  <si>
    <t>余一鸣</t>
  </si>
  <si>
    <t>袁元</t>
  </si>
  <si>
    <t>郑翔</t>
  </si>
  <si>
    <t>朱嘉悦</t>
  </si>
  <si>
    <t>竺冕博</t>
  </si>
  <si>
    <t>第50组</t>
  </si>
  <si>
    <t>陈沁岚</t>
  </si>
  <si>
    <t>单晗乐</t>
  </si>
  <si>
    <t>董涵笑</t>
  </si>
  <si>
    <t>孔语菲</t>
  </si>
  <si>
    <t>王昕妍</t>
  </si>
  <si>
    <t>叶恬奕</t>
  </si>
  <si>
    <t>周嘉一</t>
  </si>
  <si>
    <t>第51组</t>
  </si>
  <si>
    <t>陈禹涛</t>
  </si>
  <si>
    <t>丁逸</t>
  </si>
  <si>
    <t>樊瑞尧</t>
  </si>
  <si>
    <t>方铮</t>
  </si>
  <si>
    <t>黄涛</t>
  </si>
  <si>
    <t>蒋昊</t>
  </si>
  <si>
    <t>蒋轶诚</t>
  </si>
  <si>
    <t>金宇程</t>
  </si>
  <si>
    <t>劳泽宸</t>
  </si>
  <si>
    <t>李浩</t>
  </si>
  <si>
    <t>李睿</t>
  </si>
  <si>
    <t>第52组</t>
  </si>
  <si>
    <t>吕彦泽</t>
  </si>
  <si>
    <t>马昊杰</t>
  </si>
  <si>
    <t>马欣愉</t>
  </si>
  <si>
    <t>平烨涛</t>
  </si>
  <si>
    <t>沈康明</t>
  </si>
  <si>
    <t>沈谢承</t>
  </si>
  <si>
    <t>沈奕韬</t>
  </si>
  <si>
    <t>孙晋尧</t>
  </si>
  <si>
    <t>陶源</t>
  </si>
  <si>
    <t>王浩洋</t>
  </si>
  <si>
    <t>王杰</t>
  </si>
  <si>
    <t>第53组</t>
  </si>
  <si>
    <t>王奕畅</t>
  </si>
  <si>
    <t>王泽风</t>
  </si>
  <si>
    <t>魏国强</t>
  </si>
  <si>
    <t>谢圣栋</t>
  </si>
  <si>
    <t>徐煜峰</t>
  </si>
  <si>
    <t>于经纬</t>
  </si>
  <si>
    <t>章涵信</t>
  </si>
  <si>
    <t>赵立扬</t>
  </si>
  <si>
    <t>钟浩</t>
  </si>
  <si>
    <t>朱晟颉</t>
  </si>
  <si>
    <t>第54组</t>
  </si>
  <si>
    <t>陈佳宁</t>
  </si>
  <si>
    <t>樊诗琪</t>
  </si>
  <si>
    <t>方周玺</t>
  </si>
  <si>
    <t>冯可儿</t>
  </si>
  <si>
    <t>冯宁馨</t>
  </si>
  <si>
    <t>胡晓琪</t>
  </si>
  <si>
    <t>李烨菲</t>
  </si>
  <si>
    <t>凌雪盈</t>
  </si>
  <si>
    <t>第55组</t>
  </si>
  <si>
    <t>孟雨晨</t>
  </si>
  <si>
    <t>唐琪佳</t>
  </si>
  <si>
    <t>陶妍羽</t>
  </si>
  <si>
    <t>王昱文</t>
  </si>
  <si>
    <t>杨诗瑜</t>
  </si>
  <si>
    <t>应佩成</t>
  </si>
  <si>
    <t>余玥</t>
  </si>
  <si>
    <t>朱怡然</t>
  </si>
  <si>
    <t>第56组</t>
  </si>
  <si>
    <t>陈修远</t>
  </si>
  <si>
    <t>刁骏加</t>
  </si>
  <si>
    <t>姜赵昊</t>
  </si>
  <si>
    <t>金迪贝</t>
  </si>
  <si>
    <t>金一波</t>
  </si>
  <si>
    <t>李宁宇</t>
  </si>
  <si>
    <t>凌晨</t>
  </si>
  <si>
    <t>娄韬</t>
  </si>
  <si>
    <t>第57组</t>
  </si>
  <si>
    <t>钱翀</t>
  </si>
  <si>
    <t>茹灵烨</t>
  </si>
  <si>
    <t>童正豪</t>
  </si>
  <si>
    <t>王俊浩</t>
  </si>
  <si>
    <t>姚远</t>
  </si>
  <si>
    <t>俞多</t>
  </si>
  <si>
    <t>俞林海</t>
  </si>
  <si>
    <t>章景康</t>
  </si>
  <si>
    <t>第58组</t>
  </si>
  <si>
    <t>包学彦</t>
  </si>
  <si>
    <t>陈安昳</t>
  </si>
  <si>
    <t>陈珂昕</t>
  </si>
  <si>
    <t>陈涟青</t>
  </si>
  <si>
    <t>陈越尔</t>
  </si>
  <si>
    <t>褚诗怡</t>
  </si>
  <si>
    <t>丁逸萱</t>
  </si>
  <si>
    <t>杜俊琦</t>
  </si>
  <si>
    <t>房可颜</t>
  </si>
  <si>
    <t>何勤瑶</t>
  </si>
  <si>
    <t>孔润冰</t>
  </si>
  <si>
    <t>第59组</t>
  </si>
  <si>
    <t>孟琳</t>
  </si>
  <si>
    <t>孟熊勉</t>
  </si>
  <si>
    <t>倪安琪</t>
  </si>
  <si>
    <t>潘靖仪</t>
  </si>
  <si>
    <t>潘乐竻</t>
  </si>
  <si>
    <t>钱沁颐</t>
  </si>
  <si>
    <t>任逍遥</t>
  </si>
  <si>
    <t>邵佳怡</t>
  </si>
  <si>
    <t>沈昕妤</t>
  </si>
  <si>
    <t>陶涵悦</t>
  </si>
  <si>
    <t>王心悦</t>
  </si>
  <si>
    <t>第60组</t>
  </si>
  <si>
    <t>王奕彤</t>
  </si>
  <si>
    <t>王宇乐</t>
  </si>
  <si>
    <t>吴瑶</t>
  </si>
  <si>
    <t>谢天怡</t>
  </si>
  <si>
    <t>杨忆</t>
  </si>
  <si>
    <t>杨雨辰</t>
  </si>
  <si>
    <t>应丹露</t>
  </si>
  <si>
    <t>张若灵</t>
  </si>
  <si>
    <t>张怡睿</t>
  </si>
  <si>
    <t>章树</t>
  </si>
  <si>
    <t>朱李璐</t>
  </si>
  <si>
    <t>范怡文</t>
  </si>
  <si>
    <t>第61组</t>
  </si>
  <si>
    <t>傅圣杰</t>
  </si>
  <si>
    <t>黄晨曦</t>
  </si>
  <si>
    <t>孙林涵</t>
  </si>
  <si>
    <t>叶听乐</t>
  </si>
  <si>
    <t>朱宏泽</t>
  </si>
  <si>
    <t>第62组</t>
  </si>
  <si>
    <t>陈蓓</t>
  </si>
  <si>
    <t>陈涵雨</t>
  </si>
  <si>
    <t>陈佳颜</t>
  </si>
  <si>
    <t>陈珈乐</t>
  </si>
  <si>
    <t>成雨瑾</t>
  </si>
  <si>
    <t>崔书豪</t>
  </si>
  <si>
    <t>单舒怡</t>
  </si>
  <si>
    <t>丁雪颖</t>
  </si>
  <si>
    <t>范思祺</t>
  </si>
  <si>
    <t>冯夷清</t>
  </si>
  <si>
    <t>第63组</t>
  </si>
  <si>
    <t>高颖莹</t>
  </si>
  <si>
    <t>胡笑涵</t>
  </si>
  <si>
    <t>金晨希</t>
  </si>
  <si>
    <t>林伊涵</t>
  </si>
  <si>
    <t>刘籼缘</t>
  </si>
  <si>
    <t>骆怡佳</t>
  </si>
  <si>
    <t>马梦盈</t>
  </si>
  <si>
    <t>毛泽颖</t>
  </si>
  <si>
    <t>钱思溢</t>
  </si>
  <si>
    <t>裘洁</t>
  </si>
  <si>
    <t>第64组</t>
  </si>
  <si>
    <t>任嘉颖</t>
  </si>
  <si>
    <t>沈沁蓝</t>
  </si>
  <si>
    <t>施雨露</t>
  </si>
  <si>
    <t>史妍沁</t>
  </si>
  <si>
    <t>孙可闻</t>
  </si>
  <si>
    <t>王可怡</t>
  </si>
  <si>
    <t>王怡楠</t>
  </si>
  <si>
    <t>谢逸群</t>
  </si>
  <si>
    <t>徐冰沁</t>
  </si>
  <si>
    <t>徐嘉曼</t>
  </si>
  <si>
    <t>徐一灵</t>
  </si>
  <si>
    <t>第65组</t>
  </si>
  <si>
    <t>严佳艺</t>
  </si>
  <si>
    <t>严雨泽</t>
  </si>
  <si>
    <t>杨妍</t>
  </si>
  <si>
    <t>叶艺</t>
  </si>
  <si>
    <t>袁玮霞</t>
  </si>
  <si>
    <t>张益瑜</t>
  </si>
  <si>
    <t>张瑜洁</t>
  </si>
  <si>
    <t>张宇煊</t>
  </si>
  <si>
    <t>章楚涵</t>
  </si>
  <si>
    <t>郑灵曜</t>
  </si>
  <si>
    <t>周智怡</t>
  </si>
  <si>
    <t>第66组</t>
  </si>
  <si>
    <t>樊嘉晟</t>
  </si>
  <si>
    <t>高源丞</t>
  </si>
  <si>
    <t>林垚</t>
  </si>
  <si>
    <t>卢平洋</t>
  </si>
  <si>
    <t>谢淳翰</t>
  </si>
  <si>
    <t>谢子轩</t>
  </si>
  <si>
    <t>徐辰</t>
  </si>
  <si>
    <t>张圣辉</t>
  </si>
  <si>
    <t>章晨涵</t>
  </si>
  <si>
    <t>第67组</t>
  </si>
  <si>
    <t>陈凯婷</t>
  </si>
  <si>
    <t>陈致琬</t>
  </si>
  <si>
    <t>陈紫约</t>
  </si>
  <si>
    <t>单晨怿</t>
  </si>
  <si>
    <t>丁婕</t>
  </si>
  <si>
    <t>樊祎闻</t>
  </si>
  <si>
    <t>冯舒楠</t>
  </si>
  <si>
    <t>傅思恬</t>
  </si>
  <si>
    <t>顾何佳</t>
  </si>
  <si>
    <t>第68组</t>
  </si>
  <si>
    <t>顾盼尔</t>
  </si>
  <si>
    <t>胡子怡</t>
  </si>
  <si>
    <t>贾玉梋</t>
  </si>
  <si>
    <t>蒋麦莎</t>
  </si>
  <si>
    <t>金瑶</t>
  </si>
  <si>
    <t>劳安</t>
  </si>
  <si>
    <t>凌思彤</t>
  </si>
  <si>
    <t>刘烨</t>
  </si>
  <si>
    <t>卢仁玉</t>
  </si>
  <si>
    <t>陆陶然</t>
  </si>
  <si>
    <t>第69组</t>
  </si>
  <si>
    <t>齐思涵</t>
  </si>
  <si>
    <t>茹之韵</t>
  </si>
  <si>
    <t>沈颖跃</t>
  </si>
  <si>
    <t>沈予晗</t>
  </si>
  <si>
    <t>史亦真</t>
  </si>
  <si>
    <t>汤明明</t>
  </si>
  <si>
    <t>陶家润</t>
  </si>
  <si>
    <t>王雨馨</t>
  </si>
  <si>
    <t>王子祺</t>
  </si>
  <si>
    <t>徐斯怡</t>
  </si>
  <si>
    <t>第70组</t>
  </si>
  <si>
    <t>杨蒙乐</t>
  </si>
  <si>
    <t>叶芷吟</t>
  </si>
  <si>
    <t>虞婉柔</t>
  </si>
  <si>
    <t>张扬</t>
  </si>
  <si>
    <t>张奕</t>
  </si>
  <si>
    <t>张奕琪</t>
  </si>
  <si>
    <t>张颖</t>
  </si>
  <si>
    <t>章潇丹</t>
  </si>
  <si>
    <t>郑雨婧</t>
  </si>
  <si>
    <t>朱颖</t>
  </si>
  <si>
    <t>冯嘉韵</t>
  </si>
  <si>
    <t>第71组</t>
  </si>
  <si>
    <t>蔡陆凯</t>
  </si>
  <si>
    <t>曹洋溢</t>
  </si>
  <si>
    <t>陈致远</t>
  </si>
  <si>
    <t>郭佳杰</t>
  </si>
  <si>
    <t>华中天</t>
  </si>
  <si>
    <t>李晨</t>
  </si>
  <si>
    <t>娄鸿哲</t>
  </si>
  <si>
    <t>骆宇炎</t>
  </si>
  <si>
    <t>王成杰</t>
  </si>
  <si>
    <t>张嘉宸</t>
  </si>
  <si>
    <t>章明炀</t>
  </si>
  <si>
    <t>祝旭坤</t>
  </si>
  <si>
    <t>第72组</t>
  </si>
  <si>
    <t>车佳盈</t>
  </si>
  <si>
    <t>陈庆雨</t>
  </si>
  <si>
    <t>陈思羽</t>
  </si>
  <si>
    <t>陈焱文</t>
  </si>
  <si>
    <t>陈盈盈</t>
  </si>
  <si>
    <t>丁贝贝</t>
  </si>
  <si>
    <t>范益男</t>
  </si>
  <si>
    <t>冯佳楠</t>
  </si>
  <si>
    <t>高潘卓儿</t>
  </si>
  <si>
    <t>高欣</t>
  </si>
  <si>
    <t>第73组</t>
  </si>
  <si>
    <t>桂钰兴</t>
  </si>
  <si>
    <t>何欣婷</t>
  </si>
  <si>
    <t>金雨欣</t>
  </si>
  <si>
    <t>刘明婕</t>
  </si>
  <si>
    <t>卢佳萍</t>
  </si>
  <si>
    <t>马紫悦</t>
  </si>
  <si>
    <t>毛珺晨</t>
  </si>
  <si>
    <t>潘星元</t>
  </si>
  <si>
    <t>钱思欣</t>
  </si>
  <si>
    <t>第74组</t>
  </si>
  <si>
    <t>任洪霞</t>
  </si>
  <si>
    <t>阮佳慧</t>
  </si>
  <si>
    <t>沈姝圻</t>
  </si>
  <si>
    <t>唐艺佳</t>
  </si>
  <si>
    <t>王诗韵</t>
  </si>
  <si>
    <t>王孙晨</t>
  </si>
  <si>
    <t>王逸楠</t>
  </si>
  <si>
    <t>王雨霜</t>
  </si>
  <si>
    <t>俞逸逍</t>
  </si>
  <si>
    <t>第75组</t>
  </si>
  <si>
    <t>岳淑婷</t>
  </si>
  <si>
    <t>张涵熠</t>
  </si>
  <si>
    <t>张静怡</t>
  </si>
  <si>
    <t>赵思颖</t>
  </si>
  <si>
    <t>赵卓琳</t>
  </si>
  <si>
    <t>朱庭慧</t>
  </si>
  <si>
    <t>朱莹</t>
  </si>
  <si>
    <t>庄璐瑶</t>
  </si>
  <si>
    <t>坐得分</t>
  </si>
  <si>
    <t>立得分</t>
  </si>
  <si>
    <t>仰得分</t>
  </si>
  <si>
    <t>多</t>
  </si>
  <si>
    <t>加分</t>
  </si>
  <si>
    <t>仰得分+附加分</t>
  </si>
  <si>
    <t>折算</t>
  </si>
  <si>
    <t>50m得分</t>
  </si>
  <si>
    <t>长跑得分</t>
  </si>
  <si>
    <t>长跑得分+附加分</t>
  </si>
  <si>
    <t>原始总分</t>
  </si>
  <si>
    <t>总分（按100分折算+附加分）</t>
  </si>
  <si>
    <t>301 平均值</t>
  </si>
  <si>
    <t>302 平均值</t>
  </si>
  <si>
    <t>303 平均值</t>
  </si>
  <si>
    <t>304 平均值</t>
  </si>
  <si>
    <t>305 平均值</t>
  </si>
  <si>
    <t>306 平均值</t>
  </si>
  <si>
    <t>307 平均值</t>
  </si>
  <si>
    <t>308 平均值</t>
  </si>
  <si>
    <t>309 平均值</t>
  </si>
  <si>
    <t>310 平均值</t>
  </si>
  <si>
    <t>311 平均值</t>
  </si>
  <si>
    <t>312 平均值</t>
  </si>
  <si>
    <t>313 平均值</t>
  </si>
  <si>
    <t>314 平均值</t>
  </si>
  <si>
    <t>315 平均值</t>
  </si>
  <si>
    <t>316 平均值</t>
  </si>
  <si>
    <t>总平均值</t>
  </si>
  <si>
    <t>总分前16名</t>
  </si>
  <si>
    <t>男生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</si>
</sst>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Fill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7" fontId="2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4" fillId="0" borderId="0" xfId="0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/>
    </xf>
    <xf numFmtId="177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/>
    </xf>
    <xf numFmtId="177" fontId="5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7"/>
  <sheetViews>
    <sheetView topLeftCell="A88" workbookViewId="0">
      <selection activeCell="K19" sqref="K19"/>
    </sheetView>
  </sheetViews>
  <sheetFormatPr defaultColWidth="9" defaultRowHeight="14.4"/>
  <cols>
    <col min="1" max="5" width="9" style="27"/>
    <col min="6" max="8" width="12.3796296296296" style="27" customWidth="1"/>
    <col min="9" max="9" width="12.3796296296296" style="35" customWidth="1"/>
    <col min="10" max="10" width="12.3796296296296" style="5" customWidth="1"/>
    <col min="11" max="11" width="12.3796296296296" style="27" customWidth="1"/>
    <col min="12" max="16384" width="9" style="19"/>
  </cols>
  <sheetData>
    <row r="1" s="20" customFormat="1" spans="1:11">
      <c r="A1" s="23" t="s">
        <v>0</v>
      </c>
      <c r="B1" s="51" t="s">
        <v>1</v>
      </c>
      <c r="C1" s="52" t="s">
        <v>2</v>
      </c>
      <c r="D1" s="53" t="s">
        <v>3</v>
      </c>
      <c r="E1" s="53" t="s">
        <v>4</v>
      </c>
      <c r="F1" s="54" t="s">
        <v>5</v>
      </c>
      <c r="G1" s="54" t="s">
        <v>6</v>
      </c>
      <c r="H1" s="54" t="s">
        <v>7</v>
      </c>
      <c r="I1" s="55" t="s">
        <v>8</v>
      </c>
      <c r="J1" s="56" t="s">
        <v>9</v>
      </c>
      <c r="K1" s="52" t="s">
        <v>10</v>
      </c>
    </row>
    <row r="2" spans="2:10">
      <c r="B2" s="27">
        <v>301</v>
      </c>
      <c r="C2" s="27">
        <v>1</v>
      </c>
      <c r="D2" s="31" t="s">
        <v>11</v>
      </c>
      <c r="E2" s="27" t="s">
        <v>12</v>
      </c>
      <c r="F2" s="27">
        <v>-2</v>
      </c>
      <c r="G2" s="27">
        <v>250</v>
      </c>
      <c r="H2" s="27">
        <v>6</v>
      </c>
      <c r="I2" s="35">
        <v>7.2</v>
      </c>
      <c r="J2" s="5">
        <v>3.39</v>
      </c>
    </row>
    <row r="3" spans="2:10">
      <c r="B3" s="27">
        <v>301</v>
      </c>
      <c r="C3" s="27">
        <v>2</v>
      </c>
      <c r="D3" s="27" t="s">
        <v>13</v>
      </c>
      <c r="E3" s="27" t="s">
        <v>12</v>
      </c>
      <c r="F3" s="27">
        <v>-5</v>
      </c>
      <c r="G3" s="27">
        <v>200</v>
      </c>
      <c r="H3" s="27">
        <v>0</v>
      </c>
      <c r="I3" s="35">
        <v>7.2</v>
      </c>
      <c r="J3" s="5">
        <v>5.08</v>
      </c>
    </row>
    <row r="4" spans="2:10">
      <c r="B4" s="27">
        <v>301</v>
      </c>
      <c r="C4" s="27">
        <v>3</v>
      </c>
      <c r="D4" s="27" t="s">
        <v>14</v>
      </c>
      <c r="E4" s="27" t="s">
        <v>12</v>
      </c>
      <c r="F4" s="27">
        <v>3.5</v>
      </c>
      <c r="G4" s="27">
        <v>190</v>
      </c>
      <c r="H4" s="27">
        <v>1</v>
      </c>
      <c r="I4" s="35">
        <v>8.3</v>
      </c>
      <c r="J4" s="5">
        <v>5.27</v>
      </c>
    </row>
    <row r="5" spans="2:10">
      <c r="B5" s="27">
        <v>301</v>
      </c>
      <c r="C5" s="27">
        <v>4</v>
      </c>
      <c r="D5" s="27" t="s">
        <v>15</v>
      </c>
      <c r="E5" s="27" t="s">
        <v>12</v>
      </c>
      <c r="F5" s="27">
        <v>5</v>
      </c>
      <c r="G5" s="27">
        <v>200</v>
      </c>
      <c r="H5" s="27">
        <v>1</v>
      </c>
      <c r="I5" s="35">
        <v>10</v>
      </c>
      <c r="J5" s="5">
        <v>5.03</v>
      </c>
    </row>
    <row r="6" spans="2:10">
      <c r="B6" s="27">
        <v>301</v>
      </c>
      <c r="C6" s="27">
        <v>5</v>
      </c>
      <c r="D6" s="27" t="s">
        <v>16</v>
      </c>
      <c r="E6" s="27" t="s">
        <v>12</v>
      </c>
      <c r="F6" s="27">
        <v>1</v>
      </c>
      <c r="G6" s="27">
        <v>170</v>
      </c>
      <c r="H6" s="27">
        <v>0</v>
      </c>
      <c r="I6" s="35">
        <v>9.2</v>
      </c>
      <c r="J6" s="5">
        <v>5.27</v>
      </c>
    </row>
    <row r="7" spans="2:10">
      <c r="B7" s="27">
        <v>301</v>
      </c>
      <c r="C7" s="27">
        <v>6</v>
      </c>
      <c r="D7" s="27" t="s">
        <v>17</v>
      </c>
      <c r="E7" s="27" t="s">
        <v>12</v>
      </c>
      <c r="F7" s="27">
        <v>11</v>
      </c>
      <c r="G7" s="27">
        <v>219</v>
      </c>
      <c r="H7" s="27">
        <v>5</v>
      </c>
      <c r="I7" s="35">
        <v>7.6</v>
      </c>
      <c r="J7" s="5">
        <v>3.53</v>
      </c>
    </row>
    <row r="8" spans="2:10">
      <c r="B8" s="27">
        <v>301</v>
      </c>
      <c r="C8" s="27">
        <v>8</v>
      </c>
      <c r="D8" s="27" t="s">
        <v>18</v>
      </c>
      <c r="E8" s="27" t="s">
        <v>12</v>
      </c>
      <c r="F8" s="27">
        <v>3</v>
      </c>
      <c r="G8" s="27">
        <v>220</v>
      </c>
      <c r="H8" s="27">
        <v>5</v>
      </c>
      <c r="I8" s="35">
        <v>7.1</v>
      </c>
      <c r="J8" s="5">
        <v>4.29</v>
      </c>
    </row>
    <row r="9" spans="2:10">
      <c r="B9" s="27">
        <v>301</v>
      </c>
      <c r="C9" s="27">
        <v>9</v>
      </c>
      <c r="D9" s="27" t="s">
        <v>19</v>
      </c>
      <c r="E9" s="27" t="s">
        <v>12</v>
      </c>
      <c r="F9" s="27">
        <v>6.5</v>
      </c>
      <c r="G9" s="27">
        <v>210</v>
      </c>
      <c r="H9" s="27">
        <v>1</v>
      </c>
      <c r="I9" s="35">
        <v>7.8</v>
      </c>
      <c r="J9" s="5">
        <v>5.27</v>
      </c>
    </row>
    <row r="10" spans="2:10">
      <c r="B10" s="27">
        <v>301</v>
      </c>
      <c r="C10" s="27">
        <v>10</v>
      </c>
      <c r="D10" s="27" t="s">
        <v>20</v>
      </c>
      <c r="E10" s="27" t="s">
        <v>12</v>
      </c>
      <c r="F10" s="27">
        <v>13</v>
      </c>
      <c r="G10" s="27">
        <v>265</v>
      </c>
      <c r="H10" s="27">
        <v>1</v>
      </c>
      <c r="I10" s="35">
        <v>7.6</v>
      </c>
      <c r="J10" s="5">
        <v>5.09</v>
      </c>
    </row>
    <row r="22" s="20" customFormat="1" spans="1:11">
      <c r="A22" s="23" t="s">
        <v>21</v>
      </c>
      <c r="B22" s="51" t="s">
        <v>1</v>
      </c>
      <c r="C22" s="52" t="s">
        <v>2</v>
      </c>
      <c r="D22" s="53" t="s">
        <v>3</v>
      </c>
      <c r="E22" s="53" t="s">
        <v>4</v>
      </c>
      <c r="F22" s="54" t="s">
        <v>5</v>
      </c>
      <c r="G22" s="54" t="s">
        <v>6</v>
      </c>
      <c r="H22" s="54" t="s">
        <v>7</v>
      </c>
      <c r="I22" s="55" t="s">
        <v>8</v>
      </c>
      <c r="J22" s="56" t="s">
        <v>9</v>
      </c>
      <c r="K22" s="52" t="s">
        <v>10</v>
      </c>
    </row>
    <row r="23" spans="2:10">
      <c r="B23" s="27">
        <v>301</v>
      </c>
      <c r="C23" s="27">
        <v>11</v>
      </c>
      <c r="D23" s="31" t="s">
        <v>22</v>
      </c>
      <c r="E23" s="27" t="s">
        <v>12</v>
      </c>
      <c r="F23" s="27">
        <v>8</v>
      </c>
      <c r="G23" s="27">
        <v>222</v>
      </c>
      <c r="H23" s="27">
        <v>8</v>
      </c>
      <c r="I23" s="35">
        <v>8.4</v>
      </c>
      <c r="J23" s="5">
        <v>4.06</v>
      </c>
    </row>
    <row r="24" spans="2:10">
      <c r="B24" s="27">
        <v>301</v>
      </c>
      <c r="C24" s="27">
        <v>12</v>
      </c>
      <c r="D24" s="27" t="s">
        <v>23</v>
      </c>
      <c r="E24" s="27" t="s">
        <v>12</v>
      </c>
      <c r="F24" s="27">
        <v>17.5</v>
      </c>
      <c r="G24" s="27">
        <v>195</v>
      </c>
      <c r="H24" s="27">
        <v>4</v>
      </c>
      <c r="I24" s="35">
        <v>8.7</v>
      </c>
      <c r="J24" s="5">
        <v>4.14</v>
      </c>
    </row>
    <row r="25" spans="2:10">
      <c r="B25" s="27">
        <v>301</v>
      </c>
      <c r="C25" s="27">
        <v>13</v>
      </c>
      <c r="D25" s="27" t="s">
        <v>24</v>
      </c>
      <c r="E25" s="27" t="s">
        <v>12</v>
      </c>
      <c r="F25" s="27">
        <v>2.5</v>
      </c>
      <c r="G25" s="27">
        <v>175</v>
      </c>
      <c r="H25" s="27">
        <v>1</v>
      </c>
      <c r="I25" s="35">
        <v>8.4</v>
      </c>
      <c r="J25" s="5">
        <v>4.49</v>
      </c>
    </row>
    <row r="26" spans="2:10">
      <c r="B26" s="27">
        <v>301</v>
      </c>
      <c r="C26" s="27">
        <v>14</v>
      </c>
      <c r="D26" s="27" t="s">
        <v>25</v>
      </c>
      <c r="E26" s="27" t="s">
        <v>12</v>
      </c>
      <c r="F26" s="27">
        <v>0</v>
      </c>
      <c r="G26" s="27">
        <v>200</v>
      </c>
      <c r="H26" s="27">
        <v>10</v>
      </c>
      <c r="I26" s="35">
        <v>8.4</v>
      </c>
      <c r="J26" s="5">
        <v>4.14</v>
      </c>
    </row>
    <row r="27" spans="2:10">
      <c r="B27" s="27">
        <v>301</v>
      </c>
      <c r="C27" s="27">
        <v>15</v>
      </c>
      <c r="D27" s="27" t="s">
        <v>26</v>
      </c>
      <c r="E27" s="27" t="s">
        <v>12</v>
      </c>
      <c r="F27" s="27">
        <v>20</v>
      </c>
      <c r="G27" s="27">
        <v>250</v>
      </c>
      <c r="H27" s="27">
        <v>0</v>
      </c>
      <c r="I27" s="35">
        <v>7.1</v>
      </c>
      <c r="J27" s="5">
        <v>4.32</v>
      </c>
    </row>
    <row r="28" spans="2:10">
      <c r="B28" s="27">
        <v>301</v>
      </c>
      <c r="C28" s="27">
        <v>16</v>
      </c>
      <c r="D28" s="27" t="s">
        <v>27</v>
      </c>
      <c r="E28" s="27" t="s">
        <v>12</v>
      </c>
      <c r="F28" s="27">
        <v>7.5</v>
      </c>
      <c r="G28" s="27">
        <v>218</v>
      </c>
      <c r="H28" s="27">
        <v>13</v>
      </c>
      <c r="I28" s="35">
        <v>7.4</v>
      </c>
      <c r="J28" s="5">
        <v>3.47</v>
      </c>
    </row>
    <row r="29" spans="2:10">
      <c r="B29" s="27">
        <v>301</v>
      </c>
      <c r="C29" s="27">
        <v>17</v>
      </c>
      <c r="D29" s="27" t="s">
        <v>28</v>
      </c>
      <c r="E29" s="27" t="s">
        <v>12</v>
      </c>
      <c r="F29" s="27">
        <v>3.5</v>
      </c>
      <c r="G29" s="27">
        <v>212</v>
      </c>
      <c r="H29" s="27">
        <v>4</v>
      </c>
      <c r="I29" s="35">
        <v>7.8</v>
      </c>
      <c r="J29" s="5">
        <v>3.44</v>
      </c>
    </row>
    <row r="30" spans="2:10">
      <c r="B30" s="27">
        <v>301</v>
      </c>
      <c r="C30" s="27">
        <v>18</v>
      </c>
      <c r="D30" s="27" t="s">
        <v>29</v>
      </c>
      <c r="E30" s="27" t="s">
        <v>12</v>
      </c>
      <c r="F30" s="27">
        <v>18</v>
      </c>
      <c r="G30" s="27">
        <v>265</v>
      </c>
      <c r="H30" s="27">
        <v>10</v>
      </c>
      <c r="I30" s="35">
        <v>7.8</v>
      </c>
      <c r="J30" s="5">
        <v>4.2</v>
      </c>
    </row>
    <row r="31" spans="2:10">
      <c r="B31" s="27">
        <v>301</v>
      </c>
      <c r="C31" s="27">
        <v>19</v>
      </c>
      <c r="D31" s="27" t="s">
        <v>30</v>
      </c>
      <c r="E31" s="27" t="s">
        <v>12</v>
      </c>
      <c r="F31" s="27">
        <v>3.5</v>
      </c>
      <c r="G31" s="27">
        <v>210</v>
      </c>
      <c r="H31" s="27">
        <v>1</v>
      </c>
      <c r="I31" s="35">
        <v>8.4</v>
      </c>
      <c r="J31" s="5">
        <v>3.55</v>
      </c>
    </row>
    <row r="32" spans="2:10">
      <c r="B32" s="27">
        <v>301</v>
      </c>
      <c r="C32" s="27">
        <v>20</v>
      </c>
      <c r="D32" s="27" t="s">
        <v>31</v>
      </c>
      <c r="E32" s="27" t="s">
        <v>12</v>
      </c>
      <c r="F32" s="27">
        <v>14.5</v>
      </c>
      <c r="G32" s="27">
        <v>242</v>
      </c>
      <c r="H32" s="27">
        <v>13</v>
      </c>
      <c r="I32" s="35">
        <v>7.8</v>
      </c>
      <c r="J32" s="5">
        <v>3.47</v>
      </c>
    </row>
    <row r="35" s="20" customFormat="1" spans="1:11">
      <c r="A35" s="23" t="s">
        <v>32</v>
      </c>
      <c r="B35" s="51" t="s">
        <v>1</v>
      </c>
      <c r="C35" s="52" t="s">
        <v>2</v>
      </c>
      <c r="D35" s="53" t="s">
        <v>3</v>
      </c>
      <c r="E35" s="53" t="s">
        <v>4</v>
      </c>
      <c r="F35" s="54" t="s">
        <v>5</v>
      </c>
      <c r="G35" s="54" t="s">
        <v>6</v>
      </c>
      <c r="H35" s="54" t="s">
        <v>7</v>
      </c>
      <c r="I35" s="55" t="s">
        <v>8</v>
      </c>
      <c r="J35" s="56" t="s">
        <v>9</v>
      </c>
      <c r="K35" s="52" t="s">
        <v>10</v>
      </c>
    </row>
    <row r="36" spans="2:10">
      <c r="B36" s="27">
        <v>301</v>
      </c>
      <c r="C36" s="27">
        <v>21</v>
      </c>
      <c r="D36" s="31" t="s">
        <v>33</v>
      </c>
      <c r="E36" s="27" t="s">
        <v>12</v>
      </c>
      <c r="F36" s="27">
        <v>10.7</v>
      </c>
      <c r="G36" s="27">
        <v>235</v>
      </c>
      <c r="H36" s="27">
        <v>16</v>
      </c>
      <c r="I36" s="35">
        <v>6.8</v>
      </c>
      <c r="J36" s="5">
        <v>3.35</v>
      </c>
    </row>
    <row r="37" spans="2:10">
      <c r="B37" s="27">
        <v>301</v>
      </c>
      <c r="C37" s="27">
        <v>22</v>
      </c>
      <c r="D37" s="27" t="s">
        <v>34</v>
      </c>
      <c r="E37" s="27" t="s">
        <v>12</v>
      </c>
      <c r="F37" s="27">
        <v>21</v>
      </c>
      <c r="G37" s="27">
        <v>220</v>
      </c>
      <c r="H37" s="27">
        <v>5</v>
      </c>
      <c r="I37" s="35">
        <v>7.7</v>
      </c>
      <c r="J37" s="5">
        <v>4.09</v>
      </c>
    </row>
    <row r="38" spans="2:10">
      <c r="B38" s="27">
        <v>301</v>
      </c>
      <c r="C38" s="27">
        <v>23</v>
      </c>
      <c r="D38" s="27" t="s">
        <v>35</v>
      </c>
      <c r="E38" s="27" t="s">
        <v>12</v>
      </c>
      <c r="F38" s="27">
        <v>17</v>
      </c>
      <c r="G38" s="27">
        <v>248</v>
      </c>
      <c r="H38" s="27">
        <v>20</v>
      </c>
      <c r="I38" s="35">
        <v>6.7</v>
      </c>
      <c r="J38" s="5">
        <v>4.01</v>
      </c>
    </row>
    <row r="39" spans="2:10">
      <c r="B39" s="27">
        <v>301</v>
      </c>
      <c r="C39" s="27">
        <v>24</v>
      </c>
      <c r="D39" s="27" t="s">
        <v>36</v>
      </c>
      <c r="E39" s="27" t="s">
        <v>12</v>
      </c>
      <c r="F39" s="27">
        <v>11</v>
      </c>
      <c r="G39" s="27">
        <v>186</v>
      </c>
      <c r="H39" s="27">
        <v>0</v>
      </c>
      <c r="I39" s="35">
        <v>7.6</v>
      </c>
      <c r="J39" s="5">
        <v>4.15</v>
      </c>
    </row>
    <row r="40" spans="2:10">
      <c r="B40" s="27">
        <v>301</v>
      </c>
      <c r="C40" s="27">
        <v>25</v>
      </c>
      <c r="D40" s="27" t="s">
        <v>37</v>
      </c>
      <c r="E40" s="27" t="s">
        <v>12</v>
      </c>
      <c r="F40" s="27">
        <v>12</v>
      </c>
      <c r="G40" s="27">
        <v>172</v>
      </c>
      <c r="H40" s="27">
        <v>1</v>
      </c>
      <c r="I40" s="35">
        <v>8.5</v>
      </c>
      <c r="J40" s="5">
        <v>4.11</v>
      </c>
    </row>
    <row r="41" spans="2:10">
      <c r="B41" s="27">
        <v>301</v>
      </c>
      <c r="C41" s="27">
        <v>26</v>
      </c>
      <c r="D41" s="27" t="s">
        <v>38</v>
      </c>
      <c r="E41" s="27" t="s">
        <v>12</v>
      </c>
      <c r="F41" s="27">
        <v>19</v>
      </c>
      <c r="G41" s="27">
        <v>255</v>
      </c>
      <c r="H41" s="27">
        <v>10</v>
      </c>
      <c r="I41" s="35">
        <v>7.1</v>
      </c>
      <c r="J41" s="5">
        <v>4.02</v>
      </c>
    </row>
    <row r="42" spans="2:10">
      <c r="B42" s="27">
        <v>301</v>
      </c>
      <c r="C42" s="27">
        <v>27</v>
      </c>
      <c r="D42" s="27" t="s">
        <v>39</v>
      </c>
      <c r="E42" s="27" t="s">
        <v>12</v>
      </c>
      <c r="F42" s="27">
        <v>5</v>
      </c>
      <c r="G42" s="27">
        <v>212</v>
      </c>
      <c r="H42" s="27">
        <v>3</v>
      </c>
      <c r="I42" s="35">
        <v>7.2</v>
      </c>
      <c r="J42" s="5">
        <v>4.57</v>
      </c>
    </row>
    <row r="43" spans="2:10">
      <c r="B43" s="27">
        <v>301</v>
      </c>
      <c r="C43" s="27">
        <v>28</v>
      </c>
      <c r="D43" s="27" t="s">
        <v>40</v>
      </c>
      <c r="E43" s="27" t="s">
        <v>12</v>
      </c>
      <c r="F43" s="27">
        <v>18</v>
      </c>
      <c r="G43" s="27">
        <v>225</v>
      </c>
      <c r="H43" s="27">
        <v>3</v>
      </c>
      <c r="I43" s="35">
        <v>7.6</v>
      </c>
      <c r="J43" s="5">
        <v>4.07</v>
      </c>
    </row>
    <row r="44" spans="2:11">
      <c r="B44" s="27">
        <v>301</v>
      </c>
      <c r="C44" s="27">
        <v>29</v>
      </c>
      <c r="D44" s="27" t="s">
        <v>41</v>
      </c>
      <c r="E44" s="27" t="s">
        <v>12</v>
      </c>
      <c r="K44" s="27">
        <v>50</v>
      </c>
    </row>
    <row r="45" spans="2:10">
      <c r="B45" s="27">
        <v>301</v>
      </c>
      <c r="C45" s="27">
        <v>30</v>
      </c>
      <c r="D45" s="27" t="s">
        <v>42</v>
      </c>
      <c r="E45" s="27" t="s">
        <v>12</v>
      </c>
      <c r="F45" s="27">
        <v>10</v>
      </c>
      <c r="G45" s="27">
        <v>225</v>
      </c>
      <c r="H45" s="27">
        <v>1</v>
      </c>
      <c r="I45" s="35">
        <v>7.7</v>
      </c>
      <c r="J45" s="5">
        <v>4.26</v>
      </c>
    </row>
    <row r="46" spans="2:10">
      <c r="B46" s="27">
        <v>301</v>
      </c>
      <c r="C46" s="27">
        <v>31</v>
      </c>
      <c r="D46" s="27" t="s">
        <v>43</v>
      </c>
      <c r="E46" s="27" t="s">
        <v>12</v>
      </c>
      <c r="F46" s="27">
        <v>13</v>
      </c>
      <c r="G46" s="27">
        <v>200</v>
      </c>
      <c r="H46" s="27">
        <v>0</v>
      </c>
      <c r="I46" s="35">
        <v>7.7</v>
      </c>
      <c r="J46" s="5">
        <v>4.26</v>
      </c>
    </row>
    <row r="55" s="20" customFormat="1" spans="1:11">
      <c r="A55" s="23" t="s">
        <v>44</v>
      </c>
      <c r="B55" s="51" t="s">
        <v>1</v>
      </c>
      <c r="C55" s="52" t="s">
        <v>2</v>
      </c>
      <c r="D55" s="53" t="s">
        <v>3</v>
      </c>
      <c r="E55" s="53" t="s">
        <v>4</v>
      </c>
      <c r="F55" s="54" t="s">
        <v>5</v>
      </c>
      <c r="G55" s="54" t="s">
        <v>6</v>
      </c>
      <c r="H55" s="54" t="s">
        <v>7</v>
      </c>
      <c r="I55" s="55" t="s">
        <v>8</v>
      </c>
      <c r="J55" s="56" t="s">
        <v>9</v>
      </c>
      <c r="K55" s="52" t="s">
        <v>10</v>
      </c>
    </row>
    <row r="56" spans="2:10">
      <c r="B56" s="27">
        <v>301</v>
      </c>
      <c r="C56" s="27">
        <v>32</v>
      </c>
      <c r="D56" s="31" t="s">
        <v>45</v>
      </c>
      <c r="E56" s="27" t="s">
        <v>46</v>
      </c>
      <c r="F56" s="27">
        <v>7.3</v>
      </c>
      <c r="G56" s="27">
        <v>155</v>
      </c>
      <c r="H56" s="27">
        <v>24</v>
      </c>
      <c r="I56" s="35">
        <v>8.8</v>
      </c>
      <c r="J56" s="5">
        <v>4.56</v>
      </c>
    </row>
    <row r="57" spans="2:10">
      <c r="B57" s="27">
        <v>301</v>
      </c>
      <c r="C57" s="27">
        <v>34</v>
      </c>
      <c r="D57" s="27" t="s">
        <v>47</v>
      </c>
      <c r="E57" s="27" t="s">
        <v>46</v>
      </c>
      <c r="F57" s="27">
        <v>18</v>
      </c>
      <c r="G57" s="27">
        <v>172</v>
      </c>
      <c r="H57" s="27">
        <v>50</v>
      </c>
      <c r="I57" s="35">
        <v>8.5</v>
      </c>
      <c r="J57" s="5">
        <v>4.09</v>
      </c>
    </row>
    <row r="58" spans="2:10">
      <c r="B58" s="27">
        <v>301</v>
      </c>
      <c r="C58" s="27">
        <v>35</v>
      </c>
      <c r="D58" s="27" t="s">
        <v>48</v>
      </c>
      <c r="E58" s="27" t="s">
        <v>46</v>
      </c>
      <c r="F58" s="27">
        <v>17.5</v>
      </c>
      <c r="G58" s="27">
        <v>158</v>
      </c>
      <c r="H58" s="27">
        <v>53</v>
      </c>
      <c r="I58" s="35">
        <v>8.2</v>
      </c>
      <c r="J58" s="5">
        <v>3.51</v>
      </c>
    </row>
    <row r="59" spans="2:10">
      <c r="B59" s="27">
        <v>301</v>
      </c>
      <c r="C59" s="27">
        <v>36</v>
      </c>
      <c r="D59" s="27" t="s">
        <v>49</v>
      </c>
      <c r="E59" s="27" t="s">
        <v>46</v>
      </c>
      <c r="F59" s="27">
        <v>16.3</v>
      </c>
      <c r="G59" s="27">
        <v>196</v>
      </c>
      <c r="H59" s="27">
        <v>43</v>
      </c>
      <c r="I59" s="35">
        <v>8.5</v>
      </c>
      <c r="J59" s="5">
        <v>4.03</v>
      </c>
    </row>
    <row r="60" spans="2:10">
      <c r="B60" s="27">
        <v>301</v>
      </c>
      <c r="C60" s="27">
        <v>37</v>
      </c>
      <c r="D60" s="27" t="s">
        <v>50</v>
      </c>
      <c r="E60" s="27" t="s">
        <v>46</v>
      </c>
      <c r="F60" s="27">
        <v>21</v>
      </c>
      <c r="G60" s="27">
        <v>195</v>
      </c>
      <c r="H60" s="27">
        <v>48</v>
      </c>
      <c r="I60" s="35">
        <v>8.6</v>
      </c>
      <c r="J60" s="5">
        <v>4.04</v>
      </c>
    </row>
    <row r="61" spans="2:10">
      <c r="B61" s="27">
        <v>301</v>
      </c>
      <c r="C61" s="27">
        <v>38</v>
      </c>
      <c r="D61" s="27" t="s">
        <v>51</v>
      </c>
      <c r="E61" s="27" t="s">
        <v>46</v>
      </c>
      <c r="F61" s="27">
        <v>26.5</v>
      </c>
      <c r="G61" s="27">
        <v>197</v>
      </c>
      <c r="H61" s="27">
        <v>58</v>
      </c>
      <c r="I61" s="35">
        <v>8</v>
      </c>
      <c r="J61" s="5">
        <v>3.18</v>
      </c>
    </row>
    <row r="62" spans="2:10">
      <c r="B62" s="27">
        <v>301</v>
      </c>
      <c r="C62" s="27">
        <v>39</v>
      </c>
      <c r="D62" s="27" t="s">
        <v>52</v>
      </c>
      <c r="E62" s="27" t="s">
        <v>46</v>
      </c>
      <c r="F62" s="27">
        <v>10</v>
      </c>
      <c r="G62" s="27">
        <v>182</v>
      </c>
      <c r="H62" s="27">
        <v>51</v>
      </c>
      <c r="I62" s="35">
        <v>8.3</v>
      </c>
      <c r="J62" s="5">
        <v>4.09</v>
      </c>
    </row>
    <row r="63" spans="2:10">
      <c r="B63" s="27">
        <v>301</v>
      </c>
      <c r="C63" s="27">
        <v>40</v>
      </c>
      <c r="D63" s="27" t="s">
        <v>53</v>
      </c>
      <c r="E63" s="27" t="s">
        <v>46</v>
      </c>
      <c r="F63" s="27">
        <v>20</v>
      </c>
      <c r="G63" s="27">
        <v>192</v>
      </c>
      <c r="H63" s="27">
        <v>42</v>
      </c>
      <c r="I63" s="35">
        <v>8.5</v>
      </c>
      <c r="J63" s="5">
        <v>3.18</v>
      </c>
    </row>
    <row r="64" spans="2:10">
      <c r="B64" s="27">
        <v>301</v>
      </c>
      <c r="C64" s="27">
        <v>41</v>
      </c>
      <c r="D64" s="27" t="s">
        <v>54</v>
      </c>
      <c r="E64" s="27" t="s">
        <v>46</v>
      </c>
      <c r="F64" s="27">
        <v>15</v>
      </c>
      <c r="G64" s="27">
        <v>155</v>
      </c>
      <c r="H64" s="27">
        <v>35</v>
      </c>
      <c r="I64" s="35">
        <v>9</v>
      </c>
      <c r="J64" s="5">
        <v>3.56</v>
      </c>
    </row>
    <row r="65" spans="2:10">
      <c r="B65" s="27">
        <v>301</v>
      </c>
      <c r="C65" s="27">
        <v>42</v>
      </c>
      <c r="D65" s="27" t="s">
        <v>55</v>
      </c>
      <c r="E65" s="27" t="s">
        <v>46</v>
      </c>
      <c r="F65" s="27">
        <v>9.6</v>
      </c>
      <c r="G65" s="27">
        <v>166</v>
      </c>
      <c r="H65" s="27">
        <v>41</v>
      </c>
      <c r="I65" s="35">
        <v>9.3</v>
      </c>
      <c r="J65" s="5">
        <v>4.07</v>
      </c>
    </row>
    <row r="66" spans="2:10">
      <c r="B66" s="27">
        <v>301</v>
      </c>
      <c r="C66" s="27">
        <v>43</v>
      </c>
      <c r="D66" s="27" t="s">
        <v>56</v>
      </c>
      <c r="E66" s="27" t="s">
        <v>46</v>
      </c>
      <c r="F66" s="27">
        <v>19</v>
      </c>
      <c r="G66" s="27">
        <v>185</v>
      </c>
      <c r="H66" s="27">
        <v>38</v>
      </c>
      <c r="I66" s="35">
        <v>9</v>
      </c>
      <c r="J66" s="5">
        <v>4.24</v>
      </c>
    </row>
    <row r="69" s="20" customFormat="1" spans="1:11">
      <c r="A69" s="23" t="s">
        <v>57</v>
      </c>
      <c r="B69" s="51" t="s">
        <v>1</v>
      </c>
      <c r="C69" s="52" t="s">
        <v>2</v>
      </c>
      <c r="D69" s="53" t="s">
        <v>3</v>
      </c>
      <c r="E69" s="53" t="s">
        <v>4</v>
      </c>
      <c r="F69" s="54" t="s">
        <v>5</v>
      </c>
      <c r="G69" s="54" t="s">
        <v>6</v>
      </c>
      <c r="H69" s="54" t="s">
        <v>7</v>
      </c>
      <c r="I69" s="55" t="s">
        <v>8</v>
      </c>
      <c r="J69" s="56" t="s">
        <v>9</v>
      </c>
      <c r="K69" s="52" t="s">
        <v>10</v>
      </c>
    </row>
    <row r="70" spans="2:10">
      <c r="B70" s="27">
        <v>302</v>
      </c>
      <c r="C70" s="27">
        <v>1</v>
      </c>
      <c r="D70" s="31" t="s">
        <v>58</v>
      </c>
      <c r="E70" s="27" t="s">
        <v>12</v>
      </c>
      <c r="F70" s="27">
        <v>-5</v>
      </c>
      <c r="G70" s="27">
        <v>260</v>
      </c>
      <c r="H70" s="27">
        <v>4</v>
      </c>
      <c r="I70" s="35">
        <v>7.4</v>
      </c>
      <c r="J70" s="5">
        <v>4.38</v>
      </c>
    </row>
    <row r="71" spans="2:11">
      <c r="B71" s="27">
        <v>302</v>
      </c>
      <c r="C71" s="27">
        <v>2</v>
      </c>
      <c r="D71" s="27" t="s">
        <v>59</v>
      </c>
      <c r="E71" s="27" t="s">
        <v>12</v>
      </c>
      <c r="K71" s="27">
        <v>50</v>
      </c>
    </row>
    <row r="72" spans="2:10">
      <c r="B72" s="27">
        <v>302</v>
      </c>
      <c r="C72" s="27">
        <v>3</v>
      </c>
      <c r="D72" s="27" t="s">
        <v>60</v>
      </c>
      <c r="E72" s="27" t="s">
        <v>12</v>
      </c>
      <c r="F72" s="27">
        <v>-4.5</v>
      </c>
      <c r="G72" s="27">
        <v>185</v>
      </c>
      <c r="H72" s="27">
        <v>0</v>
      </c>
      <c r="I72" s="35">
        <v>8.8</v>
      </c>
      <c r="J72" s="5">
        <v>4.54</v>
      </c>
    </row>
    <row r="73" spans="2:10">
      <c r="B73" s="27">
        <v>302</v>
      </c>
      <c r="C73" s="27">
        <v>4</v>
      </c>
      <c r="D73" s="27" t="s">
        <v>61</v>
      </c>
      <c r="E73" s="27" t="s">
        <v>12</v>
      </c>
      <c r="F73" s="27">
        <v>6.5</v>
      </c>
      <c r="G73" s="27">
        <v>260</v>
      </c>
      <c r="H73" s="27">
        <v>5</v>
      </c>
      <c r="I73" s="35">
        <v>7.2</v>
      </c>
      <c r="J73" s="5">
        <v>4.21</v>
      </c>
    </row>
    <row r="74" spans="2:10">
      <c r="B74" s="27">
        <v>302</v>
      </c>
      <c r="C74" s="27">
        <v>5</v>
      </c>
      <c r="D74" s="27" t="s">
        <v>62</v>
      </c>
      <c r="E74" s="27" t="s">
        <v>12</v>
      </c>
      <c r="F74" s="27">
        <v>4</v>
      </c>
      <c r="G74" s="27">
        <v>222</v>
      </c>
      <c r="H74" s="27">
        <v>7</v>
      </c>
      <c r="I74" s="35">
        <v>7.5</v>
      </c>
      <c r="J74" s="5">
        <v>4.07</v>
      </c>
    </row>
    <row r="75" spans="2:10">
      <c r="B75" s="27">
        <v>302</v>
      </c>
      <c r="C75" s="27">
        <v>6</v>
      </c>
      <c r="D75" s="27" t="s">
        <v>63</v>
      </c>
      <c r="E75" s="27" t="s">
        <v>12</v>
      </c>
      <c r="F75" s="27">
        <v>12.5</v>
      </c>
      <c r="G75" s="27">
        <v>235</v>
      </c>
      <c r="H75" s="27">
        <v>10</v>
      </c>
      <c r="I75" s="35">
        <v>7.6</v>
      </c>
      <c r="J75" s="5">
        <v>4.21</v>
      </c>
    </row>
    <row r="76" spans="2:10">
      <c r="B76" s="27">
        <v>302</v>
      </c>
      <c r="C76" s="27">
        <v>7</v>
      </c>
      <c r="D76" s="27" t="s">
        <v>64</v>
      </c>
      <c r="E76" s="27" t="s">
        <v>12</v>
      </c>
      <c r="F76" s="27">
        <v>-10</v>
      </c>
      <c r="G76" s="27">
        <v>200</v>
      </c>
      <c r="H76" s="27">
        <v>4</v>
      </c>
      <c r="I76" s="35">
        <v>7.3</v>
      </c>
      <c r="J76" s="5">
        <v>4.2</v>
      </c>
    </row>
    <row r="77" spans="2:10">
      <c r="B77" s="27">
        <v>302</v>
      </c>
      <c r="C77" s="27">
        <v>8</v>
      </c>
      <c r="D77" s="27" t="s">
        <v>65</v>
      </c>
      <c r="E77" s="27" t="s">
        <v>12</v>
      </c>
      <c r="F77" s="27">
        <v>10.5</v>
      </c>
      <c r="G77" s="27">
        <v>238</v>
      </c>
      <c r="H77" s="27">
        <v>4</v>
      </c>
      <c r="I77" s="35">
        <v>7.9</v>
      </c>
      <c r="J77" s="5">
        <v>4.36</v>
      </c>
    </row>
    <row r="78" spans="2:10">
      <c r="B78" s="27">
        <v>302</v>
      </c>
      <c r="C78" s="27">
        <v>9</v>
      </c>
      <c r="D78" s="27" t="s">
        <v>66</v>
      </c>
      <c r="E78" s="27" t="s">
        <v>12</v>
      </c>
      <c r="F78" s="27">
        <v>12</v>
      </c>
      <c r="G78" s="27">
        <v>241</v>
      </c>
      <c r="H78" s="27">
        <v>5</v>
      </c>
      <c r="I78" s="35">
        <v>7.7</v>
      </c>
      <c r="J78" s="5">
        <v>4.11</v>
      </c>
    </row>
    <row r="79" spans="2:10">
      <c r="B79" s="27">
        <v>302</v>
      </c>
      <c r="C79" s="27">
        <v>10</v>
      </c>
      <c r="D79" s="27" t="s">
        <v>67</v>
      </c>
      <c r="E79" s="27" t="s">
        <v>12</v>
      </c>
      <c r="F79" s="27">
        <v>2</v>
      </c>
      <c r="G79" s="27">
        <v>229</v>
      </c>
      <c r="H79" s="27">
        <v>2</v>
      </c>
      <c r="I79" s="35">
        <v>8</v>
      </c>
      <c r="J79" s="5">
        <v>4.15</v>
      </c>
    </row>
    <row r="81" s="20" customFormat="1" spans="1:11">
      <c r="A81" s="23" t="s">
        <v>68</v>
      </c>
      <c r="B81" s="51" t="s">
        <v>1</v>
      </c>
      <c r="C81" s="52" t="s">
        <v>2</v>
      </c>
      <c r="D81" s="53" t="s">
        <v>3</v>
      </c>
      <c r="E81" s="53" t="s">
        <v>4</v>
      </c>
      <c r="F81" s="54" t="s">
        <v>5</v>
      </c>
      <c r="G81" s="54" t="s">
        <v>6</v>
      </c>
      <c r="H81" s="54" t="s">
        <v>7</v>
      </c>
      <c r="I81" s="55" t="s">
        <v>8</v>
      </c>
      <c r="J81" s="56" t="s">
        <v>9</v>
      </c>
      <c r="K81" s="52" t="s">
        <v>10</v>
      </c>
    </row>
    <row r="82" spans="2:10">
      <c r="B82" s="27">
        <v>302</v>
      </c>
      <c r="C82" s="27">
        <v>11</v>
      </c>
      <c r="D82" s="31" t="s">
        <v>69</v>
      </c>
      <c r="E82" s="27" t="s">
        <v>12</v>
      </c>
      <c r="F82" s="27">
        <v>19</v>
      </c>
      <c r="G82" s="27">
        <v>215</v>
      </c>
      <c r="H82" s="27">
        <v>3</v>
      </c>
      <c r="I82" s="35">
        <v>7.5</v>
      </c>
      <c r="J82" s="5">
        <v>4.15</v>
      </c>
    </row>
    <row r="83" spans="2:10">
      <c r="B83" s="27">
        <v>302</v>
      </c>
      <c r="C83" s="27">
        <v>12</v>
      </c>
      <c r="D83" s="27" t="s">
        <v>70</v>
      </c>
      <c r="E83" s="27" t="s">
        <v>12</v>
      </c>
      <c r="F83" s="27">
        <v>9</v>
      </c>
      <c r="G83" s="27">
        <v>220</v>
      </c>
      <c r="H83" s="27">
        <v>5</v>
      </c>
      <c r="I83" s="35">
        <v>10.2</v>
      </c>
      <c r="J83" s="5">
        <v>4.16</v>
      </c>
    </row>
    <row r="84" spans="2:10">
      <c r="B84" s="27">
        <v>302</v>
      </c>
      <c r="C84" s="27">
        <v>13</v>
      </c>
      <c r="D84" s="27" t="s">
        <v>71</v>
      </c>
      <c r="E84" s="27" t="s">
        <v>12</v>
      </c>
      <c r="F84" s="27">
        <v>14.2</v>
      </c>
      <c r="G84" s="27">
        <v>235</v>
      </c>
      <c r="H84" s="27">
        <v>0</v>
      </c>
      <c r="I84" s="35">
        <v>7.4</v>
      </c>
      <c r="J84" s="5">
        <v>5.27</v>
      </c>
    </row>
    <row r="85" spans="2:10">
      <c r="B85" s="27">
        <v>302</v>
      </c>
      <c r="C85" s="27">
        <v>14</v>
      </c>
      <c r="D85" s="27" t="s">
        <v>72</v>
      </c>
      <c r="E85" s="27" t="s">
        <v>12</v>
      </c>
      <c r="F85" s="27">
        <v>7.5</v>
      </c>
      <c r="G85" s="27">
        <v>210</v>
      </c>
      <c r="H85" s="27">
        <v>11</v>
      </c>
      <c r="I85" s="35">
        <v>7.6</v>
      </c>
      <c r="J85" s="5">
        <v>4.26</v>
      </c>
    </row>
    <row r="86" spans="2:10">
      <c r="B86" s="27">
        <v>302</v>
      </c>
      <c r="C86" s="27">
        <v>15</v>
      </c>
      <c r="D86" s="27" t="s">
        <v>73</v>
      </c>
      <c r="E86" s="27" t="s">
        <v>12</v>
      </c>
      <c r="F86" s="27">
        <v>12.3</v>
      </c>
      <c r="G86" s="27">
        <v>227</v>
      </c>
      <c r="H86" s="27">
        <v>2</v>
      </c>
      <c r="I86" s="35">
        <v>7.3</v>
      </c>
      <c r="J86" s="5">
        <v>4.37</v>
      </c>
    </row>
    <row r="87" spans="2:10">
      <c r="B87" s="27">
        <v>302</v>
      </c>
      <c r="C87" s="27">
        <v>16</v>
      </c>
      <c r="D87" s="27" t="s">
        <v>74</v>
      </c>
      <c r="E87" s="27" t="s">
        <v>12</v>
      </c>
      <c r="F87" s="27">
        <v>16</v>
      </c>
      <c r="G87" s="27">
        <v>260</v>
      </c>
      <c r="H87" s="27">
        <v>10</v>
      </c>
      <c r="I87" s="35">
        <v>6.8</v>
      </c>
      <c r="J87" s="5">
        <v>3.47</v>
      </c>
    </row>
    <row r="88" spans="2:10">
      <c r="B88" s="27">
        <v>302</v>
      </c>
      <c r="C88" s="27">
        <v>17</v>
      </c>
      <c r="D88" s="27" t="s">
        <v>75</v>
      </c>
      <c r="E88" s="27" t="s">
        <v>12</v>
      </c>
      <c r="F88" s="27">
        <v>-5</v>
      </c>
      <c r="G88" s="27">
        <v>260</v>
      </c>
      <c r="H88" s="27">
        <v>14</v>
      </c>
      <c r="I88" s="35">
        <v>7.5</v>
      </c>
      <c r="J88" s="5">
        <v>3.38</v>
      </c>
    </row>
    <row r="89" spans="2:10">
      <c r="B89" s="27">
        <v>302</v>
      </c>
      <c r="C89" s="27">
        <v>18</v>
      </c>
      <c r="D89" s="27" t="s">
        <v>76</v>
      </c>
      <c r="E89" s="27" t="s">
        <v>12</v>
      </c>
      <c r="F89" s="27">
        <v>4.5</v>
      </c>
      <c r="G89" s="27">
        <v>210</v>
      </c>
      <c r="H89" s="27">
        <v>0</v>
      </c>
      <c r="I89" s="35">
        <v>7.7</v>
      </c>
      <c r="J89" s="5" t="s">
        <v>77</v>
      </c>
    </row>
    <row r="90" spans="2:10">
      <c r="B90" s="27">
        <v>302</v>
      </c>
      <c r="C90" s="27">
        <v>19</v>
      </c>
      <c r="D90" s="27" t="s">
        <v>78</v>
      </c>
      <c r="E90" s="27" t="s">
        <v>12</v>
      </c>
      <c r="F90" s="27">
        <v>4</v>
      </c>
      <c r="G90" s="27">
        <v>230</v>
      </c>
      <c r="H90" s="27">
        <v>3</v>
      </c>
      <c r="I90" s="35">
        <v>7.1</v>
      </c>
      <c r="J90" s="5">
        <v>5.11</v>
      </c>
    </row>
    <row r="91" spans="2:10">
      <c r="B91" s="27">
        <v>302</v>
      </c>
      <c r="C91" s="27">
        <v>20</v>
      </c>
      <c r="D91" s="27" t="s">
        <v>79</v>
      </c>
      <c r="E91" s="27" t="s">
        <v>12</v>
      </c>
      <c r="F91" s="27">
        <v>14.5</v>
      </c>
      <c r="G91" s="27">
        <v>240</v>
      </c>
      <c r="H91" s="27">
        <v>13</v>
      </c>
      <c r="I91" s="35">
        <v>7.3</v>
      </c>
      <c r="J91" s="5" t="s">
        <v>77</v>
      </c>
    </row>
    <row r="93" s="20" customFormat="1" spans="1:11">
      <c r="A93" s="23" t="s">
        <v>80</v>
      </c>
      <c r="B93" s="51" t="s">
        <v>1</v>
      </c>
      <c r="C93" s="52" t="s">
        <v>2</v>
      </c>
      <c r="D93" s="53" t="s">
        <v>3</v>
      </c>
      <c r="E93" s="53" t="s">
        <v>4</v>
      </c>
      <c r="F93" s="54" t="s">
        <v>5</v>
      </c>
      <c r="G93" s="54" t="s">
        <v>6</v>
      </c>
      <c r="H93" s="54" t="s">
        <v>7</v>
      </c>
      <c r="I93" s="55" t="s">
        <v>8</v>
      </c>
      <c r="J93" s="56" t="s">
        <v>9</v>
      </c>
      <c r="K93" s="52" t="s">
        <v>10</v>
      </c>
    </row>
    <row r="94" spans="2:10">
      <c r="B94" s="27">
        <v>302</v>
      </c>
      <c r="C94" s="27">
        <v>21</v>
      </c>
      <c r="D94" s="31" t="s">
        <v>81</v>
      </c>
      <c r="E94" s="27" t="s">
        <v>12</v>
      </c>
      <c r="F94" s="27">
        <v>24</v>
      </c>
      <c r="G94" s="27">
        <v>265</v>
      </c>
      <c r="H94" s="27">
        <v>7</v>
      </c>
      <c r="I94" s="35">
        <v>6.7</v>
      </c>
      <c r="J94" s="5">
        <v>3.41</v>
      </c>
    </row>
    <row r="95" spans="2:10">
      <c r="B95" s="27">
        <v>302</v>
      </c>
      <c r="C95" s="27">
        <v>22</v>
      </c>
      <c r="D95" s="27" t="s">
        <v>82</v>
      </c>
      <c r="E95" s="27" t="s">
        <v>12</v>
      </c>
      <c r="F95" s="27">
        <v>15</v>
      </c>
      <c r="G95" s="27">
        <v>215</v>
      </c>
      <c r="H95" s="27">
        <v>8</v>
      </c>
      <c r="I95" s="35">
        <v>7.6</v>
      </c>
      <c r="J95" s="5">
        <v>4.42</v>
      </c>
    </row>
    <row r="96" spans="2:10">
      <c r="B96" s="27">
        <v>302</v>
      </c>
      <c r="C96" s="27">
        <v>23</v>
      </c>
      <c r="D96" s="27" t="s">
        <v>83</v>
      </c>
      <c r="E96" s="27" t="s">
        <v>12</v>
      </c>
      <c r="F96" s="27">
        <v>2.5</v>
      </c>
      <c r="G96" s="27">
        <v>225</v>
      </c>
      <c r="H96" s="27">
        <v>1</v>
      </c>
      <c r="I96" s="35">
        <v>7.3</v>
      </c>
      <c r="J96" s="5" t="s">
        <v>77</v>
      </c>
    </row>
    <row r="97" spans="2:10">
      <c r="B97" s="27">
        <v>302</v>
      </c>
      <c r="C97" s="27">
        <v>24</v>
      </c>
      <c r="D97" s="27" t="s">
        <v>84</v>
      </c>
      <c r="E97" s="27" t="s">
        <v>12</v>
      </c>
      <c r="F97" s="27">
        <v>7</v>
      </c>
      <c r="G97" s="27">
        <v>217</v>
      </c>
      <c r="H97" s="27">
        <v>9</v>
      </c>
      <c r="I97" s="35">
        <v>7.4</v>
      </c>
      <c r="J97" s="5">
        <v>4.35</v>
      </c>
    </row>
    <row r="98" spans="2:10">
      <c r="B98" s="27">
        <v>302</v>
      </c>
      <c r="C98" s="27">
        <v>25</v>
      </c>
      <c r="D98" s="27" t="s">
        <v>85</v>
      </c>
      <c r="E98" s="27" t="s">
        <v>12</v>
      </c>
      <c r="F98" s="27">
        <v>-6.5</v>
      </c>
      <c r="G98" s="27">
        <v>200</v>
      </c>
      <c r="H98" s="27">
        <v>11</v>
      </c>
      <c r="I98" s="35">
        <v>8.1</v>
      </c>
      <c r="J98" s="5">
        <v>4.21</v>
      </c>
    </row>
    <row r="99" spans="2:10">
      <c r="B99" s="27">
        <v>302</v>
      </c>
      <c r="C99" s="27">
        <v>26</v>
      </c>
      <c r="D99" s="27" t="s">
        <v>86</v>
      </c>
      <c r="E99" s="27" t="s">
        <v>12</v>
      </c>
      <c r="F99" s="27">
        <v>1</v>
      </c>
      <c r="G99" s="27">
        <v>210</v>
      </c>
      <c r="H99" s="27">
        <v>1</v>
      </c>
      <c r="I99" s="35">
        <v>8.1</v>
      </c>
      <c r="J99" s="5">
        <v>4.16</v>
      </c>
    </row>
    <row r="100" spans="2:10">
      <c r="B100" s="27">
        <v>302</v>
      </c>
      <c r="C100" s="27">
        <v>27</v>
      </c>
      <c r="D100" s="27" t="s">
        <v>87</v>
      </c>
      <c r="E100" s="27" t="s">
        <v>12</v>
      </c>
      <c r="F100" s="27">
        <v>23</v>
      </c>
      <c r="G100" s="27">
        <v>223</v>
      </c>
      <c r="H100" s="27">
        <v>6</v>
      </c>
      <c r="I100" s="35">
        <v>7.5</v>
      </c>
      <c r="J100" s="5">
        <v>4.22</v>
      </c>
    </row>
    <row r="101" spans="2:10">
      <c r="B101" s="27">
        <v>302</v>
      </c>
      <c r="C101" s="27">
        <v>28</v>
      </c>
      <c r="D101" s="27" t="s">
        <v>88</v>
      </c>
      <c r="E101" s="27" t="s">
        <v>12</v>
      </c>
      <c r="F101" s="27">
        <v>15</v>
      </c>
      <c r="G101" s="27">
        <v>200</v>
      </c>
      <c r="H101" s="27">
        <v>1</v>
      </c>
      <c r="I101" s="35">
        <v>8.5</v>
      </c>
      <c r="J101" s="5" t="s">
        <v>77</v>
      </c>
    </row>
    <row r="102" spans="2:10">
      <c r="B102" s="27">
        <v>302</v>
      </c>
      <c r="C102" s="27">
        <v>29</v>
      </c>
      <c r="D102" s="27" t="s">
        <v>89</v>
      </c>
      <c r="E102" s="27" t="s">
        <v>12</v>
      </c>
      <c r="F102" s="27">
        <v>14.5</v>
      </c>
      <c r="G102" s="27">
        <v>230</v>
      </c>
      <c r="H102" s="27">
        <v>4</v>
      </c>
      <c r="I102" s="35">
        <v>9.3</v>
      </c>
      <c r="J102" s="5">
        <v>4.38</v>
      </c>
    </row>
    <row r="103" spans="2:10">
      <c r="B103" s="27">
        <v>302</v>
      </c>
      <c r="C103" s="27">
        <v>30</v>
      </c>
      <c r="D103" s="27" t="s">
        <v>90</v>
      </c>
      <c r="E103" s="27" t="s">
        <v>12</v>
      </c>
      <c r="F103" s="27">
        <v>2</v>
      </c>
      <c r="G103" s="27">
        <v>195</v>
      </c>
      <c r="H103" s="27">
        <v>0</v>
      </c>
      <c r="I103" s="35">
        <v>14.8</v>
      </c>
      <c r="J103" s="5" t="s">
        <v>77</v>
      </c>
    </row>
    <row r="104" spans="7:7">
      <c r="G104" s="19"/>
    </row>
    <row r="105" s="20" customFormat="1" spans="1:11">
      <c r="A105" s="23" t="s">
        <v>91</v>
      </c>
      <c r="B105" s="51" t="s">
        <v>1</v>
      </c>
      <c r="C105" s="52" t="s">
        <v>2</v>
      </c>
      <c r="D105" s="53" t="s">
        <v>3</v>
      </c>
      <c r="E105" s="53" t="s">
        <v>4</v>
      </c>
      <c r="F105" s="54" t="s">
        <v>5</v>
      </c>
      <c r="G105" s="54" t="s">
        <v>6</v>
      </c>
      <c r="H105" s="54" t="s">
        <v>7</v>
      </c>
      <c r="I105" s="55" t="s">
        <v>8</v>
      </c>
      <c r="J105" s="56" t="s">
        <v>9</v>
      </c>
      <c r="K105" s="52" t="s">
        <v>10</v>
      </c>
    </row>
    <row r="106" spans="2:10">
      <c r="B106" s="27">
        <v>302</v>
      </c>
      <c r="C106" s="27">
        <v>31</v>
      </c>
      <c r="D106" s="31" t="s">
        <v>92</v>
      </c>
      <c r="E106" s="27" t="s">
        <v>46</v>
      </c>
      <c r="F106" s="27">
        <v>19</v>
      </c>
      <c r="G106" s="27">
        <v>185</v>
      </c>
      <c r="H106" s="27" t="s">
        <v>77</v>
      </c>
      <c r="I106" s="27" t="s">
        <v>77</v>
      </c>
      <c r="J106" s="27" t="s">
        <v>77</v>
      </c>
    </row>
    <row r="107" spans="2:10">
      <c r="B107" s="27">
        <v>302</v>
      </c>
      <c r="C107" s="27">
        <v>32</v>
      </c>
      <c r="D107" s="27" t="s">
        <v>93</v>
      </c>
      <c r="E107" s="27" t="s">
        <v>46</v>
      </c>
      <c r="F107" s="27">
        <v>17</v>
      </c>
      <c r="G107" s="27">
        <v>185</v>
      </c>
      <c r="H107" s="27">
        <v>46</v>
      </c>
      <c r="I107" s="35">
        <v>8.5</v>
      </c>
      <c r="J107" s="5">
        <v>3.33</v>
      </c>
    </row>
    <row r="108" spans="2:10">
      <c r="B108" s="27">
        <v>302</v>
      </c>
      <c r="C108" s="27">
        <v>33</v>
      </c>
      <c r="D108" s="27" t="s">
        <v>94</v>
      </c>
      <c r="E108" s="27" t="s">
        <v>46</v>
      </c>
      <c r="F108" s="27">
        <v>17</v>
      </c>
      <c r="G108" s="27">
        <v>180</v>
      </c>
      <c r="H108" s="27">
        <v>58</v>
      </c>
      <c r="I108" s="35">
        <v>8.7</v>
      </c>
      <c r="J108" s="5">
        <v>3.36</v>
      </c>
    </row>
    <row r="109" spans="2:10">
      <c r="B109" s="27">
        <v>302</v>
      </c>
      <c r="C109" s="27">
        <v>34</v>
      </c>
      <c r="D109" s="27" t="s">
        <v>95</v>
      </c>
      <c r="E109" s="27" t="s">
        <v>46</v>
      </c>
      <c r="F109" s="27">
        <v>21.3</v>
      </c>
      <c r="G109" s="27">
        <v>185</v>
      </c>
      <c r="H109" s="27" t="s">
        <v>77</v>
      </c>
      <c r="I109" s="27" t="s">
        <v>77</v>
      </c>
      <c r="J109" s="27" t="s">
        <v>77</v>
      </c>
    </row>
    <row r="110" spans="2:10">
      <c r="B110" s="27">
        <v>302</v>
      </c>
      <c r="C110" s="27">
        <v>35</v>
      </c>
      <c r="D110" s="27" t="s">
        <v>96</v>
      </c>
      <c r="E110" s="27" t="s">
        <v>46</v>
      </c>
      <c r="F110" s="27">
        <v>15</v>
      </c>
      <c r="G110" s="27">
        <v>185</v>
      </c>
      <c r="H110" s="27">
        <v>37</v>
      </c>
      <c r="I110" s="35">
        <v>9</v>
      </c>
      <c r="J110" s="5">
        <v>3.57</v>
      </c>
    </row>
    <row r="111" spans="2:10">
      <c r="B111" s="27">
        <v>302</v>
      </c>
      <c r="C111" s="27">
        <v>36</v>
      </c>
      <c r="D111" s="27" t="s">
        <v>97</v>
      </c>
      <c r="E111" s="27" t="s">
        <v>46</v>
      </c>
      <c r="F111" s="27">
        <v>21</v>
      </c>
      <c r="G111" s="27">
        <v>210</v>
      </c>
      <c r="H111" s="27">
        <v>48</v>
      </c>
      <c r="I111" s="35">
        <v>8.3</v>
      </c>
      <c r="J111" s="5">
        <v>3.39</v>
      </c>
    </row>
    <row r="112" spans="2:10">
      <c r="B112" s="27">
        <v>302</v>
      </c>
      <c r="C112" s="27">
        <v>37</v>
      </c>
      <c r="D112" s="27" t="s">
        <v>98</v>
      </c>
      <c r="E112" s="27" t="s">
        <v>46</v>
      </c>
      <c r="F112" s="27">
        <v>18.5</v>
      </c>
      <c r="G112" s="27">
        <v>147</v>
      </c>
      <c r="H112" s="27">
        <v>39</v>
      </c>
      <c r="I112" s="35">
        <v>9.5</v>
      </c>
      <c r="J112" s="5">
        <v>3.54</v>
      </c>
    </row>
    <row r="113" spans="2:10">
      <c r="B113" s="27">
        <v>302</v>
      </c>
      <c r="C113" s="27">
        <v>38</v>
      </c>
      <c r="D113" s="27" t="s">
        <v>99</v>
      </c>
      <c r="E113" s="27" t="s">
        <v>46</v>
      </c>
      <c r="F113" s="27">
        <v>28.5</v>
      </c>
      <c r="G113" s="27">
        <v>195</v>
      </c>
      <c r="H113" s="27">
        <v>48</v>
      </c>
      <c r="I113" s="35">
        <v>8.9</v>
      </c>
      <c r="J113" s="5">
        <v>3.56</v>
      </c>
    </row>
    <row r="114" spans="2:10">
      <c r="B114" s="27">
        <v>302</v>
      </c>
      <c r="C114" s="27">
        <v>39</v>
      </c>
      <c r="D114" s="27" t="s">
        <v>100</v>
      </c>
      <c r="E114" s="27" t="s">
        <v>46</v>
      </c>
      <c r="F114" s="27">
        <v>18.5</v>
      </c>
      <c r="G114" s="27">
        <v>208</v>
      </c>
      <c r="H114" s="27">
        <v>44</v>
      </c>
      <c r="I114" s="35">
        <v>8.6</v>
      </c>
      <c r="J114" s="5">
        <v>3.24</v>
      </c>
    </row>
    <row r="115" spans="2:10">
      <c r="B115" s="27">
        <v>302</v>
      </c>
      <c r="C115" s="27">
        <v>40</v>
      </c>
      <c r="D115" s="27" t="s">
        <v>101</v>
      </c>
      <c r="E115" s="27" t="s">
        <v>46</v>
      </c>
      <c r="F115" s="27">
        <v>15</v>
      </c>
      <c r="G115" s="27">
        <v>175</v>
      </c>
      <c r="H115" s="27">
        <v>34</v>
      </c>
      <c r="I115" s="35">
        <v>9.2</v>
      </c>
      <c r="J115" s="27" t="s">
        <v>77</v>
      </c>
    </row>
    <row r="125" s="20" customFormat="1" spans="1:11">
      <c r="A125" s="23" t="s">
        <v>102</v>
      </c>
      <c r="B125" s="51" t="s">
        <v>1</v>
      </c>
      <c r="C125" s="52" t="s">
        <v>2</v>
      </c>
      <c r="D125" s="53" t="s">
        <v>3</v>
      </c>
      <c r="E125" s="53" t="s">
        <v>4</v>
      </c>
      <c r="F125" s="54" t="s">
        <v>5</v>
      </c>
      <c r="G125" s="54" t="s">
        <v>6</v>
      </c>
      <c r="H125" s="54" t="s">
        <v>7</v>
      </c>
      <c r="I125" s="55" t="s">
        <v>8</v>
      </c>
      <c r="J125" s="56" t="s">
        <v>9</v>
      </c>
      <c r="K125" s="52" t="s">
        <v>10</v>
      </c>
    </row>
    <row r="126" spans="2:10">
      <c r="B126" s="27">
        <v>303</v>
      </c>
      <c r="C126" s="27">
        <v>1</v>
      </c>
      <c r="D126" s="31" t="s">
        <v>103</v>
      </c>
      <c r="E126" s="27" t="s">
        <v>12</v>
      </c>
      <c r="F126" s="27">
        <v>-19</v>
      </c>
      <c r="G126" s="27">
        <v>201</v>
      </c>
      <c r="H126" s="27">
        <v>1</v>
      </c>
      <c r="I126" s="35">
        <v>7.5</v>
      </c>
      <c r="J126" s="5">
        <v>4.26</v>
      </c>
    </row>
    <row r="127" spans="2:10">
      <c r="B127" s="27">
        <v>303</v>
      </c>
      <c r="C127" s="27">
        <v>2</v>
      </c>
      <c r="D127" s="27" t="s">
        <v>104</v>
      </c>
      <c r="E127" s="27" t="s">
        <v>12</v>
      </c>
      <c r="F127" s="27">
        <v>-10.5</v>
      </c>
      <c r="G127" s="27">
        <v>215</v>
      </c>
      <c r="H127" s="27">
        <v>4</v>
      </c>
      <c r="I127" s="35">
        <v>7.6</v>
      </c>
      <c r="J127" s="5">
        <v>4.16</v>
      </c>
    </row>
    <row r="128" spans="2:10">
      <c r="B128" s="27">
        <v>303</v>
      </c>
      <c r="C128" s="27">
        <v>3</v>
      </c>
      <c r="D128" s="27" t="s">
        <v>105</v>
      </c>
      <c r="E128" s="27" t="s">
        <v>12</v>
      </c>
      <c r="F128" s="27">
        <v>5.5</v>
      </c>
      <c r="G128" s="27">
        <v>200</v>
      </c>
      <c r="H128" s="27">
        <v>1</v>
      </c>
      <c r="I128" s="35">
        <v>7.7</v>
      </c>
      <c r="J128" s="5">
        <v>4.12</v>
      </c>
    </row>
    <row r="129" spans="2:10">
      <c r="B129" s="27">
        <v>303</v>
      </c>
      <c r="C129" s="27">
        <v>4</v>
      </c>
      <c r="D129" s="27" t="s">
        <v>106</v>
      </c>
      <c r="E129" s="27" t="s">
        <v>12</v>
      </c>
      <c r="F129" s="27">
        <v>10.3</v>
      </c>
      <c r="G129" s="27">
        <v>227</v>
      </c>
      <c r="H129" s="27">
        <v>0</v>
      </c>
      <c r="I129" s="35">
        <v>7.4</v>
      </c>
      <c r="J129" s="5">
        <v>4.24</v>
      </c>
    </row>
    <row r="130" spans="2:10">
      <c r="B130" s="27">
        <v>303</v>
      </c>
      <c r="C130" s="27">
        <v>5</v>
      </c>
      <c r="D130" s="27" t="s">
        <v>107</v>
      </c>
      <c r="E130" s="27" t="s">
        <v>12</v>
      </c>
      <c r="F130" s="27">
        <v>12</v>
      </c>
      <c r="G130" s="27">
        <v>220</v>
      </c>
      <c r="H130" s="27">
        <v>5</v>
      </c>
      <c r="I130" s="35">
        <v>7.4</v>
      </c>
      <c r="J130" s="5">
        <v>4.08</v>
      </c>
    </row>
    <row r="131" spans="2:10">
      <c r="B131" s="27">
        <v>303</v>
      </c>
      <c r="C131" s="27">
        <v>6</v>
      </c>
      <c r="D131" s="27" t="s">
        <v>108</v>
      </c>
      <c r="E131" s="27" t="s">
        <v>12</v>
      </c>
      <c r="F131" s="27">
        <v>16</v>
      </c>
      <c r="G131" s="27">
        <v>235</v>
      </c>
      <c r="H131" s="27">
        <v>12</v>
      </c>
      <c r="I131" s="35">
        <v>7.1</v>
      </c>
      <c r="J131" s="5">
        <v>4.25</v>
      </c>
    </row>
    <row r="132" spans="2:10">
      <c r="B132" s="27">
        <v>303</v>
      </c>
      <c r="C132" s="27">
        <v>7</v>
      </c>
      <c r="D132" s="27" t="s">
        <v>109</v>
      </c>
      <c r="E132" s="27" t="s">
        <v>12</v>
      </c>
      <c r="F132" s="27">
        <v>17</v>
      </c>
      <c r="G132" s="27">
        <v>265</v>
      </c>
      <c r="H132" s="27">
        <v>15</v>
      </c>
      <c r="I132" s="35">
        <v>6.8</v>
      </c>
      <c r="J132" s="5">
        <v>4</v>
      </c>
    </row>
    <row r="133" spans="2:10">
      <c r="B133" s="27">
        <v>303</v>
      </c>
      <c r="C133" s="27">
        <v>8</v>
      </c>
      <c r="D133" s="27" t="s">
        <v>110</v>
      </c>
      <c r="E133" s="27" t="s">
        <v>12</v>
      </c>
      <c r="F133" s="27">
        <v>6</v>
      </c>
      <c r="G133" s="27">
        <v>230</v>
      </c>
      <c r="H133" s="27">
        <v>2</v>
      </c>
      <c r="I133" s="35">
        <v>7.9</v>
      </c>
      <c r="J133" s="5">
        <v>4.19</v>
      </c>
    </row>
    <row r="134" spans="2:10">
      <c r="B134" s="27">
        <v>303</v>
      </c>
      <c r="C134" s="27">
        <v>9</v>
      </c>
      <c r="D134" s="27" t="s">
        <v>111</v>
      </c>
      <c r="E134" s="27" t="s">
        <v>12</v>
      </c>
      <c r="F134" s="27">
        <v>11.3</v>
      </c>
      <c r="G134" s="27">
        <v>230</v>
      </c>
      <c r="H134" s="27">
        <v>1</v>
      </c>
      <c r="I134" s="35">
        <v>7.4</v>
      </c>
      <c r="J134" s="5">
        <v>4.22</v>
      </c>
    </row>
    <row r="135" spans="2:11">
      <c r="B135" s="27">
        <v>303</v>
      </c>
      <c r="C135" s="27">
        <v>10</v>
      </c>
      <c r="D135" s="27" t="s">
        <v>112</v>
      </c>
      <c r="E135" s="27" t="s">
        <v>12</v>
      </c>
      <c r="K135" s="27">
        <v>50</v>
      </c>
    </row>
    <row r="136" spans="2:10">
      <c r="B136" s="27">
        <v>303</v>
      </c>
      <c r="C136" s="27">
        <v>11</v>
      </c>
      <c r="D136" s="27" t="s">
        <v>113</v>
      </c>
      <c r="E136" s="27" t="s">
        <v>12</v>
      </c>
      <c r="F136" s="27">
        <v>12.5</v>
      </c>
      <c r="G136" s="27">
        <v>270</v>
      </c>
      <c r="H136" s="27">
        <v>5</v>
      </c>
      <c r="I136" s="35">
        <v>7.2</v>
      </c>
      <c r="J136" s="5">
        <v>4.1</v>
      </c>
    </row>
    <row r="139" s="20" customFormat="1" spans="1:11">
      <c r="A139" s="23" t="s">
        <v>114</v>
      </c>
      <c r="B139" s="51" t="s">
        <v>1</v>
      </c>
      <c r="C139" s="52" t="s">
        <v>2</v>
      </c>
      <c r="D139" s="53" t="s">
        <v>3</v>
      </c>
      <c r="E139" s="53" t="s">
        <v>4</v>
      </c>
      <c r="F139" s="54" t="s">
        <v>5</v>
      </c>
      <c r="G139" s="54" t="s">
        <v>6</v>
      </c>
      <c r="H139" s="54" t="s">
        <v>7</v>
      </c>
      <c r="I139" s="55" t="s">
        <v>8</v>
      </c>
      <c r="J139" s="56" t="s">
        <v>9</v>
      </c>
      <c r="K139" s="52" t="s">
        <v>10</v>
      </c>
    </row>
    <row r="140" spans="2:10">
      <c r="B140" s="27">
        <v>303</v>
      </c>
      <c r="C140" s="27">
        <v>12</v>
      </c>
      <c r="D140" s="31" t="s">
        <v>115</v>
      </c>
      <c r="E140" s="27" t="s">
        <v>12</v>
      </c>
      <c r="F140" s="27">
        <v>9.5</v>
      </c>
      <c r="G140" s="27">
        <v>200</v>
      </c>
      <c r="H140" s="27">
        <v>10</v>
      </c>
      <c r="I140" s="35">
        <v>7.5</v>
      </c>
      <c r="J140" s="5">
        <v>4.13</v>
      </c>
    </row>
    <row r="141" spans="2:10">
      <c r="B141" s="27">
        <v>303</v>
      </c>
      <c r="C141" s="27">
        <v>13</v>
      </c>
      <c r="D141" s="27" t="s">
        <v>116</v>
      </c>
      <c r="E141" s="27" t="s">
        <v>12</v>
      </c>
      <c r="F141" s="27">
        <v>7</v>
      </c>
      <c r="G141" s="27">
        <v>190</v>
      </c>
      <c r="H141" s="27">
        <v>18</v>
      </c>
      <c r="I141" s="35">
        <v>7.3</v>
      </c>
      <c r="J141" s="5">
        <v>3.58</v>
      </c>
    </row>
    <row r="142" spans="2:10">
      <c r="B142" s="27">
        <v>303</v>
      </c>
      <c r="C142" s="27">
        <v>14</v>
      </c>
      <c r="D142" s="27" t="s">
        <v>117</v>
      </c>
      <c r="E142" s="27" t="s">
        <v>12</v>
      </c>
      <c r="F142" s="27">
        <v>5</v>
      </c>
      <c r="G142" s="27">
        <v>185</v>
      </c>
      <c r="H142" s="27">
        <v>3</v>
      </c>
      <c r="I142" s="35">
        <v>7.9</v>
      </c>
      <c r="J142" s="5">
        <v>4.17</v>
      </c>
    </row>
    <row r="143" spans="2:10">
      <c r="B143" s="27">
        <v>303</v>
      </c>
      <c r="C143" s="27">
        <v>15</v>
      </c>
      <c r="D143" s="27" t="s">
        <v>118</v>
      </c>
      <c r="E143" s="27" t="s">
        <v>12</v>
      </c>
      <c r="F143" s="27">
        <v>11.5</v>
      </c>
      <c r="G143" s="27">
        <v>235</v>
      </c>
      <c r="H143" s="27">
        <v>1</v>
      </c>
      <c r="I143" s="35">
        <v>7.9</v>
      </c>
      <c r="J143" s="5">
        <v>4.49</v>
      </c>
    </row>
    <row r="144" spans="2:10">
      <c r="B144" s="27">
        <v>303</v>
      </c>
      <c r="C144" s="27">
        <v>16</v>
      </c>
      <c r="D144" s="27" t="s">
        <v>119</v>
      </c>
      <c r="E144" s="27" t="s">
        <v>12</v>
      </c>
      <c r="F144" s="27">
        <v>8.5</v>
      </c>
      <c r="G144" s="27">
        <v>225</v>
      </c>
      <c r="H144" s="27">
        <v>1</v>
      </c>
      <c r="I144" s="35">
        <v>7.5</v>
      </c>
      <c r="J144" s="5">
        <v>4.06</v>
      </c>
    </row>
    <row r="145" spans="2:11">
      <c r="B145" s="27">
        <v>303</v>
      </c>
      <c r="C145" s="27">
        <v>17</v>
      </c>
      <c r="D145" s="27" t="s">
        <v>120</v>
      </c>
      <c r="E145" s="27" t="s">
        <v>12</v>
      </c>
      <c r="K145" s="27">
        <v>50</v>
      </c>
    </row>
    <row r="146" spans="2:11">
      <c r="B146" s="27">
        <v>303</v>
      </c>
      <c r="C146" s="27">
        <v>18</v>
      </c>
      <c r="D146" s="27" t="s">
        <v>121</v>
      </c>
      <c r="E146" s="27" t="s">
        <v>12</v>
      </c>
      <c r="K146" s="27">
        <v>50</v>
      </c>
    </row>
    <row r="147" spans="2:11">
      <c r="B147" s="27">
        <v>303</v>
      </c>
      <c r="C147" s="27">
        <v>19</v>
      </c>
      <c r="D147" s="27" t="s">
        <v>122</v>
      </c>
      <c r="E147" s="27" t="s">
        <v>12</v>
      </c>
      <c r="K147" s="27">
        <v>50</v>
      </c>
    </row>
    <row r="148" spans="2:11">
      <c r="B148" s="27">
        <v>303</v>
      </c>
      <c r="C148" s="27">
        <v>20</v>
      </c>
      <c r="D148" s="27" t="s">
        <v>123</v>
      </c>
      <c r="E148" s="27" t="s">
        <v>12</v>
      </c>
      <c r="K148" s="27">
        <v>50</v>
      </c>
    </row>
    <row r="149" spans="2:10">
      <c r="B149" s="27">
        <v>303</v>
      </c>
      <c r="C149" s="27">
        <v>21</v>
      </c>
      <c r="D149" s="27" t="s">
        <v>124</v>
      </c>
      <c r="E149" s="27" t="s">
        <v>12</v>
      </c>
      <c r="F149" s="27">
        <v>2</v>
      </c>
      <c r="G149" s="27">
        <v>224</v>
      </c>
      <c r="H149" s="27">
        <v>5</v>
      </c>
      <c r="I149" s="35">
        <v>7.7</v>
      </c>
      <c r="J149" s="5">
        <v>3.59</v>
      </c>
    </row>
    <row r="150" spans="2:10">
      <c r="B150" s="27">
        <v>303</v>
      </c>
      <c r="C150" s="27">
        <v>23</v>
      </c>
      <c r="D150" s="27" t="s">
        <v>125</v>
      </c>
      <c r="E150" s="27" t="s">
        <v>12</v>
      </c>
      <c r="F150" s="27">
        <v>16.5</v>
      </c>
      <c r="G150" s="27">
        <v>265</v>
      </c>
      <c r="H150" s="27">
        <v>18</v>
      </c>
      <c r="I150" s="35">
        <v>7.1</v>
      </c>
      <c r="J150" s="5">
        <v>3.58</v>
      </c>
    </row>
    <row r="159" s="20" customFormat="1" spans="1:11">
      <c r="A159" s="23" t="s">
        <v>126</v>
      </c>
      <c r="B159" s="51" t="s">
        <v>1</v>
      </c>
      <c r="C159" s="52" t="s">
        <v>2</v>
      </c>
      <c r="D159" s="53" t="s">
        <v>3</v>
      </c>
      <c r="E159" s="53" t="s">
        <v>4</v>
      </c>
      <c r="F159" s="54" t="s">
        <v>5</v>
      </c>
      <c r="G159" s="54" t="s">
        <v>6</v>
      </c>
      <c r="H159" s="54" t="s">
        <v>7</v>
      </c>
      <c r="I159" s="55" t="s">
        <v>8</v>
      </c>
      <c r="J159" s="56" t="s">
        <v>9</v>
      </c>
      <c r="K159" s="52" t="s">
        <v>10</v>
      </c>
    </row>
    <row r="160" spans="2:10">
      <c r="B160" s="27">
        <v>303</v>
      </c>
      <c r="C160" s="27">
        <v>24</v>
      </c>
      <c r="D160" s="31" t="s">
        <v>127</v>
      </c>
      <c r="E160" s="27" t="s">
        <v>12</v>
      </c>
      <c r="F160" s="27">
        <v>8</v>
      </c>
      <c r="G160" s="27">
        <v>230</v>
      </c>
      <c r="H160" s="27">
        <v>3</v>
      </c>
      <c r="I160" s="35">
        <v>7.6</v>
      </c>
      <c r="J160" s="5">
        <v>4.27</v>
      </c>
    </row>
    <row r="161" spans="2:10">
      <c r="B161" s="27">
        <v>303</v>
      </c>
      <c r="C161" s="27">
        <v>25</v>
      </c>
      <c r="D161" s="27" t="s">
        <v>128</v>
      </c>
      <c r="E161" s="27" t="s">
        <v>12</v>
      </c>
      <c r="F161" s="27">
        <v>5</v>
      </c>
      <c r="G161" s="27">
        <v>220</v>
      </c>
      <c r="H161" s="27">
        <v>3</v>
      </c>
      <c r="I161" s="35">
        <v>8</v>
      </c>
      <c r="J161" s="5">
        <v>3.57</v>
      </c>
    </row>
    <row r="162" spans="2:10">
      <c r="B162" s="27">
        <v>303</v>
      </c>
      <c r="C162" s="27">
        <v>27</v>
      </c>
      <c r="D162" s="27" t="s">
        <v>129</v>
      </c>
      <c r="E162" s="27" t="s">
        <v>12</v>
      </c>
      <c r="F162" s="27">
        <v>10</v>
      </c>
      <c r="G162" s="27">
        <v>215</v>
      </c>
      <c r="H162" s="27">
        <v>9</v>
      </c>
      <c r="I162" s="35">
        <v>7.9</v>
      </c>
      <c r="J162" s="5">
        <v>4.45</v>
      </c>
    </row>
    <row r="163" spans="2:10">
      <c r="B163" s="27">
        <v>303</v>
      </c>
      <c r="C163" s="27">
        <v>28</v>
      </c>
      <c r="D163" s="27" t="s">
        <v>130</v>
      </c>
      <c r="E163" s="27" t="s">
        <v>12</v>
      </c>
      <c r="F163" s="27">
        <v>6.5</v>
      </c>
      <c r="G163" s="27">
        <v>220</v>
      </c>
      <c r="H163" s="27">
        <v>2</v>
      </c>
      <c r="I163" s="35">
        <v>7.6</v>
      </c>
      <c r="J163" s="5">
        <v>4.14</v>
      </c>
    </row>
    <row r="164" spans="2:10">
      <c r="B164" s="27">
        <v>303</v>
      </c>
      <c r="C164" s="27">
        <v>29</v>
      </c>
      <c r="D164" s="27" t="s">
        <v>131</v>
      </c>
      <c r="E164" s="27" t="s">
        <v>12</v>
      </c>
      <c r="F164" s="27">
        <v>14</v>
      </c>
      <c r="G164" s="27">
        <v>242</v>
      </c>
      <c r="H164" s="27">
        <v>0</v>
      </c>
      <c r="I164" s="35">
        <v>7.3</v>
      </c>
      <c r="J164" s="5">
        <v>4.28</v>
      </c>
    </row>
    <row r="165" spans="2:11">
      <c r="B165" s="27">
        <v>303</v>
      </c>
      <c r="C165" s="27">
        <v>30</v>
      </c>
      <c r="D165" s="27" t="s">
        <v>132</v>
      </c>
      <c r="E165" s="27" t="s">
        <v>12</v>
      </c>
      <c r="K165" s="27">
        <v>50</v>
      </c>
    </row>
    <row r="166" spans="2:10">
      <c r="B166" s="27">
        <v>303</v>
      </c>
      <c r="C166" s="27">
        <v>31</v>
      </c>
      <c r="D166" s="27" t="s">
        <v>133</v>
      </c>
      <c r="E166" s="27" t="s">
        <v>12</v>
      </c>
      <c r="F166" s="27">
        <v>9.5</v>
      </c>
      <c r="G166" s="27">
        <v>200</v>
      </c>
      <c r="H166" s="27">
        <v>0</v>
      </c>
      <c r="I166" s="35">
        <v>7.3</v>
      </c>
      <c r="J166" s="5">
        <v>4.01</v>
      </c>
    </row>
    <row r="167" spans="2:10">
      <c r="B167" s="27">
        <v>303</v>
      </c>
      <c r="C167" s="27">
        <v>32</v>
      </c>
      <c r="D167" s="27" t="s">
        <v>134</v>
      </c>
      <c r="E167" s="27" t="s">
        <v>12</v>
      </c>
      <c r="F167" s="27">
        <v>17</v>
      </c>
      <c r="G167" s="27">
        <v>205</v>
      </c>
      <c r="H167" s="27">
        <v>7</v>
      </c>
      <c r="I167" s="35">
        <v>7.8</v>
      </c>
      <c r="J167" s="5">
        <v>3.59</v>
      </c>
    </row>
    <row r="168" spans="2:10">
      <c r="B168" s="27">
        <v>303</v>
      </c>
      <c r="C168" s="27">
        <v>33</v>
      </c>
      <c r="D168" s="27" t="s">
        <v>135</v>
      </c>
      <c r="E168" s="27" t="s">
        <v>12</v>
      </c>
      <c r="F168" s="27">
        <v>24</v>
      </c>
      <c r="G168" s="27">
        <v>260</v>
      </c>
      <c r="H168" s="27">
        <v>12</v>
      </c>
      <c r="I168" s="35">
        <v>7</v>
      </c>
      <c r="J168" s="5">
        <v>3.4</v>
      </c>
    </row>
    <row r="169" spans="2:10">
      <c r="B169" s="27">
        <v>303</v>
      </c>
      <c r="C169" s="27">
        <v>34</v>
      </c>
      <c r="D169" s="27" t="s">
        <v>136</v>
      </c>
      <c r="E169" s="27" t="s">
        <v>12</v>
      </c>
      <c r="F169" s="27">
        <v>4.5</v>
      </c>
      <c r="G169" s="27">
        <v>220</v>
      </c>
      <c r="H169" s="27">
        <v>0</v>
      </c>
      <c r="I169" s="35">
        <v>8.4</v>
      </c>
      <c r="J169" s="5">
        <v>5</v>
      </c>
    </row>
    <row r="170" spans="2:11">
      <c r="B170" s="27">
        <v>303</v>
      </c>
      <c r="C170" s="27">
        <v>35</v>
      </c>
      <c r="D170" s="27" t="s">
        <v>137</v>
      </c>
      <c r="E170" s="27" t="s">
        <v>12</v>
      </c>
      <c r="K170" s="27">
        <v>50</v>
      </c>
    </row>
    <row r="172" s="20" customFormat="1" spans="1:11">
      <c r="A172" s="23" t="s">
        <v>138</v>
      </c>
      <c r="B172" s="51" t="s">
        <v>1</v>
      </c>
      <c r="C172" s="52" t="s">
        <v>2</v>
      </c>
      <c r="D172" s="53" t="s">
        <v>3</v>
      </c>
      <c r="E172" s="53" t="s">
        <v>4</v>
      </c>
      <c r="F172" s="54" t="s">
        <v>5</v>
      </c>
      <c r="G172" s="54" t="s">
        <v>6</v>
      </c>
      <c r="H172" s="54" t="s">
        <v>7</v>
      </c>
      <c r="I172" s="55" t="s">
        <v>8</v>
      </c>
      <c r="J172" s="56" t="s">
        <v>9</v>
      </c>
      <c r="K172" s="52" t="s">
        <v>10</v>
      </c>
    </row>
    <row r="173" spans="2:10">
      <c r="B173" s="27">
        <v>303</v>
      </c>
      <c r="C173" s="27">
        <v>36</v>
      </c>
      <c r="D173" s="31" t="s">
        <v>139</v>
      </c>
      <c r="E173" s="27" t="s">
        <v>46</v>
      </c>
      <c r="F173" s="27">
        <v>21.5</v>
      </c>
      <c r="G173" s="27">
        <v>190</v>
      </c>
      <c r="H173" s="27">
        <v>42</v>
      </c>
      <c r="I173" s="35">
        <v>8.4</v>
      </c>
      <c r="J173" s="5">
        <v>4.06</v>
      </c>
    </row>
    <row r="174" spans="2:10">
      <c r="B174" s="27">
        <v>303</v>
      </c>
      <c r="C174" s="27">
        <v>37</v>
      </c>
      <c r="D174" s="27" t="s">
        <v>140</v>
      </c>
      <c r="E174" s="27" t="s">
        <v>46</v>
      </c>
      <c r="F174" s="27">
        <v>16.5</v>
      </c>
      <c r="G174" s="27">
        <v>180</v>
      </c>
      <c r="H174" s="27">
        <v>55</v>
      </c>
      <c r="I174" s="35">
        <v>9.1</v>
      </c>
      <c r="J174" s="5">
        <v>3.51</v>
      </c>
    </row>
    <row r="175" spans="2:10">
      <c r="B175" s="27">
        <v>303</v>
      </c>
      <c r="C175" s="27">
        <v>38</v>
      </c>
      <c r="D175" s="27" t="s">
        <v>141</v>
      </c>
      <c r="E175" s="27" t="s">
        <v>46</v>
      </c>
      <c r="F175" s="27">
        <v>10.5</v>
      </c>
      <c r="G175" s="27">
        <v>176</v>
      </c>
      <c r="H175" s="27">
        <v>52</v>
      </c>
      <c r="I175" s="35">
        <v>8.2</v>
      </c>
      <c r="J175" s="5" t="s">
        <v>77</v>
      </c>
    </row>
    <row r="176" spans="2:10">
      <c r="B176" s="27">
        <v>303</v>
      </c>
      <c r="C176" s="27">
        <v>39</v>
      </c>
      <c r="D176" s="27" t="s">
        <v>142</v>
      </c>
      <c r="E176" s="27" t="s">
        <v>46</v>
      </c>
      <c r="F176" s="27">
        <v>17.5</v>
      </c>
      <c r="G176" s="27">
        <v>168</v>
      </c>
      <c r="H176" s="27">
        <v>50</v>
      </c>
      <c r="I176" s="35">
        <v>8.8</v>
      </c>
      <c r="J176" s="5">
        <v>4.44</v>
      </c>
    </row>
    <row r="177" spans="2:10">
      <c r="B177" s="27">
        <v>303</v>
      </c>
      <c r="C177" s="27">
        <v>40</v>
      </c>
      <c r="D177" s="27" t="s">
        <v>143</v>
      </c>
      <c r="E177" s="27" t="s">
        <v>46</v>
      </c>
      <c r="F177" s="27">
        <v>21</v>
      </c>
      <c r="G177" s="27">
        <v>177</v>
      </c>
      <c r="H177" s="27">
        <v>53</v>
      </c>
      <c r="I177" s="35">
        <v>8.8</v>
      </c>
      <c r="J177" s="5">
        <v>3.32</v>
      </c>
    </row>
    <row r="178" spans="2:11">
      <c r="B178" s="27">
        <v>303</v>
      </c>
      <c r="C178" s="27">
        <v>41</v>
      </c>
      <c r="D178" s="27" t="s">
        <v>144</v>
      </c>
      <c r="E178" s="27" t="s">
        <v>46</v>
      </c>
      <c r="K178" s="27">
        <v>50</v>
      </c>
    </row>
    <row r="179" spans="2:10">
      <c r="B179" s="27">
        <v>303</v>
      </c>
      <c r="C179" s="27">
        <v>42</v>
      </c>
      <c r="D179" s="27" t="s">
        <v>145</v>
      </c>
      <c r="E179" s="27" t="s">
        <v>46</v>
      </c>
      <c r="F179" s="27">
        <v>19</v>
      </c>
      <c r="G179" s="27">
        <v>190</v>
      </c>
      <c r="H179" s="27">
        <v>46</v>
      </c>
      <c r="I179" s="35">
        <v>9.4</v>
      </c>
      <c r="J179" s="5">
        <v>4.19</v>
      </c>
    </row>
    <row r="180" spans="2:10">
      <c r="B180" s="27">
        <v>303</v>
      </c>
      <c r="C180" s="27">
        <v>44</v>
      </c>
      <c r="D180" s="27" t="s">
        <v>146</v>
      </c>
      <c r="E180" s="27" t="s">
        <v>46</v>
      </c>
      <c r="F180" s="27">
        <v>14</v>
      </c>
      <c r="G180" s="27">
        <v>160</v>
      </c>
      <c r="H180" s="27">
        <v>36</v>
      </c>
      <c r="I180" s="35">
        <v>9</v>
      </c>
      <c r="J180" s="5">
        <v>4.44</v>
      </c>
    </row>
    <row r="193" s="20" customFormat="1" spans="1:11">
      <c r="A193" s="23" t="s">
        <v>147</v>
      </c>
      <c r="B193" s="51" t="s">
        <v>1</v>
      </c>
      <c r="C193" s="52" t="s">
        <v>2</v>
      </c>
      <c r="D193" s="53" t="s">
        <v>3</v>
      </c>
      <c r="E193" s="53" t="s">
        <v>4</v>
      </c>
      <c r="F193" s="54" t="s">
        <v>5</v>
      </c>
      <c r="G193" s="54" t="s">
        <v>6</v>
      </c>
      <c r="H193" s="54" t="s">
        <v>7</v>
      </c>
      <c r="I193" s="55" t="s">
        <v>8</v>
      </c>
      <c r="J193" s="56" t="s">
        <v>9</v>
      </c>
      <c r="K193" s="52" t="s">
        <v>10</v>
      </c>
    </row>
    <row r="194" spans="2:11">
      <c r="B194" s="27">
        <v>304</v>
      </c>
      <c r="C194" s="27">
        <v>1</v>
      </c>
      <c r="D194" s="31" t="s">
        <v>148</v>
      </c>
      <c r="E194" s="27" t="s">
        <v>12</v>
      </c>
      <c r="K194" s="27">
        <v>50</v>
      </c>
    </row>
    <row r="195" spans="2:10">
      <c r="B195" s="27">
        <v>304</v>
      </c>
      <c r="C195" s="27">
        <v>2</v>
      </c>
      <c r="D195" s="27" t="s">
        <v>149</v>
      </c>
      <c r="E195" s="27" t="s">
        <v>12</v>
      </c>
      <c r="F195" s="27">
        <v>0.5</v>
      </c>
      <c r="G195" s="27">
        <v>184</v>
      </c>
      <c r="H195" s="27">
        <v>0</v>
      </c>
      <c r="I195" s="35">
        <v>8.1</v>
      </c>
      <c r="J195" s="5" t="s">
        <v>77</v>
      </c>
    </row>
    <row r="196" spans="2:10">
      <c r="B196" s="27">
        <v>304</v>
      </c>
      <c r="C196" s="27">
        <v>3</v>
      </c>
      <c r="D196" s="27" t="s">
        <v>150</v>
      </c>
      <c r="E196" s="27" t="s">
        <v>12</v>
      </c>
      <c r="F196" s="27">
        <v>27</v>
      </c>
      <c r="G196" s="27">
        <v>248</v>
      </c>
      <c r="H196" s="27">
        <v>4</v>
      </c>
      <c r="I196" s="35">
        <v>7.1</v>
      </c>
      <c r="J196" s="5">
        <v>3.54</v>
      </c>
    </row>
    <row r="197" spans="2:10">
      <c r="B197" s="27">
        <v>304</v>
      </c>
      <c r="C197" s="27">
        <v>4</v>
      </c>
      <c r="D197" s="27" t="s">
        <v>151</v>
      </c>
      <c r="E197" s="27" t="s">
        <v>12</v>
      </c>
      <c r="F197" s="27">
        <v>11</v>
      </c>
      <c r="G197" s="27">
        <v>231</v>
      </c>
      <c r="H197" s="27">
        <v>0</v>
      </c>
      <c r="I197" s="35">
        <v>7.5</v>
      </c>
      <c r="J197" s="5">
        <v>3.57</v>
      </c>
    </row>
    <row r="198" spans="2:11">
      <c r="B198" s="27">
        <v>304</v>
      </c>
      <c r="C198" s="27">
        <v>5</v>
      </c>
      <c r="D198" s="27" t="s">
        <v>152</v>
      </c>
      <c r="E198" s="27" t="s">
        <v>12</v>
      </c>
      <c r="K198" s="27">
        <v>50</v>
      </c>
    </row>
    <row r="199" spans="2:11">
      <c r="B199" s="27">
        <v>304</v>
      </c>
      <c r="C199" s="27">
        <v>6</v>
      </c>
      <c r="D199" s="27" t="s">
        <v>153</v>
      </c>
      <c r="E199" s="27" t="s">
        <v>12</v>
      </c>
      <c r="K199" s="27">
        <v>50</v>
      </c>
    </row>
    <row r="200" spans="2:10">
      <c r="B200" s="27">
        <v>304</v>
      </c>
      <c r="C200" s="27">
        <v>7</v>
      </c>
      <c r="D200" s="27" t="s">
        <v>154</v>
      </c>
      <c r="E200" s="27" t="s">
        <v>12</v>
      </c>
      <c r="F200" s="27">
        <v>16</v>
      </c>
      <c r="G200" s="27">
        <v>240</v>
      </c>
      <c r="H200" s="27">
        <v>4</v>
      </c>
      <c r="I200" s="35">
        <v>7.2</v>
      </c>
      <c r="J200" s="5">
        <v>3.56</v>
      </c>
    </row>
    <row r="201" spans="2:11">
      <c r="B201" s="27">
        <v>304</v>
      </c>
      <c r="C201" s="27">
        <v>8</v>
      </c>
      <c r="D201" s="27" t="s">
        <v>155</v>
      </c>
      <c r="E201" s="27" t="s">
        <v>12</v>
      </c>
      <c r="K201" s="27">
        <v>50</v>
      </c>
    </row>
    <row r="202" spans="2:10">
      <c r="B202" s="27">
        <v>304</v>
      </c>
      <c r="C202" s="27">
        <v>9</v>
      </c>
      <c r="D202" s="27" t="s">
        <v>156</v>
      </c>
      <c r="E202" s="27" t="s">
        <v>12</v>
      </c>
      <c r="F202" s="27">
        <v>5</v>
      </c>
      <c r="G202" s="27">
        <v>283</v>
      </c>
      <c r="H202" s="27">
        <v>20</v>
      </c>
      <c r="I202" s="35">
        <v>6.9</v>
      </c>
      <c r="J202" s="5">
        <v>3.18</v>
      </c>
    </row>
    <row r="203" spans="2:11">
      <c r="B203" s="27">
        <v>304</v>
      </c>
      <c r="C203" s="27">
        <v>10</v>
      </c>
      <c r="D203" s="27" t="s">
        <v>157</v>
      </c>
      <c r="E203" s="27" t="s">
        <v>12</v>
      </c>
      <c r="K203" s="27">
        <v>50</v>
      </c>
    </row>
    <row r="204" spans="2:11">
      <c r="B204" s="27">
        <v>304</v>
      </c>
      <c r="C204" s="27">
        <v>11</v>
      </c>
      <c r="D204" s="27" t="s">
        <v>158</v>
      </c>
      <c r="E204" s="27" t="s">
        <v>12</v>
      </c>
      <c r="K204" s="27">
        <v>50</v>
      </c>
    </row>
    <row r="206" s="20" customFormat="1" spans="1:11">
      <c r="A206" s="23" t="s">
        <v>159</v>
      </c>
      <c r="B206" s="51" t="s">
        <v>1</v>
      </c>
      <c r="C206" s="52" t="s">
        <v>2</v>
      </c>
      <c r="D206" s="53" t="s">
        <v>3</v>
      </c>
      <c r="E206" s="53" t="s">
        <v>4</v>
      </c>
      <c r="F206" s="54" t="s">
        <v>5</v>
      </c>
      <c r="G206" s="54" t="s">
        <v>6</v>
      </c>
      <c r="H206" s="54" t="s">
        <v>7</v>
      </c>
      <c r="I206" s="55" t="s">
        <v>8</v>
      </c>
      <c r="J206" s="56" t="s">
        <v>9</v>
      </c>
      <c r="K206" s="52" t="s">
        <v>10</v>
      </c>
    </row>
    <row r="207" spans="2:10">
      <c r="B207" s="27">
        <v>304</v>
      </c>
      <c r="C207" s="27">
        <v>12</v>
      </c>
      <c r="D207" s="31" t="s">
        <v>160</v>
      </c>
      <c r="E207" s="27" t="s">
        <v>12</v>
      </c>
      <c r="F207" s="27">
        <v>7.5</v>
      </c>
      <c r="G207" s="27">
        <v>238</v>
      </c>
      <c r="H207" s="27">
        <v>17</v>
      </c>
      <c r="I207" s="35">
        <v>7.4</v>
      </c>
      <c r="J207" s="5">
        <v>4.5</v>
      </c>
    </row>
    <row r="208" spans="2:11">
      <c r="B208" s="27">
        <v>304</v>
      </c>
      <c r="C208" s="27">
        <v>13</v>
      </c>
      <c r="D208" s="27" t="s">
        <v>161</v>
      </c>
      <c r="E208" s="27" t="s">
        <v>12</v>
      </c>
      <c r="K208" s="27">
        <v>50</v>
      </c>
    </row>
    <row r="209" spans="2:10">
      <c r="B209" s="27">
        <v>304</v>
      </c>
      <c r="C209" s="27">
        <v>14</v>
      </c>
      <c r="D209" s="27" t="s">
        <v>162</v>
      </c>
      <c r="E209" s="27" t="s">
        <v>12</v>
      </c>
      <c r="F209" s="27">
        <v>-2</v>
      </c>
      <c r="G209" s="27">
        <v>190</v>
      </c>
      <c r="H209" s="27">
        <v>1</v>
      </c>
      <c r="I209" s="35">
        <v>8.1</v>
      </c>
      <c r="J209" s="5">
        <v>5</v>
      </c>
    </row>
    <row r="210" spans="2:10">
      <c r="B210" s="27">
        <v>304</v>
      </c>
      <c r="C210" s="27">
        <v>15</v>
      </c>
      <c r="D210" s="27" t="s">
        <v>163</v>
      </c>
      <c r="E210" s="27" t="s">
        <v>12</v>
      </c>
      <c r="F210" s="27">
        <v>6</v>
      </c>
      <c r="G210" s="27">
        <v>240</v>
      </c>
      <c r="H210" s="27">
        <v>2</v>
      </c>
      <c r="I210" s="35">
        <v>7.5</v>
      </c>
      <c r="J210" s="5">
        <v>4.5</v>
      </c>
    </row>
    <row r="211" spans="2:10">
      <c r="B211" s="27">
        <v>304</v>
      </c>
      <c r="C211" s="27">
        <v>16</v>
      </c>
      <c r="D211" s="27" t="s">
        <v>164</v>
      </c>
      <c r="E211" s="27" t="s">
        <v>12</v>
      </c>
      <c r="F211" s="27">
        <v>10</v>
      </c>
      <c r="G211" s="27">
        <v>275</v>
      </c>
      <c r="H211" s="27">
        <v>13</v>
      </c>
      <c r="I211" s="35">
        <v>7.1</v>
      </c>
      <c r="J211" s="5">
        <v>4.5</v>
      </c>
    </row>
    <row r="212" spans="2:11">
      <c r="B212" s="27">
        <v>304</v>
      </c>
      <c r="C212" s="27">
        <v>17</v>
      </c>
      <c r="D212" s="27" t="s">
        <v>165</v>
      </c>
      <c r="E212" s="27" t="s">
        <v>12</v>
      </c>
      <c r="K212" s="27">
        <v>50</v>
      </c>
    </row>
    <row r="213" spans="2:10">
      <c r="B213" s="27">
        <v>304</v>
      </c>
      <c r="C213" s="27">
        <v>18</v>
      </c>
      <c r="D213" s="27" t="s">
        <v>166</v>
      </c>
      <c r="E213" s="27" t="s">
        <v>12</v>
      </c>
      <c r="F213" s="27">
        <v>9</v>
      </c>
      <c r="G213" s="27">
        <v>240</v>
      </c>
      <c r="H213" s="27">
        <v>2</v>
      </c>
      <c r="I213" s="35">
        <v>7.1</v>
      </c>
      <c r="J213" s="5">
        <v>4.5</v>
      </c>
    </row>
    <row r="214" spans="2:10">
      <c r="B214" s="27">
        <v>304</v>
      </c>
      <c r="C214" s="27">
        <v>19</v>
      </c>
      <c r="D214" s="27" t="s">
        <v>167</v>
      </c>
      <c r="E214" s="27" t="s">
        <v>12</v>
      </c>
      <c r="F214" s="27">
        <v>14</v>
      </c>
      <c r="G214" s="27">
        <v>240</v>
      </c>
      <c r="H214" s="27">
        <v>13</v>
      </c>
      <c r="I214" s="35">
        <v>7.3</v>
      </c>
      <c r="J214" s="5">
        <v>3.19</v>
      </c>
    </row>
    <row r="215" spans="2:11">
      <c r="B215" s="27">
        <v>304</v>
      </c>
      <c r="C215" s="27">
        <v>20</v>
      </c>
      <c r="D215" s="27" t="s">
        <v>168</v>
      </c>
      <c r="E215" s="27" t="s">
        <v>12</v>
      </c>
      <c r="K215" s="27">
        <v>50</v>
      </c>
    </row>
    <row r="216" spans="2:10">
      <c r="B216" s="27">
        <v>304</v>
      </c>
      <c r="C216" s="27">
        <v>21</v>
      </c>
      <c r="D216" s="27" t="s">
        <v>169</v>
      </c>
      <c r="E216" s="27" t="s">
        <v>12</v>
      </c>
      <c r="F216" s="27">
        <v>12.5</v>
      </c>
      <c r="G216" s="27">
        <v>195</v>
      </c>
      <c r="H216" s="27">
        <v>0</v>
      </c>
      <c r="I216" s="35">
        <v>7.5</v>
      </c>
      <c r="J216" s="5">
        <v>4.19</v>
      </c>
    </row>
    <row r="217" spans="2:10">
      <c r="B217" s="27">
        <v>304</v>
      </c>
      <c r="C217" s="27">
        <v>22</v>
      </c>
      <c r="D217" s="27" t="s">
        <v>170</v>
      </c>
      <c r="E217" s="27" t="s">
        <v>12</v>
      </c>
      <c r="F217" s="27">
        <v>-5.5</v>
      </c>
      <c r="G217" s="27">
        <v>235</v>
      </c>
      <c r="H217" s="27">
        <v>0</v>
      </c>
      <c r="I217" s="35">
        <v>7.5</v>
      </c>
      <c r="J217" s="5">
        <v>4.5</v>
      </c>
    </row>
    <row r="218" spans="2:11">
      <c r="B218" s="27">
        <v>304</v>
      </c>
      <c r="C218" s="27">
        <v>23</v>
      </c>
      <c r="D218" s="27" t="s">
        <v>171</v>
      </c>
      <c r="E218" s="27" t="s">
        <v>12</v>
      </c>
      <c r="K218" s="27">
        <v>50</v>
      </c>
    </row>
    <row r="227" s="20" customFormat="1" spans="1:11">
      <c r="A227" s="23" t="s">
        <v>172</v>
      </c>
      <c r="B227" s="51" t="s">
        <v>1</v>
      </c>
      <c r="C227" s="52" t="s">
        <v>2</v>
      </c>
      <c r="D227" s="53" t="s">
        <v>3</v>
      </c>
      <c r="E227" s="53" t="s">
        <v>4</v>
      </c>
      <c r="F227" s="54" t="s">
        <v>5</v>
      </c>
      <c r="G227" s="54" t="s">
        <v>6</v>
      </c>
      <c r="H227" s="54" t="s">
        <v>7</v>
      </c>
      <c r="I227" s="55" t="s">
        <v>8</v>
      </c>
      <c r="J227" s="56" t="s">
        <v>9</v>
      </c>
      <c r="K227" s="52" t="s">
        <v>10</v>
      </c>
    </row>
    <row r="228" spans="2:10">
      <c r="B228" s="27">
        <v>304</v>
      </c>
      <c r="C228" s="27">
        <v>24</v>
      </c>
      <c r="D228" s="31" t="s">
        <v>173</v>
      </c>
      <c r="E228" s="27" t="s">
        <v>12</v>
      </c>
      <c r="F228" s="27">
        <v>15</v>
      </c>
      <c r="G228" s="27">
        <v>230</v>
      </c>
      <c r="H228" s="27">
        <v>3</v>
      </c>
      <c r="I228" s="35">
        <v>7.3</v>
      </c>
      <c r="J228" s="5">
        <v>3.55</v>
      </c>
    </row>
    <row r="229" spans="2:10">
      <c r="B229" s="27">
        <v>304</v>
      </c>
      <c r="C229" s="27">
        <v>25</v>
      </c>
      <c r="D229" s="27" t="s">
        <v>174</v>
      </c>
      <c r="E229" s="27" t="s">
        <v>12</v>
      </c>
      <c r="F229" s="27">
        <v>12</v>
      </c>
      <c r="G229" s="27">
        <v>225</v>
      </c>
      <c r="H229" s="27">
        <v>1</v>
      </c>
      <c r="I229" s="35">
        <v>7.9</v>
      </c>
      <c r="J229" s="5">
        <v>5.47</v>
      </c>
    </row>
    <row r="230" spans="2:10">
      <c r="B230" s="27">
        <v>304</v>
      </c>
      <c r="C230" s="27">
        <v>26</v>
      </c>
      <c r="D230" s="27" t="s">
        <v>175</v>
      </c>
      <c r="E230" s="27" t="s">
        <v>12</v>
      </c>
      <c r="F230" s="27">
        <v>7.5</v>
      </c>
      <c r="G230" s="27">
        <v>220</v>
      </c>
      <c r="H230" s="27">
        <v>1</v>
      </c>
      <c r="I230" s="35">
        <v>7.7</v>
      </c>
      <c r="J230" s="5">
        <v>5.06</v>
      </c>
    </row>
    <row r="231" spans="2:10">
      <c r="B231" s="27">
        <v>304</v>
      </c>
      <c r="C231" s="27">
        <v>27</v>
      </c>
      <c r="D231" s="27" t="s">
        <v>176</v>
      </c>
      <c r="E231" s="27" t="s">
        <v>12</v>
      </c>
      <c r="F231" s="27">
        <v>9</v>
      </c>
      <c r="G231" s="27">
        <v>245</v>
      </c>
      <c r="H231" s="27">
        <v>16</v>
      </c>
      <c r="I231" s="35">
        <v>7.2</v>
      </c>
      <c r="J231" s="5">
        <v>5.1</v>
      </c>
    </row>
    <row r="232" spans="2:11">
      <c r="B232" s="27">
        <v>304</v>
      </c>
      <c r="C232" s="27">
        <v>28</v>
      </c>
      <c r="D232" s="27" t="s">
        <v>177</v>
      </c>
      <c r="E232" s="27" t="s">
        <v>12</v>
      </c>
      <c r="K232" s="27">
        <v>50</v>
      </c>
    </row>
    <row r="233" spans="2:10">
      <c r="B233" s="27">
        <v>304</v>
      </c>
      <c r="C233" s="27">
        <v>29</v>
      </c>
      <c r="D233" s="27" t="s">
        <v>178</v>
      </c>
      <c r="E233" s="27" t="s">
        <v>12</v>
      </c>
      <c r="F233" s="27">
        <v>16.5</v>
      </c>
      <c r="G233" s="27">
        <v>250</v>
      </c>
      <c r="H233" s="27">
        <v>2</v>
      </c>
      <c r="I233" s="35">
        <v>7.1</v>
      </c>
      <c r="J233" s="5">
        <v>4.5</v>
      </c>
    </row>
    <row r="234" spans="2:10">
      <c r="B234" s="27">
        <v>304</v>
      </c>
      <c r="C234" s="27">
        <v>30</v>
      </c>
      <c r="D234" s="27" t="s">
        <v>179</v>
      </c>
      <c r="E234" s="27" t="s">
        <v>12</v>
      </c>
      <c r="F234" s="27">
        <v>13</v>
      </c>
      <c r="G234" s="27">
        <v>230</v>
      </c>
      <c r="H234" s="27">
        <v>2</v>
      </c>
      <c r="I234" s="35">
        <v>7.7</v>
      </c>
      <c r="J234" s="5">
        <v>4.5</v>
      </c>
    </row>
    <row r="235" spans="2:10">
      <c r="B235" s="27">
        <v>304</v>
      </c>
      <c r="C235" s="27">
        <v>31</v>
      </c>
      <c r="D235" s="27" t="s">
        <v>180</v>
      </c>
      <c r="E235" s="27" t="s">
        <v>12</v>
      </c>
      <c r="F235" s="27">
        <v>0</v>
      </c>
      <c r="G235" s="27">
        <v>247</v>
      </c>
      <c r="H235" s="27">
        <v>10</v>
      </c>
      <c r="I235" s="35">
        <v>7.6</v>
      </c>
      <c r="J235" s="5">
        <v>5.42</v>
      </c>
    </row>
    <row r="236" spans="2:11">
      <c r="B236" s="27">
        <v>304</v>
      </c>
      <c r="C236" s="27">
        <v>32</v>
      </c>
      <c r="D236" s="27" t="s">
        <v>181</v>
      </c>
      <c r="E236" s="27" t="s">
        <v>12</v>
      </c>
      <c r="K236" s="27">
        <v>50</v>
      </c>
    </row>
    <row r="237" spans="2:10">
      <c r="B237" s="27">
        <v>304</v>
      </c>
      <c r="C237" s="27">
        <v>33</v>
      </c>
      <c r="D237" s="27" t="s">
        <v>182</v>
      </c>
      <c r="E237" s="27" t="s">
        <v>12</v>
      </c>
      <c r="F237" s="27">
        <v>3</v>
      </c>
      <c r="G237" s="27">
        <v>195</v>
      </c>
      <c r="H237" s="27">
        <v>2</v>
      </c>
      <c r="I237" s="35">
        <v>8</v>
      </c>
      <c r="J237" s="5">
        <v>4.57</v>
      </c>
    </row>
    <row r="238" spans="2:11">
      <c r="B238" s="27">
        <v>304</v>
      </c>
      <c r="C238" s="27">
        <v>34</v>
      </c>
      <c r="D238" s="27" t="s">
        <v>183</v>
      </c>
      <c r="E238" s="27" t="s">
        <v>12</v>
      </c>
      <c r="K238" s="27">
        <v>50</v>
      </c>
    </row>
    <row r="241" s="20" customFormat="1" spans="1:11">
      <c r="A241" s="23" t="s">
        <v>184</v>
      </c>
      <c r="B241" s="51" t="s">
        <v>1</v>
      </c>
      <c r="C241" s="52" t="s">
        <v>2</v>
      </c>
      <c r="D241" s="53" t="s">
        <v>3</v>
      </c>
      <c r="E241" s="53" t="s">
        <v>4</v>
      </c>
      <c r="F241" s="54" t="s">
        <v>5</v>
      </c>
      <c r="G241" s="54" t="s">
        <v>6</v>
      </c>
      <c r="H241" s="54" t="s">
        <v>7</v>
      </c>
      <c r="I241" s="55" t="s">
        <v>8</v>
      </c>
      <c r="J241" s="56" t="s">
        <v>9</v>
      </c>
      <c r="K241" s="52" t="s">
        <v>10</v>
      </c>
    </row>
    <row r="242" spans="2:10">
      <c r="B242" s="27">
        <v>305</v>
      </c>
      <c r="C242" s="27">
        <v>1</v>
      </c>
      <c r="D242" s="30" t="s">
        <v>185</v>
      </c>
      <c r="E242" s="28" t="s">
        <v>12</v>
      </c>
      <c r="F242" s="27">
        <v>14.8</v>
      </c>
      <c r="G242" s="27">
        <v>260</v>
      </c>
      <c r="H242" s="27">
        <v>30</v>
      </c>
      <c r="I242" s="35">
        <v>6.8</v>
      </c>
      <c r="J242" s="5">
        <v>4.27</v>
      </c>
    </row>
    <row r="243" spans="2:10">
      <c r="B243" s="27">
        <v>305</v>
      </c>
      <c r="C243" s="27">
        <v>2</v>
      </c>
      <c r="D243" s="28" t="s">
        <v>186</v>
      </c>
      <c r="E243" s="28" t="s">
        <v>12</v>
      </c>
      <c r="F243" s="27">
        <v>7</v>
      </c>
      <c r="G243" s="27">
        <v>250</v>
      </c>
      <c r="H243" s="27">
        <v>1</v>
      </c>
      <c r="I243" s="35">
        <v>7.3</v>
      </c>
      <c r="J243" s="5">
        <v>4.52</v>
      </c>
    </row>
    <row r="244" spans="2:10">
      <c r="B244" s="27">
        <v>305</v>
      </c>
      <c r="C244" s="27">
        <v>3</v>
      </c>
      <c r="D244" s="28" t="s">
        <v>187</v>
      </c>
      <c r="E244" s="28" t="s">
        <v>12</v>
      </c>
      <c r="F244" s="27">
        <v>16.4</v>
      </c>
      <c r="G244" s="27">
        <v>245</v>
      </c>
      <c r="H244" s="27">
        <v>25</v>
      </c>
      <c r="I244" s="35">
        <v>7</v>
      </c>
      <c r="J244" s="5">
        <v>3.41</v>
      </c>
    </row>
    <row r="245" spans="2:10">
      <c r="B245" s="27">
        <v>305</v>
      </c>
      <c r="C245" s="27">
        <v>4</v>
      </c>
      <c r="D245" s="28" t="s">
        <v>188</v>
      </c>
      <c r="E245" s="28" t="s">
        <v>12</v>
      </c>
      <c r="F245" s="27">
        <v>14</v>
      </c>
      <c r="G245" s="27">
        <v>210</v>
      </c>
      <c r="H245" s="27">
        <v>10</v>
      </c>
      <c r="I245" s="35">
        <v>7.3</v>
      </c>
      <c r="J245" s="5">
        <v>4.3</v>
      </c>
    </row>
    <row r="246" spans="2:10">
      <c r="B246" s="27">
        <v>305</v>
      </c>
      <c r="C246" s="27">
        <v>5</v>
      </c>
      <c r="D246" s="28" t="s">
        <v>189</v>
      </c>
      <c r="E246" s="28" t="s">
        <v>12</v>
      </c>
      <c r="F246" s="27">
        <v>14</v>
      </c>
      <c r="G246" s="27">
        <v>220</v>
      </c>
      <c r="H246" s="27">
        <v>2</v>
      </c>
      <c r="I246" s="35">
        <v>7.6</v>
      </c>
      <c r="J246" s="5">
        <v>4.42</v>
      </c>
    </row>
    <row r="247" spans="2:10">
      <c r="B247" s="27">
        <v>305</v>
      </c>
      <c r="C247" s="27">
        <v>6</v>
      </c>
      <c r="D247" s="28" t="s">
        <v>190</v>
      </c>
      <c r="E247" s="28" t="s">
        <v>12</v>
      </c>
      <c r="F247" s="27">
        <v>12</v>
      </c>
      <c r="G247" s="27">
        <v>249</v>
      </c>
      <c r="H247" s="27">
        <v>5</v>
      </c>
      <c r="I247" s="35">
        <v>7.1</v>
      </c>
      <c r="J247" s="5">
        <v>4.55</v>
      </c>
    </row>
    <row r="248" spans="2:10">
      <c r="B248" s="27">
        <v>305</v>
      </c>
      <c r="C248" s="27">
        <v>7</v>
      </c>
      <c r="D248" s="28" t="s">
        <v>191</v>
      </c>
      <c r="E248" s="28" t="s">
        <v>12</v>
      </c>
      <c r="F248" s="27">
        <v>7.5</v>
      </c>
      <c r="G248" s="27">
        <v>205</v>
      </c>
      <c r="H248" s="27">
        <v>0</v>
      </c>
      <c r="I248" s="35">
        <v>7.8</v>
      </c>
      <c r="J248" s="5">
        <v>4.5</v>
      </c>
    </row>
    <row r="249" spans="2:10">
      <c r="B249" s="27">
        <v>305</v>
      </c>
      <c r="C249" s="27">
        <v>8</v>
      </c>
      <c r="D249" s="28" t="s">
        <v>192</v>
      </c>
      <c r="E249" s="28" t="s">
        <v>12</v>
      </c>
      <c r="F249" s="27">
        <v>13.5</v>
      </c>
      <c r="G249" s="27">
        <v>207</v>
      </c>
      <c r="H249" s="27">
        <v>1</v>
      </c>
      <c r="I249" s="35">
        <v>8.1</v>
      </c>
      <c r="J249" s="5">
        <v>5.02</v>
      </c>
    </row>
    <row r="250" spans="2:10">
      <c r="B250" s="27">
        <v>305</v>
      </c>
      <c r="C250" s="27">
        <v>9</v>
      </c>
      <c r="D250" s="28" t="s">
        <v>193</v>
      </c>
      <c r="E250" s="28" t="s">
        <v>12</v>
      </c>
      <c r="F250" s="27">
        <v>20</v>
      </c>
      <c r="G250" s="27">
        <v>240</v>
      </c>
      <c r="H250" s="27">
        <v>3</v>
      </c>
      <c r="I250" s="35">
        <v>7.1</v>
      </c>
      <c r="J250" s="5">
        <v>4.2</v>
      </c>
    </row>
    <row r="251" spans="2:10">
      <c r="B251" s="27">
        <v>305</v>
      </c>
      <c r="C251" s="27">
        <v>10</v>
      </c>
      <c r="D251" s="28" t="s">
        <v>194</v>
      </c>
      <c r="E251" s="28" t="s">
        <v>12</v>
      </c>
      <c r="F251" s="27">
        <v>4.4</v>
      </c>
      <c r="G251" s="27">
        <v>240</v>
      </c>
      <c r="H251" s="27">
        <v>18</v>
      </c>
      <c r="I251" s="35">
        <v>7.1</v>
      </c>
      <c r="J251" s="5">
        <v>4.37</v>
      </c>
    </row>
    <row r="253" s="20" customFormat="1" spans="1:11">
      <c r="A253" s="23" t="s">
        <v>195</v>
      </c>
      <c r="B253" s="51" t="s">
        <v>1</v>
      </c>
      <c r="C253" s="52" t="s">
        <v>2</v>
      </c>
      <c r="D253" s="53" t="s">
        <v>3</v>
      </c>
      <c r="E253" s="53" t="s">
        <v>4</v>
      </c>
      <c r="F253" s="54" t="s">
        <v>5</v>
      </c>
      <c r="G253" s="54" t="s">
        <v>6</v>
      </c>
      <c r="H253" s="54" t="s">
        <v>7</v>
      </c>
      <c r="I253" s="55" t="s">
        <v>8</v>
      </c>
      <c r="J253" s="56" t="s">
        <v>9</v>
      </c>
      <c r="K253" s="52" t="s">
        <v>10</v>
      </c>
    </row>
    <row r="254" spans="2:10">
      <c r="B254" s="27">
        <v>305</v>
      </c>
      <c r="C254" s="27">
        <v>11</v>
      </c>
      <c r="D254" s="30" t="s">
        <v>196</v>
      </c>
      <c r="E254" s="28" t="s">
        <v>12</v>
      </c>
      <c r="F254" s="27">
        <v>21</v>
      </c>
      <c r="G254" s="27">
        <v>186</v>
      </c>
      <c r="H254" s="27">
        <v>4</v>
      </c>
      <c r="I254" s="35">
        <v>9</v>
      </c>
      <c r="J254" s="5">
        <v>4.53</v>
      </c>
    </row>
    <row r="255" spans="2:10">
      <c r="B255" s="27">
        <v>305</v>
      </c>
      <c r="C255" s="27">
        <v>12</v>
      </c>
      <c r="D255" s="28" t="s">
        <v>197</v>
      </c>
      <c r="E255" s="28" t="s">
        <v>12</v>
      </c>
      <c r="F255" s="27">
        <v>11</v>
      </c>
      <c r="G255" s="27">
        <v>206</v>
      </c>
      <c r="H255" s="27">
        <v>8</v>
      </c>
      <c r="I255" s="35">
        <v>8.3</v>
      </c>
      <c r="J255" s="5">
        <v>4.05</v>
      </c>
    </row>
    <row r="256" spans="2:10">
      <c r="B256" s="27">
        <v>305</v>
      </c>
      <c r="C256" s="27">
        <v>13</v>
      </c>
      <c r="D256" s="28" t="s">
        <v>198</v>
      </c>
      <c r="E256" s="28" t="s">
        <v>12</v>
      </c>
      <c r="F256" s="27">
        <v>16</v>
      </c>
      <c r="G256" s="27">
        <v>227</v>
      </c>
      <c r="H256" s="27">
        <v>8</v>
      </c>
      <c r="I256" s="35">
        <v>8.2</v>
      </c>
      <c r="J256" s="5">
        <v>4.54</v>
      </c>
    </row>
    <row r="257" spans="2:10">
      <c r="B257" s="27">
        <v>305</v>
      </c>
      <c r="C257" s="27">
        <v>14</v>
      </c>
      <c r="D257" s="28" t="s">
        <v>199</v>
      </c>
      <c r="E257" s="28" t="s">
        <v>12</v>
      </c>
      <c r="F257" s="27">
        <v>9</v>
      </c>
      <c r="G257" s="27">
        <v>225</v>
      </c>
      <c r="H257" s="27">
        <v>2</v>
      </c>
      <c r="I257" s="35">
        <v>9.1</v>
      </c>
      <c r="J257" s="5">
        <v>5.01</v>
      </c>
    </row>
    <row r="258" spans="2:10">
      <c r="B258" s="27">
        <v>305</v>
      </c>
      <c r="C258" s="27">
        <v>15</v>
      </c>
      <c r="D258" s="28" t="s">
        <v>200</v>
      </c>
      <c r="E258" s="28" t="s">
        <v>12</v>
      </c>
      <c r="F258" s="27">
        <v>6</v>
      </c>
      <c r="G258" s="27">
        <v>228</v>
      </c>
      <c r="H258" s="27">
        <v>22</v>
      </c>
      <c r="I258" s="35">
        <v>7.7</v>
      </c>
      <c r="J258" s="5">
        <v>4.26</v>
      </c>
    </row>
    <row r="259" spans="2:10">
      <c r="B259" s="27">
        <v>305</v>
      </c>
      <c r="C259" s="27">
        <v>16</v>
      </c>
      <c r="D259" s="28" t="s">
        <v>201</v>
      </c>
      <c r="E259" s="28" t="s">
        <v>12</v>
      </c>
      <c r="F259" s="27">
        <v>8.6</v>
      </c>
      <c r="G259" s="27">
        <v>250</v>
      </c>
      <c r="H259" s="27">
        <v>4</v>
      </c>
      <c r="I259" s="35">
        <v>7.2</v>
      </c>
      <c r="J259" s="5">
        <v>4.53</v>
      </c>
    </row>
    <row r="260" spans="2:10">
      <c r="B260" s="27">
        <v>305</v>
      </c>
      <c r="C260" s="27">
        <v>17</v>
      </c>
      <c r="D260" s="28" t="s">
        <v>202</v>
      </c>
      <c r="E260" s="28" t="s">
        <v>12</v>
      </c>
      <c r="F260" s="27">
        <v>5.5</v>
      </c>
      <c r="G260" s="27">
        <v>219</v>
      </c>
      <c r="H260" s="27">
        <v>7</v>
      </c>
      <c r="I260" s="35">
        <v>7.6</v>
      </c>
      <c r="J260" s="5">
        <v>4.16</v>
      </c>
    </row>
    <row r="261" spans="2:10">
      <c r="B261" s="27">
        <v>305</v>
      </c>
      <c r="C261" s="27">
        <v>18</v>
      </c>
      <c r="D261" s="28" t="s">
        <v>203</v>
      </c>
      <c r="E261" s="28" t="s">
        <v>12</v>
      </c>
      <c r="F261" s="27">
        <v>11</v>
      </c>
      <c r="G261" s="27">
        <v>251</v>
      </c>
      <c r="H261" s="27">
        <v>4</v>
      </c>
      <c r="I261" s="35">
        <v>8.6</v>
      </c>
      <c r="J261" s="5">
        <v>5.01</v>
      </c>
    </row>
    <row r="262" spans="2:10">
      <c r="B262" s="27">
        <v>305</v>
      </c>
      <c r="C262" s="27">
        <v>19</v>
      </c>
      <c r="D262" s="28" t="s">
        <v>204</v>
      </c>
      <c r="E262" s="28" t="s">
        <v>12</v>
      </c>
      <c r="F262" s="27">
        <v>11.5</v>
      </c>
      <c r="G262" s="27">
        <v>270</v>
      </c>
      <c r="H262" s="27">
        <v>10</v>
      </c>
      <c r="I262" s="35">
        <v>7.7</v>
      </c>
      <c r="J262" s="5">
        <v>5.01</v>
      </c>
    </row>
    <row r="263" spans="2:10">
      <c r="B263" s="27">
        <v>305</v>
      </c>
      <c r="C263" s="27">
        <v>20</v>
      </c>
      <c r="D263" s="28" t="s">
        <v>205</v>
      </c>
      <c r="E263" s="28" t="s">
        <v>12</v>
      </c>
      <c r="F263" s="27">
        <v>14.1</v>
      </c>
      <c r="G263" s="27">
        <v>222</v>
      </c>
      <c r="H263" s="27">
        <v>20</v>
      </c>
      <c r="I263" s="35">
        <v>7.7</v>
      </c>
      <c r="J263" s="5">
        <v>3.53</v>
      </c>
    </row>
    <row r="265" s="20" customFormat="1" spans="1:11">
      <c r="A265" s="23" t="s">
        <v>206</v>
      </c>
      <c r="B265" s="51" t="s">
        <v>1</v>
      </c>
      <c r="C265" s="52" t="s">
        <v>2</v>
      </c>
      <c r="D265" s="53" t="s">
        <v>3</v>
      </c>
      <c r="E265" s="53" t="s">
        <v>4</v>
      </c>
      <c r="F265" s="54" t="s">
        <v>5</v>
      </c>
      <c r="G265" s="54" t="s">
        <v>6</v>
      </c>
      <c r="H265" s="54" t="s">
        <v>7</v>
      </c>
      <c r="I265" s="55" t="s">
        <v>8</v>
      </c>
      <c r="J265" s="56" t="s">
        <v>9</v>
      </c>
      <c r="K265" s="52" t="s">
        <v>10</v>
      </c>
    </row>
    <row r="266" spans="2:10">
      <c r="B266" s="27">
        <v>305</v>
      </c>
      <c r="C266" s="27">
        <v>21</v>
      </c>
      <c r="D266" s="30" t="s">
        <v>207</v>
      </c>
      <c r="E266" s="28" t="s">
        <v>12</v>
      </c>
      <c r="F266" s="27">
        <v>22</v>
      </c>
      <c r="G266" s="27">
        <v>240</v>
      </c>
      <c r="H266" s="27">
        <v>3</v>
      </c>
      <c r="I266" s="35">
        <v>7.5</v>
      </c>
      <c r="J266" s="5">
        <v>4.34</v>
      </c>
    </row>
    <row r="267" spans="2:10">
      <c r="B267" s="27">
        <v>305</v>
      </c>
      <c r="C267" s="27">
        <v>22</v>
      </c>
      <c r="D267" s="28" t="s">
        <v>208</v>
      </c>
      <c r="E267" s="28" t="s">
        <v>12</v>
      </c>
      <c r="F267" s="27">
        <v>25.5</v>
      </c>
      <c r="G267" s="27">
        <v>280</v>
      </c>
      <c r="H267" s="27">
        <v>8</v>
      </c>
      <c r="I267" s="35">
        <v>6.8</v>
      </c>
      <c r="J267" s="5">
        <v>6.48</v>
      </c>
    </row>
    <row r="268" spans="2:10">
      <c r="B268" s="27">
        <v>305</v>
      </c>
      <c r="C268" s="27">
        <v>23</v>
      </c>
      <c r="D268" s="28" t="s">
        <v>209</v>
      </c>
      <c r="E268" s="28" t="s">
        <v>12</v>
      </c>
      <c r="F268" s="27">
        <v>-2</v>
      </c>
      <c r="G268" s="27">
        <v>220</v>
      </c>
      <c r="H268" s="27">
        <v>2</v>
      </c>
      <c r="I268" s="35">
        <v>6.9</v>
      </c>
      <c r="J268" s="5">
        <v>6</v>
      </c>
    </row>
    <row r="269" spans="2:10">
      <c r="B269" s="27">
        <v>305</v>
      </c>
      <c r="C269" s="27">
        <v>24</v>
      </c>
      <c r="D269" s="28" t="s">
        <v>210</v>
      </c>
      <c r="E269" s="28" t="s">
        <v>12</v>
      </c>
      <c r="F269" s="27">
        <v>10</v>
      </c>
      <c r="G269" s="27">
        <v>240</v>
      </c>
      <c r="H269" s="27">
        <v>2</v>
      </c>
      <c r="I269" s="35">
        <v>7.4</v>
      </c>
      <c r="J269" s="5">
        <v>4.17</v>
      </c>
    </row>
    <row r="270" spans="2:11">
      <c r="B270" s="27">
        <v>305</v>
      </c>
      <c r="C270" s="27">
        <v>25</v>
      </c>
      <c r="D270" s="28" t="s">
        <v>211</v>
      </c>
      <c r="E270" s="28" t="s">
        <v>12</v>
      </c>
      <c r="K270" s="27">
        <v>50</v>
      </c>
    </row>
    <row r="271" spans="2:10">
      <c r="B271" s="27">
        <v>305</v>
      </c>
      <c r="C271" s="27">
        <v>26</v>
      </c>
      <c r="D271" s="28" t="s">
        <v>212</v>
      </c>
      <c r="E271" s="28" t="s">
        <v>12</v>
      </c>
      <c r="F271" s="27">
        <v>14.5</v>
      </c>
      <c r="G271" s="27">
        <v>230</v>
      </c>
      <c r="H271" s="27">
        <v>8</v>
      </c>
      <c r="I271" s="35">
        <v>7.5</v>
      </c>
      <c r="J271" s="5">
        <v>5.17</v>
      </c>
    </row>
    <row r="272" spans="2:10">
      <c r="B272" s="27">
        <v>305</v>
      </c>
      <c r="C272" s="27">
        <v>27</v>
      </c>
      <c r="D272" s="28" t="s">
        <v>213</v>
      </c>
      <c r="E272" s="28" t="s">
        <v>12</v>
      </c>
      <c r="F272" s="27">
        <v>15</v>
      </c>
      <c r="G272" s="27">
        <v>220</v>
      </c>
      <c r="H272" s="27">
        <v>8</v>
      </c>
      <c r="I272" s="35">
        <v>7.2</v>
      </c>
      <c r="J272" s="5">
        <v>5.11</v>
      </c>
    </row>
    <row r="273" spans="2:10">
      <c r="B273" s="27">
        <v>305</v>
      </c>
      <c r="C273" s="27">
        <v>28</v>
      </c>
      <c r="D273" s="28" t="s">
        <v>214</v>
      </c>
      <c r="E273" s="28" t="s">
        <v>12</v>
      </c>
      <c r="F273" s="27">
        <v>7</v>
      </c>
      <c r="G273" s="27">
        <v>215</v>
      </c>
      <c r="H273" s="27">
        <v>0</v>
      </c>
      <c r="I273" s="35">
        <v>8</v>
      </c>
      <c r="J273" s="5">
        <v>6.09</v>
      </c>
    </row>
    <row r="274" spans="2:10">
      <c r="B274" s="27">
        <v>305</v>
      </c>
      <c r="C274" s="27">
        <v>29</v>
      </c>
      <c r="D274" s="28" t="s">
        <v>215</v>
      </c>
      <c r="E274" s="28" t="s">
        <v>12</v>
      </c>
      <c r="F274" s="27">
        <v>2</v>
      </c>
      <c r="G274" s="27">
        <v>270</v>
      </c>
      <c r="H274" s="27">
        <v>8</v>
      </c>
      <c r="I274" s="35">
        <v>6.9</v>
      </c>
      <c r="J274" s="5">
        <v>6.37</v>
      </c>
    </row>
    <row r="275" spans="2:10">
      <c r="B275" s="27">
        <v>305</v>
      </c>
      <c r="C275" s="27">
        <v>30</v>
      </c>
      <c r="D275" s="28" t="s">
        <v>216</v>
      </c>
      <c r="E275" s="28" t="s">
        <v>12</v>
      </c>
      <c r="F275" s="27">
        <v>5</v>
      </c>
      <c r="G275" s="27">
        <v>230</v>
      </c>
      <c r="H275" s="27">
        <v>11</v>
      </c>
      <c r="I275" s="35">
        <v>7.2</v>
      </c>
      <c r="J275" s="5">
        <v>3.51</v>
      </c>
    </row>
    <row r="276" spans="4:5">
      <c r="D276" s="28"/>
      <c r="E276" s="28"/>
    </row>
    <row r="277" s="20" customFormat="1" spans="1:11">
      <c r="A277" s="23" t="s">
        <v>217</v>
      </c>
      <c r="B277" s="51" t="s">
        <v>1</v>
      </c>
      <c r="C277" s="52" t="s">
        <v>2</v>
      </c>
      <c r="D277" s="53" t="s">
        <v>3</v>
      </c>
      <c r="E277" s="53" t="s">
        <v>4</v>
      </c>
      <c r="F277" s="54" t="s">
        <v>5</v>
      </c>
      <c r="G277" s="54" t="s">
        <v>6</v>
      </c>
      <c r="H277" s="54" t="s">
        <v>7</v>
      </c>
      <c r="I277" s="55" t="s">
        <v>8</v>
      </c>
      <c r="J277" s="56" t="s">
        <v>9</v>
      </c>
      <c r="K277" s="52" t="s">
        <v>10</v>
      </c>
    </row>
    <row r="278" spans="2:10">
      <c r="B278" s="27">
        <v>305</v>
      </c>
      <c r="C278" s="27">
        <v>31</v>
      </c>
      <c r="D278" s="30" t="s">
        <v>218</v>
      </c>
      <c r="E278" s="28" t="s">
        <v>12</v>
      </c>
      <c r="F278" s="27">
        <v>8.8</v>
      </c>
      <c r="G278" s="27">
        <v>235</v>
      </c>
      <c r="H278" s="27">
        <v>7</v>
      </c>
      <c r="I278" s="35">
        <v>7.4</v>
      </c>
      <c r="J278" s="5">
        <v>4.35</v>
      </c>
    </row>
    <row r="279" spans="2:10">
      <c r="B279" s="27">
        <v>305</v>
      </c>
      <c r="C279" s="27">
        <v>32</v>
      </c>
      <c r="D279" s="28" t="s">
        <v>219</v>
      </c>
      <c r="E279" s="28" t="s">
        <v>12</v>
      </c>
      <c r="F279" s="27">
        <v>24</v>
      </c>
      <c r="G279" s="27">
        <v>265</v>
      </c>
      <c r="H279" s="27">
        <v>8</v>
      </c>
      <c r="I279" s="35">
        <v>7.1</v>
      </c>
      <c r="J279" s="5">
        <v>4.03</v>
      </c>
    </row>
    <row r="280" spans="2:10">
      <c r="B280" s="27">
        <v>305</v>
      </c>
      <c r="C280" s="27">
        <v>33</v>
      </c>
      <c r="D280" s="28" t="s">
        <v>220</v>
      </c>
      <c r="E280" s="28" t="s">
        <v>12</v>
      </c>
      <c r="F280" s="27">
        <v>3</v>
      </c>
      <c r="G280" s="27">
        <v>170</v>
      </c>
      <c r="H280" s="27">
        <v>1</v>
      </c>
      <c r="I280" s="35">
        <v>8.5</v>
      </c>
      <c r="J280" s="5">
        <v>4.54</v>
      </c>
    </row>
    <row r="281" spans="2:10">
      <c r="B281" s="27">
        <v>305</v>
      </c>
      <c r="C281" s="27">
        <v>34</v>
      </c>
      <c r="D281" s="28" t="s">
        <v>221</v>
      </c>
      <c r="E281" s="28" t="s">
        <v>12</v>
      </c>
      <c r="F281" s="27">
        <v>15.5</v>
      </c>
      <c r="G281" s="27">
        <v>250</v>
      </c>
      <c r="H281" s="27">
        <v>8</v>
      </c>
      <c r="I281" s="35">
        <v>7.4</v>
      </c>
      <c r="J281" s="5">
        <v>4.26</v>
      </c>
    </row>
    <row r="282" spans="2:10">
      <c r="B282" s="27">
        <v>305</v>
      </c>
      <c r="C282" s="27">
        <v>35</v>
      </c>
      <c r="D282" s="28" t="s">
        <v>222</v>
      </c>
      <c r="E282" s="28" t="s">
        <v>12</v>
      </c>
      <c r="F282" s="27">
        <v>14.5</v>
      </c>
      <c r="G282" s="27">
        <v>210</v>
      </c>
      <c r="H282" s="27">
        <v>8</v>
      </c>
      <c r="I282" s="35">
        <v>7.8</v>
      </c>
      <c r="J282" s="5">
        <v>4.54</v>
      </c>
    </row>
    <row r="283" spans="2:10">
      <c r="B283" s="27">
        <v>305</v>
      </c>
      <c r="C283" s="27">
        <v>36</v>
      </c>
      <c r="D283" s="28" t="s">
        <v>223</v>
      </c>
      <c r="E283" s="28" t="s">
        <v>12</v>
      </c>
      <c r="F283" s="27">
        <v>16</v>
      </c>
      <c r="G283" s="27">
        <v>232</v>
      </c>
      <c r="H283" s="27">
        <v>8</v>
      </c>
      <c r="I283" s="35">
        <v>7.3</v>
      </c>
      <c r="J283" s="5">
        <v>4.04</v>
      </c>
    </row>
    <row r="284" spans="2:10">
      <c r="B284" s="27">
        <v>305</v>
      </c>
      <c r="C284" s="27">
        <v>37</v>
      </c>
      <c r="D284" s="28" t="s">
        <v>224</v>
      </c>
      <c r="E284" s="28" t="s">
        <v>12</v>
      </c>
      <c r="F284" s="27">
        <v>21.5</v>
      </c>
      <c r="G284" s="27">
        <v>228</v>
      </c>
      <c r="H284" s="27">
        <v>10</v>
      </c>
      <c r="I284" s="35">
        <v>7.6</v>
      </c>
      <c r="J284" s="5">
        <v>4.06</v>
      </c>
    </row>
    <row r="285" spans="2:10">
      <c r="B285" s="27">
        <v>305</v>
      </c>
      <c r="C285" s="27">
        <v>38</v>
      </c>
      <c r="D285" s="28" t="s">
        <v>225</v>
      </c>
      <c r="E285" s="28" t="s">
        <v>12</v>
      </c>
      <c r="F285" s="27">
        <v>7</v>
      </c>
      <c r="G285" s="27">
        <v>212</v>
      </c>
      <c r="H285" s="27">
        <v>1</v>
      </c>
      <c r="I285" s="35">
        <v>7.9</v>
      </c>
      <c r="J285" s="5">
        <v>4.47</v>
      </c>
    </row>
    <row r="286" spans="2:10">
      <c r="B286" s="27">
        <v>305</v>
      </c>
      <c r="C286" s="27">
        <v>39</v>
      </c>
      <c r="D286" s="28" t="s">
        <v>226</v>
      </c>
      <c r="E286" s="28" t="s">
        <v>12</v>
      </c>
      <c r="F286" s="27">
        <v>20.5</v>
      </c>
      <c r="G286" s="27">
        <v>230</v>
      </c>
      <c r="H286" s="27">
        <v>9</v>
      </c>
      <c r="I286" s="35">
        <v>7.5</v>
      </c>
      <c r="J286" s="5">
        <v>4.37</v>
      </c>
    </row>
    <row r="287" spans="4:5">
      <c r="D287" s="28"/>
      <c r="E287" s="28"/>
    </row>
    <row r="288" spans="4:5">
      <c r="D288" s="28"/>
      <c r="E288" s="28"/>
    </row>
    <row r="289" spans="4:5">
      <c r="D289" s="28"/>
      <c r="E289" s="28"/>
    </row>
    <row r="290" spans="4:5">
      <c r="D290" s="28"/>
      <c r="E290" s="28"/>
    </row>
    <row r="291" spans="4:5">
      <c r="D291" s="28"/>
      <c r="E291" s="28"/>
    </row>
    <row r="292" spans="4:5">
      <c r="D292" s="28"/>
      <c r="E292" s="28"/>
    </row>
    <row r="293" spans="4:5">
      <c r="D293" s="28"/>
      <c r="E293" s="28"/>
    </row>
    <row r="295" s="20" customFormat="1" spans="1:11">
      <c r="A295" s="23" t="s">
        <v>227</v>
      </c>
      <c r="B295" s="51" t="s">
        <v>1</v>
      </c>
      <c r="C295" s="52" t="s">
        <v>2</v>
      </c>
      <c r="D295" s="53" t="s">
        <v>3</v>
      </c>
      <c r="E295" s="53" t="s">
        <v>4</v>
      </c>
      <c r="F295" s="54" t="s">
        <v>5</v>
      </c>
      <c r="G295" s="54" t="s">
        <v>6</v>
      </c>
      <c r="H295" s="54" t="s">
        <v>7</v>
      </c>
      <c r="I295" s="55" t="s">
        <v>8</v>
      </c>
      <c r="J295" s="56" t="s">
        <v>9</v>
      </c>
      <c r="K295" s="52" t="s">
        <v>10</v>
      </c>
    </row>
    <row r="296" spans="2:10">
      <c r="B296" s="27">
        <v>305</v>
      </c>
      <c r="C296" s="27">
        <v>40</v>
      </c>
      <c r="D296" s="30" t="s">
        <v>228</v>
      </c>
      <c r="E296" s="28" t="s">
        <v>46</v>
      </c>
      <c r="F296" s="27">
        <v>9.5</v>
      </c>
      <c r="G296" s="27">
        <v>215</v>
      </c>
      <c r="H296" s="27">
        <v>54</v>
      </c>
      <c r="I296" s="35" t="s">
        <v>77</v>
      </c>
      <c r="J296" s="5" t="s">
        <v>77</v>
      </c>
    </row>
    <row r="297" spans="2:10">
      <c r="B297" s="27">
        <v>305</v>
      </c>
      <c r="C297" s="27">
        <v>41</v>
      </c>
      <c r="D297" s="28" t="s">
        <v>229</v>
      </c>
      <c r="E297" s="28" t="s">
        <v>46</v>
      </c>
      <c r="F297" s="27">
        <v>17</v>
      </c>
      <c r="G297" s="27">
        <v>160</v>
      </c>
      <c r="H297" s="27">
        <v>48</v>
      </c>
      <c r="I297" s="35">
        <v>9.6</v>
      </c>
      <c r="J297" s="5">
        <v>4.06</v>
      </c>
    </row>
    <row r="298" spans="2:10">
      <c r="B298" s="27">
        <v>305</v>
      </c>
      <c r="C298" s="27">
        <v>42</v>
      </c>
      <c r="D298" s="28" t="s">
        <v>230</v>
      </c>
      <c r="E298" s="28" t="s">
        <v>46</v>
      </c>
      <c r="F298" s="27">
        <v>13</v>
      </c>
      <c r="G298" s="27">
        <v>154</v>
      </c>
      <c r="H298" s="27">
        <v>50</v>
      </c>
      <c r="I298" s="35">
        <v>9.1</v>
      </c>
      <c r="J298" s="5">
        <v>3.56</v>
      </c>
    </row>
    <row r="299" spans="2:10">
      <c r="B299" s="27">
        <v>305</v>
      </c>
      <c r="C299" s="27">
        <v>43</v>
      </c>
      <c r="D299" s="28" t="s">
        <v>231</v>
      </c>
      <c r="E299" s="28" t="s">
        <v>46</v>
      </c>
      <c r="F299" s="27">
        <v>21.5</v>
      </c>
      <c r="G299" s="27">
        <v>205</v>
      </c>
      <c r="H299" s="27">
        <v>43</v>
      </c>
      <c r="I299" s="35">
        <v>8.1</v>
      </c>
      <c r="J299" s="5">
        <v>3.36</v>
      </c>
    </row>
    <row r="300" spans="2:10">
      <c r="B300" s="27">
        <v>305</v>
      </c>
      <c r="C300" s="27">
        <v>44</v>
      </c>
      <c r="D300" s="28" t="s">
        <v>232</v>
      </c>
      <c r="E300" s="28" t="s">
        <v>46</v>
      </c>
      <c r="F300" s="27">
        <v>30.5</v>
      </c>
      <c r="G300" s="27">
        <v>205</v>
      </c>
      <c r="H300" s="27">
        <v>47</v>
      </c>
      <c r="I300" s="35">
        <v>8.2</v>
      </c>
      <c r="J300" s="5">
        <v>4.35</v>
      </c>
    </row>
    <row r="301" spans="2:10">
      <c r="B301" s="27">
        <v>305</v>
      </c>
      <c r="C301" s="27">
        <v>45</v>
      </c>
      <c r="D301" s="28" t="s">
        <v>233</v>
      </c>
      <c r="E301" s="28" t="s">
        <v>46</v>
      </c>
      <c r="F301" s="27">
        <v>12.5</v>
      </c>
      <c r="G301" s="27">
        <v>157</v>
      </c>
      <c r="H301" s="27">
        <v>48</v>
      </c>
      <c r="I301" s="35">
        <v>9.1</v>
      </c>
      <c r="J301" s="5">
        <v>3.51</v>
      </c>
    </row>
    <row r="302" spans="2:10">
      <c r="B302" s="27">
        <v>305</v>
      </c>
      <c r="C302" s="27">
        <v>46</v>
      </c>
      <c r="D302" s="28" t="s">
        <v>234</v>
      </c>
      <c r="E302" s="28" t="s">
        <v>46</v>
      </c>
      <c r="F302" s="27">
        <v>22.3</v>
      </c>
      <c r="G302" s="27">
        <v>188</v>
      </c>
      <c r="H302" s="27">
        <v>35</v>
      </c>
      <c r="I302" s="35">
        <v>9.1</v>
      </c>
      <c r="J302" s="5">
        <v>4</v>
      </c>
    </row>
    <row r="303" spans="2:11">
      <c r="B303" s="27">
        <v>305</v>
      </c>
      <c r="C303" s="27">
        <v>47</v>
      </c>
      <c r="D303" s="28" t="s">
        <v>235</v>
      </c>
      <c r="E303" s="28" t="s">
        <v>46</v>
      </c>
      <c r="K303" s="27">
        <v>50</v>
      </c>
    </row>
    <row r="304" spans="2:10">
      <c r="B304" s="27">
        <v>305</v>
      </c>
      <c r="C304" s="27">
        <v>48</v>
      </c>
      <c r="D304" s="28" t="s">
        <v>236</v>
      </c>
      <c r="E304" s="28" t="s">
        <v>46</v>
      </c>
      <c r="F304" s="27">
        <v>8.6</v>
      </c>
      <c r="G304" s="27">
        <v>135</v>
      </c>
      <c r="H304" s="27">
        <v>33</v>
      </c>
      <c r="I304" s="35">
        <v>11.9</v>
      </c>
      <c r="J304" s="5">
        <v>5.16</v>
      </c>
    </row>
    <row r="305" spans="2:10">
      <c r="B305" s="27">
        <v>305</v>
      </c>
      <c r="C305" s="27">
        <v>49</v>
      </c>
      <c r="D305" s="28" t="s">
        <v>237</v>
      </c>
      <c r="E305" s="28" t="s">
        <v>46</v>
      </c>
      <c r="F305" s="27">
        <v>16</v>
      </c>
      <c r="G305" s="27">
        <v>165</v>
      </c>
      <c r="H305" s="27">
        <v>51</v>
      </c>
      <c r="I305" s="35">
        <v>9.1</v>
      </c>
      <c r="J305" s="5">
        <v>3.34</v>
      </c>
    </row>
    <row r="306" spans="2:10">
      <c r="B306" s="27">
        <v>305</v>
      </c>
      <c r="C306" s="27">
        <v>50</v>
      </c>
      <c r="D306" s="27" t="s">
        <v>238</v>
      </c>
      <c r="E306" s="27" t="s">
        <v>46</v>
      </c>
      <c r="F306" s="27">
        <v>8</v>
      </c>
      <c r="G306" s="27" t="s">
        <v>77</v>
      </c>
      <c r="H306" s="27">
        <v>58</v>
      </c>
      <c r="I306" s="35" t="s">
        <v>77</v>
      </c>
      <c r="J306" s="5" t="s">
        <v>77</v>
      </c>
    </row>
    <row r="307" spans="2:10">
      <c r="B307" s="27">
        <v>305</v>
      </c>
      <c r="C307" s="27">
        <v>51</v>
      </c>
      <c r="D307" s="28" t="s">
        <v>239</v>
      </c>
      <c r="E307" s="28" t="s">
        <v>46</v>
      </c>
      <c r="F307" s="27">
        <v>24</v>
      </c>
      <c r="G307" s="27">
        <v>160</v>
      </c>
      <c r="H307" s="27">
        <v>38</v>
      </c>
      <c r="I307" s="35">
        <v>9.7</v>
      </c>
      <c r="J307" s="5">
        <v>5.22</v>
      </c>
    </row>
    <row r="308" spans="2:10">
      <c r="B308" s="27">
        <v>305</v>
      </c>
      <c r="C308" s="27">
        <v>52</v>
      </c>
      <c r="D308" s="28" t="s">
        <v>240</v>
      </c>
      <c r="E308" s="28" t="s">
        <v>46</v>
      </c>
      <c r="F308" s="27">
        <v>10.5</v>
      </c>
      <c r="G308" s="27">
        <v>172</v>
      </c>
      <c r="H308" s="27">
        <v>51</v>
      </c>
      <c r="I308" s="35">
        <v>9.2</v>
      </c>
      <c r="J308" s="5">
        <v>4.01</v>
      </c>
    </row>
    <row r="311" s="20" customFormat="1" spans="1:11">
      <c r="A311" s="23" t="s">
        <v>241</v>
      </c>
      <c r="B311" s="51" t="s">
        <v>1</v>
      </c>
      <c r="C311" s="52" t="s">
        <v>2</v>
      </c>
      <c r="D311" s="53" t="s">
        <v>3</v>
      </c>
      <c r="E311" s="53" t="s">
        <v>4</v>
      </c>
      <c r="F311" s="54" t="s">
        <v>5</v>
      </c>
      <c r="G311" s="54" t="s">
        <v>6</v>
      </c>
      <c r="H311" s="54" t="s">
        <v>7</v>
      </c>
      <c r="I311" s="55" t="s">
        <v>8</v>
      </c>
      <c r="J311" s="56" t="s">
        <v>9</v>
      </c>
      <c r="K311" s="52" t="s">
        <v>10</v>
      </c>
    </row>
    <row r="312" spans="2:10">
      <c r="B312" s="27">
        <v>306</v>
      </c>
      <c r="C312" s="27">
        <v>1</v>
      </c>
      <c r="D312" s="30" t="s">
        <v>242</v>
      </c>
      <c r="E312" s="28" t="s">
        <v>12</v>
      </c>
      <c r="F312" s="27">
        <v>8</v>
      </c>
      <c r="G312" s="27">
        <v>250</v>
      </c>
      <c r="H312" s="27">
        <v>1</v>
      </c>
      <c r="I312" s="35">
        <v>7.6</v>
      </c>
      <c r="J312" s="5">
        <v>4.36</v>
      </c>
    </row>
    <row r="313" spans="2:10">
      <c r="B313" s="27">
        <v>306</v>
      </c>
      <c r="C313" s="27">
        <v>2</v>
      </c>
      <c r="D313" s="28" t="s">
        <v>243</v>
      </c>
      <c r="E313" s="28" t="s">
        <v>12</v>
      </c>
      <c r="F313" s="27">
        <v>-1</v>
      </c>
      <c r="G313" s="27">
        <v>225</v>
      </c>
      <c r="H313" s="27">
        <v>0</v>
      </c>
      <c r="I313" s="35">
        <v>7.3</v>
      </c>
      <c r="J313" s="5">
        <v>4.41</v>
      </c>
    </row>
    <row r="314" spans="2:10">
      <c r="B314" s="27">
        <v>306</v>
      </c>
      <c r="C314" s="27">
        <v>3</v>
      </c>
      <c r="D314" s="28" t="s">
        <v>244</v>
      </c>
      <c r="E314" s="28" t="s">
        <v>12</v>
      </c>
      <c r="F314" s="27">
        <v>12.5</v>
      </c>
      <c r="G314" s="27">
        <v>227</v>
      </c>
      <c r="H314" s="27">
        <v>1</v>
      </c>
      <c r="I314" s="35">
        <v>7.1</v>
      </c>
      <c r="J314" s="5">
        <v>4.36</v>
      </c>
    </row>
    <row r="315" spans="2:11">
      <c r="B315" s="27">
        <v>306</v>
      </c>
      <c r="C315" s="27">
        <v>4</v>
      </c>
      <c r="D315" s="28" t="s">
        <v>245</v>
      </c>
      <c r="E315" s="28" t="s">
        <v>12</v>
      </c>
      <c r="K315" s="27">
        <v>50</v>
      </c>
    </row>
    <row r="316" spans="2:10">
      <c r="B316" s="27">
        <v>306</v>
      </c>
      <c r="C316" s="27">
        <v>5</v>
      </c>
      <c r="D316" s="28" t="s">
        <v>246</v>
      </c>
      <c r="E316" s="28" t="s">
        <v>12</v>
      </c>
      <c r="F316" s="27">
        <v>11</v>
      </c>
      <c r="G316" s="27">
        <v>211</v>
      </c>
      <c r="H316" s="27">
        <v>1</v>
      </c>
      <c r="I316" s="35">
        <v>7.8</v>
      </c>
      <c r="J316" s="5">
        <v>4.3</v>
      </c>
    </row>
    <row r="317" spans="2:10">
      <c r="B317" s="27">
        <v>306</v>
      </c>
      <c r="C317" s="27">
        <v>6</v>
      </c>
      <c r="D317" s="28" t="s">
        <v>247</v>
      </c>
      <c r="E317" s="28" t="s">
        <v>12</v>
      </c>
      <c r="F317" s="27">
        <v>-9</v>
      </c>
      <c r="G317" s="27">
        <v>215</v>
      </c>
      <c r="H317" s="27">
        <v>6</v>
      </c>
      <c r="I317" s="35">
        <v>7.5</v>
      </c>
      <c r="J317" s="5">
        <v>3.56</v>
      </c>
    </row>
    <row r="318" spans="2:10">
      <c r="B318" s="27">
        <v>306</v>
      </c>
      <c r="C318" s="27">
        <v>7</v>
      </c>
      <c r="D318" s="28" t="s">
        <v>248</v>
      </c>
      <c r="E318" s="28" t="s">
        <v>12</v>
      </c>
      <c r="F318" s="27">
        <v>0.5</v>
      </c>
      <c r="G318" s="27">
        <v>227</v>
      </c>
      <c r="H318" s="27">
        <v>17</v>
      </c>
      <c r="I318" s="35">
        <v>6.9</v>
      </c>
      <c r="J318" s="5">
        <v>4.36</v>
      </c>
    </row>
    <row r="319" spans="2:10">
      <c r="B319" s="27">
        <v>306</v>
      </c>
      <c r="C319" s="27">
        <v>8</v>
      </c>
      <c r="D319" s="28" t="s">
        <v>249</v>
      </c>
      <c r="E319" s="28" t="s">
        <v>12</v>
      </c>
      <c r="F319" s="27">
        <v>16</v>
      </c>
      <c r="G319" s="27">
        <v>215</v>
      </c>
      <c r="H319" s="27">
        <v>3</v>
      </c>
      <c r="I319" s="35">
        <v>7</v>
      </c>
      <c r="J319" s="5">
        <v>4.36</v>
      </c>
    </row>
    <row r="320" spans="2:10">
      <c r="B320" s="27">
        <v>306</v>
      </c>
      <c r="C320" s="27">
        <v>9</v>
      </c>
      <c r="D320" s="28" t="s">
        <v>250</v>
      </c>
      <c r="E320" s="28" t="s">
        <v>12</v>
      </c>
      <c r="F320" s="27">
        <v>20.5</v>
      </c>
      <c r="G320" s="27">
        <v>244</v>
      </c>
      <c r="H320" s="27">
        <v>11</v>
      </c>
      <c r="I320" s="35">
        <v>7.1</v>
      </c>
      <c r="J320" s="5">
        <v>3.41</v>
      </c>
    </row>
    <row r="321" spans="2:10">
      <c r="B321" s="27">
        <v>306</v>
      </c>
      <c r="C321" s="27">
        <v>10</v>
      </c>
      <c r="D321" s="28" t="s">
        <v>251</v>
      </c>
      <c r="E321" s="28" t="s">
        <v>12</v>
      </c>
      <c r="F321" s="27">
        <v>3.2</v>
      </c>
      <c r="G321" s="27">
        <v>240</v>
      </c>
      <c r="H321" s="27">
        <v>10</v>
      </c>
      <c r="I321" s="35">
        <v>6.6</v>
      </c>
      <c r="J321" s="5">
        <v>5.42</v>
      </c>
    </row>
    <row r="322" spans="4:5">
      <c r="D322" s="28"/>
      <c r="E322" s="28"/>
    </row>
    <row r="323" spans="4:5">
      <c r="D323" s="28"/>
      <c r="E323" s="28"/>
    </row>
    <row r="324" spans="4:5">
      <c r="D324" s="28"/>
      <c r="E324" s="28"/>
    </row>
    <row r="325" spans="4:5">
      <c r="D325" s="28"/>
      <c r="E325" s="28"/>
    </row>
    <row r="326" spans="4:5">
      <c r="D326" s="28"/>
      <c r="E326" s="28"/>
    </row>
    <row r="327" spans="4:5">
      <c r="D327" s="28"/>
      <c r="E327" s="28"/>
    </row>
    <row r="328" spans="4:5">
      <c r="D328" s="28"/>
      <c r="E328" s="28"/>
    </row>
    <row r="329" spans="4:5">
      <c r="D329" s="28"/>
      <c r="E329" s="28"/>
    </row>
    <row r="330" spans="4:5">
      <c r="D330" s="28"/>
      <c r="E330" s="28"/>
    </row>
    <row r="332" s="20" customFormat="1" spans="1:11">
      <c r="A332" s="23" t="s">
        <v>252</v>
      </c>
      <c r="B332" s="51" t="s">
        <v>1</v>
      </c>
      <c r="C332" s="52" t="s">
        <v>2</v>
      </c>
      <c r="D332" s="53" t="s">
        <v>3</v>
      </c>
      <c r="E332" s="53" t="s">
        <v>4</v>
      </c>
      <c r="F332" s="54" t="s">
        <v>5</v>
      </c>
      <c r="G332" s="54" t="s">
        <v>6</v>
      </c>
      <c r="H332" s="54" t="s">
        <v>7</v>
      </c>
      <c r="I332" s="55" t="s">
        <v>8</v>
      </c>
      <c r="J332" s="56" t="s">
        <v>9</v>
      </c>
      <c r="K332" s="52" t="s">
        <v>10</v>
      </c>
    </row>
    <row r="333" spans="2:10">
      <c r="B333" s="27">
        <v>306</v>
      </c>
      <c r="C333" s="27">
        <v>11</v>
      </c>
      <c r="D333" s="30" t="s">
        <v>253</v>
      </c>
      <c r="E333" s="28" t="s">
        <v>12</v>
      </c>
      <c r="F333" s="27">
        <v>20</v>
      </c>
      <c r="G333" s="27">
        <v>242</v>
      </c>
      <c r="H333" s="27">
        <v>5</v>
      </c>
      <c r="I333" s="35">
        <v>7.5</v>
      </c>
      <c r="J333" s="5">
        <v>4.05</v>
      </c>
    </row>
    <row r="334" spans="2:10">
      <c r="B334" s="27">
        <v>306</v>
      </c>
      <c r="C334" s="27">
        <v>12</v>
      </c>
      <c r="D334" s="28" t="s">
        <v>254</v>
      </c>
      <c r="E334" s="28" t="s">
        <v>12</v>
      </c>
      <c r="F334" s="27">
        <v>5.7</v>
      </c>
      <c r="G334" s="27">
        <v>230</v>
      </c>
      <c r="H334" s="27">
        <v>2</v>
      </c>
      <c r="I334" s="35">
        <v>7.2</v>
      </c>
      <c r="J334" s="5">
        <v>4.19</v>
      </c>
    </row>
    <row r="335" spans="2:11">
      <c r="B335" s="27">
        <v>306</v>
      </c>
      <c r="C335" s="27">
        <v>13</v>
      </c>
      <c r="D335" s="28" t="s">
        <v>255</v>
      </c>
      <c r="E335" s="28" t="s">
        <v>12</v>
      </c>
      <c r="K335" s="27">
        <v>50</v>
      </c>
    </row>
    <row r="336" spans="2:10">
      <c r="B336" s="27">
        <v>306</v>
      </c>
      <c r="C336" s="27">
        <v>14</v>
      </c>
      <c r="D336" s="28" t="s">
        <v>256</v>
      </c>
      <c r="E336" s="28" t="s">
        <v>12</v>
      </c>
      <c r="F336" s="27">
        <v>3.4</v>
      </c>
      <c r="G336" s="27">
        <v>212</v>
      </c>
      <c r="H336" s="27">
        <v>1</v>
      </c>
      <c r="I336" s="35">
        <v>7.2</v>
      </c>
      <c r="J336" s="5">
        <v>5.57</v>
      </c>
    </row>
    <row r="337" spans="2:10">
      <c r="B337" s="27">
        <v>306</v>
      </c>
      <c r="C337" s="27">
        <v>15</v>
      </c>
      <c r="D337" s="28" t="s">
        <v>257</v>
      </c>
      <c r="E337" s="28" t="s">
        <v>12</v>
      </c>
      <c r="F337" s="27">
        <v>10.3</v>
      </c>
      <c r="G337" s="27">
        <v>265</v>
      </c>
      <c r="H337" s="27">
        <v>20</v>
      </c>
      <c r="I337" s="35">
        <v>7</v>
      </c>
      <c r="J337" s="5">
        <v>3.47</v>
      </c>
    </row>
    <row r="338" spans="2:10">
      <c r="B338" s="27">
        <v>306</v>
      </c>
      <c r="C338" s="27">
        <v>16</v>
      </c>
      <c r="D338" s="28" t="s">
        <v>258</v>
      </c>
      <c r="E338" s="28" t="s">
        <v>12</v>
      </c>
      <c r="F338" s="27">
        <v>12.7</v>
      </c>
      <c r="G338" s="27">
        <v>240</v>
      </c>
      <c r="H338" s="27">
        <v>9</v>
      </c>
      <c r="I338" s="35">
        <v>7</v>
      </c>
      <c r="J338" s="5">
        <v>5.57</v>
      </c>
    </row>
    <row r="339" spans="2:10">
      <c r="B339" s="27">
        <v>306</v>
      </c>
      <c r="C339" s="27">
        <v>17</v>
      </c>
      <c r="D339" s="28" t="s">
        <v>259</v>
      </c>
      <c r="E339" s="28" t="s">
        <v>12</v>
      </c>
      <c r="F339" s="27">
        <v>13.3</v>
      </c>
      <c r="G339" s="27">
        <v>255</v>
      </c>
      <c r="H339" s="27">
        <v>19</v>
      </c>
      <c r="I339" s="35">
        <v>6.7</v>
      </c>
      <c r="J339" s="5">
        <v>3.36</v>
      </c>
    </row>
    <row r="340" spans="2:10">
      <c r="B340" s="27">
        <v>306</v>
      </c>
      <c r="C340" s="27">
        <v>18</v>
      </c>
      <c r="D340" s="28" t="s">
        <v>260</v>
      </c>
      <c r="E340" s="28" t="s">
        <v>12</v>
      </c>
      <c r="F340" s="27">
        <v>6.1</v>
      </c>
      <c r="G340" s="27">
        <v>225</v>
      </c>
      <c r="H340" s="27">
        <v>3</v>
      </c>
      <c r="I340" s="35">
        <v>7.2</v>
      </c>
      <c r="J340" s="5">
        <v>4.25</v>
      </c>
    </row>
    <row r="341" spans="2:10">
      <c r="B341" s="27">
        <v>306</v>
      </c>
      <c r="C341" s="27">
        <v>19</v>
      </c>
      <c r="D341" s="28" t="s">
        <v>261</v>
      </c>
      <c r="E341" s="28" t="s">
        <v>12</v>
      </c>
      <c r="F341" s="27">
        <v>3.5</v>
      </c>
      <c r="G341" s="27">
        <v>253</v>
      </c>
      <c r="H341" s="27">
        <v>3</v>
      </c>
      <c r="I341" s="35">
        <v>6.9</v>
      </c>
      <c r="J341" s="5">
        <v>4.09</v>
      </c>
    </row>
    <row r="342" spans="2:10">
      <c r="B342" s="27">
        <v>306</v>
      </c>
      <c r="C342" s="27">
        <v>20</v>
      </c>
      <c r="D342" s="28" t="s">
        <v>262</v>
      </c>
      <c r="E342" s="28" t="s">
        <v>12</v>
      </c>
      <c r="F342" s="27">
        <v>8.2</v>
      </c>
      <c r="G342" s="27">
        <v>230</v>
      </c>
      <c r="H342" s="27">
        <v>10</v>
      </c>
      <c r="I342" s="35">
        <v>7.5</v>
      </c>
      <c r="J342" s="5">
        <v>5.57</v>
      </c>
    </row>
    <row r="343" spans="2:10">
      <c r="B343" s="27">
        <v>306</v>
      </c>
      <c r="C343" s="27">
        <v>21</v>
      </c>
      <c r="D343" s="28" t="s">
        <v>263</v>
      </c>
      <c r="E343" s="28" t="s">
        <v>12</v>
      </c>
      <c r="F343" s="27">
        <v>17.7</v>
      </c>
      <c r="G343" s="27">
        <v>270</v>
      </c>
      <c r="H343" s="27">
        <v>7</v>
      </c>
      <c r="I343" s="35">
        <v>6.9</v>
      </c>
      <c r="J343" s="5">
        <v>3.39</v>
      </c>
    </row>
    <row r="344" spans="4:5">
      <c r="D344" s="28"/>
      <c r="E344" s="28"/>
    </row>
    <row r="346" s="20" customFormat="1" spans="1:11">
      <c r="A346" s="23" t="s">
        <v>264</v>
      </c>
      <c r="B346" s="51" t="s">
        <v>1</v>
      </c>
      <c r="C346" s="52" t="s">
        <v>2</v>
      </c>
      <c r="D346" s="53" t="s">
        <v>3</v>
      </c>
      <c r="E346" s="53" t="s">
        <v>4</v>
      </c>
      <c r="F346" s="54" t="s">
        <v>5</v>
      </c>
      <c r="G346" s="54" t="s">
        <v>6</v>
      </c>
      <c r="H346" s="54" t="s">
        <v>7</v>
      </c>
      <c r="I346" s="55" t="s">
        <v>8</v>
      </c>
      <c r="J346" s="56" t="s">
        <v>9</v>
      </c>
      <c r="K346" s="52" t="s">
        <v>10</v>
      </c>
    </row>
    <row r="347" spans="2:10">
      <c r="B347" s="27">
        <v>306</v>
      </c>
      <c r="C347" s="27">
        <v>22</v>
      </c>
      <c r="D347" s="30" t="s">
        <v>265</v>
      </c>
      <c r="E347" s="28" t="s">
        <v>12</v>
      </c>
      <c r="F347" s="27">
        <v>3.7</v>
      </c>
      <c r="G347" s="27">
        <v>219</v>
      </c>
      <c r="H347" s="27">
        <v>0</v>
      </c>
      <c r="I347" s="35">
        <v>8.2</v>
      </c>
      <c r="J347" s="5">
        <v>6.48</v>
      </c>
    </row>
    <row r="348" spans="2:10">
      <c r="B348" s="27">
        <v>306</v>
      </c>
      <c r="C348" s="27">
        <v>23</v>
      </c>
      <c r="D348" s="28" t="s">
        <v>266</v>
      </c>
      <c r="E348" s="28" t="s">
        <v>12</v>
      </c>
      <c r="F348" s="27">
        <v>13.7</v>
      </c>
      <c r="G348" s="27">
        <v>216</v>
      </c>
      <c r="H348" s="27">
        <v>1</v>
      </c>
      <c r="I348" s="35">
        <v>8</v>
      </c>
      <c r="J348" s="5">
        <v>6.52</v>
      </c>
    </row>
    <row r="349" spans="2:10">
      <c r="B349" s="27">
        <v>306</v>
      </c>
      <c r="C349" s="27">
        <v>24</v>
      </c>
      <c r="D349" s="28" t="s">
        <v>267</v>
      </c>
      <c r="E349" s="28" t="s">
        <v>12</v>
      </c>
      <c r="F349" s="27">
        <v>14.4</v>
      </c>
      <c r="G349" s="27">
        <v>241</v>
      </c>
      <c r="H349" s="27">
        <v>5</v>
      </c>
      <c r="I349" s="35">
        <v>8.7</v>
      </c>
      <c r="J349" s="5">
        <v>4.39</v>
      </c>
    </row>
    <row r="350" spans="2:10">
      <c r="B350" s="27">
        <v>306</v>
      </c>
      <c r="C350" s="27">
        <v>25</v>
      </c>
      <c r="D350" s="28" t="s">
        <v>268</v>
      </c>
      <c r="E350" s="28" t="s">
        <v>12</v>
      </c>
      <c r="F350" s="27">
        <v>12</v>
      </c>
      <c r="G350" s="27">
        <v>244</v>
      </c>
      <c r="H350" s="27">
        <v>5</v>
      </c>
      <c r="I350" s="35">
        <v>8.7</v>
      </c>
      <c r="J350" s="5">
        <v>6.58</v>
      </c>
    </row>
    <row r="351" spans="2:10">
      <c r="B351" s="27">
        <v>306</v>
      </c>
      <c r="C351" s="27">
        <v>26</v>
      </c>
      <c r="D351" s="28" t="s">
        <v>269</v>
      </c>
      <c r="E351" s="28" t="s">
        <v>12</v>
      </c>
      <c r="F351" s="27">
        <v>9.2</v>
      </c>
      <c r="G351" s="27">
        <v>229</v>
      </c>
      <c r="H351" s="27">
        <v>1</v>
      </c>
      <c r="I351" s="35">
        <v>15</v>
      </c>
      <c r="J351" s="5">
        <v>12.4</v>
      </c>
    </row>
    <row r="352" spans="2:10">
      <c r="B352" s="27">
        <v>306</v>
      </c>
      <c r="C352" s="27">
        <v>27</v>
      </c>
      <c r="D352" s="28" t="s">
        <v>270</v>
      </c>
      <c r="E352" s="28" t="s">
        <v>12</v>
      </c>
      <c r="F352" s="27">
        <v>1</v>
      </c>
      <c r="G352" s="27">
        <v>247</v>
      </c>
      <c r="H352" s="27">
        <v>3</v>
      </c>
      <c r="I352" s="35">
        <v>7.1</v>
      </c>
      <c r="J352" s="5">
        <v>4.24</v>
      </c>
    </row>
    <row r="353" spans="2:10">
      <c r="B353" s="27">
        <v>306</v>
      </c>
      <c r="C353" s="27">
        <v>28</v>
      </c>
      <c r="D353" s="28" t="s">
        <v>271</v>
      </c>
      <c r="E353" s="28" t="s">
        <v>12</v>
      </c>
      <c r="F353" s="27">
        <v>20</v>
      </c>
      <c r="G353" s="27">
        <v>273</v>
      </c>
      <c r="H353" s="27">
        <v>18</v>
      </c>
      <c r="I353" s="35">
        <v>6.7</v>
      </c>
      <c r="J353" s="5">
        <v>4.49</v>
      </c>
    </row>
    <row r="354" spans="2:10">
      <c r="B354" s="27">
        <v>306</v>
      </c>
      <c r="C354" s="27">
        <v>29</v>
      </c>
      <c r="D354" s="28" t="s">
        <v>272</v>
      </c>
      <c r="E354" s="28" t="s">
        <v>12</v>
      </c>
      <c r="F354" s="27">
        <v>15</v>
      </c>
      <c r="G354" s="27">
        <v>213</v>
      </c>
      <c r="H354" s="27">
        <v>7</v>
      </c>
      <c r="I354" s="35">
        <v>8.5</v>
      </c>
      <c r="J354" s="5">
        <v>4.56</v>
      </c>
    </row>
    <row r="355" spans="2:10">
      <c r="B355" s="27">
        <v>306</v>
      </c>
      <c r="C355" s="27">
        <v>30</v>
      </c>
      <c r="D355" s="28" t="s">
        <v>273</v>
      </c>
      <c r="E355" s="28" t="s">
        <v>12</v>
      </c>
      <c r="F355" s="27">
        <v>6</v>
      </c>
      <c r="G355" s="27">
        <v>216</v>
      </c>
      <c r="H355" s="27">
        <v>6</v>
      </c>
      <c r="I355" s="35">
        <v>7.7</v>
      </c>
      <c r="J355" s="5">
        <v>4.4</v>
      </c>
    </row>
    <row r="356" spans="2:10">
      <c r="B356" s="27">
        <v>306</v>
      </c>
      <c r="C356" s="27">
        <v>31</v>
      </c>
      <c r="D356" s="28" t="s">
        <v>274</v>
      </c>
      <c r="E356" s="28" t="s">
        <v>12</v>
      </c>
      <c r="F356" s="27">
        <v>24.5</v>
      </c>
      <c r="G356" s="27">
        <v>219</v>
      </c>
      <c r="H356" s="27">
        <v>0</v>
      </c>
      <c r="I356" s="35">
        <v>8.3</v>
      </c>
      <c r="J356" s="5">
        <v>4.58</v>
      </c>
    </row>
    <row r="357" spans="2:10">
      <c r="B357" s="27">
        <v>306</v>
      </c>
      <c r="C357" s="27">
        <v>32</v>
      </c>
      <c r="D357" s="28" t="s">
        <v>275</v>
      </c>
      <c r="E357" s="28" t="s">
        <v>12</v>
      </c>
      <c r="F357" s="27">
        <v>7.2</v>
      </c>
      <c r="G357" s="27">
        <v>250</v>
      </c>
      <c r="H357" s="27">
        <v>3</v>
      </c>
      <c r="I357" s="35">
        <v>6.8</v>
      </c>
      <c r="J357" s="5">
        <v>4.22</v>
      </c>
    </row>
    <row r="358" spans="4:5">
      <c r="D358" s="28"/>
      <c r="E358" s="28"/>
    </row>
    <row r="359" spans="4:5">
      <c r="D359" s="28"/>
      <c r="E359" s="28"/>
    </row>
    <row r="360" spans="4:5">
      <c r="D360" s="28"/>
      <c r="E360" s="28"/>
    </row>
    <row r="361" spans="4:5">
      <c r="D361" s="28"/>
      <c r="E361" s="28"/>
    </row>
    <row r="362" spans="4:5">
      <c r="D362" s="28"/>
      <c r="E362" s="28"/>
    </row>
    <row r="363" spans="4:5">
      <c r="D363" s="28"/>
      <c r="E363" s="28"/>
    </row>
    <row r="364" spans="4:5">
      <c r="D364" s="28"/>
      <c r="E364" s="28"/>
    </row>
    <row r="365" spans="4:5">
      <c r="D365" s="28"/>
      <c r="E365" s="28"/>
    </row>
    <row r="366" spans="4:5">
      <c r="D366" s="28"/>
      <c r="E366" s="28"/>
    </row>
    <row r="368" s="20" customFormat="1" spans="1:11">
      <c r="A368" s="23" t="s">
        <v>276</v>
      </c>
      <c r="B368" s="51" t="s">
        <v>1</v>
      </c>
      <c r="C368" s="52" t="s">
        <v>2</v>
      </c>
      <c r="D368" s="53" t="s">
        <v>3</v>
      </c>
      <c r="E368" s="53" t="s">
        <v>4</v>
      </c>
      <c r="F368" s="54" t="s">
        <v>5</v>
      </c>
      <c r="G368" s="54" t="s">
        <v>6</v>
      </c>
      <c r="H368" s="54" t="s">
        <v>7</v>
      </c>
      <c r="I368" s="55" t="s">
        <v>8</v>
      </c>
      <c r="J368" s="56" t="s">
        <v>9</v>
      </c>
      <c r="K368" s="52" t="s">
        <v>10</v>
      </c>
    </row>
    <row r="369" spans="2:10">
      <c r="B369" s="27">
        <v>306</v>
      </c>
      <c r="C369" s="27">
        <v>33</v>
      </c>
      <c r="D369" s="30" t="s">
        <v>277</v>
      </c>
      <c r="E369" s="28" t="s">
        <v>46</v>
      </c>
      <c r="F369" s="27">
        <v>0.5</v>
      </c>
      <c r="G369" s="27">
        <v>155</v>
      </c>
      <c r="H369" s="27">
        <v>50</v>
      </c>
      <c r="I369" s="35">
        <v>10.3</v>
      </c>
      <c r="J369" s="5">
        <v>4.28</v>
      </c>
    </row>
    <row r="370" spans="2:11">
      <c r="B370" s="27">
        <v>306</v>
      </c>
      <c r="C370" s="27">
        <v>34</v>
      </c>
      <c r="D370" s="28" t="s">
        <v>278</v>
      </c>
      <c r="E370" s="28" t="s">
        <v>46</v>
      </c>
      <c r="K370" s="27">
        <v>50</v>
      </c>
    </row>
    <row r="371" spans="2:10">
      <c r="B371" s="27">
        <v>306</v>
      </c>
      <c r="C371" s="27">
        <v>35</v>
      </c>
      <c r="D371" s="28" t="s">
        <v>279</v>
      </c>
      <c r="E371" s="28" t="s">
        <v>46</v>
      </c>
      <c r="F371" s="27">
        <v>28</v>
      </c>
      <c r="G371" s="27">
        <v>190</v>
      </c>
      <c r="H371" s="27">
        <v>62</v>
      </c>
      <c r="I371" s="35">
        <v>8.2</v>
      </c>
      <c r="J371" s="5">
        <v>3.328</v>
      </c>
    </row>
    <row r="372" spans="2:10">
      <c r="B372" s="27">
        <v>306</v>
      </c>
      <c r="C372" s="27">
        <v>36</v>
      </c>
      <c r="D372" s="28" t="s">
        <v>280</v>
      </c>
      <c r="E372" s="28" t="s">
        <v>46</v>
      </c>
      <c r="F372" s="27">
        <v>25.5</v>
      </c>
      <c r="G372" s="27">
        <v>172</v>
      </c>
      <c r="H372" s="27">
        <v>56</v>
      </c>
      <c r="I372" s="35">
        <v>8.7</v>
      </c>
      <c r="J372" s="5">
        <v>3.52</v>
      </c>
    </row>
    <row r="373" spans="2:10">
      <c r="B373" s="27">
        <v>306</v>
      </c>
      <c r="C373" s="27">
        <v>37</v>
      </c>
      <c r="D373" s="28" t="s">
        <v>281</v>
      </c>
      <c r="E373" s="28" t="s">
        <v>46</v>
      </c>
      <c r="F373" s="27">
        <v>7</v>
      </c>
      <c r="G373" s="27">
        <v>174</v>
      </c>
      <c r="H373" s="27">
        <v>41</v>
      </c>
      <c r="I373" s="35">
        <v>9.7</v>
      </c>
      <c r="J373" s="5">
        <v>4.11</v>
      </c>
    </row>
    <row r="374" spans="2:10">
      <c r="B374" s="27">
        <v>306</v>
      </c>
      <c r="C374" s="27">
        <v>38</v>
      </c>
      <c r="D374" s="28" t="s">
        <v>282</v>
      </c>
      <c r="E374" s="28" t="s">
        <v>46</v>
      </c>
      <c r="F374" s="27">
        <v>25.5</v>
      </c>
      <c r="G374" s="27">
        <v>165</v>
      </c>
      <c r="H374" s="27">
        <v>42</v>
      </c>
      <c r="I374" s="35">
        <v>9.9</v>
      </c>
      <c r="J374" s="5">
        <v>4.04</v>
      </c>
    </row>
    <row r="375" spans="2:11">
      <c r="B375" s="27">
        <v>306</v>
      </c>
      <c r="C375" s="27">
        <v>39</v>
      </c>
      <c r="D375" s="28" t="s">
        <v>283</v>
      </c>
      <c r="E375" s="28" t="s">
        <v>46</v>
      </c>
      <c r="K375" s="27">
        <v>50</v>
      </c>
    </row>
    <row r="376" spans="2:10">
      <c r="B376" s="27">
        <v>306</v>
      </c>
      <c r="C376" s="27">
        <v>40</v>
      </c>
      <c r="D376" s="28" t="s">
        <v>284</v>
      </c>
      <c r="E376" s="28" t="s">
        <v>46</v>
      </c>
      <c r="F376" s="27">
        <v>13</v>
      </c>
      <c r="G376" s="27">
        <v>140</v>
      </c>
      <c r="H376" s="27">
        <v>34</v>
      </c>
      <c r="I376" s="35">
        <v>9.7</v>
      </c>
      <c r="J376" s="5">
        <v>4.09</v>
      </c>
    </row>
    <row r="377" spans="2:11">
      <c r="B377" s="27">
        <v>306</v>
      </c>
      <c r="C377" s="27">
        <v>41</v>
      </c>
      <c r="D377" s="28" t="s">
        <v>285</v>
      </c>
      <c r="E377" s="28" t="s">
        <v>46</v>
      </c>
      <c r="K377" s="27">
        <v>50</v>
      </c>
    </row>
    <row r="378" spans="2:10">
      <c r="B378" s="27">
        <v>306</v>
      </c>
      <c r="C378" s="27">
        <v>42</v>
      </c>
      <c r="D378" s="28" t="s">
        <v>286</v>
      </c>
      <c r="E378" s="28" t="s">
        <v>46</v>
      </c>
      <c r="F378" s="27">
        <v>15.5</v>
      </c>
      <c r="G378" s="27">
        <v>180</v>
      </c>
      <c r="H378" s="27">
        <v>42</v>
      </c>
      <c r="I378" s="35">
        <v>9.3</v>
      </c>
      <c r="J378" s="5">
        <v>3.56</v>
      </c>
    </row>
    <row r="379" spans="4:5">
      <c r="D379" s="28"/>
      <c r="E379" s="28"/>
    </row>
    <row r="381" s="20" customFormat="1" spans="1:11">
      <c r="A381" s="23" t="s">
        <v>287</v>
      </c>
      <c r="B381" s="51" t="s">
        <v>1</v>
      </c>
      <c r="C381" s="52" t="s">
        <v>2</v>
      </c>
      <c r="D381" s="53" t="s">
        <v>3</v>
      </c>
      <c r="E381" s="53" t="s">
        <v>4</v>
      </c>
      <c r="F381" s="54" t="s">
        <v>5</v>
      </c>
      <c r="G381" s="54" t="s">
        <v>6</v>
      </c>
      <c r="H381" s="54" t="s">
        <v>7</v>
      </c>
      <c r="I381" s="55" t="s">
        <v>8</v>
      </c>
      <c r="J381" s="56" t="s">
        <v>9</v>
      </c>
      <c r="K381" s="52" t="s">
        <v>10</v>
      </c>
    </row>
    <row r="382" spans="2:10">
      <c r="B382" s="27">
        <v>306</v>
      </c>
      <c r="C382" s="27">
        <v>43</v>
      </c>
      <c r="D382" s="30" t="s">
        <v>288</v>
      </c>
      <c r="E382" s="28" t="s">
        <v>46</v>
      </c>
      <c r="F382" s="27">
        <v>10.5</v>
      </c>
      <c r="G382" s="27">
        <v>179</v>
      </c>
      <c r="H382" s="27">
        <v>46</v>
      </c>
      <c r="I382" s="35">
        <v>9.1</v>
      </c>
      <c r="J382" s="5">
        <v>3.48</v>
      </c>
    </row>
    <row r="383" spans="2:10">
      <c r="B383" s="27">
        <v>306</v>
      </c>
      <c r="C383" s="27">
        <v>44</v>
      </c>
      <c r="D383" s="28" t="s">
        <v>289</v>
      </c>
      <c r="E383" s="28" t="s">
        <v>46</v>
      </c>
      <c r="F383" s="27">
        <v>19.5</v>
      </c>
      <c r="G383" s="27">
        <v>182</v>
      </c>
      <c r="H383" s="27">
        <v>42</v>
      </c>
      <c r="I383" s="35">
        <v>8.6</v>
      </c>
      <c r="J383" s="5">
        <v>4.01</v>
      </c>
    </row>
    <row r="384" spans="2:10">
      <c r="B384" s="27">
        <v>306</v>
      </c>
      <c r="C384" s="27">
        <v>45</v>
      </c>
      <c r="D384" s="28" t="s">
        <v>290</v>
      </c>
      <c r="E384" s="28" t="s">
        <v>46</v>
      </c>
      <c r="F384" s="27">
        <v>25.6</v>
      </c>
      <c r="G384" s="27">
        <v>205</v>
      </c>
      <c r="H384" s="27">
        <v>49</v>
      </c>
      <c r="I384" s="35">
        <v>8.1</v>
      </c>
      <c r="J384" s="5">
        <v>3.52</v>
      </c>
    </row>
    <row r="385" spans="2:10">
      <c r="B385" s="27">
        <v>306</v>
      </c>
      <c r="C385" s="27">
        <v>46</v>
      </c>
      <c r="D385" s="28" t="s">
        <v>291</v>
      </c>
      <c r="E385" s="28" t="s">
        <v>46</v>
      </c>
      <c r="F385" s="27">
        <v>12.5</v>
      </c>
      <c r="G385" s="27">
        <v>173</v>
      </c>
      <c r="H385" s="27">
        <v>43</v>
      </c>
      <c r="I385" s="35">
        <v>9.1</v>
      </c>
      <c r="J385" s="5">
        <v>4.23</v>
      </c>
    </row>
    <row r="386" spans="2:10">
      <c r="B386" s="27">
        <v>306</v>
      </c>
      <c r="C386" s="27">
        <v>47</v>
      </c>
      <c r="D386" s="28" t="s">
        <v>292</v>
      </c>
      <c r="E386" s="28" t="s">
        <v>46</v>
      </c>
      <c r="F386" s="27">
        <v>10</v>
      </c>
      <c r="G386" s="27">
        <v>163</v>
      </c>
      <c r="H386" s="27">
        <v>41</v>
      </c>
      <c r="I386" s="35">
        <v>9.6</v>
      </c>
      <c r="J386" s="5">
        <v>4.05</v>
      </c>
    </row>
    <row r="387" spans="2:10">
      <c r="B387" s="27">
        <v>306</v>
      </c>
      <c r="C387" s="27">
        <v>48</v>
      </c>
      <c r="D387" s="28" t="s">
        <v>293</v>
      </c>
      <c r="E387" s="28" t="s">
        <v>46</v>
      </c>
      <c r="F387" s="27">
        <v>12</v>
      </c>
      <c r="G387" s="27">
        <v>195</v>
      </c>
      <c r="H387" s="27">
        <v>46</v>
      </c>
      <c r="I387" s="35">
        <v>8.9</v>
      </c>
      <c r="J387" s="5">
        <v>3.45</v>
      </c>
    </row>
    <row r="388" spans="2:10">
      <c r="B388" s="27">
        <v>306</v>
      </c>
      <c r="C388" s="27">
        <v>49</v>
      </c>
      <c r="D388" s="28" t="s">
        <v>294</v>
      </c>
      <c r="E388" s="28" t="s">
        <v>46</v>
      </c>
      <c r="F388" s="27">
        <v>25</v>
      </c>
      <c r="G388" s="27">
        <v>173</v>
      </c>
      <c r="H388" s="27">
        <v>50</v>
      </c>
      <c r="I388" s="35">
        <v>9.2</v>
      </c>
      <c r="J388" s="5">
        <v>3.58</v>
      </c>
    </row>
    <row r="389" spans="2:10">
      <c r="B389" s="27">
        <v>306</v>
      </c>
      <c r="C389" s="27">
        <v>50</v>
      </c>
      <c r="D389" s="28" t="s">
        <v>295</v>
      </c>
      <c r="E389" s="28" t="s">
        <v>46</v>
      </c>
      <c r="F389" s="27">
        <v>17</v>
      </c>
      <c r="G389" s="27">
        <v>130</v>
      </c>
      <c r="H389" s="27">
        <v>45</v>
      </c>
      <c r="I389" s="35">
        <v>9.8</v>
      </c>
      <c r="J389" s="5">
        <v>4.13</v>
      </c>
    </row>
    <row r="390" spans="2:10">
      <c r="B390" s="27">
        <v>306</v>
      </c>
      <c r="C390" s="27">
        <v>51</v>
      </c>
      <c r="D390" s="28" t="s">
        <v>296</v>
      </c>
      <c r="E390" s="28" t="s">
        <v>46</v>
      </c>
      <c r="F390" s="27">
        <v>15</v>
      </c>
      <c r="G390" s="27">
        <v>163</v>
      </c>
      <c r="H390" s="27">
        <v>38</v>
      </c>
      <c r="I390" s="35">
        <v>9.8</v>
      </c>
      <c r="J390" s="5">
        <v>4.32</v>
      </c>
    </row>
    <row r="391" spans="2:10">
      <c r="B391" s="27">
        <v>306</v>
      </c>
      <c r="C391" s="27">
        <v>52</v>
      </c>
      <c r="D391" s="28" t="s">
        <v>297</v>
      </c>
      <c r="E391" s="28" t="s">
        <v>46</v>
      </c>
      <c r="F391" s="27">
        <v>14</v>
      </c>
      <c r="G391" s="27">
        <v>205</v>
      </c>
      <c r="H391" s="27">
        <v>35</v>
      </c>
      <c r="I391" s="35">
        <v>8.1</v>
      </c>
      <c r="J391" s="5">
        <v>3.36</v>
      </c>
    </row>
    <row r="394" s="20" customFormat="1" spans="1:11">
      <c r="A394" s="23" t="s">
        <v>298</v>
      </c>
      <c r="B394" s="51" t="s">
        <v>1</v>
      </c>
      <c r="C394" s="52" t="s">
        <v>2</v>
      </c>
      <c r="D394" s="53" t="s">
        <v>3</v>
      </c>
      <c r="E394" s="53" t="s">
        <v>4</v>
      </c>
      <c r="F394" s="54" t="s">
        <v>5</v>
      </c>
      <c r="G394" s="54" t="s">
        <v>6</v>
      </c>
      <c r="H394" s="54" t="s">
        <v>7</v>
      </c>
      <c r="I394" s="55" t="s">
        <v>8</v>
      </c>
      <c r="J394" s="56" t="s">
        <v>9</v>
      </c>
      <c r="K394" s="52" t="s">
        <v>10</v>
      </c>
    </row>
    <row r="395" spans="2:10">
      <c r="B395" s="27">
        <v>307</v>
      </c>
      <c r="C395" s="27">
        <v>1</v>
      </c>
      <c r="D395" s="30" t="s">
        <v>299</v>
      </c>
      <c r="E395" s="28" t="s">
        <v>12</v>
      </c>
      <c r="F395" s="27">
        <v>17.5</v>
      </c>
      <c r="G395" s="27">
        <v>245</v>
      </c>
      <c r="H395" s="27">
        <v>4</v>
      </c>
      <c r="I395" s="35">
        <v>6.7</v>
      </c>
      <c r="J395" s="5">
        <v>3.12</v>
      </c>
    </row>
    <row r="396" spans="2:11">
      <c r="B396" s="27">
        <v>307</v>
      </c>
      <c r="C396" s="27">
        <v>2</v>
      </c>
      <c r="D396" s="28" t="s">
        <v>300</v>
      </c>
      <c r="E396" s="28" t="s">
        <v>12</v>
      </c>
      <c r="K396" s="27">
        <v>50</v>
      </c>
    </row>
    <row r="397" spans="2:10">
      <c r="B397" s="27">
        <v>307</v>
      </c>
      <c r="C397" s="27">
        <v>3</v>
      </c>
      <c r="D397" s="28" t="s">
        <v>301</v>
      </c>
      <c r="E397" s="28" t="s">
        <v>12</v>
      </c>
      <c r="F397" s="27">
        <v>14</v>
      </c>
      <c r="G397" s="27">
        <v>282</v>
      </c>
      <c r="H397" s="27">
        <v>9</v>
      </c>
      <c r="I397" s="35">
        <v>6.8</v>
      </c>
      <c r="J397" s="5">
        <v>4.26</v>
      </c>
    </row>
    <row r="398" spans="2:10">
      <c r="B398" s="27">
        <v>307</v>
      </c>
      <c r="C398" s="27">
        <v>4</v>
      </c>
      <c r="D398" s="28" t="s">
        <v>302</v>
      </c>
      <c r="E398" s="28" t="s">
        <v>12</v>
      </c>
      <c r="F398" s="27">
        <v>11.8</v>
      </c>
      <c r="G398" s="27">
        <v>235</v>
      </c>
      <c r="H398" s="27">
        <v>4</v>
      </c>
      <c r="I398" s="35">
        <v>7.8</v>
      </c>
      <c r="J398" s="5">
        <v>4.36</v>
      </c>
    </row>
    <row r="399" spans="2:10">
      <c r="B399" s="27">
        <v>307</v>
      </c>
      <c r="C399" s="27">
        <v>5</v>
      </c>
      <c r="D399" s="28" t="s">
        <v>303</v>
      </c>
      <c r="E399" s="28" t="s">
        <v>12</v>
      </c>
      <c r="F399" s="27">
        <v>9.4</v>
      </c>
      <c r="G399" s="27">
        <v>240</v>
      </c>
      <c r="H399" s="27">
        <v>18</v>
      </c>
      <c r="I399" s="35">
        <v>6.9</v>
      </c>
      <c r="J399" s="5">
        <v>3.56</v>
      </c>
    </row>
    <row r="400" spans="2:10">
      <c r="B400" s="27">
        <v>307</v>
      </c>
      <c r="C400" s="27">
        <v>6</v>
      </c>
      <c r="D400" s="28" t="s">
        <v>304</v>
      </c>
      <c r="E400" s="28" t="s">
        <v>12</v>
      </c>
      <c r="F400" s="27">
        <v>7</v>
      </c>
      <c r="G400" s="27">
        <v>252</v>
      </c>
      <c r="H400" s="27">
        <v>10</v>
      </c>
      <c r="I400" s="35">
        <v>7.4</v>
      </c>
      <c r="J400" s="5">
        <v>4.34</v>
      </c>
    </row>
    <row r="401" spans="2:10">
      <c r="B401" s="27">
        <v>307</v>
      </c>
      <c r="C401" s="27">
        <v>7</v>
      </c>
      <c r="D401" s="28" t="s">
        <v>305</v>
      </c>
      <c r="E401" s="28" t="s">
        <v>12</v>
      </c>
      <c r="F401" s="27">
        <v>2</v>
      </c>
      <c r="G401" s="27">
        <v>240</v>
      </c>
      <c r="H401" s="27">
        <v>4</v>
      </c>
      <c r="I401" s="35">
        <v>6.9</v>
      </c>
      <c r="J401" s="5">
        <v>3.56</v>
      </c>
    </row>
    <row r="402" spans="2:10">
      <c r="B402" s="27">
        <v>307</v>
      </c>
      <c r="C402" s="27">
        <v>8</v>
      </c>
      <c r="D402" s="28" t="s">
        <v>306</v>
      </c>
      <c r="E402" s="28" t="s">
        <v>12</v>
      </c>
      <c r="F402" s="27">
        <v>1</v>
      </c>
      <c r="G402" s="27">
        <v>190</v>
      </c>
      <c r="H402" s="27">
        <v>1</v>
      </c>
      <c r="I402" s="35">
        <v>8</v>
      </c>
      <c r="J402" s="5">
        <v>5.11</v>
      </c>
    </row>
    <row r="403" spans="2:10">
      <c r="B403" s="27">
        <v>307</v>
      </c>
      <c r="C403" s="27">
        <v>9</v>
      </c>
      <c r="D403" s="28" t="s">
        <v>307</v>
      </c>
      <c r="E403" s="28" t="s">
        <v>12</v>
      </c>
      <c r="F403" s="27">
        <v>11</v>
      </c>
      <c r="G403" s="27">
        <v>262</v>
      </c>
      <c r="H403" s="27">
        <v>22</v>
      </c>
      <c r="I403" s="35">
        <v>7</v>
      </c>
      <c r="J403" s="5">
        <v>3.47</v>
      </c>
    </row>
    <row r="405" s="22" customFormat="1" spans="1:11">
      <c r="A405" s="23"/>
      <c r="B405" s="51"/>
      <c r="C405" s="52"/>
      <c r="D405" s="53"/>
      <c r="E405" s="53"/>
      <c r="F405" s="54"/>
      <c r="G405" s="54"/>
      <c r="H405" s="54"/>
      <c r="I405" s="55"/>
      <c r="J405" s="56"/>
      <c r="K405" s="52"/>
    </row>
    <row r="406" s="20" customFormat="1" spans="1:11">
      <c r="A406" s="23" t="s">
        <v>308</v>
      </c>
      <c r="B406" s="51" t="s">
        <v>1</v>
      </c>
      <c r="C406" s="52" t="s">
        <v>2</v>
      </c>
      <c r="D406" s="53" t="s">
        <v>3</v>
      </c>
      <c r="E406" s="53" t="s">
        <v>4</v>
      </c>
      <c r="F406" s="54" t="s">
        <v>5</v>
      </c>
      <c r="G406" s="54" t="s">
        <v>6</v>
      </c>
      <c r="H406" s="54" t="s">
        <v>7</v>
      </c>
      <c r="I406" s="55" t="s">
        <v>8</v>
      </c>
      <c r="J406" s="56" t="s">
        <v>9</v>
      </c>
      <c r="K406" s="52" t="s">
        <v>10</v>
      </c>
    </row>
    <row r="407" spans="2:10">
      <c r="B407" s="27">
        <v>307</v>
      </c>
      <c r="C407" s="27">
        <v>10</v>
      </c>
      <c r="D407" s="30" t="s">
        <v>309</v>
      </c>
      <c r="E407" s="28" t="s">
        <v>12</v>
      </c>
      <c r="F407" s="27">
        <v>9.2</v>
      </c>
      <c r="G407" s="27">
        <v>222</v>
      </c>
      <c r="H407" s="27">
        <v>1</v>
      </c>
      <c r="I407" s="35">
        <v>7.3</v>
      </c>
      <c r="J407" s="5">
        <v>4.44</v>
      </c>
    </row>
    <row r="408" spans="2:10">
      <c r="B408" s="27">
        <v>307</v>
      </c>
      <c r="C408" s="27">
        <v>11</v>
      </c>
      <c r="D408" s="28" t="s">
        <v>310</v>
      </c>
      <c r="E408" s="28" t="s">
        <v>12</v>
      </c>
      <c r="F408" s="27">
        <v>16</v>
      </c>
      <c r="G408" s="27">
        <v>197</v>
      </c>
      <c r="H408" s="27">
        <v>1</v>
      </c>
      <c r="I408" s="35">
        <v>7.3</v>
      </c>
      <c r="J408" s="5">
        <v>5.08</v>
      </c>
    </row>
    <row r="409" spans="2:10">
      <c r="B409" s="27">
        <v>307</v>
      </c>
      <c r="C409" s="27">
        <v>12</v>
      </c>
      <c r="D409" s="28" t="s">
        <v>311</v>
      </c>
      <c r="E409" s="28" t="s">
        <v>12</v>
      </c>
      <c r="F409" s="27">
        <v>-0.5</v>
      </c>
      <c r="G409" s="27">
        <v>285</v>
      </c>
      <c r="H409" s="27">
        <v>1</v>
      </c>
      <c r="I409" s="35">
        <v>6.6</v>
      </c>
      <c r="J409" s="5">
        <v>4.11</v>
      </c>
    </row>
    <row r="410" spans="2:10">
      <c r="B410" s="27">
        <v>307</v>
      </c>
      <c r="C410" s="27">
        <v>13</v>
      </c>
      <c r="D410" s="28" t="s">
        <v>312</v>
      </c>
      <c r="E410" s="28" t="s">
        <v>12</v>
      </c>
      <c r="F410" s="27">
        <v>20</v>
      </c>
      <c r="G410" s="27">
        <v>230</v>
      </c>
      <c r="H410" s="27">
        <v>10</v>
      </c>
      <c r="I410" s="35">
        <v>7</v>
      </c>
      <c r="J410" s="5">
        <v>3.56</v>
      </c>
    </row>
    <row r="411" spans="2:10">
      <c r="B411" s="27">
        <v>307</v>
      </c>
      <c r="C411" s="27">
        <v>14</v>
      </c>
      <c r="D411" s="28" t="s">
        <v>313</v>
      </c>
      <c r="E411" s="28" t="s">
        <v>12</v>
      </c>
      <c r="F411" s="27">
        <v>2.6</v>
      </c>
      <c r="G411" s="27">
        <v>230</v>
      </c>
      <c r="H411" s="27">
        <v>12</v>
      </c>
      <c r="I411" s="35">
        <v>7.2</v>
      </c>
      <c r="J411" s="5">
        <v>3.43</v>
      </c>
    </row>
    <row r="412" spans="2:10">
      <c r="B412" s="27">
        <v>307</v>
      </c>
      <c r="C412" s="27">
        <v>15</v>
      </c>
      <c r="D412" s="28" t="s">
        <v>314</v>
      </c>
      <c r="E412" s="28" t="s">
        <v>12</v>
      </c>
      <c r="F412" s="27">
        <v>0.5</v>
      </c>
      <c r="G412" s="27">
        <v>210</v>
      </c>
      <c r="H412" s="27">
        <v>0</v>
      </c>
      <c r="I412" s="35">
        <v>7.8</v>
      </c>
      <c r="J412" s="5">
        <v>4.34</v>
      </c>
    </row>
    <row r="413" spans="2:10">
      <c r="B413" s="27">
        <v>307</v>
      </c>
      <c r="C413" s="27">
        <v>16</v>
      </c>
      <c r="D413" s="28" t="s">
        <v>315</v>
      </c>
      <c r="E413" s="28" t="s">
        <v>12</v>
      </c>
      <c r="F413" s="27">
        <v>15.6</v>
      </c>
      <c r="G413" s="27">
        <v>230</v>
      </c>
      <c r="H413" s="27">
        <v>14</v>
      </c>
      <c r="I413" s="35">
        <v>7.3</v>
      </c>
      <c r="J413" s="5">
        <v>3.56</v>
      </c>
    </row>
    <row r="414" spans="2:10">
      <c r="B414" s="27">
        <v>307</v>
      </c>
      <c r="C414" s="27">
        <v>17</v>
      </c>
      <c r="D414" s="28" t="s">
        <v>316</v>
      </c>
      <c r="E414" s="28" t="s">
        <v>12</v>
      </c>
      <c r="F414" s="27">
        <v>13.4</v>
      </c>
      <c r="G414" s="27">
        <v>260</v>
      </c>
      <c r="H414" s="27">
        <v>5</v>
      </c>
      <c r="I414" s="35">
        <v>6.8</v>
      </c>
      <c r="J414" s="5">
        <v>4.04</v>
      </c>
    </row>
    <row r="416" s="20" customFormat="1" spans="1:11">
      <c r="A416" s="23" t="s">
        <v>317</v>
      </c>
      <c r="B416" s="51" t="s">
        <v>1</v>
      </c>
      <c r="C416" s="52" t="s">
        <v>2</v>
      </c>
      <c r="D416" s="53" t="s">
        <v>3</v>
      </c>
      <c r="E416" s="53" t="s">
        <v>4</v>
      </c>
      <c r="F416" s="54" t="s">
        <v>5</v>
      </c>
      <c r="G416" s="54" t="s">
        <v>6</v>
      </c>
      <c r="H416" s="54" t="s">
        <v>7</v>
      </c>
      <c r="I416" s="55" t="s">
        <v>8</v>
      </c>
      <c r="J416" s="56" t="s">
        <v>9</v>
      </c>
      <c r="K416" s="52" t="s">
        <v>10</v>
      </c>
    </row>
    <row r="417" spans="2:10">
      <c r="B417" s="27">
        <v>307</v>
      </c>
      <c r="C417" s="27">
        <v>18</v>
      </c>
      <c r="D417" s="30" t="s">
        <v>318</v>
      </c>
      <c r="E417" s="28" t="s">
        <v>46</v>
      </c>
      <c r="F417" s="27">
        <v>10</v>
      </c>
      <c r="G417" s="27">
        <v>170</v>
      </c>
      <c r="H417" s="27">
        <v>37</v>
      </c>
      <c r="I417" s="35">
        <v>10.1</v>
      </c>
      <c r="J417" s="5">
        <v>4.17</v>
      </c>
    </row>
    <row r="418" spans="2:10">
      <c r="B418" s="27">
        <v>307</v>
      </c>
      <c r="C418" s="27">
        <v>19</v>
      </c>
      <c r="D418" s="28" t="s">
        <v>319</v>
      </c>
      <c r="E418" s="28" t="s">
        <v>46</v>
      </c>
      <c r="F418" s="27">
        <v>8</v>
      </c>
      <c r="G418" s="27">
        <v>180</v>
      </c>
      <c r="H418" s="27">
        <v>45</v>
      </c>
      <c r="I418" s="35">
        <v>9.1</v>
      </c>
      <c r="J418" s="5">
        <v>4.14</v>
      </c>
    </row>
    <row r="419" spans="2:10">
      <c r="B419" s="27">
        <v>307</v>
      </c>
      <c r="C419" s="27">
        <v>20</v>
      </c>
      <c r="D419" s="28" t="s">
        <v>320</v>
      </c>
      <c r="E419" s="28" t="s">
        <v>46</v>
      </c>
      <c r="F419" s="27">
        <v>13.5</v>
      </c>
      <c r="G419" s="27">
        <v>175</v>
      </c>
      <c r="H419" s="27">
        <v>39</v>
      </c>
      <c r="I419" s="35">
        <v>8.3</v>
      </c>
      <c r="J419" s="5">
        <v>4.35</v>
      </c>
    </row>
    <row r="420" spans="2:10">
      <c r="B420" s="27">
        <v>307</v>
      </c>
      <c r="C420" s="27">
        <v>21</v>
      </c>
      <c r="D420" s="28" t="s">
        <v>321</v>
      </c>
      <c r="E420" s="28" t="s">
        <v>46</v>
      </c>
      <c r="F420" s="27">
        <v>12.5</v>
      </c>
      <c r="G420" s="27">
        <v>168</v>
      </c>
      <c r="H420" s="27">
        <v>45</v>
      </c>
      <c r="I420" s="35">
        <v>9</v>
      </c>
      <c r="J420" s="5">
        <v>4.35</v>
      </c>
    </row>
    <row r="421" spans="2:10">
      <c r="B421" s="27">
        <v>307</v>
      </c>
      <c r="C421" s="27">
        <v>22</v>
      </c>
      <c r="D421" s="28" t="s">
        <v>322</v>
      </c>
      <c r="E421" s="28" t="s">
        <v>46</v>
      </c>
      <c r="F421" s="27">
        <v>23</v>
      </c>
      <c r="G421" s="27">
        <v>205</v>
      </c>
      <c r="H421" s="27">
        <v>47</v>
      </c>
      <c r="I421" s="35">
        <v>8.2</v>
      </c>
      <c r="J421" s="5">
        <v>5.08</v>
      </c>
    </row>
    <row r="422" spans="2:10">
      <c r="B422" s="27">
        <v>307</v>
      </c>
      <c r="C422" s="27">
        <v>23</v>
      </c>
      <c r="D422" s="28" t="s">
        <v>323</v>
      </c>
      <c r="E422" s="28" t="s">
        <v>46</v>
      </c>
      <c r="F422" s="27">
        <v>32.5</v>
      </c>
      <c r="G422" s="27">
        <v>159</v>
      </c>
      <c r="H422" s="27">
        <v>42</v>
      </c>
      <c r="I422" s="35">
        <v>9.4</v>
      </c>
      <c r="J422" s="5">
        <v>3.55</v>
      </c>
    </row>
    <row r="423" spans="2:10">
      <c r="B423" s="27">
        <v>307</v>
      </c>
      <c r="C423" s="27">
        <v>24</v>
      </c>
      <c r="D423" s="28" t="s">
        <v>324</v>
      </c>
      <c r="E423" s="28" t="s">
        <v>46</v>
      </c>
      <c r="F423" s="27">
        <v>17</v>
      </c>
      <c r="G423" s="27">
        <v>175</v>
      </c>
      <c r="H423" s="27">
        <v>39</v>
      </c>
      <c r="I423" s="35">
        <v>8.7</v>
      </c>
      <c r="J423" s="5">
        <v>5.26</v>
      </c>
    </row>
    <row r="424" spans="2:11">
      <c r="B424" s="27">
        <v>307</v>
      </c>
      <c r="C424" s="27">
        <v>25</v>
      </c>
      <c r="D424" s="28" t="s">
        <v>325</v>
      </c>
      <c r="E424" s="28" t="s">
        <v>46</v>
      </c>
      <c r="K424" s="27">
        <v>50</v>
      </c>
    </row>
    <row r="425" spans="2:10">
      <c r="B425" s="27">
        <v>307</v>
      </c>
      <c r="C425" s="27">
        <v>26</v>
      </c>
      <c r="D425" s="28" t="s">
        <v>326</v>
      </c>
      <c r="E425" s="28" t="s">
        <v>46</v>
      </c>
      <c r="F425" s="27">
        <v>8.5</v>
      </c>
      <c r="G425" s="27">
        <v>165</v>
      </c>
      <c r="H425" s="27">
        <v>47</v>
      </c>
      <c r="I425" s="35">
        <v>9.5</v>
      </c>
      <c r="J425" s="5">
        <v>4.05</v>
      </c>
    </row>
    <row r="426" spans="2:11">
      <c r="B426" s="27">
        <v>307</v>
      </c>
      <c r="C426" s="27">
        <v>27</v>
      </c>
      <c r="D426" s="28" t="s">
        <v>327</v>
      </c>
      <c r="E426" s="28" t="s">
        <v>46</v>
      </c>
      <c r="K426" s="27">
        <v>50</v>
      </c>
    </row>
    <row r="427" spans="4:5">
      <c r="D427" s="28"/>
      <c r="E427" s="28"/>
    </row>
    <row r="428" spans="4:5">
      <c r="D428" s="28"/>
      <c r="E428" s="28"/>
    </row>
    <row r="429" spans="4:5">
      <c r="D429" s="28"/>
      <c r="E429" s="28"/>
    </row>
    <row r="430" spans="4:5">
      <c r="D430" s="28"/>
      <c r="E430" s="28"/>
    </row>
    <row r="431" spans="4:5">
      <c r="D431" s="28"/>
      <c r="E431" s="28"/>
    </row>
    <row r="432" spans="4:5">
      <c r="D432" s="28"/>
      <c r="E432" s="28"/>
    </row>
    <row r="433" spans="4:5">
      <c r="D433" s="28"/>
      <c r="E433" s="28"/>
    </row>
    <row r="434" spans="4:5">
      <c r="D434" s="28"/>
      <c r="E434" s="28"/>
    </row>
    <row r="435" spans="4:5">
      <c r="D435" s="28"/>
      <c r="E435" s="28"/>
    </row>
    <row r="436" spans="4:5">
      <c r="D436" s="28"/>
      <c r="E436" s="28"/>
    </row>
    <row r="438" s="20" customFormat="1" spans="1:11">
      <c r="A438" s="23" t="s">
        <v>328</v>
      </c>
      <c r="B438" s="51" t="s">
        <v>1</v>
      </c>
      <c r="C438" s="52" t="s">
        <v>2</v>
      </c>
      <c r="D438" s="53" t="s">
        <v>3</v>
      </c>
      <c r="E438" s="53" t="s">
        <v>4</v>
      </c>
      <c r="F438" s="54" t="s">
        <v>5</v>
      </c>
      <c r="G438" s="54" t="s">
        <v>6</v>
      </c>
      <c r="H438" s="54" t="s">
        <v>7</v>
      </c>
      <c r="I438" s="55" t="s">
        <v>8</v>
      </c>
      <c r="J438" s="56" t="s">
        <v>9</v>
      </c>
      <c r="K438" s="52" t="s">
        <v>10</v>
      </c>
    </row>
    <row r="439" spans="2:10">
      <c r="B439" s="27">
        <v>307</v>
      </c>
      <c r="C439" s="27">
        <v>28</v>
      </c>
      <c r="D439" s="30" t="s">
        <v>329</v>
      </c>
      <c r="E439" s="28" t="s">
        <v>46</v>
      </c>
      <c r="F439" s="27">
        <v>19</v>
      </c>
      <c r="G439" s="27">
        <v>172</v>
      </c>
      <c r="H439" s="27">
        <v>40</v>
      </c>
      <c r="I439" s="35">
        <v>8.6</v>
      </c>
      <c r="J439" s="5">
        <v>5.06</v>
      </c>
    </row>
    <row r="440" spans="2:10">
      <c r="B440" s="27">
        <v>307</v>
      </c>
      <c r="C440" s="27">
        <v>29</v>
      </c>
      <c r="D440" s="28" t="s">
        <v>330</v>
      </c>
      <c r="E440" s="28" t="s">
        <v>46</v>
      </c>
      <c r="F440" s="27">
        <v>12.2</v>
      </c>
      <c r="G440" s="27">
        <v>160</v>
      </c>
      <c r="H440" s="27">
        <v>42</v>
      </c>
      <c r="I440" s="35">
        <v>10.1</v>
      </c>
      <c r="J440" s="5">
        <v>4.37</v>
      </c>
    </row>
    <row r="441" spans="2:10">
      <c r="B441" s="27">
        <v>307</v>
      </c>
      <c r="C441" s="27">
        <v>30</v>
      </c>
      <c r="D441" s="28" t="s">
        <v>331</v>
      </c>
      <c r="E441" s="28" t="s">
        <v>46</v>
      </c>
      <c r="F441" s="27">
        <v>14</v>
      </c>
      <c r="G441" s="27">
        <v>150</v>
      </c>
      <c r="H441" s="27">
        <v>45</v>
      </c>
      <c r="I441" s="35">
        <v>9.9</v>
      </c>
      <c r="J441" s="5">
        <v>4.53</v>
      </c>
    </row>
    <row r="442" spans="2:11">
      <c r="B442" s="27">
        <v>307</v>
      </c>
      <c r="C442" s="27">
        <v>31</v>
      </c>
      <c r="D442" s="28" t="s">
        <v>332</v>
      </c>
      <c r="E442" s="28" t="s">
        <v>46</v>
      </c>
      <c r="K442" s="27">
        <v>50</v>
      </c>
    </row>
    <row r="443" spans="2:10">
      <c r="B443" s="27">
        <v>307</v>
      </c>
      <c r="C443" s="27">
        <v>32</v>
      </c>
      <c r="D443" s="28" t="s">
        <v>333</v>
      </c>
      <c r="E443" s="28" t="s">
        <v>46</v>
      </c>
      <c r="F443" s="27">
        <v>13.2</v>
      </c>
      <c r="G443" s="27">
        <v>175</v>
      </c>
      <c r="H443" s="27">
        <v>50</v>
      </c>
      <c r="I443" s="35">
        <v>8.9</v>
      </c>
      <c r="J443" s="5">
        <v>4.25</v>
      </c>
    </row>
    <row r="444" spans="2:10">
      <c r="B444" s="27">
        <v>307</v>
      </c>
      <c r="C444" s="27">
        <v>33</v>
      </c>
      <c r="D444" s="28" t="s">
        <v>334</v>
      </c>
      <c r="E444" s="28" t="s">
        <v>46</v>
      </c>
      <c r="F444" s="27">
        <v>8.6</v>
      </c>
      <c r="G444" s="27">
        <v>130</v>
      </c>
      <c r="H444" s="27">
        <v>26</v>
      </c>
      <c r="I444" s="35">
        <v>13.2</v>
      </c>
      <c r="J444" s="5">
        <v>7.31</v>
      </c>
    </row>
    <row r="445" spans="2:10">
      <c r="B445" s="27">
        <v>307</v>
      </c>
      <c r="C445" s="27">
        <v>34</v>
      </c>
      <c r="D445" s="28" t="s">
        <v>335</v>
      </c>
      <c r="E445" s="28" t="s">
        <v>46</v>
      </c>
      <c r="F445" s="27">
        <v>30</v>
      </c>
      <c r="G445" s="27">
        <v>192</v>
      </c>
      <c r="H445" s="27">
        <v>42</v>
      </c>
      <c r="I445" s="35">
        <v>8.9</v>
      </c>
      <c r="J445" s="5">
        <v>5.07</v>
      </c>
    </row>
    <row r="446" spans="2:10">
      <c r="B446" s="27">
        <v>307</v>
      </c>
      <c r="C446" s="27">
        <v>35</v>
      </c>
      <c r="D446" s="28" t="s">
        <v>336</v>
      </c>
      <c r="E446" s="28" t="s">
        <v>46</v>
      </c>
      <c r="F446" s="27">
        <v>5.5</v>
      </c>
      <c r="G446" s="27">
        <v>160</v>
      </c>
      <c r="H446" s="27">
        <v>51</v>
      </c>
      <c r="I446" s="35">
        <v>9</v>
      </c>
      <c r="J446" s="5">
        <v>3.52</v>
      </c>
    </row>
    <row r="447" spans="2:10">
      <c r="B447" s="27">
        <v>307</v>
      </c>
      <c r="C447" s="27">
        <v>36</v>
      </c>
      <c r="D447" s="28" t="s">
        <v>337</v>
      </c>
      <c r="E447" s="28" t="s">
        <v>46</v>
      </c>
      <c r="F447" s="27" t="s">
        <v>77</v>
      </c>
      <c r="G447" s="27">
        <v>225</v>
      </c>
      <c r="H447" s="27" t="s">
        <v>77</v>
      </c>
      <c r="I447" s="27" t="s">
        <v>77</v>
      </c>
      <c r="J447" s="27" t="s">
        <v>77</v>
      </c>
    </row>
    <row r="448" spans="2:10">
      <c r="B448" s="27">
        <v>307</v>
      </c>
      <c r="C448" s="27">
        <v>37</v>
      </c>
      <c r="D448" s="28" t="s">
        <v>338</v>
      </c>
      <c r="E448" s="28" t="s">
        <v>46</v>
      </c>
      <c r="F448" s="27">
        <v>16.4</v>
      </c>
      <c r="G448" s="27">
        <v>150</v>
      </c>
      <c r="H448" s="27">
        <v>36</v>
      </c>
      <c r="I448" s="35">
        <v>8.5</v>
      </c>
      <c r="J448" s="5">
        <v>3.54</v>
      </c>
    </row>
    <row r="449" spans="4:5">
      <c r="D449" s="28"/>
      <c r="E449" s="28"/>
    </row>
    <row r="451" s="20" customFormat="1" spans="1:11">
      <c r="A451" s="23" t="s">
        <v>339</v>
      </c>
      <c r="B451" s="51" t="s">
        <v>1</v>
      </c>
      <c r="C451" s="52" t="s">
        <v>2</v>
      </c>
      <c r="D451" s="53" t="s">
        <v>3</v>
      </c>
      <c r="E451" s="53" t="s">
        <v>4</v>
      </c>
      <c r="F451" s="54" t="s">
        <v>5</v>
      </c>
      <c r="G451" s="54" t="s">
        <v>6</v>
      </c>
      <c r="H451" s="54" t="s">
        <v>7</v>
      </c>
      <c r="I451" s="55" t="s">
        <v>8</v>
      </c>
      <c r="J451" s="56" t="s">
        <v>9</v>
      </c>
      <c r="K451" s="52" t="s">
        <v>10</v>
      </c>
    </row>
    <row r="452" spans="2:10">
      <c r="B452" s="27">
        <v>307</v>
      </c>
      <c r="C452" s="27">
        <v>38</v>
      </c>
      <c r="D452" s="30" t="s">
        <v>340</v>
      </c>
      <c r="E452" s="28" t="s">
        <v>46</v>
      </c>
      <c r="F452" s="27">
        <v>18.5</v>
      </c>
      <c r="G452" s="27">
        <v>170</v>
      </c>
      <c r="H452" s="27">
        <v>28</v>
      </c>
      <c r="I452" s="35">
        <v>9.5</v>
      </c>
      <c r="J452" s="5">
        <v>4.51</v>
      </c>
    </row>
    <row r="453" spans="2:10">
      <c r="B453" s="27">
        <v>307</v>
      </c>
      <c r="C453" s="27">
        <v>39</v>
      </c>
      <c r="D453" s="28" t="s">
        <v>341</v>
      </c>
      <c r="E453" s="28" t="s">
        <v>46</v>
      </c>
      <c r="F453" s="27">
        <v>19.5</v>
      </c>
      <c r="G453" s="27">
        <v>185</v>
      </c>
      <c r="H453" s="27">
        <v>53</v>
      </c>
      <c r="I453" s="35">
        <v>8.8</v>
      </c>
      <c r="J453" s="5">
        <v>4.23</v>
      </c>
    </row>
    <row r="454" spans="2:10">
      <c r="B454" s="27">
        <v>307</v>
      </c>
      <c r="C454" s="27">
        <v>40</v>
      </c>
      <c r="D454" s="28" t="s">
        <v>342</v>
      </c>
      <c r="E454" s="28" t="s">
        <v>46</v>
      </c>
      <c r="F454" s="27">
        <v>16.5</v>
      </c>
      <c r="G454" s="27">
        <v>165</v>
      </c>
      <c r="H454" s="27">
        <v>41</v>
      </c>
      <c r="I454" s="35">
        <v>10.7</v>
      </c>
      <c r="J454" s="5">
        <v>4.06</v>
      </c>
    </row>
    <row r="455" spans="2:10">
      <c r="B455" s="27">
        <v>307</v>
      </c>
      <c r="C455" s="27">
        <v>41</v>
      </c>
      <c r="D455" s="28" t="s">
        <v>343</v>
      </c>
      <c r="E455" s="28" t="s">
        <v>46</v>
      </c>
      <c r="F455" s="27">
        <v>3</v>
      </c>
      <c r="G455" s="27">
        <v>150</v>
      </c>
      <c r="H455" s="27">
        <v>25</v>
      </c>
      <c r="I455" s="35">
        <v>12.6</v>
      </c>
      <c r="J455" s="5">
        <v>5.13</v>
      </c>
    </row>
    <row r="456" spans="2:10">
      <c r="B456" s="27">
        <v>307</v>
      </c>
      <c r="C456" s="27">
        <v>42</v>
      </c>
      <c r="D456" s="28" t="s">
        <v>344</v>
      </c>
      <c r="E456" s="28" t="s">
        <v>46</v>
      </c>
      <c r="F456" s="27">
        <v>25</v>
      </c>
      <c r="G456" s="27" t="s">
        <v>77</v>
      </c>
      <c r="H456" s="27">
        <v>53</v>
      </c>
      <c r="I456" s="35" t="s">
        <v>77</v>
      </c>
      <c r="J456" s="5" t="s">
        <v>77</v>
      </c>
    </row>
    <row r="457" spans="2:10">
      <c r="B457" s="27">
        <v>307</v>
      </c>
      <c r="C457" s="27">
        <v>43</v>
      </c>
      <c r="D457" s="28" t="s">
        <v>345</v>
      </c>
      <c r="E457" s="28" t="s">
        <v>46</v>
      </c>
      <c r="F457" s="27">
        <v>11</v>
      </c>
      <c r="G457" s="27">
        <v>180</v>
      </c>
      <c r="H457" s="27">
        <v>46</v>
      </c>
      <c r="I457" s="35">
        <v>8.7</v>
      </c>
      <c r="J457" s="5">
        <v>4.05</v>
      </c>
    </row>
    <row r="458" spans="2:10">
      <c r="B458" s="27">
        <v>307</v>
      </c>
      <c r="C458" s="27">
        <v>44</v>
      </c>
      <c r="D458" s="28" t="s">
        <v>346</v>
      </c>
      <c r="E458" s="28" t="s">
        <v>46</v>
      </c>
      <c r="F458" s="27">
        <v>12.5</v>
      </c>
      <c r="G458" s="27">
        <v>165</v>
      </c>
      <c r="H458" s="27">
        <v>38</v>
      </c>
      <c r="I458" s="35">
        <v>9.6</v>
      </c>
      <c r="J458" s="5">
        <v>4.47</v>
      </c>
    </row>
    <row r="459" spans="2:10">
      <c r="B459" s="27">
        <v>307</v>
      </c>
      <c r="C459" s="27">
        <v>45</v>
      </c>
      <c r="D459" s="28" t="s">
        <v>347</v>
      </c>
      <c r="E459" s="28" t="s">
        <v>46</v>
      </c>
      <c r="F459" s="27">
        <v>7</v>
      </c>
      <c r="G459" s="27">
        <v>195</v>
      </c>
      <c r="H459" s="27">
        <v>30</v>
      </c>
      <c r="I459" s="35">
        <v>7.8</v>
      </c>
      <c r="J459" s="5">
        <v>5.19</v>
      </c>
    </row>
    <row r="460" spans="2:10">
      <c r="B460" s="27">
        <v>307</v>
      </c>
      <c r="C460" s="27">
        <v>46</v>
      </c>
      <c r="D460" s="28" t="s">
        <v>348</v>
      </c>
      <c r="E460" s="28" t="s">
        <v>46</v>
      </c>
      <c r="F460" s="27">
        <v>32</v>
      </c>
      <c r="G460" s="27">
        <v>180</v>
      </c>
      <c r="H460" s="27">
        <v>38</v>
      </c>
      <c r="I460" s="35">
        <v>8.7</v>
      </c>
      <c r="J460" s="5">
        <v>5.14</v>
      </c>
    </row>
    <row r="461" spans="2:10">
      <c r="B461" s="27">
        <v>307</v>
      </c>
      <c r="C461" s="27">
        <v>47</v>
      </c>
      <c r="D461" s="28" t="s">
        <v>349</v>
      </c>
      <c r="E461" s="28" t="s">
        <v>46</v>
      </c>
      <c r="F461" s="27">
        <v>0</v>
      </c>
      <c r="G461" s="27">
        <v>170</v>
      </c>
      <c r="H461" s="27" t="s">
        <v>77</v>
      </c>
      <c r="I461" s="35" t="s">
        <v>77</v>
      </c>
      <c r="J461" s="5">
        <v>7.32</v>
      </c>
    </row>
    <row r="462" spans="2:10">
      <c r="B462" s="27">
        <v>307</v>
      </c>
      <c r="C462" s="27">
        <v>48</v>
      </c>
      <c r="D462" s="28" t="s">
        <v>350</v>
      </c>
      <c r="E462" s="28" t="s">
        <v>46</v>
      </c>
      <c r="F462" s="27">
        <v>14.5</v>
      </c>
      <c r="G462" s="27">
        <v>130</v>
      </c>
      <c r="H462" s="27">
        <v>29</v>
      </c>
      <c r="I462" s="35">
        <v>10.6</v>
      </c>
      <c r="J462" s="5">
        <v>6</v>
      </c>
    </row>
    <row r="473" s="20" customFormat="1" spans="1:11">
      <c r="A473" s="23" t="s">
        <v>351</v>
      </c>
      <c r="B473" s="51" t="s">
        <v>1</v>
      </c>
      <c r="C473" s="52" t="s">
        <v>2</v>
      </c>
      <c r="D473" s="53" t="s">
        <v>3</v>
      </c>
      <c r="E473" s="53" t="s">
        <v>4</v>
      </c>
      <c r="F473" s="54" t="s">
        <v>5</v>
      </c>
      <c r="G473" s="54" t="s">
        <v>6</v>
      </c>
      <c r="H473" s="54" t="s">
        <v>7</v>
      </c>
      <c r="I473" s="55" t="s">
        <v>8</v>
      </c>
      <c r="J473" s="56" t="s">
        <v>9</v>
      </c>
      <c r="K473" s="52" t="s">
        <v>10</v>
      </c>
    </row>
    <row r="474" spans="2:10">
      <c r="B474" s="27">
        <v>308</v>
      </c>
      <c r="C474" s="27">
        <v>1</v>
      </c>
      <c r="D474" s="30" t="s">
        <v>352</v>
      </c>
      <c r="E474" s="28" t="s">
        <v>12</v>
      </c>
      <c r="F474" s="27">
        <v>21.5</v>
      </c>
      <c r="G474" s="27">
        <v>215</v>
      </c>
      <c r="H474" s="27">
        <v>0</v>
      </c>
      <c r="I474" s="35">
        <v>7.3</v>
      </c>
      <c r="J474" s="5">
        <v>6</v>
      </c>
    </row>
    <row r="475" spans="2:11">
      <c r="B475" s="27">
        <v>308</v>
      </c>
      <c r="C475" s="27">
        <v>2</v>
      </c>
      <c r="D475" s="28" t="s">
        <v>353</v>
      </c>
      <c r="E475" s="28" t="s">
        <v>12</v>
      </c>
      <c r="K475" s="27">
        <v>50</v>
      </c>
    </row>
    <row r="476" spans="2:10">
      <c r="B476" s="27">
        <v>308</v>
      </c>
      <c r="C476" s="27">
        <v>3</v>
      </c>
      <c r="D476" s="28" t="s">
        <v>354</v>
      </c>
      <c r="E476" s="28" t="s">
        <v>12</v>
      </c>
      <c r="F476" s="27">
        <v>13.8</v>
      </c>
      <c r="G476" s="27">
        <v>220</v>
      </c>
      <c r="H476" s="27">
        <v>5</v>
      </c>
      <c r="I476" s="35">
        <v>7.7</v>
      </c>
      <c r="J476" s="5">
        <v>4.49</v>
      </c>
    </row>
    <row r="477" spans="2:10">
      <c r="B477" s="27">
        <v>308</v>
      </c>
      <c r="C477" s="27">
        <v>4</v>
      </c>
      <c r="D477" s="28" t="s">
        <v>355</v>
      </c>
      <c r="E477" s="28" t="s">
        <v>12</v>
      </c>
      <c r="F477" s="27">
        <v>17</v>
      </c>
      <c r="G477" s="27">
        <v>245</v>
      </c>
      <c r="H477" s="27">
        <v>2</v>
      </c>
      <c r="I477" s="35">
        <v>6.9</v>
      </c>
      <c r="J477" s="5">
        <v>4.49</v>
      </c>
    </row>
    <row r="478" spans="2:11">
      <c r="B478" s="27">
        <v>308</v>
      </c>
      <c r="C478" s="27">
        <v>5</v>
      </c>
      <c r="D478" s="28" t="s">
        <v>356</v>
      </c>
      <c r="E478" s="28" t="s">
        <v>12</v>
      </c>
      <c r="K478" s="27">
        <v>50</v>
      </c>
    </row>
    <row r="479" spans="2:10">
      <c r="B479" s="27">
        <v>308</v>
      </c>
      <c r="C479" s="27">
        <v>6</v>
      </c>
      <c r="D479" s="28" t="s">
        <v>357</v>
      </c>
      <c r="E479" s="28" t="s">
        <v>12</v>
      </c>
      <c r="F479" s="27">
        <v>17</v>
      </c>
      <c r="G479" s="27">
        <v>250</v>
      </c>
      <c r="H479" s="27">
        <v>21</v>
      </c>
      <c r="I479" s="35">
        <v>6.9</v>
      </c>
      <c r="J479" s="5">
        <v>3.29</v>
      </c>
    </row>
    <row r="480" spans="2:10">
      <c r="B480" s="27">
        <v>308</v>
      </c>
      <c r="C480" s="27">
        <v>7</v>
      </c>
      <c r="D480" s="28" t="s">
        <v>358</v>
      </c>
      <c r="E480" s="28" t="s">
        <v>12</v>
      </c>
      <c r="F480" s="27">
        <v>5.8</v>
      </c>
      <c r="G480" s="27">
        <v>193</v>
      </c>
      <c r="H480" s="27">
        <v>1</v>
      </c>
      <c r="I480" s="35">
        <v>7.9</v>
      </c>
      <c r="J480" s="5">
        <v>4.49</v>
      </c>
    </row>
    <row r="481" spans="2:11">
      <c r="B481" s="27">
        <v>308</v>
      </c>
      <c r="C481" s="27">
        <v>8</v>
      </c>
      <c r="D481" s="28" t="s">
        <v>359</v>
      </c>
      <c r="E481" s="28" t="s">
        <v>12</v>
      </c>
      <c r="K481" s="27">
        <v>50</v>
      </c>
    </row>
    <row r="482" spans="2:10">
      <c r="B482" s="27">
        <v>308</v>
      </c>
      <c r="C482" s="27">
        <v>9</v>
      </c>
      <c r="D482" s="28" t="s">
        <v>360</v>
      </c>
      <c r="E482" s="28" t="s">
        <v>12</v>
      </c>
      <c r="F482" s="27">
        <v>15</v>
      </c>
      <c r="G482" s="27">
        <v>200</v>
      </c>
      <c r="H482" s="27">
        <v>7</v>
      </c>
      <c r="I482" s="35">
        <v>7.6</v>
      </c>
      <c r="J482" s="5">
        <v>3.45</v>
      </c>
    </row>
    <row r="483" spans="2:10">
      <c r="B483" s="27">
        <v>308</v>
      </c>
      <c r="C483" s="27">
        <v>10</v>
      </c>
      <c r="D483" s="28" t="s">
        <v>361</v>
      </c>
      <c r="E483" s="28" t="s">
        <v>12</v>
      </c>
      <c r="F483" s="27">
        <v>11</v>
      </c>
      <c r="G483" s="27">
        <v>225</v>
      </c>
      <c r="H483" s="27">
        <v>3</v>
      </c>
      <c r="I483" s="35">
        <v>7.6</v>
      </c>
      <c r="J483" s="5">
        <v>5.2</v>
      </c>
    </row>
    <row r="484" spans="4:5">
      <c r="D484" s="28"/>
      <c r="E484" s="28"/>
    </row>
    <row r="486" s="20" customFormat="1" spans="1:11">
      <c r="A486" s="23" t="s">
        <v>362</v>
      </c>
      <c r="B486" s="51" t="s">
        <v>1</v>
      </c>
      <c r="C486" s="52" t="s">
        <v>2</v>
      </c>
      <c r="D486" s="53" t="s">
        <v>3</v>
      </c>
      <c r="E486" s="53" t="s">
        <v>4</v>
      </c>
      <c r="F486" s="54" t="s">
        <v>5</v>
      </c>
      <c r="G486" s="54" t="s">
        <v>6</v>
      </c>
      <c r="H486" s="54" t="s">
        <v>7</v>
      </c>
      <c r="I486" s="55" t="s">
        <v>8</v>
      </c>
      <c r="J486" s="56" t="s">
        <v>9</v>
      </c>
      <c r="K486" s="52" t="s">
        <v>10</v>
      </c>
    </row>
    <row r="487" spans="2:10">
      <c r="B487" s="27">
        <v>308</v>
      </c>
      <c r="C487" s="27">
        <v>11</v>
      </c>
      <c r="D487" s="30" t="s">
        <v>363</v>
      </c>
      <c r="E487" s="28" t="s">
        <v>12</v>
      </c>
      <c r="F487" s="27">
        <v>6</v>
      </c>
      <c r="G487" s="27">
        <v>240</v>
      </c>
      <c r="H487" s="27">
        <v>15</v>
      </c>
      <c r="I487" s="35">
        <v>7.2</v>
      </c>
      <c r="J487" s="5">
        <v>3.35</v>
      </c>
    </row>
    <row r="488" spans="2:10">
      <c r="B488" s="27">
        <v>308</v>
      </c>
      <c r="C488" s="27">
        <v>12</v>
      </c>
      <c r="D488" s="28" t="s">
        <v>364</v>
      </c>
      <c r="E488" s="28" t="s">
        <v>12</v>
      </c>
      <c r="F488" s="27">
        <v>10</v>
      </c>
      <c r="G488" s="27">
        <v>220</v>
      </c>
      <c r="H488" s="27">
        <v>8</v>
      </c>
      <c r="I488" s="35">
        <v>7.3</v>
      </c>
      <c r="J488" s="5">
        <v>4.49</v>
      </c>
    </row>
    <row r="489" spans="2:10">
      <c r="B489" s="27">
        <v>308</v>
      </c>
      <c r="C489" s="27">
        <v>13</v>
      </c>
      <c r="D489" s="28" t="s">
        <v>365</v>
      </c>
      <c r="E489" s="28" t="s">
        <v>12</v>
      </c>
      <c r="F489" s="27">
        <v>6</v>
      </c>
      <c r="G489" s="27">
        <v>220</v>
      </c>
      <c r="H489" s="27">
        <v>1</v>
      </c>
      <c r="I489" s="35">
        <v>7.3</v>
      </c>
      <c r="J489" s="5">
        <v>3.35</v>
      </c>
    </row>
    <row r="490" spans="2:10">
      <c r="B490" s="27">
        <v>308</v>
      </c>
      <c r="C490" s="27">
        <v>14</v>
      </c>
      <c r="D490" s="28" t="s">
        <v>366</v>
      </c>
      <c r="E490" s="28" t="s">
        <v>12</v>
      </c>
      <c r="F490" s="27">
        <v>13.5</v>
      </c>
      <c r="G490" s="27">
        <v>235</v>
      </c>
      <c r="H490" s="27">
        <v>4</v>
      </c>
      <c r="I490" s="35">
        <v>7</v>
      </c>
      <c r="J490" s="5">
        <v>4.49</v>
      </c>
    </row>
    <row r="491" spans="2:10">
      <c r="B491" s="27">
        <v>308</v>
      </c>
      <c r="C491" s="27">
        <v>15</v>
      </c>
      <c r="D491" s="28" t="s">
        <v>367</v>
      </c>
      <c r="E491" s="28" t="s">
        <v>12</v>
      </c>
      <c r="F491" s="27">
        <v>21</v>
      </c>
      <c r="G491" s="27">
        <v>220</v>
      </c>
      <c r="H491" s="27">
        <v>8</v>
      </c>
      <c r="I491" s="35">
        <v>7.1</v>
      </c>
      <c r="J491" s="5">
        <v>3.4</v>
      </c>
    </row>
    <row r="492" spans="2:10">
      <c r="B492" s="27">
        <v>308</v>
      </c>
      <c r="C492" s="27">
        <v>16</v>
      </c>
      <c r="D492" s="28" t="s">
        <v>368</v>
      </c>
      <c r="E492" s="28" t="s">
        <v>12</v>
      </c>
      <c r="F492" s="27">
        <v>17.7</v>
      </c>
      <c r="G492" s="27">
        <v>205</v>
      </c>
      <c r="H492" s="27">
        <v>3</v>
      </c>
      <c r="I492" s="35">
        <v>8</v>
      </c>
      <c r="J492" s="5">
        <v>4.49</v>
      </c>
    </row>
    <row r="493" spans="2:11">
      <c r="B493" s="27">
        <v>308</v>
      </c>
      <c r="C493" s="27">
        <v>17</v>
      </c>
      <c r="D493" s="28" t="s">
        <v>369</v>
      </c>
      <c r="E493" s="28" t="s">
        <v>12</v>
      </c>
      <c r="K493" s="27">
        <v>50</v>
      </c>
    </row>
    <row r="494" spans="2:10">
      <c r="B494" s="27">
        <v>308</v>
      </c>
      <c r="C494" s="27">
        <v>18</v>
      </c>
      <c r="D494" s="28" t="s">
        <v>370</v>
      </c>
      <c r="E494" s="28" t="s">
        <v>12</v>
      </c>
      <c r="F494" s="27">
        <v>13.5</v>
      </c>
      <c r="G494" s="27">
        <v>195</v>
      </c>
      <c r="H494" s="27">
        <v>12</v>
      </c>
      <c r="I494" s="35">
        <v>8.1</v>
      </c>
      <c r="J494" s="5">
        <v>4.49</v>
      </c>
    </row>
    <row r="495" spans="2:10">
      <c r="B495" s="27">
        <v>308</v>
      </c>
      <c r="C495" s="27">
        <v>19</v>
      </c>
      <c r="D495" s="28" t="s">
        <v>371</v>
      </c>
      <c r="E495" s="28" t="s">
        <v>12</v>
      </c>
      <c r="F495" s="27">
        <v>9</v>
      </c>
      <c r="G495" s="27">
        <v>240</v>
      </c>
      <c r="H495" s="27">
        <v>13</v>
      </c>
      <c r="I495" s="35">
        <v>7.6</v>
      </c>
      <c r="J495" s="5">
        <v>4.49</v>
      </c>
    </row>
    <row r="496" spans="2:10">
      <c r="B496" s="27">
        <v>308</v>
      </c>
      <c r="C496" s="27">
        <v>20</v>
      </c>
      <c r="D496" s="28" t="s">
        <v>372</v>
      </c>
      <c r="E496" s="28" t="s">
        <v>12</v>
      </c>
      <c r="F496" s="27">
        <v>11.5</v>
      </c>
      <c r="G496" s="27">
        <v>205</v>
      </c>
      <c r="H496" s="27">
        <v>3</v>
      </c>
      <c r="I496" s="35">
        <v>8</v>
      </c>
      <c r="J496" s="5">
        <v>4.53</v>
      </c>
    </row>
    <row r="498" s="20" customFormat="1" spans="1:11">
      <c r="A498" s="23" t="s">
        <v>373</v>
      </c>
      <c r="B498" s="51" t="s">
        <v>1</v>
      </c>
      <c r="C498" s="52" t="s">
        <v>2</v>
      </c>
      <c r="D498" s="53" t="s">
        <v>3</v>
      </c>
      <c r="E498" s="53" t="s">
        <v>4</v>
      </c>
      <c r="F498" s="54" t="s">
        <v>5</v>
      </c>
      <c r="G498" s="54" t="s">
        <v>6</v>
      </c>
      <c r="H498" s="54" t="s">
        <v>7</v>
      </c>
      <c r="I498" s="55" t="s">
        <v>8</v>
      </c>
      <c r="J498" s="56" t="s">
        <v>9</v>
      </c>
      <c r="K498" s="52" t="s">
        <v>10</v>
      </c>
    </row>
    <row r="499" spans="2:10">
      <c r="B499" s="27">
        <v>308</v>
      </c>
      <c r="C499" s="27">
        <v>21</v>
      </c>
      <c r="D499" s="30" t="s">
        <v>374</v>
      </c>
      <c r="E499" s="28" t="s">
        <v>46</v>
      </c>
      <c r="F499" s="27">
        <v>19</v>
      </c>
      <c r="G499" s="27">
        <v>205</v>
      </c>
      <c r="H499" s="27">
        <v>38</v>
      </c>
      <c r="I499" s="35">
        <v>8.3</v>
      </c>
      <c r="J499" s="5">
        <v>3.43</v>
      </c>
    </row>
    <row r="500" spans="2:10">
      <c r="B500" s="27">
        <v>308</v>
      </c>
      <c r="C500" s="27">
        <v>22</v>
      </c>
      <c r="D500" s="28" t="s">
        <v>375</v>
      </c>
      <c r="E500" s="28" t="s">
        <v>46</v>
      </c>
      <c r="F500" s="27">
        <v>6</v>
      </c>
      <c r="G500" s="27">
        <v>150</v>
      </c>
      <c r="H500" s="27">
        <v>45</v>
      </c>
      <c r="I500" s="35">
        <v>9.4</v>
      </c>
      <c r="J500" s="5">
        <v>4.55</v>
      </c>
    </row>
    <row r="501" spans="2:10">
      <c r="B501" s="27">
        <v>308</v>
      </c>
      <c r="C501" s="27">
        <v>23</v>
      </c>
      <c r="D501" s="28" t="s">
        <v>376</v>
      </c>
      <c r="E501" s="28" t="s">
        <v>46</v>
      </c>
      <c r="F501" s="27">
        <v>15.5</v>
      </c>
      <c r="G501" s="27">
        <v>200</v>
      </c>
      <c r="H501" s="27">
        <v>46</v>
      </c>
      <c r="I501" s="35">
        <v>8.7</v>
      </c>
      <c r="J501" s="5">
        <v>4.08</v>
      </c>
    </row>
    <row r="502" spans="2:10">
      <c r="B502" s="27">
        <v>308</v>
      </c>
      <c r="C502" s="27">
        <v>24</v>
      </c>
      <c r="D502" s="28" t="s">
        <v>377</v>
      </c>
      <c r="E502" s="28" t="s">
        <v>46</v>
      </c>
      <c r="F502" s="27">
        <v>16.5</v>
      </c>
      <c r="G502" s="27">
        <v>155</v>
      </c>
      <c r="H502" s="27">
        <v>45</v>
      </c>
      <c r="I502" s="35">
        <v>10</v>
      </c>
      <c r="J502" s="5">
        <v>4.57</v>
      </c>
    </row>
    <row r="503" spans="2:10">
      <c r="B503" s="27">
        <v>308</v>
      </c>
      <c r="C503" s="27">
        <v>25</v>
      </c>
      <c r="D503" s="28" t="s">
        <v>378</v>
      </c>
      <c r="E503" s="28" t="s">
        <v>46</v>
      </c>
      <c r="F503" s="27">
        <v>28</v>
      </c>
      <c r="G503" s="27">
        <v>190</v>
      </c>
      <c r="H503" s="27">
        <v>45</v>
      </c>
      <c r="I503" s="35">
        <v>9.1</v>
      </c>
      <c r="J503" s="5">
        <v>5.16</v>
      </c>
    </row>
    <row r="504" spans="2:10">
      <c r="B504" s="27">
        <v>308</v>
      </c>
      <c r="C504" s="27">
        <v>26</v>
      </c>
      <c r="D504" s="28" t="s">
        <v>379</v>
      </c>
      <c r="E504" s="28" t="s">
        <v>46</v>
      </c>
      <c r="F504" s="27">
        <v>18</v>
      </c>
      <c r="G504" s="27">
        <v>172</v>
      </c>
      <c r="H504" s="5" t="s">
        <v>77</v>
      </c>
      <c r="I504" s="5" t="s">
        <v>77</v>
      </c>
      <c r="J504" s="5" t="s">
        <v>77</v>
      </c>
    </row>
    <row r="505" spans="2:10">
      <c r="B505" s="27">
        <v>308</v>
      </c>
      <c r="C505" s="27">
        <v>27</v>
      </c>
      <c r="D505" s="28" t="s">
        <v>380</v>
      </c>
      <c r="E505" s="28" t="s">
        <v>46</v>
      </c>
      <c r="F505" s="27">
        <v>23</v>
      </c>
      <c r="G505" s="27">
        <v>227</v>
      </c>
      <c r="H505" s="27">
        <v>56</v>
      </c>
      <c r="I505" s="35">
        <v>7.4</v>
      </c>
      <c r="J505" s="5">
        <v>3.27</v>
      </c>
    </row>
    <row r="506" spans="2:10">
      <c r="B506" s="27">
        <v>308</v>
      </c>
      <c r="C506" s="27">
        <v>28</v>
      </c>
      <c r="D506" s="28" t="s">
        <v>381</v>
      </c>
      <c r="E506" s="28" t="s">
        <v>46</v>
      </c>
      <c r="F506" s="27">
        <v>17</v>
      </c>
      <c r="G506" s="27">
        <v>175</v>
      </c>
      <c r="H506" s="27">
        <v>45</v>
      </c>
      <c r="I506" s="35">
        <v>8.8</v>
      </c>
      <c r="J506" s="5">
        <v>4.54</v>
      </c>
    </row>
    <row r="507" spans="2:10">
      <c r="B507" s="27">
        <v>308</v>
      </c>
      <c r="C507" s="27">
        <v>29</v>
      </c>
      <c r="D507" s="28" t="s">
        <v>382</v>
      </c>
      <c r="E507" s="28" t="s">
        <v>46</v>
      </c>
      <c r="F507" s="27">
        <v>19.5</v>
      </c>
      <c r="G507" s="27">
        <v>150</v>
      </c>
      <c r="H507" s="27">
        <v>41</v>
      </c>
      <c r="I507" s="35">
        <v>9.3</v>
      </c>
      <c r="J507" s="5">
        <v>5.27</v>
      </c>
    </row>
    <row r="508" spans="2:10">
      <c r="B508" s="27">
        <v>308</v>
      </c>
      <c r="C508" s="27">
        <v>30</v>
      </c>
      <c r="D508" s="28" t="s">
        <v>383</v>
      </c>
      <c r="E508" s="28" t="s">
        <v>46</v>
      </c>
      <c r="F508" s="27">
        <v>22</v>
      </c>
      <c r="G508" s="27">
        <v>150</v>
      </c>
      <c r="H508" s="27">
        <v>37</v>
      </c>
      <c r="I508" s="35">
        <v>9.1</v>
      </c>
      <c r="J508" s="5">
        <v>3.49</v>
      </c>
    </row>
    <row r="509" spans="4:5">
      <c r="D509" s="28"/>
      <c r="E509" s="28"/>
    </row>
    <row r="511" s="20" customFormat="1" spans="1:11">
      <c r="A511" s="23" t="s">
        <v>384</v>
      </c>
      <c r="B511" s="51" t="s">
        <v>1</v>
      </c>
      <c r="C511" s="52" t="s">
        <v>2</v>
      </c>
      <c r="D511" s="53" t="s">
        <v>3</v>
      </c>
      <c r="E511" s="53" t="s">
        <v>4</v>
      </c>
      <c r="F511" s="54" t="s">
        <v>5</v>
      </c>
      <c r="G511" s="54" t="s">
        <v>6</v>
      </c>
      <c r="H511" s="54" t="s">
        <v>7</v>
      </c>
      <c r="I511" s="55" t="s">
        <v>8</v>
      </c>
      <c r="J511" s="56" t="s">
        <v>9</v>
      </c>
      <c r="K511" s="52" t="s">
        <v>10</v>
      </c>
    </row>
    <row r="512" spans="2:10">
      <c r="B512" s="27">
        <v>308</v>
      </c>
      <c r="C512" s="27">
        <v>31</v>
      </c>
      <c r="D512" s="30" t="s">
        <v>385</v>
      </c>
      <c r="E512" s="28" t="s">
        <v>46</v>
      </c>
      <c r="F512" s="27">
        <v>24</v>
      </c>
      <c r="G512" s="27">
        <v>188</v>
      </c>
      <c r="H512" s="27">
        <v>46</v>
      </c>
      <c r="I512" s="35">
        <v>8.9</v>
      </c>
      <c r="J512" s="5">
        <v>5.16</v>
      </c>
    </row>
    <row r="513" spans="2:10">
      <c r="B513" s="27">
        <v>308</v>
      </c>
      <c r="C513" s="27">
        <v>32</v>
      </c>
      <c r="D513" s="28" t="s">
        <v>386</v>
      </c>
      <c r="E513" s="28" t="s">
        <v>46</v>
      </c>
      <c r="F513" s="27">
        <v>10</v>
      </c>
      <c r="G513" s="27">
        <v>135</v>
      </c>
      <c r="H513" s="27">
        <v>47</v>
      </c>
      <c r="I513" s="35">
        <v>10.3</v>
      </c>
      <c r="J513" s="5">
        <v>5.24</v>
      </c>
    </row>
    <row r="514" spans="2:10">
      <c r="B514" s="27">
        <v>308</v>
      </c>
      <c r="C514" s="27">
        <v>33</v>
      </c>
      <c r="D514" s="28" t="s">
        <v>387</v>
      </c>
      <c r="E514" s="28" t="s">
        <v>46</v>
      </c>
      <c r="F514" s="27">
        <v>17</v>
      </c>
      <c r="G514" s="27">
        <v>150</v>
      </c>
      <c r="H514" s="27">
        <v>36</v>
      </c>
      <c r="I514" s="35">
        <v>10</v>
      </c>
      <c r="J514" s="5">
        <v>4.58</v>
      </c>
    </row>
    <row r="515" spans="2:10">
      <c r="B515" s="27">
        <v>308</v>
      </c>
      <c r="C515" s="27">
        <v>34</v>
      </c>
      <c r="D515" s="28" t="s">
        <v>388</v>
      </c>
      <c r="E515" s="28" t="s">
        <v>46</v>
      </c>
      <c r="F515" s="27">
        <v>7.5</v>
      </c>
      <c r="G515" s="27">
        <v>172</v>
      </c>
      <c r="H515" s="27">
        <v>55</v>
      </c>
      <c r="I515" s="35">
        <v>9.5</v>
      </c>
      <c r="J515" s="5">
        <v>4.27</v>
      </c>
    </row>
    <row r="516" spans="2:10">
      <c r="B516" s="27">
        <v>308</v>
      </c>
      <c r="C516" s="27">
        <v>35</v>
      </c>
      <c r="D516" s="28" t="s">
        <v>389</v>
      </c>
      <c r="E516" s="28" t="s">
        <v>46</v>
      </c>
      <c r="F516" s="27">
        <v>18</v>
      </c>
      <c r="G516" s="27">
        <v>152</v>
      </c>
      <c r="H516" s="27">
        <v>45</v>
      </c>
      <c r="I516" s="35">
        <v>9.2</v>
      </c>
      <c r="J516" s="5">
        <v>4.1</v>
      </c>
    </row>
    <row r="517" spans="2:10">
      <c r="B517" s="27">
        <v>308</v>
      </c>
      <c r="C517" s="27">
        <v>36</v>
      </c>
      <c r="D517" s="28" t="s">
        <v>390</v>
      </c>
      <c r="E517" s="28" t="s">
        <v>46</v>
      </c>
      <c r="F517" s="27">
        <v>24</v>
      </c>
      <c r="G517" s="27">
        <v>174</v>
      </c>
      <c r="H517" s="27">
        <v>42</v>
      </c>
      <c r="I517" s="35">
        <v>9.4</v>
      </c>
      <c r="J517" s="5">
        <v>4.56</v>
      </c>
    </row>
    <row r="518" spans="2:10">
      <c r="B518" s="27">
        <v>308</v>
      </c>
      <c r="C518" s="27">
        <v>37</v>
      </c>
      <c r="D518" s="28" t="s">
        <v>391</v>
      </c>
      <c r="E518" s="28" t="s">
        <v>46</v>
      </c>
      <c r="F518" s="27">
        <v>11</v>
      </c>
      <c r="G518" s="27">
        <v>156</v>
      </c>
      <c r="H518" s="27">
        <v>31</v>
      </c>
      <c r="I518" s="35">
        <v>9.6</v>
      </c>
      <c r="J518" s="5">
        <v>5.01</v>
      </c>
    </row>
    <row r="519" spans="2:10">
      <c r="B519" s="27">
        <v>308</v>
      </c>
      <c r="C519" s="27">
        <v>38</v>
      </c>
      <c r="D519" s="28" t="s">
        <v>392</v>
      </c>
      <c r="E519" s="28" t="s">
        <v>46</v>
      </c>
      <c r="F519" s="27">
        <v>16</v>
      </c>
      <c r="G519" s="27">
        <v>155</v>
      </c>
      <c r="H519" s="27">
        <v>37</v>
      </c>
      <c r="I519" s="35">
        <v>10.5</v>
      </c>
      <c r="J519" s="5">
        <v>4.29</v>
      </c>
    </row>
    <row r="520" spans="2:10">
      <c r="B520" s="27">
        <v>308</v>
      </c>
      <c r="C520" s="27">
        <v>39</v>
      </c>
      <c r="D520" s="28" t="s">
        <v>393</v>
      </c>
      <c r="E520" s="28" t="s">
        <v>46</v>
      </c>
      <c r="F520" s="27">
        <v>20</v>
      </c>
      <c r="G520" s="27">
        <v>196</v>
      </c>
      <c r="H520" s="27">
        <v>49</v>
      </c>
      <c r="I520" s="35">
        <v>8</v>
      </c>
      <c r="J520" s="5">
        <v>3.31</v>
      </c>
    </row>
    <row r="521" spans="4:5">
      <c r="D521" s="28"/>
      <c r="E521" s="28"/>
    </row>
    <row r="522" s="20" customFormat="1" spans="1:11">
      <c r="A522" s="23" t="s">
        <v>394</v>
      </c>
      <c r="B522" s="51" t="s">
        <v>1</v>
      </c>
      <c r="C522" s="52" t="s">
        <v>2</v>
      </c>
      <c r="D522" s="53" t="s">
        <v>3</v>
      </c>
      <c r="E522" s="53" t="s">
        <v>4</v>
      </c>
      <c r="F522" s="54" t="s">
        <v>5</v>
      </c>
      <c r="G522" s="54" t="s">
        <v>6</v>
      </c>
      <c r="H522" s="54" t="s">
        <v>7</v>
      </c>
      <c r="I522" s="55" t="s">
        <v>8</v>
      </c>
      <c r="J522" s="56" t="s">
        <v>9</v>
      </c>
      <c r="K522" s="52" t="s">
        <v>10</v>
      </c>
    </row>
    <row r="523" spans="2:10">
      <c r="B523" s="27">
        <v>308</v>
      </c>
      <c r="C523" s="27">
        <v>40</v>
      </c>
      <c r="D523" s="30" t="s">
        <v>395</v>
      </c>
      <c r="E523" s="28" t="s">
        <v>46</v>
      </c>
      <c r="F523" s="27">
        <v>12.7</v>
      </c>
      <c r="G523" s="27">
        <v>162</v>
      </c>
      <c r="H523" s="27" t="s">
        <v>77</v>
      </c>
      <c r="I523" s="27" t="s">
        <v>77</v>
      </c>
      <c r="J523" s="27" t="s">
        <v>77</v>
      </c>
    </row>
    <row r="524" spans="2:10">
      <c r="B524" s="27">
        <v>308</v>
      </c>
      <c r="C524" s="27">
        <v>41</v>
      </c>
      <c r="D524" s="28" t="s">
        <v>396</v>
      </c>
      <c r="E524" s="28" t="s">
        <v>46</v>
      </c>
      <c r="F524" s="27">
        <v>12.3</v>
      </c>
      <c r="G524" s="27">
        <v>177</v>
      </c>
      <c r="H524" s="27">
        <v>46</v>
      </c>
      <c r="I524" s="35">
        <v>9.4</v>
      </c>
      <c r="J524" s="5">
        <v>4.533</v>
      </c>
    </row>
    <row r="525" spans="2:10">
      <c r="B525" s="27">
        <v>308</v>
      </c>
      <c r="C525" s="27">
        <v>42</v>
      </c>
      <c r="D525" s="28" t="s">
        <v>397</v>
      </c>
      <c r="E525" s="28" t="s">
        <v>46</v>
      </c>
      <c r="F525" s="27">
        <v>22.8</v>
      </c>
      <c r="G525" s="27">
        <v>164</v>
      </c>
      <c r="H525" s="27">
        <v>52</v>
      </c>
      <c r="I525" s="35">
        <v>8.9</v>
      </c>
      <c r="J525" s="5">
        <v>4.54</v>
      </c>
    </row>
    <row r="526" spans="2:10">
      <c r="B526" s="27">
        <v>308</v>
      </c>
      <c r="C526" s="27">
        <v>43</v>
      </c>
      <c r="D526" s="28" t="s">
        <v>398</v>
      </c>
      <c r="E526" s="28" t="s">
        <v>46</v>
      </c>
      <c r="F526" s="27">
        <v>15.7</v>
      </c>
      <c r="G526" s="27">
        <v>143</v>
      </c>
      <c r="H526" s="27">
        <v>48</v>
      </c>
      <c r="I526" s="35">
        <v>10.1</v>
      </c>
      <c r="J526" s="5">
        <v>4.3</v>
      </c>
    </row>
    <row r="527" spans="2:10">
      <c r="B527" s="27">
        <v>308</v>
      </c>
      <c r="C527" s="27">
        <v>44</v>
      </c>
      <c r="D527" s="28" t="s">
        <v>399</v>
      </c>
      <c r="E527" s="28" t="s">
        <v>46</v>
      </c>
      <c r="F527" s="27">
        <v>21.7</v>
      </c>
      <c r="G527" s="27">
        <v>162</v>
      </c>
      <c r="H527" s="27">
        <v>58</v>
      </c>
      <c r="I527" s="35">
        <v>9.6</v>
      </c>
      <c r="J527" s="5">
        <v>4.57</v>
      </c>
    </row>
    <row r="528" spans="2:10">
      <c r="B528" s="27">
        <v>308</v>
      </c>
      <c r="C528" s="27">
        <v>45</v>
      </c>
      <c r="D528" s="28" t="s">
        <v>400</v>
      </c>
      <c r="E528" s="28" t="s">
        <v>46</v>
      </c>
      <c r="F528" s="27">
        <v>12</v>
      </c>
      <c r="G528" s="27">
        <v>168</v>
      </c>
      <c r="H528" s="27">
        <v>50</v>
      </c>
      <c r="I528" s="35">
        <v>9.4</v>
      </c>
      <c r="J528" s="5">
        <v>4.56</v>
      </c>
    </row>
    <row r="529" spans="2:11">
      <c r="B529" s="27">
        <v>308</v>
      </c>
      <c r="C529" s="27">
        <v>46</v>
      </c>
      <c r="D529" s="28" t="s">
        <v>401</v>
      </c>
      <c r="E529" s="28" t="s">
        <v>46</v>
      </c>
      <c r="K529" s="27">
        <v>50</v>
      </c>
    </row>
    <row r="530" spans="2:10">
      <c r="B530" s="27">
        <v>308</v>
      </c>
      <c r="C530" s="27">
        <v>47</v>
      </c>
      <c r="D530" s="28" t="s">
        <v>402</v>
      </c>
      <c r="E530" s="28" t="s">
        <v>46</v>
      </c>
      <c r="F530" s="27">
        <v>13</v>
      </c>
      <c r="G530" s="27">
        <v>220</v>
      </c>
      <c r="H530" s="27">
        <v>43</v>
      </c>
      <c r="I530" s="35">
        <v>8</v>
      </c>
      <c r="J530" s="5">
        <v>4.57</v>
      </c>
    </row>
    <row r="531" spans="2:10">
      <c r="B531" s="27">
        <v>308</v>
      </c>
      <c r="C531" s="27">
        <v>48</v>
      </c>
      <c r="D531" s="28" t="s">
        <v>403</v>
      </c>
      <c r="E531" s="28" t="s">
        <v>46</v>
      </c>
      <c r="F531" s="27">
        <v>10.2</v>
      </c>
      <c r="G531" s="27">
        <v>147</v>
      </c>
      <c r="H531" s="27">
        <v>44</v>
      </c>
      <c r="I531" s="35">
        <v>9.8</v>
      </c>
      <c r="J531" s="5">
        <v>4.19</v>
      </c>
    </row>
    <row r="533" s="20" customFormat="1" spans="1:11">
      <c r="A533" s="23" t="s">
        <v>404</v>
      </c>
      <c r="B533" s="51" t="s">
        <v>1</v>
      </c>
      <c r="C533" s="52" t="s">
        <v>2</v>
      </c>
      <c r="D533" s="53" t="s">
        <v>3</v>
      </c>
      <c r="E533" s="53" t="s">
        <v>4</v>
      </c>
      <c r="F533" s="54" t="s">
        <v>5</v>
      </c>
      <c r="G533" s="54" t="s">
        <v>6</v>
      </c>
      <c r="H533" s="54" t="s">
        <v>7</v>
      </c>
      <c r="I533" s="55" t="s">
        <v>8</v>
      </c>
      <c r="J533" s="56" t="s">
        <v>9</v>
      </c>
      <c r="K533" s="52" t="s">
        <v>10</v>
      </c>
    </row>
    <row r="534" spans="2:11">
      <c r="B534" s="27">
        <v>309</v>
      </c>
      <c r="C534" s="27">
        <v>1</v>
      </c>
      <c r="D534" s="30" t="s">
        <v>405</v>
      </c>
      <c r="E534" s="28" t="s">
        <v>12</v>
      </c>
      <c r="K534" s="27">
        <v>50</v>
      </c>
    </row>
    <row r="535" spans="2:10">
      <c r="B535" s="27">
        <v>309</v>
      </c>
      <c r="C535" s="27">
        <v>2</v>
      </c>
      <c r="D535" s="28" t="s">
        <v>406</v>
      </c>
      <c r="E535" s="28" t="s">
        <v>12</v>
      </c>
      <c r="F535" s="27">
        <v>9.5</v>
      </c>
      <c r="G535" s="27">
        <v>248</v>
      </c>
      <c r="H535" s="27">
        <v>13</v>
      </c>
      <c r="I535" s="35">
        <v>7</v>
      </c>
      <c r="J535" s="5">
        <v>5.39</v>
      </c>
    </row>
    <row r="536" spans="2:10">
      <c r="B536" s="27">
        <v>309</v>
      </c>
      <c r="C536" s="27">
        <v>3</v>
      </c>
      <c r="D536" s="28" t="s">
        <v>407</v>
      </c>
      <c r="E536" s="28" t="s">
        <v>12</v>
      </c>
      <c r="F536" s="27">
        <v>13</v>
      </c>
      <c r="G536" s="27">
        <v>207</v>
      </c>
      <c r="H536" s="27">
        <v>3</v>
      </c>
      <c r="I536" s="35">
        <v>7.6</v>
      </c>
      <c r="J536" s="5">
        <v>5.39</v>
      </c>
    </row>
    <row r="537" spans="2:10">
      <c r="B537" s="27">
        <v>309</v>
      </c>
      <c r="C537" s="27">
        <v>4</v>
      </c>
      <c r="D537" s="28" t="s">
        <v>408</v>
      </c>
      <c r="E537" s="28" t="s">
        <v>12</v>
      </c>
      <c r="F537" s="27">
        <v>16.5</v>
      </c>
      <c r="G537" s="27">
        <v>260</v>
      </c>
      <c r="H537" s="27">
        <v>9</v>
      </c>
      <c r="I537" s="35">
        <v>7.1</v>
      </c>
      <c r="J537" s="5">
        <v>5.39</v>
      </c>
    </row>
    <row r="538" spans="2:10">
      <c r="B538" s="27">
        <v>309</v>
      </c>
      <c r="C538" s="27">
        <v>5</v>
      </c>
      <c r="D538" s="28" t="s">
        <v>409</v>
      </c>
      <c r="E538" s="28" t="s">
        <v>12</v>
      </c>
      <c r="F538" s="27">
        <v>19.5</v>
      </c>
      <c r="G538" s="27">
        <v>270</v>
      </c>
      <c r="H538" s="27">
        <v>31</v>
      </c>
      <c r="I538" s="35">
        <v>6.9</v>
      </c>
      <c r="J538" s="5">
        <v>3.32</v>
      </c>
    </row>
    <row r="539" spans="2:10">
      <c r="B539" s="27">
        <v>309</v>
      </c>
      <c r="C539" s="27">
        <v>6</v>
      </c>
      <c r="D539" s="28" t="s">
        <v>410</v>
      </c>
      <c r="E539" s="28" t="s">
        <v>12</v>
      </c>
      <c r="F539" s="27">
        <v>18</v>
      </c>
      <c r="G539" s="27">
        <v>210</v>
      </c>
      <c r="H539" s="27">
        <v>3</v>
      </c>
      <c r="I539" s="35">
        <v>7.5</v>
      </c>
      <c r="J539" s="5">
        <v>4.01</v>
      </c>
    </row>
    <row r="540" spans="2:10">
      <c r="B540" s="27">
        <v>309</v>
      </c>
      <c r="C540" s="27">
        <v>7</v>
      </c>
      <c r="D540" s="28" t="s">
        <v>411</v>
      </c>
      <c r="E540" s="28" t="s">
        <v>12</v>
      </c>
      <c r="F540" s="27">
        <v>29</v>
      </c>
      <c r="G540" s="27">
        <v>256</v>
      </c>
      <c r="H540" s="27">
        <v>2</v>
      </c>
      <c r="I540" s="35">
        <v>6.9</v>
      </c>
      <c r="J540" s="5">
        <v>5.39</v>
      </c>
    </row>
    <row r="541" spans="2:10">
      <c r="B541" s="27">
        <v>309</v>
      </c>
      <c r="C541" s="27">
        <v>8</v>
      </c>
      <c r="D541" s="28" t="s">
        <v>412</v>
      </c>
      <c r="E541" s="28" t="s">
        <v>12</v>
      </c>
      <c r="F541" s="27">
        <v>15</v>
      </c>
      <c r="G541" s="27">
        <v>214</v>
      </c>
      <c r="H541" s="27">
        <v>10</v>
      </c>
      <c r="I541" s="35">
        <v>7</v>
      </c>
      <c r="J541" s="5">
        <v>5.39</v>
      </c>
    </row>
    <row r="542" spans="2:10">
      <c r="B542" s="27">
        <v>309</v>
      </c>
      <c r="C542" s="27">
        <v>9</v>
      </c>
      <c r="D542" s="28" t="s">
        <v>413</v>
      </c>
      <c r="E542" s="28" t="s">
        <v>12</v>
      </c>
      <c r="F542" s="27">
        <v>2.5</v>
      </c>
      <c r="G542" s="27">
        <v>190</v>
      </c>
      <c r="H542" s="27">
        <v>1</v>
      </c>
      <c r="I542" s="35">
        <v>8.3</v>
      </c>
      <c r="J542" s="5">
        <v>5.39</v>
      </c>
    </row>
    <row r="543" spans="2:10">
      <c r="B543" s="27">
        <v>309</v>
      </c>
      <c r="C543" s="27">
        <v>10</v>
      </c>
      <c r="D543" s="28" t="s">
        <v>414</v>
      </c>
      <c r="E543" s="28" t="s">
        <v>12</v>
      </c>
      <c r="F543" s="27">
        <v>10.5</v>
      </c>
      <c r="G543" s="27">
        <v>262</v>
      </c>
      <c r="H543" s="27">
        <v>10</v>
      </c>
      <c r="I543" s="35">
        <v>7.9</v>
      </c>
      <c r="J543" s="5">
        <v>5.39</v>
      </c>
    </row>
    <row r="545" s="20" customFormat="1" spans="1:11">
      <c r="A545" s="23" t="s">
        <v>415</v>
      </c>
      <c r="B545" s="51" t="s">
        <v>1</v>
      </c>
      <c r="C545" s="52" t="s">
        <v>2</v>
      </c>
      <c r="D545" s="53" t="s">
        <v>3</v>
      </c>
      <c r="E545" s="53" t="s">
        <v>4</v>
      </c>
      <c r="F545" s="54" t="s">
        <v>5</v>
      </c>
      <c r="G545" s="54" t="s">
        <v>6</v>
      </c>
      <c r="H545" s="54" t="s">
        <v>7</v>
      </c>
      <c r="I545" s="55" t="s">
        <v>8</v>
      </c>
      <c r="J545" s="56" t="s">
        <v>9</v>
      </c>
      <c r="K545" s="52" t="s">
        <v>10</v>
      </c>
    </row>
    <row r="546" spans="2:10">
      <c r="B546" s="27">
        <v>309</v>
      </c>
      <c r="C546" s="27">
        <v>11</v>
      </c>
      <c r="D546" s="30" t="s">
        <v>416</v>
      </c>
      <c r="E546" s="28" t="s">
        <v>12</v>
      </c>
      <c r="F546" s="27">
        <v>14.5</v>
      </c>
      <c r="G546" s="27">
        <v>255</v>
      </c>
      <c r="H546" s="27">
        <v>5</v>
      </c>
      <c r="I546" s="35">
        <v>7.2</v>
      </c>
      <c r="J546" s="5">
        <v>4.25</v>
      </c>
    </row>
    <row r="547" spans="2:10">
      <c r="B547" s="27">
        <v>309</v>
      </c>
      <c r="C547" s="27">
        <v>12</v>
      </c>
      <c r="D547" s="28" t="s">
        <v>417</v>
      </c>
      <c r="E547" s="28" t="s">
        <v>12</v>
      </c>
      <c r="F547" s="27">
        <v>9.5</v>
      </c>
      <c r="G547" s="27">
        <v>235</v>
      </c>
      <c r="H547" s="27">
        <v>1</v>
      </c>
      <c r="I547" s="35">
        <v>7.9</v>
      </c>
      <c r="J547" s="5">
        <v>4.22</v>
      </c>
    </row>
    <row r="548" spans="2:10">
      <c r="B548" s="27">
        <v>309</v>
      </c>
      <c r="C548" s="27">
        <v>13</v>
      </c>
      <c r="D548" s="28" t="s">
        <v>418</v>
      </c>
      <c r="E548" s="28" t="s">
        <v>12</v>
      </c>
      <c r="F548" s="27">
        <v>12.5</v>
      </c>
      <c r="G548" s="27">
        <v>225</v>
      </c>
      <c r="H548" s="27">
        <v>11</v>
      </c>
      <c r="I548" s="35">
        <v>7.8</v>
      </c>
      <c r="J548" s="5">
        <v>3.57</v>
      </c>
    </row>
    <row r="549" spans="2:10">
      <c r="B549" s="27">
        <v>309</v>
      </c>
      <c r="C549" s="27">
        <v>14</v>
      </c>
      <c r="D549" s="28" t="s">
        <v>419</v>
      </c>
      <c r="E549" s="28" t="s">
        <v>12</v>
      </c>
      <c r="F549" s="27">
        <v>11.2</v>
      </c>
      <c r="G549" s="27">
        <v>235</v>
      </c>
      <c r="H549" s="27">
        <v>12</v>
      </c>
      <c r="I549" s="35">
        <v>7.1</v>
      </c>
      <c r="J549" s="5">
        <v>4.1</v>
      </c>
    </row>
    <row r="550" spans="2:10">
      <c r="B550" s="27">
        <v>309</v>
      </c>
      <c r="C550" s="27">
        <v>15</v>
      </c>
      <c r="D550" s="28" t="s">
        <v>420</v>
      </c>
      <c r="E550" s="28" t="s">
        <v>12</v>
      </c>
      <c r="F550" s="27">
        <v>17</v>
      </c>
      <c r="G550" s="27">
        <v>250</v>
      </c>
      <c r="H550" s="27">
        <v>10</v>
      </c>
      <c r="I550" s="35">
        <v>6.9</v>
      </c>
      <c r="J550" s="5">
        <v>4.07</v>
      </c>
    </row>
    <row r="551" spans="2:10">
      <c r="B551" s="27">
        <v>309</v>
      </c>
      <c r="C551" s="27">
        <v>16</v>
      </c>
      <c r="D551" s="28" t="s">
        <v>421</v>
      </c>
      <c r="E551" s="28" t="s">
        <v>12</v>
      </c>
      <c r="F551" s="27">
        <v>27.5</v>
      </c>
      <c r="G551" s="27">
        <v>235</v>
      </c>
      <c r="H551" s="27">
        <v>18</v>
      </c>
      <c r="I551" s="35">
        <v>7.3</v>
      </c>
      <c r="J551" s="5">
        <v>4.15</v>
      </c>
    </row>
    <row r="552" spans="2:10">
      <c r="B552" s="27">
        <v>309</v>
      </c>
      <c r="C552" s="27">
        <v>17</v>
      </c>
      <c r="D552" s="28" t="s">
        <v>422</v>
      </c>
      <c r="E552" s="28" t="s">
        <v>12</v>
      </c>
      <c r="F552" s="27">
        <v>9.4</v>
      </c>
      <c r="G552" s="27">
        <v>225</v>
      </c>
      <c r="H552" s="27">
        <v>2</v>
      </c>
      <c r="I552" s="35">
        <v>8.5</v>
      </c>
      <c r="J552" s="5">
        <v>4.24</v>
      </c>
    </row>
    <row r="553" spans="2:10">
      <c r="B553" s="27">
        <v>309</v>
      </c>
      <c r="C553" s="27">
        <v>18</v>
      </c>
      <c r="D553" s="28" t="s">
        <v>423</v>
      </c>
      <c r="E553" s="28" t="s">
        <v>12</v>
      </c>
      <c r="F553" s="27">
        <v>16.3</v>
      </c>
      <c r="G553" s="27">
        <v>215</v>
      </c>
      <c r="H553" s="27">
        <v>5</v>
      </c>
      <c r="I553" s="35">
        <v>7.9</v>
      </c>
      <c r="J553" s="5">
        <v>4.27</v>
      </c>
    </row>
    <row r="554" spans="2:10">
      <c r="B554" s="27">
        <v>309</v>
      </c>
      <c r="C554" s="27">
        <v>19</v>
      </c>
      <c r="D554" s="28" t="s">
        <v>424</v>
      </c>
      <c r="E554" s="28" t="s">
        <v>12</v>
      </c>
      <c r="F554" s="27">
        <v>14</v>
      </c>
      <c r="G554" s="27">
        <v>253</v>
      </c>
      <c r="H554" s="27">
        <v>18</v>
      </c>
      <c r="I554" s="35">
        <v>7.3</v>
      </c>
      <c r="J554" s="5">
        <v>3.56</v>
      </c>
    </row>
    <row r="555" spans="2:10">
      <c r="B555" s="27">
        <v>309</v>
      </c>
      <c r="C555" s="27">
        <v>20</v>
      </c>
      <c r="D555" s="28" t="s">
        <v>425</v>
      </c>
      <c r="E555" s="28" t="s">
        <v>12</v>
      </c>
      <c r="F555" s="27">
        <v>7</v>
      </c>
      <c r="G555" s="27">
        <v>215</v>
      </c>
      <c r="H555" s="27">
        <v>1</v>
      </c>
      <c r="I555" s="35">
        <v>8.2</v>
      </c>
      <c r="J555" s="5">
        <v>5.24</v>
      </c>
    </row>
    <row r="556" s="20" customFormat="1" spans="1:11">
      <c r="A556" s="23" t="s">
        <v>426</v>
      </c>
      <c r="B556" s="51" t="s">
        <v>1</v>
      </c>
      <c r="C556" s="52" t="s">
        <v>2</v>
      </c>
      <c r="D556" s="53" t="s">
        <v>3</v>
      </c>
      <c r="E556" s="53" t="s">
        <v>4</v>
      </c>
      <c r="F556" s="54" t="s">
        <v>5</v>
      </c>
      <c r="G556" s="54" t="s">
        <v>6</v>
      </c>
      <c r="H556" s="54" t="s">
        <v>7</v>
      </c>
      <c r="I556" s="55" t="s">
        <v>8</v>
      </c>
      <c r="J556" s="56" t="s">
        <v>9</v>
      </c>
      <c r="K556" s="52" t="s">
        <v>10</v>
      </c>
    </row>
    <row r="557" spans="2:10">
      <c r="B557" s="27">
        <v>309</v>
      </c>
      <c r="C557" s="27">
        <v>21</v>
      </c>
      <c r="D557" s="30" t="s">
        <v>427</v>
      </c>
      <c r="E557" s="28" t="s">
        <v>12</v>
      </c>
      <c r="F557" s="27">
        <v>1.6</v>
      </c>
      <c r="G557" s="27">
        <v>160</v>
      </c>
      <c r="H557" s="27">
        <v>0</v>
      </c>
      <c r="I557" s="35">
        <v>7.7</v>
      </c>
      <c r="J557" s="5">
        <v>5.05</v>
      </c>
    </row>
    <row r="558" spans="2:10">
      <c r="B558" s="27">
        <v>309</v>
      </c>
      <c r="C558" s="27">
        <v>22</v>
      </c>
      <c r="D558" s="27" t="s">
        <v>428</v>
      </c>
      <c r="E558" s="27" t="s">
        <v>12</v>
      </c>
      <c r="F558" s="27">
        <v>27</v>
      </c>
      <c r="G558" s="27">
        <v>241</v>
      </c>
      <c r="H558" s="27">
        <v>40</v>
      </c>
      <c r="I558" s="35">
        <v>7.6</v>
      </c>
      <c r="J558" s="5">
        <v>4.1</v>
      </c>
    </row>
    <row r="559" spans="2:10">
      <c r="B559" s="27">
        <v>309</v>
      </c>
      <c r="C559" s="27">
        <v>23</v>
      </c>
      <c r="D559" s="28" t="s">
        <v>429</v>
      </c>
      <c r="E559" s="28" t="s">
        <v>12</v>
      </c>
      <c r="F559" s="27">
        <v>15.4</v>
      </c>
      <c r="G559" s="27">
        <v>226</v>
      </c>
      <c r="H559" s="27">
        <v>14</v>
      </c>
      <c r="I559" s="35">
        <v>7.7</v>
      </c>
      <c r="J559" s="5">
        <v>3.55</v>
      </c>
    </row>
    <row r="560" spans="2:10">
      <c r="B560" s="27">
        <v>309</v>
      </c>
      <c r="C560" s="27">
        <v>24</v>
      </c>
      <c r="D560" s="28" t="s">
        <v>430</v>
      </c>
      <c r="E560" s="28" t="s">
        <v>12</v>
      </c>
      <c r="F560" s="27">
        <v>11</v>
      </c>
      <c r="G560" s="27">
        <v>262</v>
      </c>
      <c r="H560" s="27">
        <v>10</v>
      </c>
      <c r="I560" s="35">
        <v>7.6</v>
      </c>
      <c r="J560" s="5">
        <v>4.36</v>
      </c>
    </row>
    <row r="561" spans="2:11">
      <c r="B561" s="27">
        <v>309</v>
      </c>
      <c r="C561" s="27">
        <v>25</v>
      </c>
      <c r="D561" s="28" t="s">
        <v>431</v>
      </c>
      <c r="E561" s="28" t="s">
        <v>12</v>
      </c>
      <c r="K561" s="27">
        <v>50</v>
      </c>
    </row>
    <row r="562" spans="2:10">
      <c r="B562" s="27">
        <v>309</v>
      </c>
      <c r="C562" s="27">
        <v>26</v>
      </c>
      <c r="D562" s="27" t="s">
        <v>432</v>
      </c>
      <c r="E562" s="27" t="s">
        <v>12</v>
      </c>
      <c r="F562" s="27">
        <v>18.3</v>
      </c>
      <c r="G562" s="27">
        <v>232</v>
      </c>
      <c r="H562" s="27">
        <v>3</v>
      </c>
      <c r="I562" s="35">
        <v>6.8</v>
      </c>
      <c r="J562" s="5">
        <v>3.52</v>
      </c>
    </row>
    <row r="563" spans="2:10">
      <c r="B563" s="27">
        <v>309</v>
      </c>
      <c r="C563" s="27">
        <v>27</v>
      </c>
      <c r="D563" s="28" t="s">
        <v>433</v>
      </c>
      <c r="E563" s="28" t="s">
        <v>12</v>
      </c>
      <c r="F563" s="27">
        <v>19</v>
      </c>
      <c r="G563" s="27">
        <v>262</v>
      </c>
      <c r="H563" s="27">
        <v>20</v>
      </c>
      <c r="I563" s="35">
        <v>7.1</v>
      </c>
      <c r="J563" s="5">
        <v>3.28</v>
      </c>
    </row>
    <row r="564" spans="2:10">
      <c r="B564" s="27">
        <v>309</v>
      </c>
      <c r="C564" s="27">
        <v>28</v>
      </c>
      <c r="D564" s="28" t="s">
        <v>434</v>
      </c>
      <c r="E564" s="28" t="s">
        <v>12</v>
      </c>
      <c r="F564" s="27">
        <v>6.3</v>
      </c>
      <c r="G564" s="27">
        <v>211</v>
      </c>
      <c r="H564" s="27">
        <v>0</v>
      </c>
      <c r="I564" s="35">
        <v>8</v>
      </c>
      <c r="J564" s="5">
        <v>5.05</v>
      </c>
    </row>
    <row r="565" spans="2:10">
      <c r="B565" s="27">
        <v>309</v>
      </c>
      <c r="C565" s="27">
        <v>29</v>
      </c>
      <c r="D565" s="28" t="s">
        <v>435</v>
      </c>
      <c r="E565" s="28" t="s">
        <v>12</v>
      </c>
      <c r="F565" s="27">
        <v>0.4</v>
      </c>
      <c r="G565" s="27">
        <v>249</v>
      </c>
      <c r="H565" s="27">
        <v>4</v>
      </c>
      <c r="I565" s="35">
        <v>7</v>
      </c>
      <c r="J565" s="5">
        <v>9.16</v>
      </c>
    </row>
    <row r="567" s="20" customFormat="1" spans="1:11">
      <c r="A567" s="23" t="s">
        <v>436</v>
      </c>
      <c r="B567" s="51" t="s">
        <v>1</v>
      </c>
      <c r="C567" s="52" t="s">
        <v>2</v>
      </c>
      <c r="D567" s="53" t="s">
        <v>3</v>
      </c>
      <c r="E567" s="53" t="s">
        <v>4</v>
      </c>
      <c r="F567" s="54" t="s">
        <v>5</v>
      </c>
      <c r="G567" s="54" t="s">
        <v>6</v>
      </c>
      <c r="H567" s="54" t="s">
        <v>7</v>
      </c>
      <c r="I567" s="55" t="s">
        <v>8</v>
      </c>
      <c r="J567" s="56" t="s">
        <v>9</v>
      </c>
      <c r="K567" s="52" t="s">
        <v>10</v>
      </c>
    </row>
    <row r="568" spans="2:11">
      <c r="B568" s="27">
        <v>309</v>
      </c>
      <c r="C568" s="27">
        <v>30</v>
      </c>
      <c r="D568" s="30" t="s">
        <v>437</v>
      </c>
      <c r="E568" s="28" t="s">
        <v>12</v>
      </c>
      <c r="K568" s="27">
        <v>50</v>
      </c>
    </row>
    <row r="569" spans="2:10">
      <c r="B569" s="27">
        <v>309</v>
      </c>
      <c r="C569" s="27">
        <v>31</v>
      </c>
      <c r="D569" s="28" t="s">
        <v>438</v>
      </c>
      <c r="E569" s="28" t="s">
        <v>12</v>
      </c>
      <c r="F569" s="27">
        <v>29</v>
      </c>
      <c r="G569" s="27">
        <v>240</v>
      </c>
      <c r="H569" s="27">
        <v>8</v>
      </c>
      <c r="I569" s="35">
        <v>6.9</v>
      </c>
      <c r="J569" s="5">
        <v>5.39</v>
      </c>
    </row>
    <row r="570" spans="2:11">
      <c r="B570" s="27">
        <v>309</v>
      </c>
      <c r="C570" s="27">
        <v>32</v>
      </c>
      <c r="D570" s="28" t="s">
        <v>439</v>
      </c>
      <c r="E570" s="28" t="s">
        <v>12</v>
      </c>
      <c r="K570" s="27">
        <v>50</v>
      </c>
    </row>
    <row r="571" spans="2:10">
      <c r="B571" s="27">
        <v>309</v>
      </c>
      <c r="C571" s="27">
        <v>33</v>
      </c>
      <c r="D571" s="28" t="s">
        <v>440</v>
      </c>
      <c r="E571" s="28" t="s">
        <v>12</v>
      </c>
      <c r="F571" s="27">
        <v>15.5</v>
      </c>
      <c r="G571" s="27">
        <v>230</v>
      </c>
      <c r="H571" s="27">
        <v>2</v>
      </c>
      <c r="I571" s="35">
        <v>9.1</v>
      </c>
      <c r="J571" s="5">
        <v>5.39</v>
      </c>
    </row>
    <row r="572" spans="2:10">
      <c r="B572" s="27">
        <v>309</v>
      </c>
      <c r="C572" s="27">
        <v>34</v>
      </c>
      <c r="D572" s="28" t="s">
        <v>441</v>
      </c>
      <c r="E572" s="28" t="s">
        <v>12</v>
      </c>
      <c r="F572" s="27">
        <v>9.8</v>
      </c>
      <c r="G572" s="27">
        <v>250</v>
      </c>
      <c r="H572" s="27">
        <v>2</v>
      </c>
      <c r="I572" s="35">
        <v>7.2</v>
      </c>
      <c r="J572" s="5">
        <v>3.29</v>
      </c>
    </row>
    <row r="573" spans="2:10">
      <c r="B573" s="27">
        <v>309</v>
      </c>
      <c r="C573" s="27">
        <v>35</v>
      </c>
      <c r="D573" s="28" t="s">
        <v>442</v>
      </c>
      <c r="E573" s="28" t="s">
        <v>12</v>
      </c>
      <c r="F573" s="27">
        <v>2.8</v>
      </c>
      <c r="G573" s="27">
        <v>195</v>
      </c>
      <c r="H573" s="27">
        <v>6</v>
      </c>
      <c r="I573" s="35">
        <v>8.8</v>
      </c>
      <c r="J573" s="5">
        <v>5.39</v>
      </c>
    </row>
    <row r="574" spans="2:10">
      <c r="B574" s="27">
        <v>309</v>
      </c>
      <c r="C574" s="27">
        <v>36</v>
      </c>
      <c r="D574" s="28" t="s">
        <v>443</v>
      </c>
      <c r="E574" s="28" t="s">
        <v>12</v>
      </c>
      <c r="F574" s="27">
        <v>4.4</v>
      </c>
      <c r="G574" s="27">
        <v>252</v>
      </c>
      <c r="H574" s="27">
        <v>9</v>
      </c>
      <c r="I574" s="35">
        <v>7.8</v>
      </c>
      <c r="J574" s="5">
        <v>4.21</v>
      </c>
    </row>
    <row r="575" spans="2:10">
      <c r="B575" s="27">
        <v>309</v>
      </c>
      <c r="C575" s="27">
        <v>37</v>
      </c>
      <c r="D575" s="28" t="s">
        <v>444</v>
      </c>
      <c r="E575" s="28" t="s">
        <v>12</v>
      </c>
      <c r="F575" s="27">
        <v>1</v>
      </c>
      <c r="G575" s="27">
        <v>225</v>
      </c>
      <c r="H575" s="27">
        <v>8</v>
      </c>
      <c r="I575" s="35">
        <v>9.4</v>
      </c>
      <c r="J575" s="5">
        <v>5.39</v>
      </c>
    </row>
    <row r="576" spans="2:10">
      <c r="B576" s="27">
        <v>309</v>
      </c>
      <c r="C576" s="27">
        <v>38</v>
      </c>
      <c r="D576" s="28" t="s">
        <v>445</v>
      </c>
      <c r="E576" s="28" t="s">
        <v>12</v>
      </c>
      <c r="F576" s="27">
        <v>1</v>
      </c>
      <c r="G576" s="27">
        <v>215</v>
      </c>
      <c r="H576" s="27">
        <v>1</v>
      </c>
      <c r="I576" s="35">
        <v>8.8</v>
      </c>
      <c r="J576" s="5">
        <v>5.39</v>
      </c>
    </row>
    <row r="577" spans="4:5">
      <c r="D577" s="28"/>
      <c r="E577" s="28"/>
    </row>
    <row r="579" s="20" customFormat="1" spans="1:11">
      <c r="A579" s="23" t="s">
        <v>446</v>
      </c>
      <c r="B579" s="51" t="s">
        <v>1</v>
      </c>
      <c r="C579" s="52" t="s">
        <v>2</v>
      </c>
      <c r="D579" s="53" t="s">
        <v>3</v>
      </c>
      <c r="E579" s="53" t="s">
        <v>4</v>
      </c>
      <c r="F579" s="54" t="s">
        <v>5</v>
      </c>
      <c r="G579" s="54" t="s">
        <v>6</v>
      </c>
      <c r="H579" s="54" t="s">
        <v>7</v>
      </c>
      <c r="I579" s="55" t="s">
        <v>8</v>
      </c>
      <c r="J579" s="56" t="s">
        <v>9</v>
      </c>
      <c r="K579" s="52" t="s">
        <v>10</v>
      </c>
    </row>
    <row r="580" spans="2:11">
      <c r="B580" s="27">
        <v>309</v>
      </c>
      <c r="C580" s="27">
        <v>39</v>
      </c>
      <c r="D580" s="30" t="s">
        <v>447</v>
      </c>
      <c r="E580" s="28" t="s">
        <v>46</v>
      </c>
      <c r="K580" s="27">
        <v>50</v>
      </c>
    </row>
    <row r="581" spans="2:10">
      <c r="B581" s="27">
        <v>309</v>
      </c>
      <c r="C581" s="27">
        <v>40</v>
      </c>
      <c r="D581" s="27" t="s">
        <v>448</v>
      </c>
      <c r="E581" s="27" t="s">
        <v>46</v>
      </c>
      <c r="F581" s="27">
        <v>17</v>
      </c>
      <c r="G581" s="27">
        <v>190</v>
      </c>
      <c r="H581" s="27">
        <v>45</v>
      </c>
      <c r="I581" s="35">
        <v>8.9</v>
      </c>
      <c r="J581" s="5">
        <v>4.03</v>
      </c>
    </row>
    <row r="582" spans="2:10">
      <c r="B582" s="27">
        <v>309</v>
      </c>
      <c r="C582" s="27">
        <v>41</v>
      </c>
      <c r="D582" s="28" t="s">
        <v>449</v>
      </c>
      <c r="E582" s="28" t="s">
        <v>46</v>
      </c>
      <c r="F582" s="27">
        <v>18.2</v>
      </c>
      <c r="G582" s="27">
        <v>170</v>
      </c>
      <c r="H582" s="27">
        <v>42</v>
      </c>
      <c r="I582" s="35">
        <v>9.3</v>
      </c>
      <c r="J582" s="5">
        <v>4.1</v>
      </c>
    </row>
    <row r="583" spans="2:10">
      <c r="B583" s="27">
        <v>309</v>
      </c>
      <c r="C583" s="27">
        <v>42</v>
      </c>
      <c r="D583" s="28" t="s">
        <v>450</v>
      </c>
      <c r="E583" s="28" t="s">
        <v>46</v>
      </c>
      <c r="F583" s="27">
        <v>16.7</v>
      </c>
      <c r="G583" s="27">
        <v>168</v>
      </c>
      <c r="H583" s="27">
        <v>49</v>
      </c>
      <c r="I583" s="35">
        <v>8.5</v>
      </c>
      <c r="J583" s="5">
        <v>3.46</v>
      </c>
    </row>
    <row r="584" spans="2:10">
      <c r="B584" s="27">
        <v>309</v>
      </c>
      <c r="C584" s="27">
        <v>43</v>
      </c>
      <c r="D584" s="28" t="s">
        <v>451</v>
      </c>
      <c r="E584" s="28" t="s">
        <v>46</v>
      </c>
      <c r="F584" s="27">
        <v>31.6</v>
      </c>
      <c r="G584" s="27">
        <v>185</v>
      </c>
      <c r="H584" s="27">
        <v>36</v>
      </c>
      <c r="I584" s="35">
        <v>9.1</v>
      </c>
      <c r="J584" s="5">
        <v>4.01</v>
      </c>
    </row>
    <row r="585" spans="2:10">
      <c r="B585" s="27">
        <v>309</v>
      </c>
      <c r="C585" s="27">
        <v>44</v>
      </c>
      <c r="D585" s="28" t="s">
        <v>452</v>
      </c>
      <c r="E585" s="28" t="s">
        <v>46</v>
      </c>
      <c r="F585" s="27">
        <v>9</v>
      </c>
      <c r="G585" s="27">
        <v>160</v>
      </c>
      <c r="H585" s="27">
        <v>41</v>
      </c>
      <c r="I585" s="35">
        <v>8.2</v>
      </c>
      <c r="J585" s="5">
        <v>4.04</v>
      </c>
    </row>
    <row r="586" spans="2:10">
      <c r="B586" s="27">
        <v>309</v>
      </c>
      <c r="C586" s="27">
        <v>45</v>
      </c>
      <c r="D586" s="28" t="s">
        <v>453</v>
      </c>
      <c r="E586" s="28" t="s">
        <v>46</v>
      </c>
      <c r="F586" s="27">
        <v>1</v>
      </c>
      <c r="G586" s="27">
        <v>150</v>
      </c>
      <c r="H586" s="27">
        <v>31</v>
      </c>
      <c r="I586" s="35">
        <v>9.1</v>
      </c>
      <c r="J586" s="5">
        <v>3.15</v>
      </c>
    </row>
    <row r="587" spans="2:11">
      <c r="B587" s="27">
        <v>309</v>
      </c>
      <c r="C587" s="27">
        <v>46</v>
      </c>
      <c r="D587" s="28" t="s">
        <v>454</v>
      </c>
      <c r="E587" s="28" t="s">
        <v>46</v>
      </c>
      <c r="K587" s="27">
        <v>50</v>
      </c>
    </row>
    <row r="588" spans="2:10">
      <c r="B588" s="27">
        <v>309</v>
      </c>
      <c r="C588" s="27">
        <v>47</v>
      </c>
      <c r="D588" s="28" t="s">
        <v>335</v>
      </c>
      <c r="E588" s="28" t="s">
        <v>46</v>
      </c>
      <c r="F588" s="27">
        <v>17.5</v>
      </c>
      <c r="G588" s="27">
        <v>185</v>
      </c>
      <c r="H588" s="27">
        <v>47</v>
      </c>
      <c r="I588" s="35">
        <v>8.7</v>
      </c>
      <c r="J588" s="5">
        <v>3.33</v>
      </c>
    </row>
    <row r="589" spans="2:11">
      <c r="B589" s="27">
        <v>309</v>
      </c>
      <c r="C589" s="27">
        <v>48</v>
      </c>
      <c r="D589" s="28" t="s">
        <v>455</v>
      </c>
      <c r="E589" s="28" t="s">
        <v>46</v>
      </c>
      <c r="K589" s="27">
        <v>50</v>
      </c>
    </row>
    <row r="590" spans="2:10">
      <c r="B590" s="27">
        <v>309</v>
      </c>
      <c r="C590" s="27">
        <v>49</v>
      </c>
      <c r="D590" s="28" t="s">
        <v>456</v>
      </c>
      <c r="E590" s="28" t="s">
        <v>46</v>
      </c>
      <c r="F590" s="27">
        <v>19</v>
      </c>
      <c r="G590" s="27">
        <v>190</v>
      </c>
      <c r="H590" s="27">
        <v>48</v>
      </c>
      <c r="I590" s="35">
        <v>8.5</v>
      </c>
      <c r="J590" s="5">
        <v>3.28</v>
      </c>
    </row>
    <row r="591" spans="4:5">
      <c r="D591" s="28"/>
      <c r="E591" s="28"/>
    </row>
    <row r="592" s="20" customFormat="1" spans="1:11">
      <c r="A592" s="23" t="s">
        <v>457</v>
      </c>
      <c r="B592" s="51" t="s">
        <v>1</v>
      </c>
      <c r="C592" s="52" t="s">
        <v>2</v>
      </c>
      <c r="D592" s="53" t="s">
        <v>3</v>
      </c>
      <c r="E592" s="53" t="s">
        <v>4</v>
      </c>
      <c r="F592" s="54" t="s">
        <v>5</v>
      </c>
      <c r="G592" s="54" t="s">
        <v>6</v>
      </c>
      <c r="H592" s="54" t="s">
        <v>7</v>
      </c>
      <c r="I592" s="55" t="s">
        <v>8</v>
      </c>
      <c r="J592" s="56" t="s">
        <v>9</v>
      </c>
      <c r="K592" s="52" t="s">
        <v>10</v>
      </c>
    </row>
    <row r="593" spans="2:10">
      <c r="B593" s="27">
        <v>310</v>
      </c>
      <c r="C593" s="27">
        <v>1</v>
      </c>
      <c r="D593" s="30" t="s">
        <v>458</v>
      </c>
      <c r="E593" s="28" t="s">
        <v>12</v>
      </c>
      <c r="F593" s="27">
        <v>9.5</v>
      </c>
      <c r="G593" s="27">
        <v>225</v>
      </c>
      <c r="H593" s="27">
        <v>6</v>
      </c>
      <c r="I593" s="35">
        <v>7</v>
      </c>
      <c r="J593" s="5">
        <v>3.35</v>
      </c>
    </row>
    <row r="594" spans="2:10">
      <c r="B594" s="27">
        <v>310</v>
      </c>
      <c r="C594" s="27">
        <v>2</v>
      </c>
      <c r="D594" s="28" t="s">
        <v>459</v>
      </c>
      <c r="E594" s="28" t="s">
        <v>12</v>
      </c>
      <c r="F594" s="27">
        <v>5.5</v>
      </c>
      <c r="G594" s="27">
        <v>225</v>
      </c>
      <c r="H594" s="27">
        <v>1</v>
      </c>
      <c r="I594" s="35">
        <v>7.4</v>
      </c>
      <c r="J594" s="5">
        <v>4.02</v>
      </c>
    </row>
    <row r="595" spans="2:10">
      <c r="B595" s="27">
        <v>310</v>
      </c>
      <c r="C595" s="27">
        <v>3</v>
      </c>
      <c r="D595" s="28" t="s">
        <v>460</v>
      </c>
      <c r="E595" s="28" t="s">
        <v>12</v>
      </c>
      <c r="F595" s="27">
        <v>7.5</v>
      </c>
      <c r="G595" s="27">
        <v>235</v>
      </c>
      <c r="H595" s="27">
        <v>1</v>
      </c>
      <c r="I595" s="35">
        <v>7.5</v>
      </c>
      <c r="J595" s="5">
        <v>4.08</v>
      </c>
    </row>
    <row r="596" spans="2:10">
      <c r="B596" s="27">
        <v>310</v>
      </c>
      <c r="C596" s="27">
        <v>4</v>
      </c>
      <c r="D596" s="27" t="s">
        <v>461</v>
      </c>
      <c r="E596" s="27" t="s">
        <v>12</v>
      </c>
      <c r="F596" s="27">
        <v>17</v>
      </c>
      <c r="G596" s="27">
        <v>250</v>
      </c>
      <c r="H596" s="27">
        <v>6</v>
      </c>
      <c r="I596" s="35">
        <v>7.2</v>
      </c>
      <c r="J596" s="5">
        <v>3.59</v>
      </c>
    </row>
    <row r="597" spans="2:10">
      <c r="B597" s="27">
        <v>310</v>
      </c>
      <c r="C597" s="27">
        <v>5</v>
      </c>
      <c r="D597" s="28" t="s">
        <v>462</v>
      </c>
      <c r="E597" s="28" t="s">
        <v>12</v>
      </c>
      <c r="F597" s="27">
        <v>5.5</v>
      </c>
      <c r="G597" s="27">
        <v>245</v>
      </c>
      <c r="H597" s="27">
        <v>9</v>
      </c>
      <c r="I597" s="35">
        <v>7.3</v>
      </c>
      <c r="J597" s="5">
        <v>5.09</v>
      </c>
    </row>
    <row r="598" spans="2:10">
      <c r="B598" s="27">
        <v>310</v>
      </c>
      <c r="C598" s="27">
        <v>6</v>
      </c>
      <c r="D598" s="28" t="s">
        <v>463</v>
      </c>
      <c r="E598" s="28" t="s">
        <v>12</v>
      </c>
      <c r="F598" s="27">
        <v>10</v>
      </c>
      <c r="G598" s="27">
        <v>225</v>
      </c>
      <c r="H598" s="27">
        <v>0</v>
      </c>
      <c r="I598" s="35">
        <v>7.1</v>
      </c>
      <c r="J598" s="5">
        <v>6.21</v>
      </c>
    </row>
    <row r="599" spans="2:11">
      <c r="B599" s="27">
        <v>310</v>
      </c>
      <c r="C599" s="27">
        <v>7</v>
      </c>
      <c r="D599" s="27" t="s">
        <v>464</v>
      </c>
      <c r="E599" s="27" t="s">
        <v>12</v>
      </c>
      <c r="K599" s="27">
        <v>50</v>
      </c>
    </row>
    <row r="600" spans="2:10">
      <c r="B600" s="27">
        <v>310</v>
      </c>
      <c r="C600" s="27">
        <v>8</v>
      </c>
      <c r="D600" s="28" t="s">
        <v>465</v>
      </c>
      <c r="E600" s="28" t="s">
        <v>12</v>
      </c>
      <c r="F600" s="27">
        <v>5</v>
      </c>
      <c r="G600" s="27">
        <v>270</v>
      </c>
      <c r="H600" s="27">
        <v>0</v>
      </c>
      <c r="I600" s="35">
        <v>6.9</v>
      </c>
      <c r="J600" s="5">
        <v>4.26</v>
      </c>
    </row>
    <row r="601" spans="2:10">
      <c r="B601" s="27">
        <v>310</v>
      </c>
      <c r="C601" s="27">
        <v>9</v>
      </c>
      <c r="D601" s="28" t="s">
        <v>466</v>
      </c>
      <c r="E601" s="28" t="s">
        <v>12</v>
      </c>
      <c r="F601" s="27">
        <v>16.5</v>
      </c>
      <c r="G601" s="27">
        <v>230</v>
      </c>
      <c r="H601" s="27">
        <v>2</v>
      </c>
      <c r="I601" s="35">
        <v>7.4</v>
      </c>
      <c r="J601" s="5">
        <v>4.26</v>
      </c>
    </row>
    <row r="602" spans="2:10">
      <c r="B602" s="27">
        <v>310</v>
      </c>
      <c r="C602" s="27">
        <v>10</v>
      </c>
      <c r="D602" s="28" t="s">
        <v>467</v>
      </c>
      <c r="E602" s="28" t="s">
        <v>12</v>
      </c>
      <c r="F602" s="27">
        <v>22</v>
      </c>
      <c r="G602" s="27">
        <v>270</v>
      </c>
      <c r="H602" s="27">
        <v>30</v>
      </c>
      <c r="I602" s="35">
        <v>6.8</v>
      </c>
      <c r="J602" s="5">
        <v>3.22</v>
      </c>
    </row>
    <row r="603" spans="4:5">
      <c r="D603" s="28"/>
      <c r="E603" s="28"/>
    </row>
    <row r="604" spans="4:5">
      <c r="D604" s="28"/>
      <c r="E604" s="28"/>
    </row>
    <row r="605" spans="4:5">
      <c r="D605" s="28"/>
      <c r="E605" s="28"/>
    </row>
    <row r="606" spans="4:5">
      <c r="D606" s="28"/>
      <c r="E606" s="28"/>
    </row>
    <row r="607" spans="4:5">
      <c r="D607" s="28"/>
      <c r="E607" s="28"/>
    </row>
    <row r="608" spans="4:5">
      <c r="D608" s="28"/>
      <c r="E608" s="28"/>
    </row>
    <row r="609" spans="4:5">
      <c r="D609" s="28"/>
      <c r="E609" s="28"/>
    </row>
    <row r="610" spans="4:5">
      <c r="D610" s="28"/>
      <c r="E610" s="28"/>
    </row>
    <row r="611" spans="4:5">
      <c r="D611" s="28"/>
      <c r="E611" s="28"/>
    </row>
    <row r="613" s="20" customFormat="1" spans="1:11">
      <c r="A613" s="23" t="s">
        <v>468</v>
      </c>
      <c r="B613" s="51" t="s">
        <v>1</v>
      </c>
      <c r="C613" s="52" t="s">
        <v>2</v>
      </c>
      <c r="D613" s="53" t="s">
        <v>3</v>
      </c>
      <c r="E613" s="53" t="s">
        <v>4</v>
      </c>
      <c r="F613" s="54" t="s">
        <v>5</v>
      </c>
      <c r="G613" s="54" t="s">
        <v>6</v>
      </c>
      <c r="H613" s="54" t="s">
        <v>7</v>
      </c>
      <c r="I613" s="55" t="s">
        <v>8</v>
      </c>
      <c r="J613" s="56" t="s">
        <v>9</v>
      </c>
      <c r="K613" s="52" t="s">
        <v>10</v>
      </c>
    </row>
    <row r="614" spans="2:10">
      <c r="B614" s="27">
        <v>310</v>
      </c>
      <c r="C614" s="27">
        <v>11</v>
      </c>
      <c r="D614" s="30" t="s">
        <v>469</v>
      </c>
      <c r="E614" s="28" t="s">
        <v>12</v>
      </c>
      <c r="F614" s="27">
        <v>0</v>
      </c>
      <c r="G614" s="27">
        <v>185</v>
      </c>
      <c r="H614" s="27">
        <v>1</v>
      </c>
      <c r="I614" s="35">
        <v>8</v>
      </c>
      <c r="J614" s="5">
        <v>5.41</v>
      </c>
    </row>
    <row r="615" spans="2:10">
      <c r="B615" s="27">
        <v>310</v>
      </c>
      <c r="C615" s="27">
        <v>12</v>
      </c>
      <c r="D615" s="28" t="s">
        <v>470</v>
      </c>
      <c r="E615" s="28" t="s">
        <v>12</v>
      </c>
      <c r="F615" s="27">
        <v>14.4</v>
      </c>
      <c r="G615" s="27">
        <v>232</v>
      </c>
      <c r="H615" s="27">
        <v>2</v>
      </c>
      <c r="I615" s="35">
        <v>7.8</v>
      </c>
      <c r="J615" s="5">
        <v>6.33</v>
      </c>
    </row>
    <row r="616" spans="2:10">
      <c r="B616" s="27">
        <v>310</v>
      </c>
      <c r="C616" s="27">
        <v>13</v>
      </c>
      <c r="D616" s="28" t="s">
        <v>471</v>
      </c>
      <c r="E616" s="28" t="s">
        <v>12</v>
      </c>
      <c r="F616" s="27">
        <v>17.5</v>
      </c>
      <c r="G616" s="27">
        <v>260</v>
      </c>
      <c r="H616" s="27">
        <v>4</v>
      </c>
      <c r="I616" s="35">
        <v>7</v>
      </c>
      <c r="J616" s="5">
        <v>3.4</v>
      </c>
    </row>
    <row r="617" spans="2:10">
      <c r="B617" s="27">
        <v>310</v>
      </c>
      <c r="C617" s="27">
        <v>14</v>
      </c>
      <c r="D617" s="28" t="s">
        <v>472</v>
      </c>
      <c r="E617" s="28" t="s">
        <v>12</v>
      </c>
      <c r="F617" s="27">
        <v>18</v>
      </c>
      <c r="G617" s="27">
        <v>245</v>
      </c>
      <c r="H617" s="27">
        <v>18</v>
      </c>
      <c r="I617" s="35">
        <v>7.5</v>
      </c>
      <c r="J617" s="5">
        <v>3.46</v>
      </c>
    </row>
    <row r="618" spans="2:10">
      <c r="B618" s="27">
        <v>310</v>
      </c>
      <c r="C618" s="27">
        <v>15</v>
      </c>
      <c r="D618" s="28" t="s">
        <v>473</v>
      </c>
      <c r="E618" s="28" t="s">
        <v>12</v>
      </c>
      <c r="F618" s="27">
        <v>11.6</v>
      </c>
      <c r="G618" s="27">
        <v>200</v>
      </c>
      <c r="H618" s="27">
        <v>0</v>
      </c>
      <c r="I618" s="35">
        <v>9.5</v>
      </c>
      <c r="J618" s="5">
        <v>6.33</v>
      </c>
    </row>
    <row r="619" spans="2:10">
      <c r="B619" s="27">
        <v>310</v>
      </c>
      <c r="C619" s="27">
        <v>16</v>
      </c>
      <c r="D619" s="28" t="s">
        <v>474</v>
      </c>
      <c r="E619" s="28" t="s">
        <v>12</v>
      </c>
      <c r="F619" s="27">
        <v>3.4</v>
      </c>
      <c r="G619" s="27">
        <v>202</v>
      </c>
      <c r="H619" s="27">
        <v>0</v>
      </c>
      <c r="I619" s="35">
        <v>8.1</v>
      </c>
      <c r="J619" s="5">
        <v>6.3</v>
      </c>
    </row>
    <row r="620" spans="2:10">
      <c r="B620" s="27">
        <v>310</v>
      </c>
      <c r="C620" s="27">
        <v>17</v>
      </c>
      <c r="D620" s="28" t="s">
        <v>475</v>
      </c>
      <c r="E620" s="28" t="s">
        <v>12</v>
      </c>
      <c r="F620" s="27">
        <v>9.4</v>
      </c>
      <c r="G620" s="27">
        <v>212</v>
      </c>
      <c r="H620" s="27">
        <v>0</v>
      </c>
      <c r="I620" s="35">
        <v>8.4</v>
      </c>
      <c r="J620" s="5">
        <v>4.3</v>
      </c>
    </row>
    <row r="621" spans="2:10">
      <c r="B621" s="27">
        <v>310</v>
      </c>
      <c r="C621" s="27">
        <v>18</v>
      </c>
      <c r="D621" s="28" t="s">
        <v>476</v>
      </c>
      <c r="E621" s="28" t="s">
        <v>12</v>
      </c>
      <c r="F621" s="27">
        <v>0.8</v>
      </c>
      <c r="G621" s="27">
        <v>210</v>
      </c>
      <c r="H621" s="27">
        <v>0</v>
      </c>
      <c r="I621" s="35">
        <v>8.2</v>
      </c>
      <c r="J621" s="5">
        <v>6.33</v>
      </c>
    </row>
    <row r="622" spans="2:10">
      <c r="B622" s="27">
        <v>310</v>
      </c>
      <c r="C622" s="27">
        <v>19</v>
      </c>
      <c r="D622" s="28" t="s">
        <v>477</v>
      </c>
      <c r="E622" s="28" t="s">
        <v>12</v>
      </c>
      <c r="F622" s="27">
        <v>13.5</v>
      </c>
      <c r="G622" s="27">
        <v>262</v>
      </c>
      <c r="H622" s="27">
        <v>4</v>
      </c>
      <c r="I622" s="35">
        <v>7</v>
      </c>
      <c r="J622" s="5">
        <v>4.12</v>
      </c>
    </row>
    <row r="623" spans="2:10">
      <c r="B623" s="27">
        <v>310</v>
      </c>
      <c r="C623" s="27">
        <v>20</v>
      </c>
      <c r="D623" s="28" t="s">
        <v>478</v>
      </c>
      <c r="E623" s="28" t="s">
        <v>12</v>
      </c>
      <c r="F623" s="27">
        <v>-4</v>
      </c>
      <c r="G623" s="27">
        <v>263</v>
      </c>
      <c r="H623" s="27">
        <v>3</v>
      </c>
      <c r="I623" s="35">
        <v>8.1</v>
      </c>
      <c r="J623" s="5">
        <v>4.27</v>
      </c>
    </row>
    <row r="624" spans="4:5">
      <c r="D624" s="28"/>
      <c r="E624" s="28"/>
    </row>
    <row r="626" s="20" customFormat="1" spans="1:11">
      <c r="A626" s="23" t="s">
        <v>479</v>
      </c>
      <c r="B626" s="51" t="s">
        <v>1</v>
      </c>
      <c r="C626" s="52" t="s">
        <v>2</v>
      </c>
      <c r="D626" s="53" t="s">
        <v>3</v>
      </c>
      <c r="E626" s="53" t="s">
        <v>4</v>
      </c>
      <c r="F626" s="54" t="s">
        <v>5</v>
      </c>
      <c r="G626" s="54" t="s">
        <v>6</v>
      </c>
      <c r="H626" s="54" t="s">
        <v>7</v>
      </c>
      <c r="I626" s="55" t="s">
        <v>8</v>
      </c>
      <c r="J626" s="56" t="s">
        <v>9</v>
      </c>
      <c r="K626" s="52" t="s">
        <v>10</v>
      </c>
    </row>
    <row r="627" spans="2:10">
      <c r="B627" s="27">
        <v>310</v>
      </c>
      <c r="C627" s="27">
        <v>21</v>
      </c>
      <c r="D627" s="30" t="s">
        <v>480</v>
      </c>
      <c r="E627" s="28" t="s">
        <v>12</v>
      </c>
      <c r="F627" s="27">
        <v>14</v>
      </c>
      <c r="G627" s="27">
        <v>230</v>
      </c>
      <c r="H627" s="27">
        <v>14</v>
      </c>
      <c r="I627" s="35">
        <v>7.4</v>
      </c>
      <c r="J627" s="5">
        <v>6.12</v>
      </c>
    </row>
    <row r="628" spans="2:10">
      <c r="B628" s="27">
        <v>310</v>
      </c>
      <c r="C628" s="27">
        <v>22</v>
      </c>
      <c r="D628" s="28" t="s">
        <v>481</v>
      </c>
      <c r="E628" s="28" t="s">
        <v>12</v>
      </c>
      <c r="F628" s="27">
        <v>13</v>
      </c>
      <c r="G628" s="27">
        <v>230</v>
      </c>
      <c r="H628" s="27">
        <v>6</v>
      </c>
      <c r="I628" s="35">
        <v>7.6</v>
      </c>
      <c r="J628" s="5">
        <v>4.19</v>
      </c>
    </row>
    <row r="629" spans="2:10">
      <c r="B629" s="27">
        <v>310</v>
      </c>
      <c r="C629" s="27">
        <v>23</v>
      </c>
      <c r="D629" s="28" t="s">
        <v>482</v>
      </c>
      <c r="E629" s="28" t="s">
        <v>12</v>
      </c>
      <c r="F629" s="27">
        <v>22.5</v>
      </c>
      <c r="G629" s="27">
        <v>250</v>
      </c>
      <c r="H629" s="27">
        <v>21</v>
      </c>
      <c r="I629" s="35">
        <v>7.1</v>
      </c>
      <c r="J629" s="5">
        <v>3.41</v>
      </c>
    </row>
    <row r="630" spans="2:10">
      <c r="B630" s="27">
        <v>310</v>
      </c>
      <c r="C630" s="27">
        <v>24</v>
      </c>
      <c r="D630" s="28" t="s">
        <v>483</v>
      </c>
      <c r="E630" s="28" t="s">
        <v>12</v>
      </c>
      <c r="F630" s="27">
        <v>26.5</v>
      </c>
      <c r="G630" s="27">
        <v>232</v>
      </c>
      <c r="H630" s="27">
        <v>7</v>
      </c>
      <c r="I630" s="35">
        <v>7.7</v>
      </c>
      <c r="J630" s="5">
        <v>4.3</v>
      </c>
    </row>
    <row r="631" spans="2:10">
      <c r="B631" s="27">
        <v>310</v>
      </c>
      <c r="C631" s="27">
        <v>25</v>
      </c>
      <c r="D631" s="28" t="s">
        <v>484</v>
      </c>
      <c r="E631" s="28" t="s">
        <v>12</v>
      </c>
      <c r="F631" s="27">
        <v>15</v>
      </c>
      <c r="G631" s="27">
        <v>232</v>
      </c>
      <c r="H631" s="27">
        <v>5</v>
      </c>
      <c r="I631" s="35">
        <v>7</v>
      </c>
      <c r="J631" s="5">
        <v>3.33</v>
      </c>
    </row>
    <row r="632" spans="2:10">
      <c r="B632" s="27">
        <v>310</v>
      </c>
      <c r="C632" s="27">
        <v>26</v>
      </c>
      <c r="D632" s="28" t="s">
        <v>485</v>
      </c>
      <c r="E632" s="28" t="s">
        <v>12</v>
      </c>
      <c r="F632" s="27">
        <v>18</v>
      </c>
      <c r="G632" s="27">
        <v>238</v>
      </c>
      <c r="H632" s="27">
        <v>18</v>
      </c>
      <c r="I632" s="35">
        <v>8.9</v>
      </c>
      <c r="J632" s="5">
        <v>5.03</v>
      </c>
    </row>
    <row r="633" spans="2:10">
      <c r="B633" s="27">
        <v>310</v>
      </c>
      <c r="C633" s="27">
        <v>27</v>
      </c>
      <c r="D633" s="28" t="s">
        <v>486</v>
      </c>
      <c r="E633" s="28" t="s">
        <v>12</v>
      </c>
      <c r="F633" s="27">
        <v>-8</v>
      </c>
      <c r="G633" s="27">
        <v>210</v>
      </c>
      <c r="H633" s="27">
        <v>0</v>
      </c>
      <c r="I633" s="35">
        <v>7.7</v>
      </c>
      <c r="J633" s="5">
        <v>6.12</v>
      </c>
    </row>
    <row r="634" spans="2:10">
      <c r="B634" s="27">
        <v>310</v>
      </c>
      <c r="C634" s="27">
        <v>28</v>
      </c>
      <c r="D634" s="28" t="s">
        <v>487</v>
      </c>
      <c r="E634" s="28" t="s">
        <v>12</v>
      </c>
      <c r="F634" s="27">
        <v>15.7</v>
      </c>
      <c r="G634" s="27">
        <v>245</v>
      </c>
      <c r="H634" s="27">
        <v>21</v>
      </c>
      <c r="I634" s="35">
        <v>7.3</v>
      </c>
      <c r="J634" s="5">
        <v>4.24</v>
      </c>
    </row>
    <row r="635" spans="2:10">
      <c r="B635" s="27">
        <v>310</v>
      </c>
      <c r="C635" s="27">
        <v>29</v>
      </c>
      <c r="D635" s="28" t="s">
        <v>488</v>
      </c>
      <c r="E635" s="28" t="s">
        <v>12</v>
      </c>
      <c r="F635" s="27">
        <v>22.5</v>
      </c>
      <c r="G635" s="27">
        <v>230</v>
      </c>
      <c r="H635" s="27">
        <v>3</v>
      </c>
      <c r="I635" s="35">
        <v>7.5</v>
      </c>
      <c r="J635" s="5">
        <v>4.06</v>
      </c>
    </row>
    <row r="636" spans="2:10">
      <c r="B636" s="27">
        <v>310</v>
      </c>
      <c r="C636" s="27">
        <v>30</v>
      </c>
      <c r="D636" s="28" t="s">
        <v>489</v>
      </c>
      <c r="E636" s="28" t="s">
        <v>12</v>
      </c>
      <c r="F636" s="27">
        <v>10.5</v>
      </c>
      <c r="G636" s="27">
        <v>218</v>
      </c>
      <c r="H636" s="27">
        <v>0</v>
      </c>
      <c r="I636" s="35">
        <v>7.4</v>
      </c>
      <c r="J636" s="5">
        <v>4.24</v>
      </c>
    </row>
    <row r="637" spans="2:10">
      <c r="B637" s="27">
        <v>310</v>
      </c>
      <c r="C637" s="27">
        <v>31</v>
      </c>
      <c r="D637" s="28" t="s">
        <v>490</v>
      </c>
      <c r="E637" s="28" t="s">
        <v>12</v>
      </c>
      <c r="F637" s="27">
        <v>11</v>
      </c>
      <c r="G637" s="27">
        <v>245</v>
      </c>
      <c r="H637" s="27">
        <v>10</v>
      </c>
      <c r="I637" s="35">
        <v>8.2</v>
      </c>
      <c r="J637" s="5">
        <v>4.38</v>
      </c>
    </row>
    <row r="638" spans="4:5">
      <c r="D638" s="28"/>
      <c r="E638" s="28"/>
    </row>
    <row r="639" spans="4:5">
      <c r="D639" s="28"/>
      <c r="E639" s="28"/>
    </row>
    <row r="640" spans="4:5">
      <c r="D640" s="28"/>
      <c r="E640" s="28"/>
    </row>
    <row r="641" spans="4:5">
      <c r="D641" s="28"/>
      <c r="E641" s="28"/>
    </row>
    <row r="642" spans="4:5">
      <c r="D642" s="28"/>
      <c r="E642" s="28"/>
    </row>
    <row r="643" spans="4:5">
      <c r="D643" s="28"/>
      <c r="E643" s="28"/>
    </row>
    <row r="644" spans="4:5">
      <c r="D644" s="28"/>
      <c r="E644" s="28"/>
    </row>
    <row r="645" spans="4:5">
      <c r="D645" s="28"/>
      <c r="E645" s="28"/>
    </row>
    <row r="647" s="20" customFormat="1" spans="1:11">
      <c r="A647" s="23" t="s">
        <v>491</v>
      </c>
      <c r="B647" s="51" t="s">
        <v>1</v>
      </c>
      <c r="C647" s="52" t="s">
        <v>2</v>
      </c>
      <c r="D647" s="53" t="s">
        <v>3</v>
      </c>
      <c r="E647" s="53" t="s">
        <v>4</v>
      </c>
      <c r="F647" s="54" t="s">
        <v>5</v>
      </c>
      <c r="G647" s="54" t="s">
        <v>6</v>
      </c>
      <c r="H647" s="54" t="s">
        <v>7</v>
      </c>
      <c r="I647" s="55" t="s">
        <v>8</v>
      </c>
      <c r="J647" s="56" t="s">
        <v>9</v>
      </c>
      <c r="K647" s="52" t="s">
        <v>10</v>
      </c>
    </row>
    <row r="648" spans="2:10">
      <c r="B648" s="27">
        <v>310</v>
      </c>
      <c r="C648" s="27">
        <v>32</v>
      </c>
      <c r="D648" s="30" t="s">
        <v>492</v>
      </c>
      <c r="E648" s="28" t="s">
        <v>12</v>
      </c>
      <c r="F648" s="27">
        <v>6</v>
      </c>
      <c r="G648" s="27">
        <v>235</v>
      </c>
      <c r="H648" s="27">
        <v>12</v>
      </c>
      <c r="I648" s="35">
        <v>7.3</v>
      </c>
      <c r="J648" s="5">
        <v>3.36</v>
      </c>
    </row>
    <row r="649" spans="2:11">
      <c r="B649" s="27">
        <v>310</v>
      </c>
      <c r="C649" s="27">
        <v>33</v>
      </c>
      <c r="D649" s="28" t="s">
        <v>493</v>
      </c>
      <c r="E649" s="28" t="s">
        <v>12</v>
      </c>
      <c r="K649" s="27">
        <v>50</v>
      </c>
    </row>
    <row r="650" spans="2:10">
      <c r="B650" s="27">
        <v>310</v>
      </c>
      <c r="C650" s="27">
        <v>34</v>
      </c>
      <c r="D650" s="28" t="s">
        <v>494</v>
      </c>
      <c r="E650" s="28" t="s">
        <v>12</v>
      </c>
      <c r="F650" s="27">
        <v>1</v>
      </c>
      <c r="G650" s="27">
        <v>210</v>
      </c>
      <c r="H650" s="27">
        <v>2</v>
      </c>
      <c r="I650" s="35">
        <v>7.3</v>
      </c>
      <c r="J650" s="5">
        <v>3.32</v>
      </c>
    </row>
    <row r="651" spans="2:10">
      <c r="B651" s="27">
        <v>310</v>
      </c>
      <c r="C651" s="27">
        <v>35</v>
      </c>
      <c r="D651" s="28" t="s">
        <v>495</v>
      </c>
      <c r="E651" s="28" t="s">
        <v>12</v>
      </c>
      <c r="F651" s="27">
        <v>16.7</v>
      </c>
      <c r="G651" s="27">
        <v>168</v>
      </c>
      <c r="H651" s="27">
        <v>3</v>
      </c>
      <c r="I651" s="35">
        <v>8.2</v>
      </c>
      <c r="J651" s="5">
        <v>4.11</v>
      </c>
    </row>
    <row r="652" spans="2:10">
      <c r="B652" s="27">
        <v>310</v>
      </c>
      <c r="C652" s="27">
        <v>36</v>
      </c>
      <c r="D652" s="28" t="s">
        <v>496</v>
      </c>
      <c r="E652" s="28" t="s">
        <v>12</v>
      </c>
      <c r="F652" s="27">
        <v>11.2</v>
      </c>
      <c r="G652" s="27">
        <v>215</v>
      </c>
      <c r="H652" s="27">
        <v>6</v>
      </c>
      <c r="I652" s="35">
        <v>7.7</v>
      </c>
      <c r="J652" s="5">
        <v>5.58</v>
      </c>
    </row>
    <row r="653" spans="2:10">
      <c r="B653" s="27">
        <v>310</v>
      </c>
      <c r="C653" s="27">
        <v>37</v>
      </c>
      <c r="D653" s="28" t="s">
        <v>497</v>
      </c>
      <c r="E653" s="28" t="s">
        <v>12</v>
      </c>
      <c r="F653" s="27">
        <v>25.3</v>
      </c>
      <c r="G653" s="27">
        <v>245</v>
      </c>
      <c r="H653" s="27">
        <v>4</v>
      </c>
      <c r="I653" s="35">
        <v>7.3</v>
      </c>
      <c r="J653" s="5">
        <v>3.58</v>
      </c>
    </row>
    <row r="654" spans="2:10">
      <c r="B654" s="27">
        <v>310</v>
      </c>
      <c r="C654" s="27">
        <v>38</v>
      </c>
      <c r="D654" s="28" t="s">
        <v>498</v>
      </c>
      <c r="E654" s="28" t="s">
        <v>12</v>
      </c>
      <c r="F654" s="27">
        <v>20.6</v>
      </c>
      <c r="G654" s="27">
        <v>215</v>
      </c>
      <c r="H654" s="27">
        <v>1</v>
      </c>
      <c r="I654" s="35">
        <v>7.8</v>
      </c>
      <c r="J654" s="5">
        <v>4.14</v>
      </c>
    </row>
    <row r="655" spans="2:10">
      <c r="B655" s="27">
        <v>310</v>
      </c>
      <c r="C655" s="27">
        <v>39</v>
      </c>
      <c r="D655" s="28" t="s">
        <v>499</v>
      </c>
      <c r="E655" s="28" t="s">
        <v>12</v>
      </c>
      <c r="F655" s="27">
        <v>23</v>
      </c>
      <c r="G655" s="27">
        <v>205</v>
      </c>
      <c r="H655" s="27">
        <v>3</v>
      </c>
      <c r="I655" s="35">
        <v>8</v>
      </c>
      <c r="J655" s="5">
        <v>3.48</v>
      </c>
    </row>
    <row r="656" spans="2:10">
      <c r="B656" s="27">
        <v>310</v>
      </c>
      <c r="C656" s="27">
        <v>40</v>
      </c>
      <c r="D656" s="28" t="s">
        <v>500</v>
      </c>
      <c r="E656" s="28" t="s">
        <v>12</v>
      </c>
      <c r="F656" s="27">
        <v>6.4</v>
      </c>
      <c r="G656" s="27">
        <v>200</v>
      </c>
      <c r="H656" s="27">
        <v>0</v>
      </c>
      <c r="I656" s="35">
        <v>7.4</v>
      </c>
      <c r="J656" s="5">
        <v>5.15</v>
      </c>
    </row>
    <row r="657" spans="2:10">
      <c r="B657" s="27">
        <v>310</v>
      </c>
      <c r="C657" s="27">
        <v>41</v>
      </c>
      <c r="D657" s="28" t="s">
        <v>501</v>
      </c>
      <c r="E657" s="28" t="s">
        <v>12</v>
      </c>
      <c r="F657" s="27">
        <v>4.4</v>
      </c>
      <c r="G657" s="27">
        <v>205</v>
      </c>
      <c r="H657" s="27">
        <v>1</v>
      </c>
      <c r="I657" s="35">
        <v>8.3</v>
      </c>
      <c r="J657" s="5">
        <v>4.38</v>
      </c>
    </row>
    <row r="658" spans="2:10">
      <c r="B658" s="27">
        <v>310</v>
      </c>
      <c r="C658" s="27">
        <v>42</v>
      </c>
      <c r="D658" s="27" t="s">
        <v>502</v>
      </c>
      <c r="E658" s="27" t="s">
        <v>12</v>
      </c>
      <c r="F658" s="27">
        <v>2.5</v>
      </c>
      <c r="G658" s="27">
        <v>220</v>
      </c>
      <c r="H658" s="27">
        <v>4</v>
      </c>
      <c r="I658" s="35">
        <v>7.6</v>
      </c>
      <c r="J658" s="5">
        <v>4.24</v>
      </c>
    </row>
    <row r="661" s="20" customFormat="1" spans="1:11">
      <c r="A661" s="23" t="s">
        <v>503</v>
      </c>
      <c r="B661" s="51" t="s">
        <v>1</v>
      </c>
      <c r="C661" s="52" t="s">
        <v>2</v>
      </c>
      <c r="D661" s="53" t="s">
        <v>3</v>
      </c>
      <c r="E661" s="53" t="s">
        <v>4</v>
      </c>
      <c r="F661" s="54" t="s">
        <v>5</v>
      </c>
      <c r="G661" s="54" t="s">
        <v>6</v>
      </c>
      <c r="H661" s="54" t="s">
        <v>7</v>
      </c>
      <c r="I661" s="55" t="s">
        <v>8</v>
      </c>
      <c r="J661" s="56" t="s">
        <v>9</v>
      </c>
      <c r="K661" s="52" t="s">
        <v>10</v>
      </c>
    </row>
    <row r="662" spans="2:11">
      <c r="B662" s="27">
        <v>310</v>
      </c>
      <c r="C662" s="27">
        <v>43</v>
      </c>
      <c r="D662" s="30" t="s">
        <v>504</v>
      </c>
      <c r="E662" s="28" t="s">
        <v>46</v>
      </c>
      <c r="K662" s="27">
        <v>50</v>
      </c>
    </row>
    <row r="663" spans="2:11">
      <c r="B663" s="27">
        <v>310</v>
      </c>
      <c r="C663" s="27">
        <v>44</v>
      </c>
      <c r="D663" s="28" t="s">
        <v>505</v>
      </c>
      <c r="E663" s="28" t="s">
        <v>46</v>
      </c>
      <c r="K663" s="27">
        <v>50</v>
      </c>
    </row>
    <row r="664" spans="2:10">
      <c r="B664" s="27">
        <v>310</v>
      </c>
      <c r="C664" s="27">
        <v>45</v>
      </c>
      <c r="D664" s="28" t="s">
        <v>506</v>
      </c>
      <c r="E664" s="28" t="s">
        <v>46</v>
      </c>
      <c r="F664" s="27">
        <v>22.8</v>
      </c>
      <c r="G664" s="27">
        <v>187</v>
      </c>
      <c r="H664" s="27">
        <v>38</v>
      </c>
      <c r="I664" s="35">
        <v>8.8</v>
      </c>
      <c r="J664" s="5">
        <v>4.44</v>
      </c>
    </row>
    <row r="665" spans="2:10">
      <c r="B665" s="27">
        <v>310</v>
      </c>
      <c r="C665" s="27">
        <v>46</v>
      </c>
      <c r="D665" s="28" t="s">
        <v>507</v>
      </c>
      <c r="E665" s="28" t="s">
        <v>46</v>
      </c>
      <c r="F665" s="27">
        <v>16</v>
      </c>
      <c r="G665" s="27">
        <v>174</v>
      </c>
      <c r="H665" s="27">
        <v>50</v>
      </c>
      <c r="I665" s="35">
        <v>9.1</v>
      </c>
      <c r="J665" s="5">
        <v>4.42</v>
      </c>
    </row>
    <row r="666" spans="2:10">
      <c r="B666" s="27">
        <v>310</v>
      </c>
      <c r="C666" s="27">
        <v>47</v>
      </c>
      <c r="D666" s="28" t="s">
        <v>508</v>
      </c>
      <c r="E666" s="28" t="s">
        <v>46</v>
      </c>
      <c r="F666" s="27">
        <v>24</v>
      </c>
      <c r="G666" s="27">
        <v>168</v>
      </c>
      <c r="H666" s="27">
        <v>55</v>
      </c>
      <c r="I666" s="35">
        <v>8.6</v>
      </c>
      <c r="J666" s="5">
        <v>4.07</v>
      </c>
    </row>
    <row r="667" spans="2:10">
      <c r="B667" s="27">
        <v>310</v>
      </c>
      <c r="C667" s="27">
        <v>48</v>
      </c>
      <c r="D667" s="28" t="s">
        <v>509</v>
      </c>
      <c r="E667" s="28" t="s">
        <v>46</v>
      </c>
      <c r="F667" s="27">
        <v>11</v>
      </c>
      <c r="G667" s="27">
        <v>156</v>
      </c>
      <c r="H667" s="27">
        <v>37</v>
      </c>
      <c r="I667" s="35">
        <v>9.8</v>
      </c>
      <c r="J667" s="5">
        <v>4.43</v>
      </c>
    </row>
    <row r="668" spans="2:10">
      <c r="B668" s="27">
        <v>310</v>
      </c>
      <c r="C668" s="27">
        <v>49</v>
      </c>
      <c r="D668" s="28" t="s">
        <v>510</v>
      </c>
      <c r="E668" s="28" t="s">
        <v>46</v>
      </c>
      <c r="F668" s="27">
        <v>14.5</v>
      </c>
      <c r="G668" s="27">
        <v>202</v>
      </c>
      <c r="H668" s="27">
        <v>46</v>
      </c>
      <c r="I668" s="35">
        <v>8.6</v>
      </c>
      <c r="J668" s="5">
        <v>3.22</v>
      </c>
    </row>
    <row r="669" spans="2:10">
      <c r="B669" s="27">
        <v>310</v>
      </c>
      <c r="C669" s="27">
        <v>50</v>
      </c>
      <c r="D669" s="28" t="s">
        <v>511</v>
      </c>
      <c r="E669" s="28" t="s">
        <v>46</v>
      </c>
      <c r="F669" s="27">
        <v>13.7</v>
      </c>
      <c r="G669" s="27">
        <v>186</v>
      </c>
      <c r="H669" s="27">
        <v>46</v>
      </c>
      <c r="I669" s="35">
        <v>8.2</v>
      </c>
      <c r="J669" s="5">
        <v>3.57</v>
      </c>
    </row>
    <row r="670" spans="2:11">
      <c r="B670" s="27">
        <v>310</v>
      </c>
      <c r="C670" s="27">
        <v>51</v>
      </c>
      <c r="D670" s="28" t="s">
        <v>512</v>
      </c>
      <c r="E670" s="28" t="s">
        <v>46</v>
      </c>
      <c r="K670" s="27">
        <v>50</v>
      </c>
    </row>
    <row r="681" s="20" customFormat="1" spans="1:11">
      <c r="A681" s="23" t="s">
        <v>513</v>
      </c>
      <c r="B681" s="51" t="s">
        <v>1</v>
      </c>
      <c r="C681" s="52" t="s">
        <v>2</v>
      </c>
      <c r="D681" s="53" t="s">
        <v>3</v>
      </c>
      <c r="E681" s="53" t="s">
        <v>4</v>
      </c>
      <c r="F681" s="54" t="s">
        <v>5</v>
      </c>
      <c r="G681" s="54" t="s">
        <v>6</v>
      </c>
      <c r="H681" s="54" t="s">
        <v>7</v>
      </c>
      <c r="I681" s="55" t="s">
        <v>8</v>
      </c>
      <c r="J681" s="56" t="s">
        <v>9</v>
      </c>
      <c r="K681" s="52" t="s">
        <v>10</v>
      </c>
    </row>
    <row r="682" spans="2:10">
      <c r="B682" s="27">
        <v>311</v>
      </c>
      <c r="C682" s="27">
        <v>1</v>
      </c>
      <c r="D682" s="30" t="s">
        <v>514</v>
      </c>
      <c r="E682" s="28" t="s">
        <v>12</v>
      </c>
      <c r="F682" s="27">
        <v>0</v>
      </c>
      <c r="G682" s="27">
        <v>246</v>
      </c>
      <c r="H682" s="27">
        <v>3</v>
      </c>
      <c r="I682" s="35">
        <v>7.1</v>
      </c>
      <c r="J682" s="5">
        <v>4.34</v>
      </c>
    </row>
    <row r="683" spans="2:10">
      <c r="B683" s="27">
        <v>311</v>
      </c>
      <c r="C683" s="27">
        <v>2</v>
      </c>
      <c r="D683" s="28" t="s">
        <v>515</v>
      </c>
      <c r="E683" s="28" t="s">
        <v>12</v>
      </c>
      <c r="F683" s="27">
        <v>19.5</v>
      </c>
      <c r="G683" s="27">
        <v>260</v>
      </c>
      <c r="H683" s="27">
        <v>4</v>
      </c>
      <c r="I683" s="35">
        <v>7.4</v>
      </c>
      <c r="J683" s="5">
        <v>4.31</v>
      </c>
    </row>
    <row r="684" spans="2:10">
      <c r="B684" s="27">
        <v>311</v>
      </c>
      <c r="C684" s="27">
        <v>3</v>
      </c>
      <c r="D684" s="28" t="s">
        <v>516</v>
      </c>
      <c r="E684" s="28" t="s">
        <v>12</v>
      </c>
      <c r="F684" s="27">
        <v>16</v>
      </c>
      <c r="G684" s="27">
        <v>245</v>
      </c>
      <c r="H684" s="27">
        <v>25</v>
      </c>
      <c r="I684" s="35">
        <v>7.2</v>
      </c>
      <c r="J684" s="5">
        <v>4.25</v>
      </c>
    </row>
    <row r="685" spans="2:10">
      <c r="B685" s="27">
        <v>311</v>
      </c>
      <c r="C685" s="27">
        <v>4</v>
      </c>
      <c r="D685" s="28" t="s">
        <v>517</v>
      </c>
      <c r="E685" s="28" t="s">
        <v>12</v>
      </c>
      <c r="F685" s="27">
        <v>7</v>
      </c>
      <c r="G685" s="27">
        <v>235</v>
      </c>
      <c r="H685" s="27">
        <v>1</v>
      </c>
      <c r="I685" s="35">
        <v>8</v>
      </c>
      <c r="J685" s="5">
        <v>4.33</v>
      </c>
    </row>
    <row r="686" spans="2:10">
      <c r="B686" s="27">
        <v>311</v>
      </c>
      <c r="C686" s="27">
        <v>5</v>
      </c>
      <c r="D686" s="28" t="s">
        <v>518</v>
      </c>
      <c r="E686" s="28" t="s">
        <v>12</v>
      </c>
      <c r="F686" s="27">
        <v>-6</v>
      </c>
      <c r="G686" s="27">
        <v>220</v>
      </c>
      <c r="H686" s="27">
        <v>0</v>
      </c>
      <c r="I686" s="35">
        <v>7.5</v>
      </c>
      <c r="J686" s="5">
        <v>4.33</v>
      </c>
    </row>
    <row r="687" spans="2:10">
      <c r="B687" s="27">
        <v>311</v>
      </c>
      <c r="C687" s="27">
        <v>6</v>
      </c>
      <c r="D687" s="28" t="s">
        <v>519</v>
      </c>
      <c r="E687" s="28" t="s">
        <v>12</v>
      </c>
      <c r="F687" s="27">
        <v>11</v>
      </c>
      <c r="G687" s="27">
        <v>270</v>
      </c>
      <c r="H687" s="27">
        <v>7</v>
      </c>
      <c r="I687" s="35">
        <v>6.8</v>
      </c>
      <c r="J687" s="5">
        <v>4.47</v>
      </c>
    </row>
    <row r="688" spans="2:10">
      <c r="B688" s="27">
        <v>311</v>
      </c>
      <c r="C688" s="27">
        <v>7</v>
      </c>
      <c r="D688" s="28" t="s">
        <v>520</v>
      </c>
      <c r="E688" s="28" t="s">
        <v>12</v>
      </c>
      <c r="F688" s="27">
        <v>5.5</v>
      </c>
      <c r="G688" s="27">
        <v>225</v>
      </c>
      <c r="H688" s="27">
        <v>20</v>
      </c>
      <c r="I688" s="35">
        <v>6.6</v>
      </c>
      <c r="J688" s="5">
        <v>4.35</v>
      </c>
    </row>
    <row r="689" spans="2:10">
      <c r="B689" s="27">
        <v>311</v>
      </c>
      <c r="C689" s="27">
        <v>8</v>
      </c>
      <c r="D689" s="28" t="s">
        <v>521</v>
      </c>
      <c r="E689" s="28" t="s">
        <v>12</v>
      </c>
      <c r="F689" s="27">
        <v>6.5</v>
      </c>
      <c r="G689" s="27">
        <v>220</v>
      </c>
      <c r="H689" s="27">
        <v>1</v>
      </c>
      <c r="I689" s="35">
        <v>7.6</v>
      </c>
      <c r="J689" s="5">
        <v>5.28</v>
      </c>
    </row>
    <row r="690" spans="2:10">
      <c r="B690" s="27">
        <v>311</v>
      </c>
      <c r="C690" s="27">
        <v>9</v>
      </c>
      <c r="D690" s="28" t="s">
        <v>522</v>
      </c>
      <c r="E690" s="28" t="s">
        <v>12</v>
      </c>
      <c r="F690" s="27">
        <v>9.7</v>
      </c>
      <c r="G690" s="27">
        <v>240</v>
      </c>
      <c r="H690" s="27">
        <v>16</v>
      </c>
      <c r="I690" s="35">
        <v>7.5</v>
      </c>
      <c r="J690" s="5">
        <v>4.32</v>
      </c>
    </row>
    <row r="691" spans="2:10">
      <c r="B691" s="27">
        <v>311</v>
      </c>
      <c r="C691" s="27">
        <v>10</v>
      </c>
      <c r="D691" s="28" t="s">
        <v>523</v>
      </c>
      <c r="E691" s="28" t="s">
        <v>12</v>
      </c>
      <c r="F691" s="27">
        <v>2</v>
      </c>
      <c r="G691" s="27">
        <v>202</v>
      </c>
      <c r="H691" s="27">
        <v>1</v>
      </c>
      <c r="I691" s="35">
        <v>7.9</v>
      </c>
      <c r="J691" s="5">
        <v>4.46</v>
      </c>
    </row>
    <row r="692" spans="2:10">
      <c r="B692" s="27">
        <v>311</v>
      </c>
      <c r="C692" s="27">
        <v>11</v>
      </c>
      <c r="D692" s="28" t="s">
        <v>524</v>
      </c>
      <c r="E692" s="28" t="s">
        <v>12</v>
      </c>
      <c r="F692" s="27">
        <v>10.5</v>
      </c>
      <c r="G692" s="27">
        <v>210</v>
      </c>
      <c r="H692" s="27">
        <v>5</v>
      </c>
      <c r="I692" s="35">
        <v>8.1</v>
      </c>
      <c r="J692" s="5">
        <v>5.19</v>
      </c>
    </row>
    <row r="693" spans="2:10">
      <c r="B693" s="27">
        <v>311</v>
      </c>
      <c r="C693" s="27">
        <v>12</v>
      </c>
      <c r="D693" s="28" t="s">
        <v>525</v>
      </c>
      <c r="E693" s="28" t="s">
        <v>12</v>
      </c>
      <c r="F693" s="27">
        <v>15</v>
      </c>
      <c r="G693" s="27">
        <v>250</v>
      </c>
      <c r="H693" s="27">
        <v>18</v>
      </c>
      <c r="I693" s="35">
        <v>6.8</v>
      </c>
      <c r="J693" s="5">
        <v>4.16</v>
      </c>
    </row>
    <row r="695" s="22" customFormat="1" spans="1:11">
      <c r="A695" s="23"/>
      <c r="B695" s="51"/>
      <c r="C695" s="52"/>
      <c r="D695" s="53"/>
      <c r="E695" s="53"/>
      <c r="F695" s="54"/>
      <c r="G695" s="54"/>
      <c r="H695" s="54"/>
      <c r="I695" s="55"/>
      <c r="J695" s="56"/>
      <c r="K695" s="52"/>
    </row>
    <row r="696" s="20" customFormat="1" spans="1:11">
      <c r="A696" s="23" t="s">
        <v>526</v>
      </c>
      <c r="B696" s="51" t="s">
        <v>1</v>
      </c>
      <c r="C696" s="52" t="s">
        <v>2</v>
      </c>
      <c r="D696" s="53" t="s">
        <v>3</v>
      </c>
      <c r="E696" s="53" t="s">
        <v>4</v>
      </c>
      <c r="F696" s="54" t="s">
        <v>5</v>
      </c>
      <c r="G696" s="54" t="s">
        <v>6</v>
      </c>
      <c r="H696" s="54" t="s">
        <v>7</v>
      </c>
      <c r="I696" s="55" t="s">
        <v>8</v>
      </c>
      <c r="J696" s="56" t="s">
        <v>9</v>
      </c>
      <c r="K696" s="52" t="s">
        <v>10</v>
      </c>
    </row>
    <row r="697" spans="2:10">
      <c r="B697" s="27">
        <v>311</v>
      </c>
      <c r="C697" s="27">
        <v>13</v>
      </c>
      <c r="D697" s="30" t="s">
        <v>527</v>
      </c>
      <c r="E697" s="28" t="s">
        <v>12</v>
      </c>
      <c r="F697" s="27">
        <v>15.6</v>
      </c>
      <c r="G697" s="27">
        <v>268</v>
      </c>
      <c r="H697" s="27">
        <v>9</v>
      </c>
      <c r="I697" s="35">
        <v>6.8</v>
      </c>
      <c r="J697" s="5">
        <v>4.17</v>
      </c>
    </row>
    <row r="698" spans="2:10">
      <c r="B698" s="27">
        <v>311</v>
      </c>
      <c r="C698" s="27">
        <v>14</v>
      </c>
      <c r="D698" s="28" t="s">
        <v>528</v>
      </c>
      <c r="E698" s="28" t="s">
        <v>12</v>
      </c>
      <c r="F698" s="27">
        <v>5</v>
      </c>
      <c r="G698" s="27">
        <v>230</v>
      </c>
      <c r="H698" s="27">
        <v>1</v>
      </c>
      <c r="I698" s="35">
        <v>7.6</v>
      </c>
      <c r="J698" s="5">
        <v>4.33</v>
      </c>
    </row>
    <row r="699" spans="2:10">
      <c r="B699" s="27">
        <v>311</v>
      </c>
      <c r="C699" s="27">
        <v>15</v>
      </c>
      <c r="D699" s="28" t="s">
        <v>529</v>
      </c>
      <c r="E699" s="28" t="s">
        <v>12</v>
      </c>
      <c r="F699" s="27">
        <v>10.7</v>
      </c>
      <c r="G699" s="27">
        <v>220</v>
      </c>
      <c r="H699" s="27">
        <v>1</v>
      </c>
      <c r="I699" s="35">
        <v>7.8</v>
      </c>
      <c r="J699" s="5">
        <v>5.02</v>
      </c>
    </row>
    <row r="700" spans="2:10">
      <c r="B700" s="27">
        <v>311</v>
      </c>
      <c r="C700" s="27">
        <v>16</v>
      </c>
      <c r="D700" s="28" t="s">
        <v>530</v>
      </c>
      <c r="E700" s="28" t="s">
        <v>12</v>
      </c>
      <c r="F700" s="27">
        <v>-5</v>
      </c>
      <c r="G700" s="27">
        <v>225</v>
      </c>
      <c r="H700" s="27">
        <v>5</v>
      </c>
      <c r="I700" s="35">
        <v>7.1</v>
      </c>
      <c r="J700" s="5">
        <v>5.28</v>
      </c>
    </row>
    <row r="701" spans="2:10">
      <c r="B701" s="27">
        <v>311</v>
      </c>
      <c r="C701" s="27">
        <v>17</v>
      </c>
      <c r="D701" s="28" t="s">
        <v>531</v>
      </c>
      <c r="E701" s="28" t="s">
        <v>12</v>
      </c>
      <c r="F701" s="27">
        <v>9.5</v>
      </c>
      <c r="G701" s="27">
        <v>235</v>
      </c>
      <c r="H701" s="27">
        <v>1</v>
      </c>
      <c r="I701" s="35">
        <v>8.2</v>
      </c>
      <c r="J701" s="5">
        <v>5.28</v>
      </c>
    </row>
    <row r="702" spans="2:10">
      <c r="B702" s="27">
        <v>311</v>
      </c>
      <c r="C702" s="27">
        <v>18</v>
      </c>
      <c r="D702" s="28" t="s">
        <v>532</v>
      </c>
      <c r="E702" s="28" t="s">
        <v>12</v>
      </c>
      <c r="F702" s="27">
        <v>2</v>
      </c>
      <c r="G702" s="27">
        <v>245</v>
      </c>
      <c r="H702" s="27">
        <v>18</v>
      </c>
      <c r="I702" s="35">
        <v>7.5</v>
      </c>
      <c r="J702" s="5">
        <v>4.52</v>
      </c>
    </row>
    <row r="703" spans="2:10">
      <c r="B703" s="27">
        <v>311</v>
      </c>
      <c r="C703" s="27">
        <v>19</v>
      </c>
      <c r="D703" s="28" t="s">
        <v>533</v>
      </c>
      <c r="E703" s="28" t="s">
        <v>12</v>
      </c>
      <c r="F703" s="27">
        <v>13</v>
      </c>
      <c r="G703" s="27">
        <v>240</v>
      </c>
      <c r="H703" s="27">
        <v>11</v>
      </c>
      <c r="I703" s="35">
        <v>7.4</v>
      </c>
      <c r="J703" s="5">
        <v>4.32</v>
      </c>
    </row>
    <row r="704" spans="2:10">
      <c r="B704" s="27">
        <v>311</v>
      </c>
      <c r="C704" s="27">
        <v>20</v>
      </c>
      <c r="D704" s="28" t="s">
        <v>534</v>
      </c>
      <c r="E704" s="28" t="s">
        <v>12</v>
      </c>
      <c r="F704" s="27">
        <v>4.2</v>
      </c>
      <c r="G704" s="27">
        <v>235</v>
      </c>
      <c r="H704" s="27">
        <v>6</v>
      </c>
      <c r="I704" s="35">
        <v>7.7</v>
      </c>
      <c r="J704" s="5">
        <v>5.29</v>
      </c>
    </row>
    <row r="705" spans="2:10">
      <c r="B705" s="27">
        <v>311</v>
      </c>
      <c r="C705" s="27">
        <v>21</v>
      </c>
      <c r="D705" s="28" t="s">
        <v>535</v>
      </c>
      <c r="E705" s="28" t="s">
        <v>12</v>
      </c>
      <c r="F705" s="27">
        <v>-4.9</v>
      </c>
      <c r="G705" s="27">
        <v>215</v>
      </c>
      <c r="H705" s="27">
        <v>18</v>
      </c>
      <c r="I705" s="35">
        <v>7.6</v>
      </c>
      <c r="J705" s="5">
        <v>5.28</v>
      </c>
    </row>
    <row r="706" spans="2:10">
      <c r="B706" s="27">
        <v>311</v>
      </c>
      <c r="C706" s="27">
        <v>22</v>
      </c>
      <c r="D706" s="28" t="s">
        <v>536</v>
      </c>
      <c r="E706" s="28" t="s">
        <v>12</v>
      </c>
      <c r="F706" s="27">
        <v>7</v>
      </c>
      <c r="G706" s="27">
        <v>242</v>
      </c>
      <c r="H706" s="27">
        <v>2</v>
      </c>
      <c r="I706" s="35">
        <v>7.4</v>
      </c>
      <c r="J706" s="5">
        <v>5.3</v>
      </c>
    </row>
    <row r="707" spans="2:10">
      <c r="B707" s="27">
        <v>311</v>
      </c>
      <c r="C707" s="27">
        <v>23</v>
      </c>
      <c r="D707" s="28" t="s">
        <v>537</v>
      </c>
      <c r="E707" s="28" t="s">
        <v>12</v>
      </c>
      <c r="F707" s="27">
        <v>5.5</v>
      </c>
      <c r="G707" s="27">
        <v>238</v>
      </c>
      <c r="H707" s="27">
        <v>1</v>
      </c>
      <c r="I707" s="35">
        <v>7.5</v>
      </c>
      <c r="J707" s="5">
        <v>4.33</v>
      </c>
    </row>
    <row r="708" spans="2:10">
      <c r="B708" s="27">
        <v>311</v>
      </c>
      <c r="C708" s="27">
        <v>24</v>
      </c>
      <c r="D708" s="28" t="s">
        <v>538</v>
      </c>
      <c r="E708" s="28" t="s">
        <v>12</v>
      </c>
      <c r="F708" s="27">
        <v>11</v>
      </c>
      <c r="G708" s="27">
        <v>228</v>
      </c>
      <c r="H708" s="27">
        <v>15</v>
      </c>
      <c r="I708" s="35">
        <v>7.4</v>
      </c>
      <c r="J708" s="5">
        <v>4.18</v>
      </c>
    </row>
    <row r="709" spans="4:5">
      <c r="D709" s="28"/>
      <c r="E709" s="28"/>
    </row>
    <row r="710" spans="4:5">
      <c r="D710" s="28"/>
      <c r="E710" s="28"/>
    </row>
    <row r="711" spans="4:5">
      <c r="D711" s="28"/>
      <c r="E711" s="28"/>
    </row>
    <row r="712" spans="4:5">
      <c r="D712" s="28"/>
      <c r="E712" s="28"/>
    </row>
    <row r="713" spans="4:5">
      <c r="D713" s="28"/>
      <c r="E713" s="28"/>
    </row>
    <row r="714" spans="4:5">
      <c r="D714" s="28"/>
      <c r="E714" s="28"/>
    </row>
    <row r="716" s="20" customFormat="1" spans="1:11">
      <c r="A716" s="23" t="s">
        <v>539</v>
      </c>
      <c r="B716" s="51" t="s">
        <v>1</v>
      </c>
      <c r="C716" s="52" t="s">
        <v>2</v>
      </c>
      <c r="D716" s="53" t="s">
        <v>3</v>
      </c>
      <c r="E716" s="53" t="s">
        <v>4</v>
      </c>
      <c r="F716" s="54" t="s">
        <v>5</v>
      </c>
      <c r="G716" s="54" t="s">
        <v>6</v>
      </c>
      <c r="H716" s="54" t="s">
        <v>7</v>
      </c>
      <c r="I716" s="55" t="s">
        <v>8</v>
      </c>
      <c r="J716" s="56" t="s">
        <v>9</v>
      </c>
      <c r="K716" s="52" t="s">
        <v>10</v>
      </c>
    </row>
    <row r="717" spans="2:10">
      <c r="B717" s="27">
        <v>311</v>
      </c>
      <c r="C717" s="27">
        <v>25</v>
      </c>
      <c r="D717" s="30" t="s">
        <v>540</v>
      </c>
      <c r="E717" s="28" t="s">
        <v>12</v>
      </c>
      <c r="F717" s="27">
        <v>9.5</v>
      </c>
      <c r="G717" s="27">
        <v>210</v>
      </c>
      <c r="H717" s="27">
        <v>1</v>
      </c>
      <c r="I717" s="35">
        <v>7.8</v>
      </c>
      <c r="J717" s="5">
        <v>5.27</v>
      </c>
    </row>
    <row r="718" spans="2:10">
      <c r="B718" s="27">
        <v>311</v>
      </c>
      <c r="C718" s="27">
        <v>26</v>
      </c>
      <c r="D718" s="28" t="s">
        <v>541</v>
      </c>
      <c r="E718" s="28" t="s">
        <v>12</v>
      </c>
      <c r="F718" s="27">
        <v>20.5</v>
      </c>
      <c r="G718" s="27">
        <v>225</v>
      </c>
      <c r="H718" s="27">
        <v>12</v>
      </c>
      <c r="I718" s="35">
        <v>7.5</v>
      </c>
      <c r="J718" s="5">
        <v>5.19</v>
      </c>
    </row>
    <row r="719" spans="2:10">
      <c r="B719" s="27">
        <v>311</v>
      </c>
      <c r="C719" s="27">
        <v>27</v>
      </c>
      <c r="D719" s="28" t="s">
        <v>542</v>
      </c>
      <c r="E719" s="28" t="s">
        <v>12</v>
      </c>
      <c r="F719" s="27">
        <v>15</v>
      </c>
      <c r="G719" s="27">
        <v>235</v>
      </c>
      <c r="H719" s="27">
        <v>16</v>
      </c>
      <c r="I719" s="35">
        <v>7</v>
      </c>
      <c r="J719" s="5">
        <v>4.04</v>
      </c>
    </row>
    <row r="720" spans="2:10">
      <c r="B720" s="27">
        <v>311</v>
      </c>
      <c r="C720" s="27">
        <v>28</v>
      </c>
      <c r="D720" s="28" t="s">
        <v>543</v>
      </c>
      <c r="E720" s="28" t="s">
        <v>12</v>
      </c>
      <c r="F720" s="27">
        <v>15.5</v>
      </c>
      <c r="G720" s="27">
        <v>215</v>
      </c>
      <c r="H720" s="27">
        <v>0</v>
      </c>
      <c r="I720" s="35">
        <v>7.9</v>
      </c>
      <c r="J720" s="5">
        <v>4.29</v>
      </c>
    </row>
    <row r="721" spans="2:10">
      <c r="B721" s="27">
        <v>311</v>
      </c>
      <c r="C721" s="27">
        <v>29</v>
      </c>
      <c r="D721" s="27" t="s">
        <v>544</v>
      </c>
      <c r="E721" s="38" t="s">
        <v>12</v>
      </c>
      <c r="F721" s="27">
        <v>11</v>
      </c>
      <c r="G721" s="27">
        <v>230</v>
      </c>
      <c r="H721" s="27">
        <v>27</v>
      </c>
      <c r="I721" s="35">
        <v>7.1</v>
      </c>
      <c r="J721" s="5">
        <v>3.44</v>
      </c>
    </row>
    <row r="722" spans="2:10">
      <c r="B722" s="27">
        <v>311</v>
      </c>
      <c r="C722" s="27">
        <v>30</v>
      </c>
      <c r="D722" s="27" t="s">
        <v>545</v>
      </c>
      <c r="E722" s="27" t="s">
        <v>12</v>
      </c>
      <c r="F722" s="27">
        <v>30.5</v>
      </c>
      <c r="G722" s="27">
        <v>215</v>
      </c>
      <c r="H722" s="27">
        <v>20</v>
      </c>
      <c r="I722" s="35">
        <v>7.6</v>
      </c>
      <c r="J722" s="5">
        <v>3.45</v>
      </c>
    </row>
    <row r="723" spans="2:10">
      <c r="B723" s="27">
        <v>311</v>
      </c>
      <c r="C723" s="27">
        <v>31</v>
      </c>
      <c r="D723" s="28" t="s">
        <v>546</v>
      </c>
      <c r="E723" s="28" t="s">
        <v>12</v>
      </c>
      <c r="F723" s="27">
        <v>0</v>
      </c>
      <c r="G723" s="27">
        <v>225</v>
      </c>
      <c r="H723" s="27">
        <v>0</v>
      </c>
      <c r="I723" s="35">
        <v>7.4</v>
      </c>
      <c r="J723" s="5">
        <v>5.27</v>
      </c>
    </row>
    <row r="724" spans="2:10">
      <c r="B724" s="27">
        <v>311</v>
      </c>
      <c r="C724" s="27">
        <v>32</v>
      </c>
      <c r="D724" s="28" t="s">
        <v>547</v>
      </c>
      <c r="E724" s="28" t="s">
        <v>12</v>
      </c>
      <c r="F724" s="27">
        <v>11.5</v>
      </c>
      <c r="G724" s="27">
        <v>210</v>
      </c>
      <c r="H724" s="27">
        <v>0</v>
      </c>
      <c r="I724" s="35">
        <v>8.5</v>
      </c>
      <c r="J724" s="5">
        <v>4.37</v>
      </c>
    </row>
    <row r="725" spans="2:10">
      <c r="B725" s="27">
        <v>311</v>
      </c>
      <c r="C725" s="27">
        <v>33</v>
      </c>
      <c r="D725" s="27" t="s">
        <v>548</v>
      </c>
      <c r="E725" s="27" t="s">
        <v>12</v>
      </c>
      <c r="F725" s="27">
        <v>7.5</v>
      </c>
      <c r="G725" s="27">
        <v>270</v>
      </c>
      <c r="H725" s="27">
        <v>28</v>
      </c>
      <c r="I725" s="35">
        <v>6.8</v>
      </c>
      <c r="J725" s="5">
        <v>3.43</v>
      </c>
    </row>
    <row r="726" spans="2:10">
      <c r="B726" s="27">
        <v>311</v>
      </c>
      <c r="C726" s="27">
        <v>34</v>
      </c>
      <c r="D726" s="28" t="s">
        <v>549</v>
      </c>
      <c r="E726" s="28" t="s">
        <v>12</v>
      </c>
      <c r="F726" s="27">
        <v>14</v>
      </c>
      <c r="G726" s="27">
        <v>230</v>
      </c>
      <c r="H726" s="27">
        <v>35</v>
      </c>
      <c r="I726" s="35">
        <v>7.7</v>
      </c>
      <c r="J726" s="5">
        <v>4.48</v>
      </c>
    </row>
    <row r="727" spans="2:11">
      <c r="B727" s="27">
        <v>311</v>
      </c>
      <c r="C727" s="27">
        <v>35</v>
      </c>
      <c r="D727" s="28" t="s">
        <v>550</v>
      </c>
      <c r="E727" s="28" t="s">
        <v>12</v>
      </c>
      <c r="K727" s="27">
        <v>50</v>
      </c>
    </row>
    <row r="728" spans="2:10">
      <c r="B728" s="27">
        <v>311</v>
      </c>
      <c r="C728" s="27">
        <v>36</v>
      </c>
      <c r="D728" s="28" t="s">
        <v>551</v>
      </c>
      <c r="E728" s="28" t="s">
        <v>12</v>
      </c>
      <c r="F728" s="27">
        <v>15.5</v>
      </c>
      <c r="G728" s="27">
        <v>210</v>
      </c>
      <c r="H728" s="27">
        <v>3</v>
      </c>
      <c r="I728" s="35">
        <v>8.6</v>
      </c>
      <c r="J728" s="5">
        <v>5.18</v>
      </c>
    </row>
    <row r="729" spans="4:5">
      <c r="D729" s="28"/>
      <c r="E729" s="28"/>
    </row>
    <row r="731" s="20" customFormat="1" spans="1:11">
      <c r="A731" s="23" t="s">
        <v>552</v>
      </c>
      <c r="B731" s="51" t="s">
        <v>1</v>
      </c>
      <c r="C731" s="52" t="s">
        <v>2</v>
      </c>
      <c r="D731" s="53" t="s">
        <v>3</v>
      </c>
      <c r="E731" s="53" t="s">
        <v>4</v>
      </c>
      <c r="F731" s="54" t="s">
        <v>5</v>
      </c>
      <c r="G731" s="54" t="s">
        <v>6</v>
      </c>
      <c r="H731" s="54" t="s">
        <v>7</v>
      </c>
      <c r="I731" s="55" t="s">
        <v>8</v>
      </c>
      <c r="J731" s="56" t="s">
        <v>9</v>
      </c>
      <c r="K731" s="52" t="s">
        <v>10</v>
      </c>
    </row>
    <row r="732" spans="2:10">
      <c r="B732" s="27">
        <v>311</v>
      </c>
      <c r="C732" s="27">
        <v>37</v>
      </c>
      <c r="D732" s="30" t="s">
        <v>553</v>
      </c>
      <c r="E732" s="28" t="s">
        <v>12</v>
      </c>
      <c r="F732" s="27">
        <v>16.7</v>
      </c>
      <c r="G732" s="27">
        <v>300</v>
      </c>
      <c r="H732" s="27">
        <v>11</v>
      </c>
      <c r="I732" s="35">
        <v>6.2</v>
      </c>
      <c r="J732" s="5">
        <v>3.29</v>
      </c>
    </row>
    <row r="733" spans="2:10">
      <c r="B733" s="27">
        <v>311</v>
      </c>
      <c r="C733" s="27">
        <v>38</v>
      </c>
      <c r="D733" s="28" t="s">
        <v>554</v>
      </c>
      <c r="E733" s="28" t="s">
        <v>12</v>
      </c>
      <c r="F733" s="27">
        <v>6.8</v>
      </c>
      <c r="G733" s="27">
        <v>208</v>
      </c>
      <c r="H733" s="27">
        <v>10</v>
      </c>
      <c r="I733" s="35">
        <v>8.1</v>
      </c>
      <c r="J733" s="5">
        <v>4.48</v>
      </c>
    </row>
    <row r="734" spans="2:10">
      <c r="B734" s="27">
        <v>311</v>
      </c>
      <c r="C734" s="27">
        <v>39</v>
      </c>
      <c r="D734" s="28" t="s">
        <v>555</v>
      </c>
      <c r="E734" s="28" t="s">
        <v>12</v>
      </c>
      <c r="F734" s="27">
        <v>-6</v>
      </c>
      <c r="G734" s="27">
        <v>255</v>
      </c>
      <c r="H734" s="27">
        <v>11</v>
      </c>
      <c r="I734" s="35">
        <v>6.6</v>
      </c>
      <c r="J734" s="5">
        <v>3.41</v>
      </c>
    </row>
    <row r="735" spans="2:10">
      <c r="B735" s="27">
        <v>311</v>
      </c>
      <c r="C735" s="27">
        <v>40</v>
      </c>
      <c r="D735" s="28" t="s">
        <v>556</v>
      </c>
      <c r="E735" s="28" t="s">
        <v>12</v>
      </c>
      <c r="F735" s="27">
        <v>-12</v>
      </c>
      <c r="G735" s="27">
        <v>204</v>
      </c>
      <c r="H735" s="27">
        <v>0</v>
      </c>
      <c r="I735" s="35">
        <v>8.1</v>
      </c>
      <c r="J735" s="5">
        <v>4.48</v>
      </c>
    </row>
    <row r="736" spans="2:10">
      <c r="B736" s="27">
        <v>311</v>
      </c>
      <c r="C736" s="27">
        <v>41</v>
      </c>
      <c r="D736" s="28" t="s">
        <v>557</v>
      </c>
      <c r="E736" s="28" t="s">
        <v>12</v>
      </c>
      <c r="F736" s="27">
        <v>17</v>
      </c>
      <c r="G736" s="27">
        <v>239</v>
      </c>
      <c r="H736" s="27">
        <v>6</v>
      </c>
      <c r="I736" s="35">
        <v>7.4</v>
      </c>
      <c r="J736" s="5">
        <v>4.48</v>
      </c>
    </row>
    <row r="737" spans="2:10">
      <c r="B737" s="27">
        <v>311</v>
      </c>
      <c r="C737" s="27">
        <v>42</v>
      </c>
      <c r="D737" s="28" t="s">
        <v>558</v>
      </c>
      <c r="E737" s="28" t="s">
        <v>12</v>
      </c>
      <c r="F737" s="27">
        <v>10.4</v>
      </c>
      <c r="G737" s="27">
        <v>237</v>
      </c>
      <c r="H737" s="27">
        <v>11</v>
      </c>
      <c r="I737" s="35">
        <v>7.4</v>
      </c>
      <c r="J737" s="5">
        <v>4.14</v>
      </c>
    </row>
    <row r="738" spans="2:10">
      <c r="B738" s="27">
        <v>311</v>
      </c>
      <c r="C738" s="27">
        <v>43</v>
      </c>
      <c r="D738" s="28" t="s">
        <v>559</v>
      </c>
      <c r="E738" s="28" t="s">
        <v>12</v>
      </c>
      <c r="F738" s="27">
        <v>-5.5</v>
      </c>
      <c r="G738" s="27">
        <v>280</v>
      </c>
      <c r="H738" s="27">
        <v>7</v>
      </c>
      <c r="I738" s="35">
        <v>6.9</v>
      </c>
      <c r="J738" s="5">
        <v>4.48</v>
      </c>
    </row>
    <row r="739" spans="2:10">
      <c r="B739" s="27">
        <v>311</v>
      </c>
      <c r="C739" s="27">
        <v>44</v>
      </c>
      <c r="D739" s="28" t="s">
        <v>560</v>
      </c>
      <c r="E739" s="28" t="s">
        <v>12</v>
      </c>
      <c r="F739" s="27">
        <v>10</v>
      </c>
      <c r="G739" s="27">
        <v>241</v>
      </c>
      <c r="H739" s="27">
        <v>11</v>
      </c>
      <c r="I739" s="35">
        <v>7.7</v>
      </c>
      <c r="J739" s="5">
        <v>4.22</v>
      </c>
    </row>
    <row r="740" spans="2:10">
      <c r="B740" s="27">
        <v>311</v>
      </c>
      <c r="C740" s="27">
        <v>45</v>
      </c>
      <c r="D740" s="28" t="s">
        <v>561</v>
      </c>
      <c r="E740" s="28" t="s">
        <v>12</v>
      </c>
      <c r="F740" s="27">
        <v>-11</v>
      </c>
      <c r="G740" s="27">
        <v>206</v>
      </c>
      <c r="H740" s="27">
        <v>1</v>
      </c>
      <c r="I740" s="35">
        <v>7.1</v>
      </c>
      <c r="J740" s="5">
        <v>4.29</v>
      </c>
    </row>
    <row r="741" spans="2:10">
      <c r="B741" s="27">
        <v>311</v>
      </c>
      <c r="C741" s="27">
        <v>46</v>
      </c>
      <c r="D741" s="28" t="s">
        <v>562</v>
      </c>
      <c r="E741" s="28" t="s">
        <v>12</v>
      </c>
      <c r="F741" s="27">
        <v>16</v>
      </c>
      <c r="G741" s="27">
        <v>270</v>
      </c>
      <c r="H741" s="27">
        <v>20</v>
      </c>
      <c r="I741" s="35">
        <v>6.6</v>
      </c>
      <c r="J741" s="5">
        <v>4.09</v>
      </c>
    </row>
    <row r="742" spans="2:10">
      <c r="B742" s="27">
        <v>311</v>
      </c>
      <c r="C742" s="27">
        <v>47</v>
      </c>
      <c r="D742" s="28" t="s">
        <v>563</v>
      </c>
      <c r="E742" s="28" t="s">
        <v>12</v>
      </c>
      <c r="F742" s="27">
        <v>2.3</v>
      </c>
      <c r="G742" s="27">
        <v>210</v>
      </c>
      <c r="H742" s="27">
        <v>1</v>
      </c>
      <c r="I742" s="35">
        <v>7.4</v>
      </c>
      <c r="J742" s="5">
        <v>5.06</v>
      </c>
    </row>
    <row r="743" spans="2:10">
      <c r="B743" s="27">
        <v>311</v>
      </c>
      <c r="C743" s="27">
        <v>48</v>
      </c>
      <c r="D743" s="28" t="s">
        <v>564</v>
      </c>
      <c r="E743" s="28" t="s">
        <v>12</v>
      </c>
      <c r="F743" s="27">
        <v>17</v>
      </c>
      <c r="G743" s="27">
        <v>269</v>
      </c>
      <c r="H743" s="27">
        <v>3</v>
      </c>
      <c r="I743" s="35">
        <v>7</v>
      </c>
      <c r="J743" s="5">
        <v>4.48</v>
      </c>
    </row>
    <row r="745" s="20" customFormat="1" spans="1:11">
      <c r="A745" s="23" t="s">
        <v>565</v>
      </c>
      <c r="B745" s="51" t="s">
        <v>1</v>
      </c>
      <c r="C745" s="52" t="s">
        <v>2</v>
      </c>
      <c r="D745" s="53" t="s">
        <v>3</v>
      </c>
      <c r="E745" s="53" t="s">
        <v>4</v>
      </c>
      <c r="F745" s="54" t="s">
        <v>5</v>
      </c>
      <c r="G745" s="54" t="s">
        <v>6</v>
      </c>
      <c r="H745" s="54" t="s">
        <v>7</v>
      </c>
      <c r="I745" s="55" t="s">
        <v>8</v>
      </c>
      <c r="J745" s="56" t="s">
        <v>9</v>
      </c>
      <c r="K745" s="52" t="s">
        <v>10</v>
      </c>
    </row>
    <row r="746" spans="2:10">
      <c r="B746" s="27">
        <v>311</v>
      </c>
      <c r="C746" s="27">
        <v>49</v>
      </c>
      <c r="D746" s="30" t="s">
        <v>566</v>
      </c>
      <c r="E746" s="28" t="s">
        <v>46</v>
      </c>
      <c r="F746" s="27">
        <v>23.5</v>
      </c>
      <c r="G746" s="27">
        <v>182</v>
      </c>
      <c r="H746" s="27">
        <v>49</v>
      </c>
      <c r="I746" s="35">
        <v>8.6</v>
      </c>
      <c r="J746" s="5">
        <v>3.28</v>
      </c>
    </row>
    <row r="747" spans="2:10">
      <c r="B747" s="27">
        <v>311</v>
      </c>
      <c r="C747" s="27">
        <v>50</v>
      </c>
      <c r="D747" s="28" t="s">
        <v>567</v>
      </c>
      <c r="E747" s="28" t="s">
        <v>46</v>
      </c>
      <c r="F747" s="27">
        <v>19</v>
      </c>
      <c r="G747" s="27">
        <v>180</v>
      </c>
      <c r="H747" s="27">
        <v>50</v>
      </c>
      <c r="I747" s="35">
        <v>9</v>
      </c>
      <c r="J747" s="5">
        <v>4.55</v>
      </c>
    </row>
    <row r="748" spans="2:10">
      <c r="B748" s="27">
        <v>311</v>
      </c>
      <c r="C748" s="27">
        <v>51</v>
      </c>
      <c r="D748" s="27" t="s">
        <v>568</v>
      </c>
      <c r="E748" s="27" t="s">
        <v>46</v>
      </c>
      <c r="F748" s="27">
        <v>18</v>
      </c>
      <c r="G748" s="27">
        <v>210</v>
      </c>
      <c r="H748" s="27">
        <v>53</v>
      </c>
      <c r="I748" s="35">
        <v>7.8</v>
      </c>
      <c r="J748" s="5">
        <v>3.38</v>
      </c>
    </row>
    <row r="749" spans="2:10">
      <c r="B749" s="27">
        <v>311</v>
      </c>
      <c r="C749" s="27">
        <v>52</v>
      </c>
      <c r="D749" s="28" t="s">
        <v>569</v>
      </c>
      <c r="E749" s="28" t="s">
        <v>46</v>
      </c>
      <c r="F749" s="27">
        <v>17</v>
      </c>
      <c r="G749" s="27">
        <v>155</v>
      </c>
      <c r="H749" s="27">
        <v>33</v>
      </c>
      <c r="I749" s="35">
        <v>9.5</v>
      </c>
      <c r="J749" s="5">
        <v>4.58</v>
      </c>
    </row>
    <row r="750" spans="2:10">
      <c r="B750" s="27">
        <v>311</v>
      </c>
      <c r="C750" s="27">
        <v>53</v>
      </c>
      <c r="D750" s="27" t="s">
        <v>570</v>
      </c>
      <c r="E750" s="27" t="s">
        <v>46</v>
      </c>
      <c r="F750" s="27">
        <v>8.5</v>
      </c>
      <c r="G750" s="27">
        <v>160</v>
      </c>
      <c r="H750" s="27">
        <v>47</v>
      </c>
      <c r="I750" s="35">
        <v>8.6</v>
      </c>
      <c r="J750" s="5">
        <v>4.55</v>
      </c>
    </row>
    <row r="751" spans="2:10">
      <c r="B751" s="27">
        <v>311</v>
      </c>
      <c r="C751" s="27">
        <v>54</v>
      </c>
      <c r="D751" s="28" t="s">
        <v>571</v>
      </c>
      <c r="E751" s="28" t="s">
        <v>46</v>
      </c>
      <c r="F751" s="27">
        <v>15.5</v>
      </c>
      <c r="G751" s="27">
        <v>175</v>
      </c>
      <c r="H751" s="27">
        <v>45</v>
      </c>
      <c r="I751" s="35">
        <v>10.6</v>
      </c>
      <c r="J751" s="5">
        <v>4.26</v>
      </c>
    </row>
    <row r="752" spans="2:10">
      <c r="B752" s="27">
        <v>311</v>
      </c>
      <c r="C752" s="27">
        <v>55</v>
      </c>
      <c r="D752" s="28" t="s">
        <v>572</v>
      </c>
      <c r="E752" s="28" t="s">
        <v>46</v>
      </c>
      <c r="F752" s="27">
        <v>17</v>
      </c>
      <c r="G752" s="27">
        <v>185</v>
      </c>
      <c r="H752" s="27">
        <v>48</v>
      </c>
      <c r="I752" s="35">
        <v>9.3</v>
      </c>
      <c r="J752" s="5">
        <v>4.26</v>
      </c>
    </row>
    <row r="754" s="20" customFormat="1" spans="1:11">
      <c r="A754" s="23" t="s">
        <v>573</v>
      </c>
      <c r="B754" s="51" t="s">
        <v>1</v>
      </c>
      <c r="C754" s="52" t="s">
        <v>2</v>
      </c>
      <c r="D754" s="53" t="s">
        <v>3</v>
      </c>
      <c r="E754" s="53" t="s">
        <v>4</v>
      </c>
      <c r="F754" s="54" t="s">
        <v>5</v>
      </c>
      <c r="G754" s="54" t="s">
        <v>6</v>
      </c>
      <c r="H754" s="54" t="s">
        <v>7</v>
      </c>
      <c r="I754" s="55" t="s">
        <v>8</v>
      </c>
      <c r="J754" s="56" t="s">
        <v>9</v>
      </c>
      <c r="K754" s="52" t="s">
        <v>10</v>
      </c>
    </row>
    <row r="755" spans="2:10">
      <c r="B755" s="27">
        <v>312</v>
      </c>
      <c r="C755" s="27">
        <v>1</v>
      </c>
      <c r="D755" s="30" t="s">
        <v>574</v>
      </c>
      <c r="E755" s="28" t="s">
        <v>12</v>
      </c>
      <c r="F755" s="27">
        <v>12.5</v>
      </c>
      <c r="G755" s="27">
        <v>195</v>
      </c>
      <c r="H755" s="27">
        <v>0</v>
      </c>
      <c r="I755" s="35">
        <v>7.9</v>
      </c>
      <c r="J755" s="5">
        <v>5.5</v>
      </c>
    </row>
    <row r="756" spans="2:11">
      <c r="B756" s="27">
        <v>312</v>
      </c>
      <c r="C756" s="27">
        <v>2</v>
      </c>
      <c r="D756" s="28" t="s">
        <v>575</v>
      </c>
      <c r="E756" s="28" t="s">
        <v>12</v>
      </c>
      <c r="K756" s="27">
        <v>50</v>
      </c>
    </row>
    <row r="757" spans="2:11">
      <c r="B757" s="27">
        <v>312</v>
      </c>
      <c r="C757" s="27">
        <v>3</v>
      </c>
      <c r="D757" s="28" t="s">
        <v>576</v>
      </c>
      <c r="E757" s="28" t="s">
        <v>12</v>
      </c>
      <c r="K757" s="27">
        <v>50</v>
      </c>
    </row>
    <row r="758" spans="2:10">
      <c r="B758" s="27">
        <v>312</v>
      </c>
      <c r="C758" s="27">
        <v>4</v>
      </c>
      <c r="D758" s="28" t="s">
        <v>577</v>
      </c>
      <c r="E758" s="28" t="s">
        <v>12</v>
      </c>
      <c r="F758" s="27">
        <v>10.8</v>
      </c>
      <c r="G758" s="27">
        <v>225</v>
      </c>
      <c r="H758" s="27">
        <v>19</v>
      </c>
      <c r="I758" s="35">
        <v>8.1</v>
      </c>
      <c r="J758" s="5">
        <v>5.05</v>
      </c>
    </row>
    <row r="759" spans="2:10">
      <c r="B759" s="27">
        <v>312</v>
      </c>
      <c r="C759" s="27">
        <v>5</v>
      </c>
      <c r="D759" s="28" t="s">
        <v>578</v>
      </c>
      <c r="E759" s="28" t="s">
        <v>12</v>
      </c>
      <c r="F759" s="27">
        <v>9</v>
      </c>
      <c r="G759" s="27">
        <v>260</v>
      </c>
      <c r="H759" s="27">
        <v>19</v>
      </c>
      <c r="I759" s="35">
        <v>7.4</v>
      </c>
      <c r="J759" s="5">
        <v>4.09</v>
      </c>
    </row>
    <row r="760" spans="2:10">
      <c r="B760" s="27">
        <v>312</v>
      </c>
      <c r="C760" s="27">
        <v>6</v>
      </c>
      <c r="D760" s="28" t="s">
        <v>579</v>
      </c>
      <c r="E760" s="28" t="s">
        <v>12</v>
      </c>
      <c r="F760" s="27">
        <v>9</v>
      </c>
      <c r="G760" s="27">
        <v>220</v>
      </c>
      <c r="H760" s="27">
        <v>4</v>
      </c>
      <c r="I760" s="35">
        <v>7.2</v>
      </c>
      <c r="J760" s="5">
        <v>5.07</v>
      </c>
    </row>
    <row r="761" spans="2:10">
      <c r="B761" s="27">
        <v>312</v>
      </c>
      <c r="C761" s="27">
        <v>7</v>
      </c>
      <c r="D761" s="28" t="s">
        <v>580</v>
      </c>
      <c r="E761" s="28" t="s">
        <v>12</v>
      </c>
      <c r="F761" s="27">
        <v>9</v>
      </c>
      <c r="G761" s="27">
        <v>200</v>
      </c>
      <c r="H761" s="27">
        <v>0</v>
      </c>
      <c r="I761" s="35">
        <v>6.8</v>
      </c>
      <c r="J761" s="5">
        <v>5.5</v>
      </c>
    </row>
    <row r="762" spans="2:10">
      <c r="B762" s="27">
        <v>312</v>
      </c>
      <c r="C762" s="27">
        <v>8</v>
      </c>
      <c r="D762" s="28" t="s">
        <v>581</v>
      </c>
      <c r="E762" s="28" t="s">
        <v>12</v>
      </c>
      <c r="F762" s="27">
        <v>15.3</v>
      </c>
      <c r="G762" s="27">
        <v>255</v>
      </c>
      <c r="H762" s="27">
        <v>14</v>
      </c>
      <c r="I762" s="35">
        <v>7.8</v>
      </c>
      <c r="J762" s="5">
        <v>3.24</v>
      </c>
    </row>
    <row r="763" spans="2:10">
      <c r="B763" s="27">
        <v>312</v>
      </c>
      <c r="C763" s="27">
        <v>9</v>
      </c>
      <c r="D763" s="28" t="s">
        <v>582</v>
      </c>
      <c r="E763" s="28" t="s">
        <v>12</v>
      </c>
      <c r="F763" s="27">
        <v>8</v>
      </c>
      <c r="G763" s="27">
        <v>230</v>
      </c>
      <c r="H763" s="27">
        <v>16</v>
      </c>
      <c r="I763" s="35">
        <v>7.8</v>
      </c>
      <c r="J763" s="5">
        <v>5.17</v>
      </c>
    </row>
    <row r="764" spans="2:10">
      <c r="B764" s="27">
        <v>312</v>
      </c>
      <c r="C764" s="27">
        <v>10</v>
      </c>
      <c r="D764" s="28" t="s">
        <v>583</v>
      </c>
      <c r="E764" s="28" t="s">
        <v>12</v>
      </c>
      <c r="F764" s="27">
        <v>18.5</v>
      </c>
      <c r="G764" s="27">
        <v>250</v>
      </c>
      <c r="H764" s="27">
        <v>5</v>
      </c>
      <c r="I764" s="35">
        <v>7</v>
      </c>
      <c r="J764" s="5">
        <v>5.5</v>
      </c>
    </row>
    <row r="765" spans="2:10">
      <c r="B765" s="27">
        <v>312</v>
      </c>
      <c r="C765" s="27">
        <v>11</v>
      </c>
      <c r="D765" s="28" t="s">
        <v>584</v>
      </c>
      <c r="E765" s="28" t="s">
        <v>12</v>
      </c>
      <c r="F765" s="27">
        <v>8.7</v>
      </c>
      <c r="G765" s="27">
        <v>205</v>
      </c>
      <c r="H765" s="27">
        <v>5</v>
      </c>
      <c r="I765" s="35">
        <v>7.5</v>
      </c>
      <c r="J765" s="5">
        <v>5.42</v>
      </c>
    </row>
    <row r="766" spans="4:5">
      <c r="D766" s="28"/>
      <c r="E766" s="28"/>
    </row>
    <row r="767" s="20" customFormat="1" spans="1:11">
      <c r="A767" s="23" t="s">
        <v>585</v>
      </c>
      <c r="B767" s="51" t="s">
        <v>1</v>
      </c>
      <c r="C767" s="52" t="s">
        <v>2</v>
      </c>
      <c r="D767" s="53" t="s">
        <v>3</v>
      </c>
      <c r="E767" s="53" t="s">
        <v>4</v>
      </c>
      <c r="F767" s="54" t="s">
        <v>5</v>
      </c>
      <c r="G767" s="54" t="s">
        <v>6</v>
      </c>
      <c r="H767" s="54" t="s">
        <v>7</v>
      </c>
      <c r="I767" s="55" t="s">
        <v>8</v>
      </c>
      <c r="J767" s="56" t="s">
        <v>9</v>
      </c>
      <c r="K767" s="52" t="s">
        <v>10</v>
      </c>
    </row>
    <row r="768" spans="2:10">
      <c r="B768" s="27">
        <v>312</v>
      </c>
      <c r="C768" s="27">
        <v>12</v>
      </c>
      <c r="D768" s="30" t="s">
        <v>586</v>
      </c>
      <c r="E768" s="28" t="s">
        <v>12</v>
      </c>
      <c r="F768" s="27">
        <v>9</v>
      </c>
      <c r="G768" s="27">
        <v>228</v>
      </c>
      <c r="H768" s="27">
        <v>11</v>
      </c>
      <c r="I768" s="35">
        <v>7.7</v>
      </c>
      <c r="J768" s="5">
        <v>5.18</v>
      </c>
    </row>
    <row r="769" spans="2:10">
      <c r="B769" s="27">
        <v>312</v>
      </c>
      <c r="C769" s="27">
        <v>13</v>
      </c>
      <c r="D769" s="28" t="s">
        <v>587</v>
      </c>
      <c r="E769" s="28" t="s">
        <v>12</v>
      </c>
      <c r="F769" s="27">
        <v>8</v>
      </c>
      <c r="G769" s="27">
        <v>265</v>
      </c>
      <c r="H769" s="27">
        <v>8</v>
      </c>
      <c r="I769" s="35">
        <v>7.3</v>
      </c>
      <c r="J769" s="5">
        <v>5.17</v>
      </c>
    </row>
    <row r="770" spans="2:10">
      <c r="B770" s="27">
        <v>312</v>
      </c>
      <c r="C770" s="27">
        <v>14</v>
      </c>
      <c r="D770" s="28" t="s">
        <v>588</v>
      </c>
      <c r="E770" s="28" t="s">
        <v>12</v>
      </c>
      <c r="F770" s="27">
        <v>13</v>
      </c>
      <c r="G770" s="27">
        <v>210</v>
      </c>
      <c r="H770" s="27">
        <v>5</v>
      </c>
      <c r="I770" s="35">
        <v>8.3</v>
      </c>
      <c r="J770" s="5">
        <v>4.15</v>
      </c>
    </row>
    <row r="771" spans="2:10">
      <c r="B771" s="27">
        <v>312</v>
      </c>
      <c r="C771" s="27">
        <v>15</v>
      </c>
      <c r="D771" s="28" t="s">
        <v>589</v>
      </c>
      <c r="E771" s="28" t="s">
        <v>12</v>
      </c>
      <c r="F771" s="27">
        <v>12</v>
      </c>
      <c r="G771" s="27">
        <v>235</v>
      </c>
      <c r="H771" s="27">
        <v>0</v>
      </c>
      <c r="I771" s="35">
        <v>7.2</v>
      </c>
      <c r="J771" s="5">
        <v>4.11</v>
      </c>
    </row>
    <row r="772" spans="2:10">
      <c r="B772" s="27">
        <v>312</v>
      </c>
      <c r="C772" s="27">
        <v>16</v>
      </c>
      <c r="D772" s="28" t="s">
        <v>590</v>
      </c>
      <c r="E772" s="28" t="s">
        <v>12</v>
      </c>
      <c r="F772" s="27">
        <v>18</v>
      </c>
      <c r="G772" s="27">
        <v>245</v>
      </c>
      <c r="H772" s="27">
        <v>24</v>
      </c>
      <c r="I772" s="35">
        <v>7.2</v>
      </c>
      <c r="J772" s="5">
        <v>3.23</v>
      </c>
    </row>
    <row r="773" spans="2:10">
      <c r="B773" s="27">
        <v>312</v>
      </c>
      <c r="C773" s="27">
        <v>17</v>
      </c>
      <c r="D773" s="28" t="s">
        <v>591</v>
      </c>
      <c r="E773" s="28" t="s">
        <v>12</v>
      </c>
      <c r="F773" s="27">
        <v>3</v>
      </c>
      <c r="G773" s="27">
        <v>190</v>
      </c>
      <c r="H773" s="27">
        <v>10</v>
      </c>
      <c r="I773" s="35">
        <v>7.8</v>
      </c>
      <c r="J773" s="5">
        <v>5.5</v>
      </c>
    </row>
    <row r="774" spans="2:10">
      <c r="B774" s="27">
        <v>312</v>
      </c>
      <c r="C774" s="27">
        <v>18</v>
      </c>
      <c r="D774" s="28" t="s">
        <v>592</v>
      </c>
      <c r="E774" s="28" t="s">
        <v>12</v>
      </c>
      <c r="F774" s="27">
        <v>12</v>
      </c>
      <c r="G774" s="27">
        <v>265</v>
      </c>
      <c r="H774" s="27">
        <v>30</v>
      </c>
      <c r="I774" s="35">
        <v>7.5</v>
      </c>
      <c r="J774" s="5">
        <v>4.46</v>
      </c>
    </row>
    <row r="775" spans="2:10">
      <c r="B775" s="27">
        <v>312</v>
      </c>
      <c r="C775" s="27">
        <v>19</v>
      </c>
      <c r="D775" s="27" t="s">
        <v>593</v>
      </c>
      <c r="E775" s="27" t="s">
        <v>12</v>
      </c>
      <c r="F775" s="27">
        <v>13</v>
      </c>
      <c r="G775" s="27">
        <v>260</v>
      </c>
      <c r="H775" s="27">
        <v>17</v>
      </c>
      <c r="I775" s="35">
        <v>6.9</v>
      </c>
      <c r="J775" s="5">
        <v>4.52</v>
      </c>
    </row>
    <row r="776" spans="2:10">
      <c r="B776" s="27">
        <v>312</v>
      </c>
      <c r="C776" s="27">
        <v>20</v>
      </c>
      <c r="D776" s="28" t="s">
        <v>594</v>
      </c>
      <c r="E776" s="28" t="s">
        <v>12</v>
      </c>
      <c r="F776" s="27">
        <v>27.5</v>
      </c>
      <c r="G776" s="27">
        <v>240</v>
      </c>
      <c r="H776" s="27">
        <v>3</v>
      </c>
      <c r="I776" s="35">
        <v>6.9</v>
      </c>
      <c r="J776" s="5">
        <v>4.47</v>
      </c>
    </row>
    <row r="777" spans="2:10">
      <c r="B777" s="27">
        <v>312</v>
      </c>
      <c r="C777" s="27">
        <v>21</v>
      </c>
      <c r="D777" s="28" t="s">
        <v>595</v>
      </c>
      <c r="E777" s="28" t="s">
        <v>12</v>
      </c>
      <c r="F777" s="27">
        <v>23.5</v>
      </c>
      <c r="G777" s="27">
        <v>254</v>
      </c>
      <c r="H777" s="27">
        <v>26</v>
      </c>
      <c r="I777" s="35">
        <v>6.9</v>
      </c>
      <c r="J777" s="5">
        <v>3.55</v>
      </c>
    </row>
    <row r="778" spans="2:10">
      <c r="B778" s="27">
        <v>312</v>
      </c>
      <c r="C778" s="27">
        <v>22</v>
      </c>
      <c r="D778" s="28" t="s">
        <v>596</v>
      </c>
      <c r="E778" s="28" t="s">
        <v>12</v>
      </c>
      <c r="F778" s="27">
        <v>13</v>
      </c>
      <c r="G778" s="27">
        <v>235</v>
      </c>
      <c r="H778" s="27">
        <v>12</v>
      </c>
      <c r="I778" s="35">
        <v>7.5</v>
      </c>
      <c r="J778" s="5">
        <v>4.48</v>
      </c>
    </row>
    <row r="779" spans="4:5">
      <c r="D779" s="28"/>
      <c r="E779" s="28"/>
    </row>
    <row r="780" spans="4:5">
      <c r="D780" s="28"/>
      <c r="E780" s="28"/>
    </row>
    <row r="781" spans="4:5">
      <c r="D781" s="28"/>
      <c r="E781" s="28"/>
    </row>
    <row r="782" spans="4:5">
      <c r="D782" s="28"/>
      <c r="E782" s="28"/>
    </row>
    <row r="783" spans="4:5">
      <c r="D783" s="28"/>
      <c r="E783" s="28"/>
    </row>
    <row r="784" spans="4:5">
      <c r="D784" s="28"/>
      <c r="E784" s="28"/>
    </row>
    <row r="785" spans="4:5">
      <c r="D785" s="28"/>
      <c r="E785" s="28"/>
    </row>
    <row r="786" spans="4:5">
      <c r="D786" s="28"/>
      <c r="E786" s="28"/>
    </row>
    <row r="788" s="20" customFormat="1" spans="1:11">
      <c r="A788" s="23" t="s">
        <v>597</v>
      </c>
      <c r="B788" s="51" t="s">
        <v>1</v>
      </c>
      <c r="C788" s="52" t="s">
        <v>2</v>
      </c>
      <c r="D788" s="53" t="s">
        <v>3</v>
      </c>
      <c r="E788" s="53" t="s">
        <v>4</v>
      </c>
      <c r="F788" s="54" t="s">
        <v>5</v>
      </c>
      <c r="G788" s="54" t="s">
        <v>6</v>
      </c>
      <c r="H788" s="54" t="s">
        <v>7</v>
      </c>
      <c r="I788" s="55" t="s">
        <v>8</v>
      </c>
      <c r="J788" s="56" t="s">
        <v>9</v>
      </c>
      <c r="K788" s="52" t="s">
        <v>10</v>
      </c>
    </row>
    <row r="789" spans="2:10">
      <c r="B789" s="27">
        <v>312</v>
      </c>
      <c r="C789" s="27">
        <v>23</v>
      </c>
      <c r="D789" s="30" t="s">
        <v>598</v>
      </c>
      <c r="E789" s="28" t="s">
        <v>12</v>
      </c>
      <c r="F789" s="27">
        <v>21</v>
      </c>
      <c r="G789" s="27">
        <v>252</v>
      </c>
      <c r="H789" s="27">
        <v>4</v>
      </c>
      <c r="I789" s="35">
        <v>7.5</v>
      </c>
      <c r="J789" s="5">
        <v>4.26</v>
      </c>
    </row>
    <row r="790" spans="2:10">
      <c r="B790" s="27">
        <v>312</v>
      </c>
      <c r="C790" s="27">
        <v>24</v>
      </c>
      <c r="D790" s="28" t="s">
        <v>599</v>
      </c>
      <c r="E790" s="28" t="s">
        <v>12</v>
      </c>
      <c r="F790" s="27">
        <v>16</v>
      </c>
      <c r="G790" s="27">
        <v>255</v>
      </c>
      <c r="H790" s="27">
        <v>21</v>
      </c>
      <c r="I790" s="35">
        <v>7.1</v>
      </c>
      <c r="J790" s="5">
        <v>4.51</v>
      </c>
    </row>
    <row r="791" spans="2:10">
      <c r="B791" s="27">
        <v>312</v>
      </c>
      <c r="C791" s="27">
        <v>25</v>
      </c>
      <c r="D791" s="28" t="s">
        <v>600</v>
      </c>
      <c r="E791" s="28" t="s">
        <v>12</v>
      </c>
      <c r="F791" s="27">
        <v>21.5</v>
      </c>
      <c r="G791" s="27">
        <v>260</v>
      </c>
      <c r="H791" s="27">
        <v>4</v>
      </c>
      <c r="I791" s="35">
        <v>7.1</v>
      </c>
      <c r="J791" s="5">
        <v>4.47</v>
      </c>
    </row>
    <row r="792" spans="2:10">
      <c r="B792" s="27">
        <v>312</v>
      </c>
      <c r="C792" s="27">
        <v>26</v>
      </c>
      <c r="D792" s="28" t="s">
        <v>601</v>
      </c>
      <c r="E792" s="28" t="s">
        <v>12</v>
      </c>
      <c r="F792" s="27">
        <v>24</v>
      </c>
      <c r="G792" s="27">
        <v>245</v>
      </c>
      <c r="H792" s="27">
        <v>16</v>
      </c>
      <c r="I792" s="35">
        <v>7.6</v>
      </c>
      <c r="J792" s="5">
        <v>4.29</v>
      </c>
    </row>
    <row r="793" spans="2:10">
      <c r="B793" s="27">
        <v>312</v>
      </c>
      <c r="C793" s="27">
        <v>27</v>
      </c>
      <c r="D793" s="28" t="s">
        <v>602</v>
      </c>
      <c r="E793" s="28" t="s">
        <v>12</v>
      </c>
      <c r="F793" s="27">
        <v>6</v>
      </c>
      <c r="G793" s="27">
        <v>235</v>
      </c>
      <c r="H793" s="27">
        <v>18</v>
      </c>
      <c r="I793" s="35">
        <v>7.6</v>
      </c>
      <c r="J793" s="5">
        <v>3.52</v>
      </c>
    </row>
    <row r="794" spans="2:10">
      <c r="B794" s="27">
        <v>312</v>
      </c>
      <c r="C794" s="27">
        <v>28</v>
      </c>
      <c r="D794" s="28" t="s">
        <v>603</v>
      </c>
      <c r="E794" s="28" t="s">
        <v>12</v>
      </c>
      <c r="F794" s="27">
        <v>15</v>
      </c>
      <c r="G794" s="27">
        <v>230</v>
      </c>
      <c r="H794" s="27">
        <v>0</v>
      </c>
      <c r="I794" s="35">
        <v>7.5</v>
      </c>
      <c r="J794" s="5">
        <v>3.5</v>
      </c>
    </row>
    <row r="795" spans="2:11">
      <c r="B795" s="27">
        <v>312</v>
      </c>
      <c r="C795" s="27">
        <v>30</v>
      </c>
      <c r="D795" s="27" t="s">
        <v>604</v>
      </c>
      <c r="E795" s="27" t="s">
        <v>12</v>
      </c>
      <c r="K795" s="27">
        <v>50</v>
      </c>
    </row>
    <row r="796" spans="2:11">
      <c r="B796" s="27">
        <v>312</v>
      </c>
      <c r="C796" s="27">
        <v>31</v>
      </c>
      <c r="D796" s="28" t="s">
        <v>605</v>
      </c>
      <c r="E796" s="28" t="s">
        <v>12</v>
      </c>
      <c r="K796" s="27">
        <v>50</v>
      </c>
    </row>
    <row r="797" spans="2:10">
      <c r="B797" s="27">
        <v>312</v>
      </c>
      <c r="C797" s="27">
        <v>32</v>
      </c>
      <c r="D797" s="28" t="s">
        <v>606</v>
      </c>
      <c r="E797" s="28" t="s">
        <v>12</v>
      </c>
      <c r="F797" s="27">
        <v>25</v>
      </c>
      <c r="G797" s="27">
        <v>225</v>
      </c>
      <c r="H797" s="27">
        <v>2</v>
      </c>
      <c r="I797" s="35">
        <v>7.8</v>
      </c>
      <c r="J797" s="5">
        <v>4.53</v>
      </c>
    </row>
    <row r="798" spans="2:11">
      <c r="B798" s="27">
        <v>312</v>
      </c>
      <c r="C798" s="27">
        <v>33</v>
      </c>
      <c r="D798" s="28" t="s">
        <v>607</v>
      </c>
      <c r="E798" s="28" t="s">
        <v>12</v>
      </c>
      <c r="K798" s="27">
        <v>50</v>
      </c>
    </row>
    <row r="799" spans="4:5">
      <c r="D799" s="28"/>
      <c r="E799" s="28"/>
    </row>
    <row r="801" s="20" customFormat="1" spans="1:11">
      <c r="A801" s="23" t="s">
        <v>608</v>
      </c>
      <c r="B801" s="51" t="s">
        <v>1</v>
      </c>
      <c r="C801" s="52" t="s">
        <v>2</v>
      </c>
      <c r="D801" s="53" t="s">
        <v>3</v>
      </c>
      <c r="E801" s="53" t="s">
        <v>4</v>
      </c>
      <c r="F801" s="54" t="s">
        <v>5</v>
      </c>
      <c r="G801" s="54" t="s">
        <v>6</v>
      </c>
      <c r="H801" s="54" t="s">
        <v>7</v>
      </c>
      <c r="I801" s="55" t="s">
        <v>8</v>
      </c>
      <c r="J801" s="56" t="s">
        <v>9</v>
      </c>
      <c r="K801" s="52" t="s">
        <v>10</v>
      </c>
    </row>
    <row r="802" spans="2:10">
      <c r="B802" s="27">
        <v>312</v>
      </c>
      <c r="C802" s="27">
        <v>34</v>
      </c>
      <c r="D802" s="30" t="s">
        <v>609</v>
      </c>
      <c r="E802" s="28" t="s">
        <v>46</v>
      </c>
      <c r="F802" s="27">
        <v>7</v>
      </c>
      <c r="G802" s="27">
        <v>160</v>
      </c>
      <c r="H802" s="27">
        <v>34</v>
      </c>
      <c r="I802" s="35">
        <v>8.7</v>
      </c>
      <c r="J802" s="5">
        <v>3.17</v>
      </c>
    </row>
    <row r="803" spans="2:10">
      <c r="B803" s="27">
        <v>312</v>
      </c>
      <c r="C803" s="27">
        <v>35</v>
      </c>
      <c r="D803" s="28" t="s">
        <v>610</v>
      </c>
      <c r="E803" s="28" t="s">
        <v>46</v>
      </c>
      <c r="F803" s="27">
        <v>18.5</v>
      </c>
      <c r="G803" s="27">
        <v>170</v>
      </c>
      <c r="H803" s="27">
        <v>46</v>
      </c>
      <c r="I803" s="35">
        <v>9.7</v>
      </c>
      <c r="J803" s="5">
        <v>5.02</v>
      </c>
    </row>
    <row r="804" spans="2:10">
      <c r="B804" s="27">
        <v>312</v>
      </c>
      <c r="C804" s="27">
        <v>36</v>
      </c>
      <c r="D804" s="28" t="s">
        <v>611</v>
      </c>
      <c r="E804" s="28" t="s">
        <v>46</v>
      </c>
      <c r="F804" s="27">
        <v>22</v>
      </c>
      <c r="G804" s="27">
        <v>180</v>
      </c>
      <c r="H804" s="27">
        <v>47</v>
      </c>
      <c r="I804" s="35">
        <v>9.4</v>
      </c>
      <c r="J804" s="5">
        <v>4.25</v>
      </c>
    </row>
    <row r="805" spans="2:10">
      <c r="B805" s="27">
        <v>312</v>
      </c>
      <c r="C805" s="27">
        <v>37</v>
      </c>
      <c r="D805" s="28" t="s">
        <v>612</v>
      </c>
      <c r="E805" s="28" t="s">
        <v>46</v>
      </c>
      <c r="F805" s="27">
        <v>15.5</v>
      </c>
      <c r="G805" s="27">
        <v>178</v>
      </c>
      <c r="H805" s="27">
        <v>40</v>
      </c>
      <c r="I805" s="35">
        <v>9.9</v>
      </c>
      <c r="J805" s="5">
        <v>5.13</v>
      </c>
    </row>
    <row r="806" spans="2:10">
      <c r="B806" s="27">
        <v>312</v>
      </c>
      <c r="C806" s="27">
        <v>38</v>
      </c>
      <c r="D806" s="28" t="s">
        <v>613</v>
      </c>
      <c r="E806" s="28" t="s">
        <v>46</v>
      </c>
      <c r="F806" s="27">
        <v>8.5</v>
      </c>
      <c r="G806" s="27">
        <v>173</v>
      </c>
      <c r="H806" s="27">
        <v>42</v>
      </c>
      <c r="I806" s="35">
        <v>9.4</v>
      </c>
      <c r="J806" s="5">
        <v>4.23</v>
      </c>
    </row>
    <row r="807" spans="2:10">
      <c r="B807" s="27">
        <v>312</v>
      </c>
      <c r="C807" s="27">
        <v>39</v>
      </c>
      <c r="D807" s="28" t="s">
        <v>614</v>
      </c>
      <c r="E807" s="28" t="s">
        <v>46</v>
      </c>
      <c r="F807" s="27">
        <v>9.7</v>
      </c>
      <c r="G807" s="27">
        <v>182</v>
      </c>
      <c r="H807" s="27">
        <v>45</v>
      </c>
      <c r="I807" s="35">
        <v>9.2</v>
      </c>
      <c r="J807" s="5">
        <v>5.01</v>
      </c>
    </row>
    <row r="808" spans="2:10">
      <c r="B808" s="27">
        <v>312</v>
      </c>
      <c r="C808" s="27">
        <v>40</v>
      </c>
      <c r="D808" s="28" t="s">
        <v>615</v>
      </c>
      <c r="E808" s="28" t="s">
        <v>46</v>
      </c>
      <c r="F808" s="27">
        <v>24</v>
      </c>
      <c r="G808" s="27">
        <v>165</v>
      </c>
      <c r="H808" s="27">
        <v>37</v>
      </c>
      <c r="I808" s="35">
        <v>8.6</v>
      </c>
      <c r="J808" s="5">
        <v>4.35</v>
      </c>
    </row>
    <row r="809" spans="2:10">
      <c r="B809" s="27">
        <v>312</v>
      </c>
      <c r="C809" s="27">
        <v>41</v>
      </c>
      <c r="D809" s="28" t="s">
        <v>616</v>
      </c>
      <c r="E809" s="28" t="s">
        <v>46</v>
      </c>
      <c r="F809" s="27">
        <v>8.5</v>
      </c>
      <c r="G809" s="27">
        <v>180</v>
      </c>
      <c r="H809" s="27">
        <v>30</v>
      </c>
      <c r="I809" s="35">
        <v>8.4</v>
      </c>
      <c r="J809" s="5">
        <v>5</v>
      </c>
    </row>
    <row r="810" spans="4:5">
      <c r="D810" s="28"/>
      <c r="E810" s="28"/>
    </row>
    <row r="811" spans="4:5">
      <c r="D811" s="28"/>
      <c r="E811" s="28"/>
    </row>
    <row r="813" s="20" customFormat="1" spans="1:11">
      <c r="A813" s="23" t="s">
        <v>617</v>
      </c>
      <c r="B813" s="51" t="s">
        <v>1</v>
      </c>
      <c r="C813" s="52" t="s">
        <v>2</v>
      </c>
      <c r="D813" s="53" t="s">
        <v>3</v>
      </c>
      <c r="E813" s="53" t="s">
        <v>4</v>
      </c>
      <c r="F813" s="54" t="s">
        <v>5</v>
      </c>
      <c r="G813" s="54" t="s">
        <v>6</v>
      </c>
      <c r="H813" s="54" t="s">
        <v>7</v>
      </c>
      <c r="I813" s="55" t="s">
        <v>8</v>
      </c>
      <c r="J813" s="56" t="s">
        <v>9</v>
      </c>
      <c r="K813" s="52" t="s">
        <v>10</v>
      </c>
    </row>
    <row r="814" spans="2:10">
      <c r="B814" s="27">
        <v>312</v>
      </c>
      <c r="C814" s="27">
        <v>42</v>
      </c>
      <c r="D814" s="30" t="s">
        <v>618</v>
      </c>
      <c r="E814" s="28" t="s">
        <v>46</v>
      </c>
      <c r="F814" s="27">
        <v>24</v>
      </c>
      <c r="G814" s="27">
        <v>147</v>
      </c>
      <c r="H814" s="27">
        <v>38</v>
      </c>
      <c r="I814" s="35">
        <v>9.5</v>
      </c>
      <c r="J814" s="5">
        <v>5.05</v>
      </c>
    </row>
    <row r="815" spans="2:10">
      <c r="B815" s="27">
        <v>312</v>
      </c>
      <c r="C815" s="27">
        <v>43</v>
      </c>
      <c r="D815" s="28" t="s">
        <v>619</v>
      </c>
      <c r="E815" s="28" t="s">
        <v>46</v>
      </c>
      <c r="F815" s="27">
        <v>17</v>
      </c>
      <c r="G815" s="27">
        <v>170</v>
      </c>
      <c r="H815" s="27">
        <v>42</v>
      </c>
      <c r="I815" s="35">
        <v>9.1</v>
      </c>
      <c r="J815" s="5">
        <v>4.03</v>
      </c>
    </row>
    <row r="816" spans="2:10">
      <c r="B816" s="27">
        <v>312</v>
      </c>
      <c r="C816" s="27">
        <v>44</v>
      </c>
      <c r="D816" s="28" t="s">
        <v>620</v>
      </c>
      <c r="E816" s="28" t="s">
        <v>46</v>
      </c>
      <c r="F816" s="27">
        <v>21</v>
      </c>
      <c r="G816" s="27">
        <v>167</v>
      </c>
      <c r="H816" s="27">
        <v>53</v>
      </c>
      <c r="I816" s="35">
        <v>8.6</v>
      </c>
      <c r="J816" s="5">
        <v>4.12</v>
      </c>
    </row>
    <row r="817" spans="2:10">
      <c r="B817" s="27">
        <v>312</v>
      </c>
      <c r="C817" s="27">
        <v>45</v>
      </c>
      <c r="D817" s="28" t="s">
        <v>621</v>
      </c>
      <c r="E817" s="28" t="s">
        <v>46</v>
      </c>
      <c r="F817" s="27">
        <v>22</v>
      </c>
      <c r="G817" s="27">
        <v>125</v>
      </c>
      <c r="H817" s="27">
        <v>32</v>
      </c>
      <c r="I817" s="35">
        <v>11.1</v>
      </c>
      <c r="J817" s="5">
        <v>5.12</v>
      </c>
    </row>
    <row r="818" spans="2:10">
      <c r="B818" s="27">
        <v>312</v>
      </c>
      <c r="C818" s="27">
        <v>46</v>
      </c>
      <c r="D818" s="28" t="s">
        <v>622</v>
      </c>
      <c r="E818" s="28" t="s">
        <v>46</v>
      </c>
      <c r="F818" s="27">
        <v>20</v>
      </c>
      <c r="G818" s="27">
        <v>155</v>
      </c>
      <c r="H818" s="27">
        <v>56</v>
      </c>
      <c r="I818" s="35">
        <v>9.9</v>
      </c>
      <c r="J818" s="5">
        <v>4.02</v>
      </c>
    </row>
    <row r="819" spans="2:11">
      <c r="B819" s="27">
        <v>312</v>
      </c>
      <c r="C819" s="27">
        <v>47</v>
      </c>
      <c r="D819" s="28" t="s">
        <v>623</v>
      </c>
      <c r="E819" s="28" t="s">
        <v>46</v>
      </c>
      <c r="F819" s="27">
        <v>5</v>
      </c>
      <c r="G819" s="27">
        <v>146</v>
      </c>
      <c r="H819" s="27">
        <v>31</v>
      </c>
      <c r="I819" s="35">
        <v>10.6</v>
      </c>
      <c r="K819" s="27">
        <v>50</v>
      </c>
    </row>
    <row r="820" spans="2:10">
      <c r="B820" s="27">
        <v>312</v>
      </c>
      <c r="C820" s="27">
        <v>48</v>
      </c>
      <c r="D820" s="28" t="s">
        <v>624</v>
      </c>
      <c r="E820" s="28" t="s">
        <v>46</v>
      </c>
      <c r="F820" s="27">
        <v>25</v>
      </c>
      <c r="G820" s="27">
        <v>165</v>
      </c>
      <c r="H820" s="27">
        <v>51</v>
      </c>
      <c r="I820" s="35">
        <v>10.6</v>
      </c>
      <c r="J820" s="5">
        <v>5.11</v>
      </c>
    </row>
    <row r="821" spans="2:11">
      <c r="B821" s="27">
        <v>312</v>
      </c>
      <c r="C821" s="27">
        <v>49</v>
      </c>
      <c r="D821" s="28" t="s">
        <v>625</v>
      </c>
      <c r="E821" s="28" t="s">
        <v>46</v>
      </c>
      <c r="K821" s="27">
        <v>50</v>
      </c>
    </row>
    <row r="826" s="20" customFormat="1" spans="1:11">
      <c r="A826" s="23" t="s">
        <v>626</v>
      </c>
      <c r="B826" s="51" t="s">
        <v>1</v>
      </c>
      <c r="C826" s="52" t="s">
        <v>2</v>
      </c>
      <c r="D826" s="53" t="s">
        <v>3</v>
      </c>
      <c r="E826" s="53" t="s">
        <v>4</v>
      </c>
      <c r="F826" s="54" t="s">
        <v>5</v>
      </c>
      <c r="G826" s="54" t="s">
        <v>6</v>
      </c>
      <c r="H826" s="54" t="s">
        <v>7</v>
      </c>
      <c r="I826" s="55" t="s">
        <v>8</v>
      </c>
      <c r="J826" s="56" t="s">
        <v>9</v>
      </c>
      <c r="K826" s="52" t="s">
        <v>10</v>
      </c>
    </row>
    <row r="827" spans="2:10">
      <c r="B827" s="27">
        <v>313</v>
      </c>
      <c r="C827" s="27">
        <v>1</v>
      </c>
      <c r="D827" s="30" t="s">
        <v>627</v>
      </c>
      <c r="E827" s="28" t="s">
        <v>12</v>
      </c>
      <c r="F827" s="27">
        <v>15.5</v>
      </c>
      <c r="G827" s="27">
        <v>220</v>
      </c>
      <c r="H827" s="27">
        <v>0</v>
      </c>
      <c r="I827" s="35">
        <v>7.7</v>
      </c>
      <c r="J827" s="5">
        <v>5.09</v>
      </c>
    </row>
    <row r="828" spans="2:11">
      <c r="B828" s="27">
        <v>313</v>
      </c>
      <c r="C828" s="27">
        <v>2</v>
      </c>
      <c r="D828" s="28" t="s">
        <v>628</v>
      </c>
      <c r="E828" s="28" t="s">
        <v>12</v>
      </c>
      <c r="K828" s="27">
        <v>50</v>
      </c>
    </row>
    <row r="829" spans="2:11">
      <c r="B829" s="27">
        <v>313</v>
      </c>
      <c r="C829" s="27">
        <v>3</v>
      </c>
      <c r="D829" s="28" t="s">
        <v>629</v>
      </c>
      <c r="E829" s="28" t="s">
        <v>12</v>
      </c>
      <c r="K829" s="27">
        <v>50</v>
      </c>
    </row>
    <row r="830" spans="2:10">
      <c r="B830" s="27">
        <v>313</v>
      </c>
      <c r="C830" s="27">
        <v>4</v>
      </c>
      <c r="D830" s="28" t="s">
        <v>630</v>
      </c>
      <c r="E830" s="28" t="s">
        <v>12</v>
      </c>
      <c r="F830" s="27">
        <v>20</v>
      </c>
      <c r="G830" s="27">
        <v>240</v>
      </c>
      <c r="H830" s="27">
        <v>1</v>
      </c>
      <c r="I830" s="35">
        <v>7.1</v>
      </c>
      <c r="J830" s="5">
        <v>5.09</v>
      </c>
    </row>
    <row r="831" spans="2:10">
      <c r="B831" s="27">
        <v>313</v>
      </c>
      <c r="C831" s="27">
        <v>5</v>
      </c>
      <c r="D831" s="28" t="s">
        <v>631</v>
      </c>
      <c r="E831" s="28" t="s">
        <v>12</v>
      </c>
      <c r="F831" s="27">
        <v>20.5</v>
      </c>
      <c r="G831" s="27">
        <v>284</v>
      </c>
      <c r="H831" s="27">
        <v>47</v>
      </c>
      <c r="I831" s="35">
        <v>6.8</v>
      </c>
      <c r="J831" s="5">
        <v>3.33</v>
      </c>
    </row>
    <row r="832" spans="2:10">
      <c r="B832" s="27">
        <v>313</v>
      </c>
      <c r="C832" s="27">
        <v>6</v>
      </c>
      <c r="D832" s="28" t="s">
        <v>632</v>
      </c>
      <c r="E832" s="28" t="s">
        <v>12</v>
      </c>
      <c r="F832" s="27">
        <v>9.5</v>
      </c>
      <c r="G832" s="27">
        <v>245</v>
      </c>
      <c r="H832" s="27">
        <v>19</v>
      </c>
      <c r="I832" s="35">
        <v>7.6</v>
      </c>
      <c r="J832" s="5">
        <v>5.09</v>
      </c>
    </row>
    <row r="833" spans="2:10">
      <c r="B833" s="27">
        <v>313</v>
      </c>
      <c r="C833" s="27">
        <v>7</v>
      </c>
      <c r="D833" s="28" t="s">
        <v>633</v>
      </c>
      <c r="E833" s="28" t="s">
        <v>12</v>
      </c>
      <c r="F833" s="27">
        <v>16.5</v>
      </c>
      <c r="G833" s="27">
        <v>260</v>
      </c>
      <c r="H833" s="27">
        <v>16</v>
      </c>
      <c r="I833" s="35">
        <v>6.6</v>
      </c>
      <c r="J833" s="5">
        <v>5.09</v>
      </c>
    </row>
    <row r="834" spans="2:10">
      <c r="B834" s="27">
        <v>313</v>
      </c>
      <c r="C834" s="27">
        <v>8</v>
      </c>
      <c r="D834" s="28" t="s">
        <v>634</v>
      </c>
      <c r="E834" s="28" t="s">
        <v>12</v>
      </c>
      <c r="F834" s="27">
        <v>23</v>
      </c>
      <c r="G834" s="27">
        <v>240</v>
      </c>
      <c r="H834" s="27">
        <v>15</v>
      </c>
      <c r="I834" s="35">
        <v>6.8</v>
      </c>
      <c r="J834" s="5">
        <v>3.33</v>
      </c>
    </row>
    <row r="835" s="20" customFormat="1" spans="1:11">
      <c r="A835" s="23" t="s">
        <v>635</v>
      </c>
      <c r="B835" s="51" t="s">
        <v>1</v>
      </c>
      <c r="C835" s="52" t="s">
        <v>2</v>
      </c>
      <c r="D835" s="53" t="s">
        <v>3</v>
      </c>
      <c r="E835" s="53" t="s">
        <v>4</v>
      </c>
      <c r="F835" s="54" t="s">
        <v>5</v>
      </c>
      <c r="G835" s="54" t="s">
        <v>6</v>
      </c>
      <c r="H835" s="54" t="s">
        <v>7</v>
      </c>
      <c r="I835" s="55" t="s">
        <v>8</v>
      </c>
      <c r="J835" s="56" t="s">
        <v>9</v>
      </c>
      <c r="K835" s="52" t="s">
        <v>10</v>
      </c>
    </row>
    <row r="836" spans="2:10">
      <c r="B836" s="27">
        <v>313</v>
      </c>
      <c r="C836" s="27">
        <v>9</v>
      </c>
      <c r="D836" s="30" t="s">
        <v>636</v>
      </c>
      <c r="E836" s="28" t="s">
        <v>12</v>
      </c>
      <c r="F836" s="27">
        <v>7.5</v>
      </c>
      <c r="G836" s="27">
        <v>214</v>
      </c>
      <c r="H836" s="27">
        <v>10</v>
      </c>
      <c r="I836" s="35">
        <v>7.3</v>
      </c>
      <c r="J836" s="5">
        <v>5.09</v>
      </c>
    </row>
    <row r="837" spans="2:10">
      <c r="B837" s="27">
        <v>313</v>
      </c>
      <c r="C837" s="27">
        <v>10</v>
      </c>
      <c r="D837" s="28" t="s">
        <v>637</v>
      </c>
      <c r="E837" s="28" t="s">
        <v>12</v>
      </c>
      <c r="F837" s="27">
        <v>12</v>
      </c>
      <c r="G837" s="27">
        <v>257</v>
      </c>
      <c r="H837" s="27">
        <v>18</v>
      </c>
      <c r="I837" s="35">
        <v>6.9</v>
      </c>
      <c r="J837" s="5">
        <v>5.09</v>
      </c>
    </row>
    <row r="838" spans="2:10">
      <c r="B838" s="27">
        <v>313</v>
      </c>
      <c r="C838" s="27">
        <v>11</v>
      </c>
      <c r="D838" s="28" t="s">
        <v>638</v>
      </c>
      <c r="E838" s="28" t="s">
        <v>12</v>
      </c>
      <c r="F838" s="27">
        <v>11</v>
      </c>
      <c r="G838" s="27">
        <v>260</v>
      </c>
      <c r="H838" s="27">
        <v>10</v>
      </c>
      <c r="I838" s="35">
        <v>7.1</v>
      </c>
      <c r="J838" s="5">
        <v>5.09</v>
      </c>
    </row>
    <row r="839" spans="2:10">
      <c r="B839" s="27">
        <v>313</v>
      </c>
      <c r="C839" s="27">
        <v>12</v>
      </c>
      <c r="D839" s="28" t="s">
        <v>639</v>
      </c>
      <c r="E839" s="28" t="s">
        <v>12</v>
      </c>
      <c r="F839" s="27">
        <v>19.7</v>
      </c>
      <c r="G839" s="27">
        <v>205</v>
      </c>
      <c r="H839" s="27">
        <v>0</v>
      </c>
      <c r="I839" s="35">
        <v>8.2</v>
      </c>
      <c r="J839" s="5">
        <v>4.05</v>
      </c>
    </row>
    <row r="840" spans="2:10">
      <c r="B840" s="27">
        <v>313</v>
      </c>
      <c r="C840" s="27">
        <v>13</v>
      </c>
      <c r="D840" s="28" t="s">
        <v>640</v>
      </c>
      <c r="E840" s="28" t="s">
        <v>12</v>
      </c>
      <c r="F840" s="27">
        <v>18</v>
      </c>
      <c r="G840" s="27">
        <v>204</v>
      </c>
      <c r="H840" s="27">
        <v>0</v>
      </c>
      <c r="I840" s="35">
        <v>8.2</v>
      </c>
      <c r="J840" s="5">
        <v>5.09</v>
      </c>
    </row>
    <row r="841" spans="2:10">
      <c r="B841" s="27">
        <v>313</v>
      </c>
      <c r="C841" s="27">
        <v>14</v>
      </c>
      <c r="D841" s="28" t="s">
        <v>641</v>
      </c>
      <c r="E841" s="28" t="s">
        <v>12</v>
      </c>
      <c r="F841" s="27">
        <v>22.3</v>
      </c>
      <c r="G841" s="27">
        <v>230</v>
      </c>
      <c r="H841" s="27">
        <v>0</v>
      </c>
      <c r="I841" s="35">
        <v>7.8</v>
      </c>
      <c r="J841" s="5">
        <v>3.51</v>
      </c>
    </row>
    <row r="842" spans="2:10">
      <c r="B842" s="27">
        <v>313</v>
      </c>
      <c r="C842" s="27">
        <v>15</v>
      </c>
      <c r="D842" s="28" t="s">
        <v>642</v>
      </c>
      <c r="E842" s="28" t="s">
        <v>12</v>
      </c>
      <c r="F842" s="27">
        <v>17</v>
      </c>
      <c r="G842" s="27">
        <v>239</v>
      </c>
      <c r="H842" s="27">
        <v>4</v>
      </c>
      <c r="I842" s="35">
        <v>7.5</v>
      </c>
      <c r="J842" s="5">
        <v>5.09</v>
      </c>
    </row>
    <row r="843" spans="2:10">
      <c r="B843" s="27">
        <v>313</v>
      </c>
      <c r="C843" s="27">
        <v>16</v>
      </c>
      <c r="D843" s="28" t="s">
        <v>643</v>
      </c>
      <c r="E843" s="28" t="s">
        <v>12</v>
      </c>
      <c r="F843" s="27">
        <v>13</v>
      </c>
      <c r="G843" s="27">
        <v>254</v>
      </c>
      <c r="H843" s="27">
        <v>18</v>
      </c>
      <c r="I843" s="35">
        <v>6.9</v>
      </c>
      <c r="J843" s="5">
        <v>5.09</v>
      </c>
    </row>
    <row r="845" s="20" customFormat="1" spans="1:11">
      <c r="A845" s="23" t="s">
        <v>644</v>
      </c>
      <c r="B845" s="51" t="s">
        <v>1</v>
      </c>
      <c r="C845" s="52" t="s">
        <v>2</v>
      </c>
      <c r="D845" s="53" t="s">
        <v>3</v>
      </c>
      <c r="E845" s="53" t="s">
        <v>4</v>
      </c>
      <c r="F845" s="54" t="s">
        <v>5</v>
      </c>
      <c r="G845" s="54" t="s">
        <v>6</v>
      </c>
      <c r="H845" s="54" t="s">
        <v>7</v>
      </c>
      <c r="I845" s="55" t="s">
        <v>8</v>
      </c>
      <c r="J845" s="56" t="s">
        <v>9</v>
      </c>
      <c r="K845" s="52" t="s">
        <v>10</v>
      </c>
    </row>
    <row r="846" spans="2:10">
      <c r="B846" s="27">
        <v>313</v>
      </c>
      <c r="C846" s="27">
        <v>17</v>
      </c>
      <c r="D846" s="30" t="s">
        <v>645</v>
      </c>
      <c r="E846" s="28" t="s">
        <v>46</v>
      </c>
      <c r="F846" s="27">
        <v>21.7</v>
      </c>
      <c r="G846" s="27">
        <v>185</v>
      </c>
      <c r="H846" s="27">
        <v>47</v>
      </c>
      <c r="I846" s="35">
        <v>8.3</v>
      </c>
      <c r="J846" s="5">
        <v>3.18</v>
      </c>
    </row>
    <row r="847" spans="2:10">
      <c r="B847" s="27">
        <v>313</v>
      </c>
      <c r="C847" s="27">
        <v>18</v>
      </c>
      <c r="D847" s="28" t="s">
        <v>646</v>
      </c>
      <c r="E847" s="28" t="s">
        <v>46</v>
      </c>
      <c r="F847" s="27">
        <v>27</v>
      </c>
      <c r="G847" s="27">
        <v>188</v>
      </c>
      <c r="H847" s="27">
        <v>50</v>
      </c>
      <c r="I847" s="35">
        <v>9.1</v>
      </c>
      <c r="J847" s="5">
        <v>4.18</v>
      </c>
    </row>
    <row r="848" spans="2:11">
      <c r="B848" s="27">
        <v>313</v>
      </c>
      <c r="C848" s="27">
        <v>19</v>
      </c>
      <c r="D848" s="28" t="s">
        <v>647</v>
      </c>
      <c r="E848" s="28" t="s">
        <v>46</v>
      </c>
      <c r="K848" s="27">
        <v>50</v>
      </c>
    </row>
    <row r="849" spans="2:11">
      <c r="B849" s="27">
        <v>313</v>
      </c>
      <c r="C849" s="27">
        <v>20</v>
      </c>
      <c r="D849" s="28" t="s">
        <v>648</v>
      </c>
      <c r="E849" s="28" t="s">
        <v>46</v>
      </c>
      <c r="K849" s="27">
        <v>50</v>
      </c>
    </row>
    <row r="850" spans="2:10">
      <c r="B850" s="27">
        <v>313</v>
      </c>
      <c r="C850" s="27">
        <v>21</v>
      </c>
      <c r="D850" s="28" t="s">
        <v>649</v>
      </c>
      <c r="E850" s="28" t="s">
        <v>46</v>
      </c>
      <c r="F850" s="27">
        <v>18.5</v>
      </c>
      <c r="G850" s="27">
        <v>175</v>
      </c>
      <c r="H850" s="27">
        <v>44</v>
      </c>
      <c r="I850" s="35">
        <v>8.7</v>
      </c>
      <c r="J850" s="5">
        <v>3.47</v>
      </c>
    </row>
    <row r="851" spans="2:10">
      <c r="B851" s="27">
        <v>313</v>
      </c>
      <c r="C851" s="27">
        <v>22</v>
      </c>
      <c r="D851" s="28" t="s">
        <v>650</v>
      </c>
      <c r="E851" s="28" t="s">
        <v>46</v>
      </c>
      <c r="F851" s="27">
        <v>15.1</v>
      </c>
      <c r="G851" s="27">
        <v>169</v>
      </c>
      <c r="H851" s="27">
        <v>48</v>
      </c>
      <c r="I851" s="35">
        <v>8.7</v>
      </c>
      <c r="J851" s="5">
        <v>3.51</v>
      </c>
    </row>
    <row r="852" spans="2:10">
      <c r="B852" s="27">
        <v>313</v>
      </c>
      <c r="C852" s="27">
        <v>23</v>
      </c>
      <c r="D852" s="28" t="s">
        <v>651</v>
      </c>
      <c r="E852" s="28" t="s">
        <v>46</v>
      </c>
      <c r="F852" s="27">
        <v>13.4</v>
      </c>
      <c r="G852" s="27">
        <v>175</v>
      </c>
      <c r="H852" s="27">
        <v>57</v>
      </c>
      <c r="I852" s="35">
        <v>8.9</v>
      </c>
      <c r="J852" s="5">
        <v>4.17</v>
      </c>
    </row>
    <row r="853" spans="2:10">
      <c r="B853" s="27">
        <v>313</v>
      </c>
      <c r="C853" s="27">
        <v>24</v>
      </c>
      <c r="D853" s="28" t="s">
        <v>652</v>
      </c>
      <c r="E853" s="28" t="s">
        <v>46</v>
      </c>
      <c r="F853" s="27">
        <v>24</v>
      </c>
      <c r="G853" s="27">
        <v>180</v>
      </c>
      <c r="H853" s="27">
        <v>42</v>
      </c>
      <c r="I853" s="35">
        <v>9.2</v>
      </c>
      <c r="J853" s="5">
        <v>4.3</v>
      </c>
    </row>
    <row r="854" spans="2:10">
      <c r="B854" s="27">
        <v>313</v>
      </c>
      <c r="C854" s="27">
        <v>25</v>
      </c>
      <c r="D854" s="28" t="s">
        <v>653</v>
      </c>
      <c r="E854" s="28" t="s">
        <v>46</v>
      </c>
      <c r="F854" s="27">
        <v>10</v>
      </c>
      <c r="G854" s="27">
        <v>150</v>
      </c>
      <c r="H854" s="27">
        <v>30</v>
      </c>
      <c r="I854" s="35">
        <v>9.3</v>
      </c>
      <c r="J854" s="5">
        <v>4.38</v>
      </c>
    </row>
    <row r="855" spans="2:10">
      <c r="B855" s="27">
        <v>313</v>
      </c>
      <c r="C855" s="27">
        <v>26</v>
      </c>
      <c r="D855" s="28" t="s">
        <v>654</v>
      </c>
      <c r="E855" s="28" t="s">
        <v>46</v>
      </c>
      <c r="F855" s="27">
        <v>4.2</v>
      </c>
      <c r="G855" s="27">
        <v>148</v>
      </c>
      <c r="H855" s="27">
        <v>35</v>
      </c>
      <c r="I855" s="35">
        <v>9.1</v>
      </c>
      <c r="J855" s="5">
        <v>4.29</v>
      </c>
    </row>
    <row r="856" spans="2:10">
      <c r="B856" s="27">
        <v>313</v>
      </c>
      <c r="C856" s="27">
        <v>27</v>
      </c>
      <c r="D856" s="28" t="s">
        <v>655</v>
      </c>
      <c r="E856" s="28" t="s">
        <v>46</v>
      </c>
      <c r="F856" s="27">
        <v>21.4</v>
      </c>
      <c r="G856" s="27">
        <v>235</v>
      </c>
      <c r="H856" s="27">
        <v>57</v>
      </c>
      <c r="I856" s="35">
        <v>7.7</v>
      </c>
      <c r="J856" s="5">
        <v>3.07</v>
      </c>
    </row>
    <row r="858" s="20" customFormat="1" spans="1:11">
      <c r="A858" s="23" t="s">
        <v>656</v>
      </c>
      <c r="B858" s="51" t="s">
        <v>1</v>
      </c>
      <c r="C858" s="52" t="s">
        <v>2</v>
      </c>
      <c r="D858" s="53" t="s">
        <v>3</v>
      </c>
      <c r="E858" s="53" t="s">
        <v>4</v>
      </c>
      <c r="F858" s="54" t="s">
        <v>5</v>
      </c>
      <c r="G858" s="54" t="s">
        <v>6</v>
      </c>
      <c r="H858" s="54" t="s">
        <v>7</v>
      </c>
      <c r="I858" s="55" t="s">
        <v>8</v>
      </c>
      <c r="J858" s="56" t="s">
        <v>9</v>
      </c>
      <c r="K858" s="52" t="s">
        <v>10</v>
      </c>
    </row>
    <row r="859" spans="2:10">
      <c r="B859" s="27">
        <v>313</v>
      </c>
      <c r="C859" s="27">
        <v>28</v>
      </c>
      <c r="D859" s="30" t="s">
        <v>657</v>
      </c>
      <c r="E859" s="28" t="s">
        <v>46</v>
      </c>
      <c r="F859" s="27">
        <v>14.1</v>
      </c>
      <c r="G859" s="27">
        <v>175</v>
      </c>
      <c r="H859" s="27">
        <v>45</v>
      </c>
      <c r="I859" s="35">
        <v>9.4</v>
      </c>
      <c r="J859" s="5">
        <v>4.4</v>
      </c>
    </row>
    <row r="860" spans="2:10">
      <c r="B860" s="27">
        <v>313</v>
      </c>
      <c r="C860" s="27">
        <v>29</v>
      </c>
      <c r="D860" s="28" t="s">
        <v>658</v>
      </c>
      <c r="E860" s="28" t="s">
        <v>46</v>
      </c>
      <c r="F860" s="27">
        <v>15</v>
      </c>
      <c r="G860" s="27">
        <v>165</v>
      </c>
      <c r="H860" s="27">
        <v>40</v>
      </c>
      <c r="I860" s="35">
        <v>9.7</v>
      </c>
      <c r="J860" s="5">
        <v>4</v>
      </c>
    </row>
    <row r="861" spans="2:11">
      <c r="B861" s="27">
        <v>313</v>
      </c>
      <c r="C861" s="27">
        <v>30</v>
      </c>
      <c r="D861" s="28" t="s">
        <v>659</v>
      </c>
      <c r="E861" s="28" t="s">
        <v>46</v>
      </c>
      <c r="K861" s="27">
        <v>50</v>
      </c>
    </row>
    <row r="862" spans="2:10">
      <c r="B862" s="27">
        <v>313</v>
      </c>
      <c r="C862" s="27">
        <v>31</v>
      </c>
      <c r="D862" s="28" t="s">
        <v>660</v>
      </c>
      <c r="E862" s="28" t="s">
        <v>46</v>
      </c>
      <c r="F862" s="27">
        <v>12</v>
      </c>
      <c r="G862" s="27">
        <v>165</v>
      </c>
      <c r="H862" s="27">
        <v>47</v>
      </c>
      <c r="I862" s="35">
        <v>9.7</v>
      </c>
      <c r="J862" s="5">
        <v>4.39</v>
      </c>
    </row>
    <row r="863" spans="2:10">
      <c r="B863" s="27">
        <v>313</v>
      </c>
      <c r="C863" s="27">
        <v>32</v>
      </c>
      <c r="D863" s="28" t="s">
        <v>661</v>
      </c>
      <c r="E863" s="28" t="s">
        <v>46</v>
      </c>
      <c r="F863" s="27">
        <v>13</v>
      </c>
      <c r="G863" s="27">
        <v>185</v>
      </c>
      <c r="H863" s="27">
        <v>35</v>
      </c>
      <c r="I863" s="35">
        <v>9.1</v>
      </c>
      <c r="J863" s="5">
        <v>3.57</v>
      </c>
    </row>
    <row r="864" spans="2:10">
      <c r="B864" s="27">
        <v>313</v>
      </c>
      <c r="C864" s="27">
        <v>33</v>
      </c>
      <c r="D864" s="28" t="s">
        <v>662</v>
      </c>
      <c r="E864" s="28" t="s">
        <v>46</v>
      </c>
      <c r="F864" s="27">
        <v>15</v>
      </c>
      <c r="G864" s="27">
        <v>150</v>
      </c>
      <c r="H864" s="27">
        <v>30</v>
      </c>
      <c r="I864" s="35">
        <v>11.3</v>
      </c>
      <c r="J864" s="5">
        <v>5.12</v>
      </c>
    </row>
    <row r="865" spans="2:11">
      <c r="B865" s="27">
        <v>313</v>
      </c>
      <c r="C865" s="27">
        <v>34</v>
      </c>
      <c r="D865" s="28" t="s">
        <v>663</v>
      </c>
      <c r="E865" s="28" t="s">
        <v>46</v>
      </c>
      <c r="K865" s="27">
        <v>50</v>
      </c>
    </row>
    <row r="866" spans="2:10">
      <c r="B866" s="27">
        <v>313</v>
      </c>
      <c r="C866" s="27">
        <v>35</v>
      </c>
      <c r="D866" s="28" t="s">
        <v>664</v>
      </c>
      <c r="E866" s="28" t="s">
        <v>46</v>
      </c>
      <c r="F866" s="27">
        <v>13.3</v>
      </c>
      <c r="G866" s="27">
        <v>160</v>
      </c>
      <c r="H866" s="27">
        <v>44</v>
      </c>
      <c r="I866" s="35">
        <v>9.6</v>
      </c>
      <c r="J866" s="5">
        <v>4.27</v>
      </c>
    </row>
    <row r="867" spans="2:10">
      <c r="B867" s="27">
        <v>313</v>
      </c>
      <c r="C867" s="27">
        <v>36</v>
      </c>
      <c r="D867" s="28" t="s">
        <v>665</v>
      </c>
      <c r="E867" s="28" t="s">
        <v>46</v>
      </c>
      <c r="F867" s="27">
        <v>19.1</v>
      </c>
      <c r="G867" s="27">
        <v>175</v>
      </c>
      <c r="H867" s="27">
        <v>50</v>
      </c>
      <c r="I867" s="35">
        <v>8.7</v>
      </c>
      <c r="J867" s="5">
        <v>3.44</v>
      </c>
    </row>
    <row r="868" spans="2:10">
      <c r="B868" s="27">
        <v>313</v>
      </c>
      <c r="C868" s="27">
        <v>37</v>
      </c>
      <c r="D868" s="28" t="s">
        <v>666</v>
      </c>
      <c r="E868" s="28" t="s">
        <v>46</v>
      </c>
      <c r="F868" s="27">
        <v>13</v>
      </c>
      <c r="G868" s="27">
        <v>170</v>
      </c>
      <c r="H868" s="27">
        <v>47</v>
      </c>
      <c r="I868" s="35">
        <v>8.7</v>
      </c>
      <c r="J868" s="5">
        <v>4.39</v>
      </c>
    </row>
    <row r="869" spans="2:11">
      <c r="B869" s="27">
        <v>313</v>
      </c>
      <c r="C869" s="27">
        <v>38</v>
      </c>
      <c r="D869" s="28" t="s">
        <v>667</v>
      </c>
      <c r="E869" s="28" t="s">
        <v>46</v>
      </c>
      <c r="K869" s="27">
        <v>50</v>
      </c>
    </row>
    <row r="870" spans="4:5">
      <c r="D870" s="28"/>
      <c r="E870" s="28"/>
    </row>
    <row r="871" s="20" customFormat="1" spans="1:11">
      <c r="A871" s="23" t="s">
        <v>668</v>
      </c>
      <c r="B871" s="51" t="s">
        <v>1</v>
      </c>
      <c r="C871" s="52" t="s">
        <v>2</v>
      </c>
      <c r="D871" s="53" t="s">
        <v>3</v>
      </c>
      <c r="E871" s="53" t="s">
        <v>4</v>
      </c>
      <c r="F871" s="54" t="s">
        <v>5</v>
      </c>
      <c r="G871" s="54" t="s">
        <v>6</v>
      </c>
      <c r="H871" s="54" t="s">
        <v>7</v>
      </c>
      <c r="I871" s="55" t="s">
        <v>8</v>
      </c>
      <c r="J871" s="56" t="s">
        <v>9</v>
      </c>
      <c r="K871" s="52" t="s">
        <v>10</v>
      </c>
    </row>
    <row r="872" spans="2:10">
      <c r="B872" s="27">
        <v>313</v>
      </c>
      <c r="C872" s="27">
        <v>39</v>
      </c>
      <c r="D872" s="30" t="s">
        <v>669</v>
      </c>
      <c r="E872" s="28" t="s">
        <v>46</v>
      </c>
      <c r="F872" s="27">
        <v>22.5</v>
      </c>
      <c r="G872" s="27">
        <v>180</v>
      </c>
      <c r="H872" s="27">
        <v>46</v>
      </c>
      <c r="I872" s="35">
        <v>8.9</v>
      </c>
      <c r="J872" s="5">
        <v>3.56</v>
      </c>
    </row>
    <row r="873" spans="2:10">
      <c r="B873" s="27">
        <v>313</v>
      </c>
      <c r="C873" s="27">
        <v>40</v>
      </c>
      <c r="D873" s="28" t="s">
        <v>670</v>
      </c>
      <c r="E873" s="28" t="s">
        <v>46</v>
      </c>
      <c r="F873" s="27">
        <v>14.5</v>
      </c>
      <c r="G873" s="27">
        <v>145</v>
      </c>
      <c r="H873" s="27">
        <v>38</v>
      </c>
      <c r="I873" s="35">
        <v>10.3</v>
      </c>
      <c r="J873" s="5">
        <v>4.09</v>
      </c>
    </row>
    <row r="874" spans="2:10">
      <c r="B874" s="27">
        <v>313</v>
      </c>
      <c r="C874" s="27">
        <v>41</v>
      </c>
      <c r="D874" s="28" t="s">
        <v>671</v>
      </c>
      <c r="E874" s="28" t="s">
        <v>46</v>
      </c>
      <c r="F874" s="27">
        <v>18</v>
      </c>
      <c r="G874" s="27">
        <v>155</v>
      </c>
      <c r="H874" s="27">
        <v>38</v>
      </c>
      <c r="I874" s="35">
        <v>9.6</v>
      </c>
      <c r="J874" s="5">
        <v>4.29</v>
      </c>
    </row>
    <row r="875" spans="2:11">
      <c r="B875" s="27">
        <v>313</v>
      </c>
      <c r="C875" s="27">
        <v>42</v>
      </c>
      <c r="D875" s="28" t="s">
        <v>672</v>
      </c>
      <c r="E875" s="28" t="s">
        <v>46</v>
      </c>
      <c r="K875" s="27">
        <v>50</v>
      </c>
    </row>
    <row r="876" spans="2:10">
      <c r="B876" s="27">
        <v>313</v>
      </c>
      <c r="C876" s="27">
        <v>43</v>
      </c>
      <c r="D876" s="28" t="s">
        <v>673</v>
      </c>
      <c r="E876" s="28" t="s">
        <v>46</v>
      </c>
      <c r="F876" s="27">
        <v>16</v>
      </c>
      <c r="G876" s="27">
        <v>164</v>
      </c>
      <c r="H876" s="27">
        <v>21</v>
      </c>
      <c r="I876" s="35">
        <v>9.3</v>
      </c>
      <c r="J876" s="5">
        <v>4.12</v>
      </c>
    </row>
    <row r="877" spans="2:11">
      <c r="B877" s="27">
        <v>313</v>
      </c>
      <c r="C877" s="27">
        <v>44</v>
      </c>
      <c r="D877" s="28" t="s">
        <v>674</v>
      </c>
      <c r="E877" s="28" t="s">
        <v>46</v>
      </c>
      <c r="F877" s="27">
        <v>14.7</v>
      </c>
      <c r="G877" s="27">
        <v>165</v>
      </c>
      <c r="H877" s="27">
        <v>45</v>
      </c>
      <c r="K877" s="27">
        <v>50</v>
      </c>
    </row>
    <row r="878" spans="2:10">
      <c r="B878" s="27">
        <v>313</v>
      </c>
      <c r="C878" s="27">
        <v>45</v>
      </c>
      <c r="D878" s="28" t="s">
        <v>675</v>
      </c>
      <c r="E878" s="28" t="s">
        <v>46</v>
      </c>
      <c r="F878" s="27">
        <v>12</v>
      </c>
      <c r="G878" s="27">
        <v>165</v>
      </c>
      <c r="H878" s="27">
        <v>43</v>
      </c>
      <c r="I878" s="35">
        <v>8.8</v>
      </c>
      <c r="J878" s="5">
        <v>3.57</v>
      </c>
    </row>
    <row r="879" spans="2:11">
      <c r="B879" s="27">
        <v>313</v>
      </c>
      <c r="C879" s="27">
        <v>46</v>
      </c>
      <c r="D879" s="28" t="s">
        <v>676</v>
      </c>
      <c r="E879" s="28" t="s">
        <v>46</v>
      </c>
      <c r="F879" s="27">
        <v>16.5</v>
      </c>
      <c r="H879" s="27">
        <v>49</v>
      </c>
      <c r="K879" s="27">
        <v>50</v>
      </c>
    </row>
    <row r="880" spans="2:10">
      <c r="B880" s="27">
        <v>313</v>
      </c>
      <c r="C880" s="27">
        <v>47</v>
      </c>
      <c r="D880" s="28" t="s">
        <v>677</v>
      </c>
      <c r="E880" s="28" t="s">
        <v>46</v>
      </c>
      <c r="F880" s="27">
        <v>3</v>
      </c>
      <c r="G880" s="27">
        <v>161</v>
      </c>
      <c r="H880" s="27">
        <v>35</v>
      </c>
      <c r="I880" s="35">
        <v>8.6</v>
      </c>
      <c r="J880" s="5">
        <v>4.55</v>
      </c>
    </row>
    <row r="881" spans="2:11">
      <c r="B881" s="27">
        <v>313</v>
      </c>
      <c r="C881" s="27">
        <v>48</v>
      </c>
      <c r="D881" s="28" t="s">
        <v>678</v>
      </c>
      <c r="E881" s="28" t="s">
        <v>46</v>
      </c>
      <c r="K881" s="27">
        <v>50</v>
      </c>
    </row>
    <row r="882" spans="2:10">
      <c r="B882" s="27">
        <v>313</v>
      </c>
      <c r="C882" s="27">
        <v>49</v>
      </c>
      <c r="D882" s="28" t="s">
        <v>679</v>
      </c>
      <c r="E882" s="28" t="s">
        <v>46</v>
      </c>
      <c r="F882" s="27">
        <v>9.7</v>
      </c>
      <c r="G882" s="27">
        <v>154</v>
      </c>
      <c r="H882" s="27">
        <v>42</v>
      </c>
      <c r="I882" s="35">
        <v>8.8</v>
      </c>
      <c r="J882" s="5">
        <v>4.26</v>
      </c>
    </row>
    <row r="883" spans="2:10">
      <c r="B883" s="27">
        <v>313</v>
      </c>
      <c r="C883" s="27">
        <v>50</v>
      </c>
      <c r="D883" s="28" t="s">
        <v>680</v>
      </c>
      <c r="E883" s="28" t="s">
        <v>46</v>
      </c>
      <c r="F883" s="27">
        <v>23</v>
      </c>
      <c r="G883" s="27">
        <v>180</v>
      </c>
      <c r="H883" s="27">
        <v>42</v>
      </c>
      <c r="I883" s="35">
        <v>9.4</v>
      </c>
      <c r="J883" s="5">
        <v>4.18</v>
      </c>
    </row>
    <row r="885" s="20" customFormat="1" spans="1:11">
      <c r="A885" s="23" t="s">
        <v>681</v>
      </c>
      <c r="B885" s="51" t="s">
        <v>1</v>
      </c>
      <c r="C885" s="52" t="s">
        <v>2</v>
      </c>
      <c r="D885" s="53" t="s">
        <v>3</v>
      </c>
      <c r="E885" s="53" t="s">
        <v>4</v>
      </c>
      <c r="F885" s="54" t="s">
        <v>5</v>
      </c>
      <c r="G885" s="54" t="s">
        <v>6</v>
      </c>
      <c r="H885" s="54" t="s">
        <v>7</v>
      </c>
      <c r="I885" s="55" t="s">
        <v>8</v>
      </c>
      <c r="J885" s="56" t="s">
        <v>9</v>
      </c>
      <c r="K885" s="52" t="s">
        <v>10</v>
      </c>
    </row>
    <row r="886" spans="2:10">
      <c r="B886" s="27">
        <v>314</v>
      </c>
      <c r="C886" s="27">
        <v>1</v>
      </c>
      <c r="D886" s="30" t="s">
        <v>682</v>
      </c>
      <c r="E886" s="28" t="s">
        <v>12</v>
      </c>
      <c r="F886" s="27">
        <v>14.5</v>
      </c>
      <c r="G886" s="27">
        <v>215</v>
      </c>
      <c r="H886" s="27">
        <v>0</v>
      </c>
      <c r="I886" s="35">
        <v>7.3</v>
      </c>
      <c r="J886" s="5">
        <v>5.26</v>
      </c>
    </row>
    <row r="887" spans="2:10">
      <c r="B887" s="27">
        <v>314</v>
      </c>
      <c r="C887" s="27">
        <v>3</v>
      </c>
      <c r="D887" s="28" t="s">
        <v>683</v>
      </c>
      <c r="E887" s="28" t="s">
        <v>12</v>
      </c>
      <c r="F887" s="27">
        <v>5.5</v>
      </c>
      <c r="G887" s="27">
        <v>180</v>
      </c>
      <c r="H887" s="27">
        <v>0</v>
      </c>
      <c r="I887" s="35">
        <v>7.5</v>
      </c>
      <c r="J887" s="5">
        <v>5.34</v>
      </c>
    </row>
    <row r="888" spans="2:10">
      <c r="B888" s="27">
        <v>314</v>
      </c>
      <c r="C888" s="27">
        <v>4</v>
      </c>
      <c r="D888" s="28" t="s">
        <v>684</v>
      </c>
      <c r="E888" s="28" t="s">
        <v>12</v>
      </c>
      <c r="F888" s="27">
        <v>-5.5</v>
      </c>
      <c r="G888" s="27">
        <v>190</v>
      </c>
      <c r="H888" s="27">
        <v>18</v>
      </c>
      <c r="I888" s="35">
        <v>8</v>
      </c>
      <c r="J888" s="5">
        <v>4.18</v>
      </c>
    </row>
    <row r="889" spans="2:10">
      <c r="B889" s="27">
        <v>314</v>
      </c>
      <c r="C889" s="27">
        <v>5</v>
      </c>
      <c r="D889" s="28" t="s">
        <v>685</v>
      </c>
      <c r="E889" s="28" t="s">
        <v>12</v>
      </c>
      <c r="F889" s="27">
        <v>12</v>
      </c>
      <c r="G889" s="27">
        <v>235</v>
      </c>
      <c r="H889" s="27">
        <v>12</v>
      </c>
      <c r="I889" s="35">
        <v>6.9</v>
      </c>
      <c r="J889" s="5">
        <v>5.2</v>
      </c>
    </row>
    <row r="890" spans="2:10">
      <c r="B890" s="27">
        <v>314</v>
      </c>
      <c r="C890" s="27">
        <v>6</v>
      </c>
      <c r="D890" s="28" t="s">
        <v>686</v>
      </c>
      <c r="E890" s="28" t="s">
        <v>12</v>
      </c>
      <c r="F890" s="27">
        <v>-2</v>
      </c>
      <c r="G890" s="27">
        <v>200</v>
      </c>
      <c r="H890" s="27">
        <v>0</v>
      </c>
      <c r="I890" s="35">
        <v>8.4</v>
      </c>
      <c r="J890" s="5">
        <v>5.28</v>
      </c>
    </row>
    <row r="891" spans="4:5">
      <c r="D891" s="28"/>
      <c r="E891" s="28"/>
    </row>
    <row r="893" s="20" customFormat="1" spans="1:11">
      <c r="A893" s="23" t="s">
        <v>687</v>
      </c>
      <c r="B893" s="51" t="s">
        <v>1</v>
      </c>
      <c r="C893" s="52" t="s">
        <v>2</v>
      </c>
      <c r="D893" s="53" t="s">
        <v>3</v>
      </c>
      <c r="E893" s="53" t="s">
        <v>4</v>
      </c>
      <c r="F893" s="54" t="s">
        <v>5</v>
      </c>
      <c r="G893" s="54" t="s">
        <v>6</v>
      </c>
      <c r="H893" s="54" t="s">
        <v>7</v>
      </c>
      <c r="I893" s="55" t="s">
        <v>8</v>
      </c>
      <c r="J893" s="56" t="s">
        <v>9</v>
      </c>
      <c r="K893" s="52" t="s">
        <v>10</v>
      </c>
    </row>
    <row r="894" spans="2:10">
      <c r="B894" s="27">
        <v>314</v>
      </c>
      <c r="C894" s="27">
        <v>7</v>
      </c>
      <c r="D894" s="30" t="s">
        <v>688</v>
      </c>
      <c r="E894" s="28" t="s">
        <v>46</v>
      </c>
      <c r="F894" s="27">
        <v>20</v>
      </c>
      <c r="G894" s="27">
        <v>145</v>
      </c>
      <c r="H894" s="27">
        <v>30</v>
      </c>
      <c r="I894" s="35">
        <v>9.7</v>
      </c>
      <c r="J894" s="5">
        <v>4.34</v>
      </c>
    </row>
    <row r="895" spans="2:10">
      <c r="B895" s="27">
        <v>314</v>
      </c>
      <c r="C895" s="27">
        <v>8</v>
      </c>
      <c r="D895" s="28" t="s">
        <v>689</v>
      </c>
      <c r="E895" s="28" t="s">
        <v>46</v>
      </c>
      <c r="F895" s="27">
        <v>28.5</v>
      </c>
      <c r="G895" s="27">
        <v>175</v>
      </c>
      <c r="H895" s="27">
        <v>39</v>
      </c>
      <c r="I895" s="35">
        <v>9.8</v>
      </c>
      <c r="J895" s="5">
        <v>4.3</v>
      </c>
    </row>
    <row r="896" spans="2:10">
      <c r="B896" s="27">
        <v>314</v>
      </c>
      <c r="C896" s="27">
        <v>9</v>
      </c>
      <c r="D896" s="28" t="s">
        <v>690</v>
      </c>
      <c r="E896" s="28" t="s">
        <v>46</v>
      </c>
      <c r="F896" s="27">
        <v>10</v>
      </c>
      <c r="G896" s="27">
        <v>155</v>
      </c>
      <c r="H896" s="27">
        <v>52</v>
      </c>
      <c r="I896" s="35">
        <v>8.9</v>
      </c>
      <c r="J896" s="5">
        <v>4.58</v>
      </c>
    </row>
    <row r="897" spans="2:10">
      <c r="B897" s="27">
        <v>314</v>
      </c>
      <c r="C897" s="27">
        <v>10</v>
      </c>
      <c r="D897" s="28" t="s">
        <v>691</v>
      </c>
      <c r="E897" s="28" t="s">
        <v>46</v>
      </c>
      <c r="F897" s="27">
        <v>11</v>
      </c>
      <c r="G897" s="27">
        <v>160</v>
      </c>
      <c r="H897" s="27">
        <v>35</v>
      </c>
      <c r="I897" s="35">
        <v>9.1</v>
      </c>
      <c r="J897" s="5">
        <v>3.5</v>
      </c>
    </row>
    <row r="898" spans="2:10">
      <c r="B898" s="27">
        <v>314</v>
      </c>
      <c r="C898" s="27">
        <v>11</v>
      </c>
      <c r="D898" s="28" t="s">
        <v>692</v>
      </c>
      <c r="E898" s="28" t="s">
        <v>46</v>
      </c>
      <c r="F898" s="27">
        <v>11</v>
      </c>
      <c r="G898" s="27">
        <v>160</v>
      </c>
      <c r="H898" s="27">
        <v>41</v>
      </c>
      <c r="I898" s="35">
        <v>9.8</v>
      </c>
      <c r="J898" s="5">
        <v>4.22</v>
      </c>
    </row>
    <row r="899" spans="2:10">
      <c r="B899" s="27">
        <v>314</v>
      </c>
      <c r="C899" s="27">
        <v>12</v>
      </c>
      <c r="D899" s="28" t="s">
        <v>693</v>
      </c>
      <c r="E899" s="28" t="s">
        <v>46</v>
      </c>
      <c r="F899" s="27">
        <v>13.5</v>
      </c>
      <c r="G899" s="27">
        <v>162</v>
      </c>
      <c r="H899" s="27">
        <v>37</v>
      </c>
      <c r="I899" s="35">
        <v>9.5</v>
      </c>
      <c r="J899" s="5">
        <v>4.29</v>
      </c>
    </row>
    <row r="900" spans="2:10">
      <c r="B900" s="27">
        <v>314</v>
      </c>
      <c r="C900" s="27">
        <v>13</v>
      </c>
      <c r="D900" s="28" t="s">
        <v>694</v>
      </c>
      <c r="E900" s="28" t="s">
        <v>46</v>
      </c>
      <c r="F900" s="27">
        <v>11.5</v>
      </c>
      <c r="G900" s="27">
        <v>165</v>
      </c>
      <c r="H900" s="27">
        <v>45</v>
      </c>
      <c r="I900" s="35">
        <v>10.9</v>
      </c>
      <c r="J900" s="5">
        <v>4.4</v>
      </c>
    </row>
    <row r="901" spans="2:11">
      <c r="B901" s="27">
        <v>314</v>
      </c>
      <c r="C901" s="27">
        <v>14</v>
      </c>
      <c r="D901" s="28" t="s">
        <v>695</v>
      </c>
      <c r="E901" s="28" t="s">
        <v>46</v>
      </c>
      <c r="F901" s="27">
        <v>5</v>
      </c>
      <c r="G901" s="27">
        <v>150</v>
      </c>
      <c r="H901" s="27">
        <v>34</v>
      </c>
      <c r="K901" s="27">
        <v>50</v>
      </c>
    </row>
    <row r="902" spans="2:10">
      <c r="B902" s="27">
        <v>314</v>
      </c>
      <c r="C902" s="27">
        <v>15</v>
      </c>
      <c r="D902" s="28" t="s">
        <v>696</v>
      </c>
      <c r="E902" s="28" t="s">
        <v>46</v>
      </c>
      <c r="F902" s="27">
        <v>12</v>
      </c>
      <c r="G902" s="27">
        <v>145</v>
      </c>
      <c r="I902" s="35">
        <v>9.9</v>
      </c>
      <c r="J902" s="5">
        <v>5.16</v>
      </c>
    </row>
    <row r="903" spans="2:10">
      <c r="B903" s="27">
        <v>314</v>
      </c>
      <c r="C903" s="27">
        <v>16</v>
      </c>
      <c r="D903" s="28" t="s">
        <v>697</v>
      </c>
      <c r="E903" s="28" t="s">
        <v>46</v>
      </c>
      <c r="F903" s="27">
        <v>17</v>
      </c>
      <c r="G903" s="27">
        <v>160</v>
      </c>
      <c r="H903" s="27">
        <v>48</v>
      </c>
      <c r="I903" s="35">
        <v>8.4</v>
      </c>
      <c r="J903" s="5">
        <v>4.35</v>
      </c>
    </row>
    <row r="904" spans="4:5">
      <c r="D904" s="28"/>
      <c r="E904" s="28"/>
    </row>
    <row r="905" s="20" customFormat="1" spans="1:11">
      <c r="A905" s="23" t="s">
        <v>698</v>
      </c>
      <c r="B905" s="51" t="s">
        <v>1</v>
      </c>
      <c r="C905" s="52" t="s">
        <v>2</v>
      </c>
      <c r="D905" s="53" t="s">
        <v>3</v>
      </c>
      <c r="E905" s="53" t="s">
        <v>4</v>
      </c>
      <c r="F905" s="54" t="s">
        <v>5</v>
      </c>
      <c r="G905" s="54" t="s">
        <v>6</v>
      </c>
      <c r="H905" s="54" t="s">
        <v>7</v>
      </c>
      <c r="I905" s="55" t="s">
        <v>8</v>
      </c>
      <c r="J905" s="56" t="s">
        <v>9</v>
      </c>
      <c r="K905" s="52" t="s">
        <v>10</v>
      </c>
    </row>
    <row r="906" spans="2:10">
      <c r="B906" s="27">
        <v>314</v>
      </c>
      <c r="C906" s="27">
        <v>17</v>
      </c>
      <c r="D906" s="30" t="s">
        <v>699</v>
      </c>
      <c r="E906" s="28" t="s">
        <v>46</v>
      </c>
      <c r="F906" s="27">
        <v>16.5</v>
      </c>
      <c r="G906" s="27">
        <v>176</v>
      </c>
      <c r="H906" s="27">
        <v>53</v>
      </c>
      <c r="I906" s="35">
        <v>8.9</v>
      </c>
      <c r="J906" s="5">
        <v>3.42</v>
      </c>
    </row>
    <row r="907" spans="2:10">
      <c r="B907" s="27">
        <v>314</v>
      </c>
      <c r="C907" s="27">
        <v>18</v>
      </c>
      <c r="D907" s="28" t="s">
        <v>700</v>
      </c>
      <c r="E907" s="28" t="s">
        <v>46</v>
      </c>
      <c r="F907" s="27">
        <v>28</v>
      </c>
      <c r="G907" s="27">
        <v>155</v>
      </c>
      <c r="H907" s="27">
        <v>42</v>
      </c>
      <c r="I907" s="35">
        <v>9.4</v>
      </c>
      <c r="J907" s="5">
        <v>4.35</v>
      </c>
    </row>
    <row r="908" spans="2:10">
      <c r="B908" s="27">
        <v>314</v>
      </c>
      <c r="C908" s="27">
        <v>19</v>
      </c>
      <c r="D908" s="28" t="s">
        <v>701</v>
      </c>
      <c r="E908" s="28" t="s">
        <v>46</v>
      </c>
      <c r="F908" s="27">
        <v>22.5</v>
      </c>
      <c r="G908" s="27">
        <v>154</v>
      </c>
      <c r="H908" s="27">
        <v>41</v>
      </c>
      <c r="I908" s="35">
        <v>9.2</v>
      </c>
      <c r="J908" s="5">
        <v>4.4</v>
      </c>
    </row>
    <row r="909" spans="2:10">
      <c r="B909" s="27">
        <v>314</v>
      </c>
      <c r="C909" s="27">
        <v>20</v>
      </c>
      <c r="D909" s="28" t="s">
        <v>702</v>
      </c>
      <c r="E909" s="28" t="s">
        <v>46</v>
      </c>
      <c r="F909" s="27">
        <v>8.5</v>
      </c>
      <c r="G909" s="27">
        <v>153</v>
      </c>
      <c r="H909" s="27">
        <v>52</v>
      </c>
      <c r="I909" s="35">
        <v>9.2</v>
      </c>
      <c r="J909" s="5">
        <v>4.34</v>
      </c>
    </row>
    <row r="910" spans="2:10">
      <c r="B910" s="27">
        <v>314</v>
      </c>
      <c r="C910" s="27">
        <v>21</v>
      </c>
      <c r="D910" s="28" t="s">
        <v>703</v>
      </c>
      <c r="E910" s="28" t="s">
        <v>46</v>
      </c>
      <c r="F910" s="27">
        <v>24</v>
      </c>
      <c r="G910" s="27">
        <v>154</v>
      </c>
      <c r="H910" s="27">
        <v>36</v>
      </c>
      <c r="I910" s="35">
        <v>10.8</v>
      </c>
      <c r="J910" s="5" t="s">
        <v>77</v>
      </c>
    </row>
    <row r="911" spans="2:10">
      <c r="B911" s="27">
        <v>314</v>
      </c>
      <c r="C911" s="27">
        <v>22</v>
      </c>
      <c r="D911" s="28" t="s">
        <v>704</v>
      </c>
      <c r="E911" s="28" t="s">
        <v>46</v>
      </c>
      <c r="F911" s="27">
        <v>24</v>
      </c>
      <c r="G911" s="27">
        <v>190</v>
      </c>
      <c r="H911" s="27">
        <v>51</v>
      </c>
      <c r="I911" s="35">
        <v>8.6</v>
      </c>
      <c r="J911" s="5">
        <v>4.32</v>
      </c>
    </row>
    <row r="912" spans="2:11">
      <c r="B912" s="27">
        <v>314</v>
      </c>
      <c r="C912" s="27">
        <v>23</v>
      </c>
      <c r="D912" s="28" t="s">
        <v>705</v>
      </c>
      <c r="E912" s="28" t="s">
        <v>46</v>
      </c>
      <c r="K912" s="27">
        <v>50</v>
      </c>
    </row>
    <row r="913" spans="2:10">
      <c r="B913" s="27">
        <v>314</v>
      </c>
      <c r="C913" s="27">
        <v>24</v>
      </c>
      <c r="D913" s="28" t="s">
        <v>706</v>
      </c>
      <c r="E913" s="28" t="s">
        <v>46</v>
      </c>
      <c r="F913" s="27">
        <v>17.5</v>
      </c>
      <c r="G913" s="27">
        <v>189</v>
      </c>
      <c r="H913" s="27">
        <v>40</v>
      </c>
      <c r="I913" s="35">
        <v>8.6</v>
      </c>
      <c r="J913" s="5">
        <v>4.34</v>
      </c>
    </row>
    <row r="914" spans="2:10">
      <c r="B914" s="27">
        <v>314</v>
      </c>
      <c r="C914" s="27">
        <v>25</v>
      </c>
      <c r="D914" s="28" t="s">
        <v>707</v>
      </c>
      <c r="E914" s="28" t="s">
        <v>46</v>
      </c>
      <c r="F914" s="27">
        <v>19</v>
      </c>
      <c r="G914" s="27">
        <v>169</v>
      </c>
      <c r="H914" s="27">
        <v>36</v>
      </c>
      <c r="I914" s="35" t="s">
        <v>77</v>
      </c>
      <c r="J914" s="5" t="s">
        <v>77</v>
      </c>
    </row>
    <row r="915" spans="2:10">
      <c r="B915" s="27">
        <v>314</v>
      </c>
      <c r="C915" s="27">
        <v>26</v>
      </c>
      <c r="D915" s="28" t="s">
        <v>708</v>
      </c>
      <c r="E915" s="28" t="s">
        <v>46</v>
      </c>
      <c r="F915" s="27">
        <v>30.5</v>
      </c>
      <c r="G915" s="27">
        <v>204</v>
      </c>
      <c r="H915" s="27">
        <v>22</v>
      </c>
      <c r="I915" s="35">
        <v>7.9</v>
      </c>
      <c r="J915" s="5">
        <v>3.31</v>
      </c>
    </row>
    <row r="916" spans="4:5">
      <c r="D916" s="28"/>
      <c r="E916" s="28"/>
    </row>
    <row r="917" spans="4:5">
      <c r="D917" s="28"/>
      <c r="E917" s="28"/>
    </row>
    <row r="918" spans="4:5">
      <c r="D918" s="28"/>
      <c r="E918" s="28"/>
    </row>
    <row r="919" spans="4:5">
      <c r="D919" s="28"/>
      <c r="E919" s="28"/>
    </row>
    <row r="920" spans="4:5">
      <c r="D920" s="28"/>
      <c r="E920" s="28"/>
    </row>
    <row r="921" spans="4:5">
      <c r="D921" s="28"/>
      <c r="E921" s="28"/>
    </row>
    <row r="922" spans="4:5">
      <c r="D922" s="28"/>
      <c r="E922" s="28"/>
    </row>
    <row r="923" spans="4:5">
      <c r="D923" s="28"/>
      <c r="E923" s="28"/>
    </row>
    <row r="925" s="20" customFormat="1" spans="1:11">
      <c r="A925" s="23" t="s">
        <v>709</v>
      </c>
      <c r="B925" s="51" t="s">
        <v>1</v>
      </c>
      <c r="C925" s="52" t="s">
        <v>2</v>
      </c>
      <c r="D925" s="53" t="s">
        <v>3</v>
      </c>
      <c r="E925" s="53" t="s">
        <v>4</v>
      </c>
      <c r="F925" s="54" t="s">
        <v>5</v>
      </c>
      <c r="G925" s="54" t="s">
        <v>6</v>
      </c>
      <c r="H925" s="54" t="s">
        <v>7</v>
      </c>
      <c r="I925" s="55" t="s">
        <v>8</v>
      </c>
      <c r="J925" s="56" t="s">
        <v>9</v>
      </c>
      <c r="K925" s="52" t="s">
        <v>10</v>
      </c>
    </row>
    <row r="926" spans="2:11">
      <c r="B926" s="27">
        <v>314</v>
      </c>
      <c r="C926" s="27">
        <v>27</v>
      </c>
      <c r="D926" s="30" t="s">
        <v>710</v>
      </c>
      <c r="E926" s="28" t="s">
        <v>46</v>
      </c>
      <c r="K926" s="27">
        <v>50</v>
      </c>
    </row>
    <row r="927" spans="2:10">
      <c r="B927" s="27">
        <v>314</v>
      </c>
      <c r="C927" s="27">
        <v>28</v>
      </c>
      <c r="D927" s="28" t="s">
        <v>711</v>
      </c>
      <c r="E927" s="28" t="s">
        <v>46</v>
      </c>
      <c r="F927" s="27">
        <v>19.5</v>
      </c>
      <c r="G927" s="27">
        <v>160</v>
      </c>
      <c r="H927" s="27">
        <v>47</v>
      </c>
      <c r="I927" s="35">
        <v>8.5</v>
      </c>
      <c r="J927" s="5">
        <v>4.35</v>
      </c>
    </row>
    <row r="928" spans="2:10">
      <c r="B928" s="27">
        <v>314</v>
      </c>
      <c r="C928" s="27">
        <v>29</v>
      </c>
      <c r="D928" s="28" t="s">
        <v>712</v>
      </c>
      <c r="E928" s="28" t="s">
        <v>46</v>
      </c>
      <c r="F928" s="27">
        <v>20.5</v>
      </c>
      <c r="G928" s="27">
        <v>207</v>
      </c>
      <c r="H928" s="27">
        <v>0</v>
      </c>
      <c r="I928" s="35">
        <v>7.6</v>
      </c>
      <c r="J928" s="5">
        <v>3.31</v>
      </c>
    </row>
    <row r="929" spans="2:11">
      <c r="B929" s="27">
        <v>314</v>
      </c>
      <c r="C929" s="27">
        <v>30</v>
      </c>
      <c r="D929" s="28" t="s">
        <v>713</v>
      </c>
      <c r="E929" s="28" t="s">
        <v>46</v>
      </c>
      <c r="F929" s="27">
        <v>25.5</v>
      </c>
      <c r="K929" s="27">
        <v>50</v>
      </c>
    </row>
    <row r="930" spans="2:10">
      <c r="B930" s="27">
        <v>314</v>
      </c>
      <c r="C930" s="27">
        <v>31</v>
      </c>
      <c r="D930" s="28" t="s">
        <v>714</v>
      </c>
      <c r="E930" s="28" t="s">
        <v>46</v>
      </c>
      <c r="F930" s="27">
        <v>11</v>
      </c>
      <c r="G930" s="27">
        <v>220</v>
      </c>
      <c r="H930" s="27">
        <v>38</v>
      </c>
      <c r="I930" s="35">
        <v>7.9</v>
      </c>
      <c r="J930" s="5">
        <v>3.56</v>
      </c>
    </row>
    <row r="931" spans="2:10">
      <c r="B931" s="27">
        <v>314</v>
      </c>
      <c r="C931" s="27">
        <v>32</v>
      </c>
      <c r="D931" s="28" t="s">
        <v>715</v>
      </c>
      <c r="E931" s="28" t="s">
        <v>46</v>
      </c>
      <c r="F931" s="27">
        <v>26.5</v>
      </c>
      <c r="G931" s="27">
        <v>185</v>
      </c>
      <c r="H931" s="27">
        <v>0</v>
      </c>
      <c r="J931" s="5">
        <v>4.47</v>
      </c>
    </row>
    <row r="932" spans="2:10">
      <c r="B932" s="27">
        <v>314</v>
      </c>
      <c r="C932" s="27">
        <v>33</v>
      </c>
      <c r="D932" s="28" t="s">
        <v>716</v>
      </c>
      <c r="E932" s="28" t="s">
        <v>46</v>
      </c>
      <c r="F932" s="27">
        <v>9</v>
      </c>
      <c r="G932" s="27">
        <v>175</v>
      </c>
      <c r="H932" s="27">
        <v>47</v>
      </c>
      <c r="I932" s="35">
        <v>8.8</v>
      </c>
      <c r="J932" s="5">
        <v>4.33</v>
      </c>
    </row>
    <row r="933" spans="2:10">
      <c r="B933" s="27">
        <v>314</v>
      </c>
      <c r="C933" s="27">
        <v>34</v>
      </c>
      <c r="D933" s="28" t="s">
        <v>717</v>
      </c>
      <c r="E933" s="28" t="s">
        <v>46</v>
      </c>
      <c r="F933" s="27">
        <v>18.5</v>
      </c>
      <c r="G933" s="27">
        <v>190</v>
      </c>
      <c r="H933" s="27">
        <v>0</v>
      </c>
      <c r="J933" s="5">
        <v>3.55</v>
      </c>
    </row>
    <row r="934" spans="2:10">
      <c r="B934" s="27">
        <v>314</v>
      </c>
      <c r="C934" s="27">
        <v>35</v>
      </c>
      <c r="D934" s="28" t="s">
        <v>718</v>
      </c>
      <c r="E934" s="28" t="s">
        <v>46</v>
      </c>
      <c r="F934" s="27">
        <v>11.4</v>
      </c>
      <c r="G934" s="27">
        <v>210</v>
      </c>
      <c r="H934" s="27">
        <v>57</v>
      </c>
      <c r="J934" s="5">
        <v>4.44</v>
      </c>
    </row>
    <row r="935" spans="2:10">
      <c r="B935" s="27">
        <v>314</v>
      </c>
      <c r="C935" s="27">
        <v>36</v>
      </c>
      <c r="D935" s="28" t="s">
        <v>719</v>
      </c>
      <c r="E935" s="28" t="s">
        <v>46</v>
      </c>
      <c r="F935" s="27">
        <v>20.4</v>
      </c>
      <c r="G935" s="27">
        <v>185</v>
      </c>
      <c r="H935" s="27">
        <v>0</v>
      </c>
      <c r="J935" s="5">
        <v>3.54</v>
      </c>
    </row>
    <row r="936" spans="2:10">
      <c r="B936" s="27">
        <v>314</v>
      </c>
      <c r="C936" s="27">
        <v>37</v>
      </c>
      <c r="D936" s="28" t="s">
        <v>720</v>
      </c>
      <c r="E936" s="28" t="s">
        <v>46</v>
      </c>
      <c r="F936" s="27">
        <v>20</v>
      </c>
      <c r="G936" s="27">
        <v>175</v>
      </c>
      <c r="H936" s="27">
        <v>0</v>
      </c>
      <c r="I936" s="35">
        <v>8.4</v>
      </c>
      <c r="J936" s="5">
        <v>4.2</v>
      </c>
    </row>
    <row r="938" s="22" customFormat="1" spans="1:11">
      <c r="A938" s="23"/>
      <c r="B938" s="51"/>
      <c r="C938" s="52"/>
      <c r="D938" s="53"/>
      <c r="E938" s="53"/>
      <c r="F938" s="54"/>
      <c r="G938" s="54"/>
      <c r="H938" s="54"/>
      <c r="I938" s="55"/>
      <c r="J938" s="56"/>
      <c r="K938" s="52"/>
    </row>
    <row r="939" s="20" customFormat="1" spans="1:11">
      <c r="A939" s="23" t="s">
        <v>721</v>
      </c>
      <c r="B939" s="51" t="s">
        <v>1</v>
      </c>
      <c r="C939" s="52" t="s">
        <v>2</v>
      </c>
      <c r="D939" s="53" t="s">
        <v>3</v>
      </c>
      <c r="E939" s="53" t="s">
        <v>4</v>
      </c>
      <c r="F939" s="54" t="s">
        <v>5</v>
      </c>
      <c r="G939" s="54" t="s">
        <v>6</v>
      </c>
      <c r="H939" s="54" t="s">
        <v>7</v>
      </c>
      <c r="I939" s="55" t="s">
        <v>8</v>
      </c>
      <c r="J939" s="56" t="s">
        <v>9</v>
      </c>
      <c r="K939" s="52" t="s">
        <v>10</v>
      </c>
    </row>
    <row r="940" spans="2:10">
      <c r="B940" s="27">
        <v>314</v>
      </c>
      <c r="C940" s="27">
        <v>38</v>
      </c>
      <c r="D940" s="30" t="s">
        <v>722</v>
      </c>
      <c r="E940" s="28" t="s">
        <v>46</v>
      </c>
      <c r="F940" s="27">
        <v>24.5</v>
      </c>
      <c r="G940" s="27">
        <v>175</v>
      </c>
      <c r="H940" s="27">
        <v>33</v>
      </c>
      <c r="I940" s="35">
        <v>9.4</v>
      </c>
      <c r="J940" s="5">
        <v>5.01</v>
      </c>
    </row>
    <row r="941" spans="2:10">
      <c r="B941" s="27">
        <v>314</v>
      </c>
      <c r="C941" s="27">
        <v>39</v>
      </c>
      <c r="D941" s="28" t="s">
        <v>723</v>
      </c>
      <c r="E941" s="28" t="s">
        <v>46</v>
      </c>
      <c r="F941" s="27">
        <v>11</v>
      </c>
      <c r="G941" s="27">
        <v>169</v>
      </c>
      <c r="H941" s="27">
        <v>35</v>
      </c>
      <c r="I941" s="35">
        <v>9.8</v>
      </c>
      <c r="J941" s="5">
        <v>4.42</v>
      </c>
    </row>
    <row r="942" spans="2:10">
      <c r="B942" s="27">
        <v>314</v>
      </c>
      <c r="C942" s="27">
        <v>40</v>
      </c>
      <c r="D942" s="28" t="s">
        <v>724</v>
      </c>
      <c r="E942" s="28" t="s">
        <v>46</v>
      </c>
      <c r="F942" s="27">
        <v>7</v>
      </c>
      <c r="G942" s="27">
        <v>183</v>
      </c>
      <c r="H942" s="27">
        <v>36</v>
      </c>
      <c r="I942" s="35">
        <v>8.8</v>
      </c>
      <c r="J942" s="5">
        <v>4.14</v>
      </c>
    </row>
    <row r="943" spans="2:10">
      <c r="B943" s="27">
        <v>314</v>
      </c>
      <c r="C943" s="27">
        <v>41</v>
      </c>
      <c r="D943" s="28" t="s">
        <v>725</v>
      </c>
      <c r="E943" s="28" t="s">
        <v>46</v>
      </c>
      <c r="F943" s="27">
        <v>22</v>
      </c>
      <c r="G943" s="27">
        <v>170</v>
      </c>
      <c r="H943" s="27">
        <v>27</v>
      </c>
      <c r="I943" s="35">
        <v>10</v>
      </c>
      <c r="J943" s="5">
        <v>5.18</v>
      </c>
    </row>
    <row r="944" spans="2:10">
      <c r="B944" s="27">
        <v>314</v>
      </c>
      <c r="C944" s="27">
        <v>42</v>
      </c>
      <c r="D944" s="28" t="s">
        <v>726</v>
      </c>
      <c r="E944" s="28" t="s">
        <v>46</v>
      </c>
      <c r="F944" s="27">
        <v>14</v>
      </c>
      <c r="G944" s="27">
        <v>160</v>
      </c>
      <c r="H944" s="27">
        <v>38</v>
      </c>
      <c r="I944" s="35">
        <v>9.7</v>
      </c>
      <c r="J944" s="5">
        <v>4.23</v>
      </c>
    </row>
    <row r="945" spans="2:11">
      <c r="B945" s="27">
        <v>314</v>
      </c>
      <c r="C945" s="27">
        <v>43</v>
      </c>
      <c r="D945" s="28" t="s">
        <v>727</v>
      </c>
      <c r="E945" s="28" t="s">
        <v>46</v>
      </c>
      <c r="K945" s="27">
        <v>50</v>
      </c>
    </row>
    <row r="946" spans="2:10">
      <c r="B946" s="27">
        <v>314</v>
      </c>
      <c r="C946" s="27">
        <v>44</v>
      </c>
      <c r="D946" s="28" t="s">
        <v>728</v>
      </c>
      <c r="E946" s="28" t="s">
        <v>46</v>
      </c>
      <c r="F946" s="27">
        <v>16.5</v>
      </c>
      <c r="G946" s="27">
        <v>182</v>
      </c>
      <c r="H946" s="27">
        <v>45</v>
      </c>
      <c r="I946" s="35">
        <v>9.4</v>
      </c>
      <c r="J946" s="5">
        <v>4.22</v>
      </c>
    </row>
    <row r="947" spans="2:10">
      <c r="B947" s="27">
        <v>314</v>
      </c>
      <c r="C947" s="27">
        <v>45</v>
      </c>
      <c r="D947" s="28" t="s">
        <v>729</v>
      </c>
      <c r="E947" s="28" t="s">
        <v>46</v>
      </c>
      <c r="F947" s="27">
        <v>17</v>
      </c>
      <c r="G947" s="27">
        <v>174</v>
      </c>
      <c r="H947" s="27">
        <v>16</v>
      </c>
      <c r="I947" s="35">
        <v>12.1</v>
      </c>
      <c r="J947" s="5">
        <v>5.19</v>
      </c>
    </row>
    <row r="948" spans="2:10">
      <c r="B948" s="27">
        <v>314</v>
      </c>
      <c r="C948" s="27">
        <v>46</v>
      </c>
      <c r="D948" s="28" t="s">
        <v>730</v>
      </c>
      <c r="E948" s="28" t="s">
        <v>46</v>
      </c>
      <c r="F948" s="27">
        <v>8.5</v>
      </c>
      <c r="G948" s="27">
        <v>160</v>
      </c>
      <c r="H948" s="27">
        <v>60</v>
      </c>
      <c r="I948" s="35">
        <v>8.7</v>
      </c>
      <c r="J948" s="5" t="s">
        <v>77</v>
      </c>
    </row>
    <row r="949" spans="2:10">
      <c r="B949" s="27">
        <v>314</v>
      </c>
      <c r="C949" s="27">
        <v>47</v>
      </c>
      <c r="D949" s="28" t="s">
        <v>731</v>
      </c>
      <c r="E949" s="28" t="s">
        <v>46</v>
      </c>
      <c r="F949" s="27">
        <v>19</v>
      </c>
      <c r="G949" s="27">
        <v>166</v>
      </c>
      <c r="H949" s="27">
        <v>50</v>
      </c>
      <c r="I949" s="35">
        <v>9.4</v>
      </c>
      <c r="J949" s="5">
        <v>4.38</v>
      </c>
    </row>
    <row r="950" spans="2:11">
      <c r="B950" s="27">
        <v>314</v>
      </c>
      <c r="C950" s="27">
        <v>48</v>
      </c>
      <c r="D950" s="28" t="s">
        <v>732</v>
      </c>
      <c r="E950" s="28" t="s">
        <v>46</v>
      </c>
      <c r="K950" s="27">
        <v>50</v>
      </c>
    </row>
    <row r="952" s="20" customFormat="1" spans="1:11">
      <c r="A952" s="23" t="s">
        <v>733</v>
      </c>
      <c r="B952" s="51" t="s">
        <v>1</v>
      </c>
      <c r="C952" s="52" t="s">
        <v>2</v>
      </c>
      <c r="D952" s="53" t="s">
        <v>3</v>
      </c>
      <c r="E952" s="53" t="s">
        <v>4</v>
      </c>
      <c r="F952" s="54" t="s">
        <v>5</v>
      </c>
      <c r="G952" s="54" t="s">
        <v>6</v>
      </c>
      <c r="H952" s="54" t="s">
        <v>7</v>
      </c>
      <c r="I952" s="55" t="s">
        <v>8</v>
      </c>
      <c r="J952" s="56" t="s">
        <v>9</v>
      </c>
      <c r="K952" s="52" t="s">
        <v>10</v>
      </c>
    </row>
    <row r="953" spans="2:10">
      <c r="B953" s="27">
        <v>315</v>
      </c>
      <c r="C953" s="27">
        <v>1</v>
      </c>
      <c r="D953" s="30" t="s">
        <v>734</v>
      </c>
      <c r="E953" s="28" t="s">
        <v>12</v>
      </c>
      <c r="F953" s="27">
        <v>16</v>
      </c>
      <c r="G953" s="27">
        <v>225</v>
      </c>
      <c r="H953" s="27">
        <v>6</v>
      </c>
      <c r="I953" s="35">
        <v>7.5</v>
      </c>
      <c r="J953" s="5">
        <v>5.07</v>
      </c>
    </row>
    <row r="954" spans="2:10">
      <c r="B954" s="27">
        <v>315</v>
      </c>
      <c r="C954" s="27">
        <v>2</v>
      </c>
      <c r="D954" s="28" t="s">
        <v>735</v>
      </c>
      <c r="E954" s="28" t="s">
        <v>12</v>
      </c>
      <c r="F954" s="27">
        <v>2.5</v>
      </c>
      <c r="G954" s="27">
        <v>220</v>
      </c>
      <c r="H954" s="27">
        <v>6</v>
      </c>
      <c r="I954" s="35">
        <v>7.8</v>
      </c>
      <c r="J954" s="5">
        <v>5.07</v>
      </c>
    </row>
    <row r="955" spans="2:10">
      <c r="B955" s="27">
        <v>315</v>
      </c>
      <c r="C955" s="27">
        <v>3</v>
      </c>
      <c r="D955" s="28" t="s">
        <v>736</v>
      </c>
      <c r="E955" s="28" t="s">
        <v>12</v>
      </c>
      <c r="F955" s="27">
        <v>11.5</v>
      </c>
      <c r="G955" s="27">
        <v>220</v>
      </c>
      <c r="H955" s="27">
        <v>4</v>
      </c>
      <c r="I955" s="35">
        <v>7.2</v>
      </c>
      <c r="J955" s="5">
        <v>4.52</v>
      </c>
    </row>
    <row r="956" spans="2:10">
      <c r="B956" s="27">
        <v>315</v>
      </c>
      <c r="C956" s="27">
        <v>4</v>
      </c>
      <c r="D956" s="28" t="s">
        <v>737</v>
      </c>
      <c r="E956" s="28" t="s">
        <v>12</v>
      </c>
      <c r="F956" s="27">
        <v>17</v>
      </c>
      <c r="G956" s="27">
        <v>215</v>
      </c>
      <c r="H956" s="27">
        <v>4</v>
      </c>
      <c r="I956" s="35">
        <v>8.2</v>
      </c>
      <c r="J956" s="5">
        <v>5.07</v>
      </c>
    </row>
    <row r="957" spans="2:10">
      <c r="B957" s="27">
        <v>315</v>
      </c>
      <c r="C957" s="27">
        <v>5</v>
      </c>
      <c r="D957" s="28" t="s">
        <v>738</v>
      </c>
      <c r="E957" s="28" t="s">
        <v>12</v>
      </c>
      <c r="F957" s="27">
        <v>7.6</v>
      </c>
      <c r="G957" s="27">
        <v>253</v>
      </c>
      <c r="H957" s="27">
        <v>20</v>
      </c>
      <c r="I957" s="35">
        <v>6.8</v>
      </c>
      <c r="J957" s="5">
        <v>4.44</v>
      </c>
    </row>
    <row r="958" spans="2:10">
      <c r="B958" s="27">
        <v>315</v>
      </c>
      <c r="C958" s="27">
        <v>6</v>
      </c>
      <c r="D958" s="28" t="s">
        <v>739</v>
      </c>
      <c r="E958" s="28" t="s">
        <v>12</v>
      </c>
      <c r="F958" s="27">
        <v>20</v>
      </c>
      <c r="G958" s="27">
        <v>255</v>
      </c>
      <c r="H958" s="27">
        <v>11</v>
      </c>
      <c r="I958" s="35">
        <v>6.5</v>
      </c>
      <c r="J958" s="5">
        <v>5.07</v>
      </c>
    </row>
    <row r="959" spans="2:10">
      <c r="B959" s="27">
        <v>315</v>
      </c>
      <c r="C959" s="27">
        <v>7</v>
      </c>
      <c r="D959" s="28" t="s">
        <v>740</v>
      </c>
      <c r="E959" s="28" t="s">
        <v>12</v>
      </c>
      <c r="F959" s="27">
        <v>10.5</v>
      </c>
      <c r="G959" s="27">
        <v>205</v>
      </c>
      <c r="H959" s="27">
        <v>18</v>
      </c>
      <c r="I959" s="35">
        <v>7.4</v>
      </c>
      <c r="J959" s="5">
        <v>5.07</v>
      </c>
    </row>
    <row r="960" spans="2:10">
      <c r="B960" s="27">
        <v>315</v>
      </c>
      <c r="C960" s="27">
        <v>8</v>
      </c>
      <c r="D960" s="28" t="s">
        <v>741</v>
      </c>
      <c r="E960" s="28" t="s">
        <v>12</v>
      </c>
      <c r="F960" s="27">
        <v>12</v>
      </c>
      <c r="G960" s="27">
        <v>215</v>
      </c>
      <c r="H960" s="27">
        <v>1</v>
      </c>
      <c r="I960" s="35">
        <v>7.3</v>
      </c>
      <c r="J960" s="5">
        <v>5.07</v>
      </c>
    </row>
    <row r="961" spans="2:10">
      <c r="B961" s="27">
        <v>315</v>
      </c>
      <c r="C961" s="27">
        <v>9</v>
      </c>
      <c r="D961" s="28" t="s">
        <v>742</v>
      </c>
      <c r="E961" s="28" t="s">
        <v>12</v>
      </c>
      <c r="F961" s="27">
        <v>9.6</v>
      </c>
      <c r="G961" s="27">
        <v>260</v>
      </c>
      <c r="H961" s="27">
        <v>8</v>
      </c>
      <c r="I961" s="35">
        <v>7</v>
      </c>
      <c r="J961" s="5">
        <v>5.07</v>
      </c>
    </row>
    <row r="963" s="20" customFormat="1" spans="1:11">
      <c r="A963" s="23" t="s">
        <v>743</v>
      </c>
      <c r="B963" s="51" t="s">
        <v>1</v>
      </c>
      <c r="C963" s="52" t="s">
        <v>2</v>
      </c>
      <c r="D963" s="53" t="s">
        <v>3</v>
      </c>
      <c r="E963" s="53" t="s">
        <v>4</v>
      </c>
      <c r="F963" s="54" t="s">
        <v>5</v>
      </c>
      <c r="G963" s="54" t="s">
        <v>6</v>
      </c>
      <c r="H963" s="54" t="s">
        <v>7</v>
      </c>
      <c r="I963" s="55" t="s">
        <v>8</v>
      </c>
      <c r="J963" s="56" t="s">
        <v>9</v>
      </c>
      <c r="K963" s="52" t="s">
        <v>10</v>
      </c>
    </row>
    <row r="964" spans="2:10">
      <c r="B964" s="27">
        <v>315</v>
      </c>
      <c r="C964" s="27">
        <v>10</v>
      </c>
      <c r="D964" s="30" t="s">
        <v>278</v>
      </c>
      <c r="E964" s="28" t="s">
        <v>46</v>
      </c>
      <c r="F964" s="27">
        <v>16</v>
      </c>
      <c r="G964" s="27">
        <v>147</v>
      </c>
      <c r="H964" s="27">
        <v>40</v>
      </c>
      <c r="I964" s="35">
        <v>10.5</v>
      </c>
      <c r="J964" s="5">
        <v>4.49</v>
      </c>
    </row>
    <row r="965" spans="2:10">
      <c r="B965" s="27">
        <v>315</v>
      </c>
      <c r="C965" s="27">
        <v>11</v>
      </c>
      <c r="D965" s="28" t="s">
        <v>744</v>
      </c>
      <c r="E965" s="28" t="s">
        <v>46</v>
      </c>
      <c r="F965" s="27">
        <v>19</v>
      </c>
      <c r="G965" s="27">
        <v>165</v>
      </c>
      <c r="H965" s="27">
        <v>35</v>
      </c>
      <c r="I965" s="35">
        <v>9.2</v>
      </c>
      <c r="J965" s="5">
        <v>4.15</v>
      </c>
    </row>
    <row r="966" spans="2:10">
      <c r="B966" s="27">
        <v>315</v>
      </c>
      <c r="C966" s="27">
        <v>12</v>
      </c>
      <c r="D966" s="28" t="s">
        <v>745</v>
      </c>
      <c r="E966" s="28" t="s">
        <v>46</v>
      </c>
      <c r="F966" s="27">
        <v>16.1</v>
      </c>
      <c r="G966" s="27">
        <v>157</v>
      </c>
      <c r="H966" s="27">
        <v>57</v>
      </c>
      <c r="I966" s="35">
        <v>8.8</v>
      </c>
      <c r="J966" s="5">
        <v>4.02</v>
      </c>
    </row>
    <row r="967" spans="2:10">
      <c r="B967" s="27">
        <v>315</v>
      </c>
      <c r="C967" s="27">
        <v>13</v>
      </c>
      <c r="D967" s="28" t="s">
        <v>746</v>
      </c>
      <c r="E967" s="28" t="s">
        <v>46</v>
      </c>
      <c r="F967" s="27">
        <v>27</v>
      </c>
      <c r="G967" s="27">
        <v>178</v>
      </c>
      <c r="H967" s="27">
        <v>50</v>
      </c>
      <c r="I967" s="35">
        <v>8.5</v>
      </c>
      <c r="J967" s="5">
        <v>3.49</v>
      </c>
    </row>
    <row r="968" spans="2:10">
      <c r="B968" s="27">
        <v>315</v>
      </c>
      <c r="C968" s="27">
        <v>14</v>
      </c>
      <c r="D968" s="28" t="s">
        <v>747</v>
      </c>
      <c r="E968" s="28" t="s">
        <v>46</v>
      </c>
      <c r="F968" s="27">
        <v>16.5</v>
      </c>
      <c r="G968" s="27">
        <v>160</v>
      </c>
      <c r="H968" s="27">
        <v>43</v>
      </c>
      <c r="I968" s="35">
        <v>10.6</v>
      </c>
      <c r="J968" s="5">
        <v>4.5</v>
      </c>
    </row>
    <row r="969" spans="2:10">
      <c r="B969" s="27">
        <v>315</v>
      </c>
      <c r="C969" s="27">
        <v>15</v>
      </c>
      <c r="D969" s="28" t="s">
        <v>748</v>
      </c>
      <c r="E969" s="28" t="s">
        <v>46</v>
      </c>
      <c r="F969" s="27">
        <v>24.5</v>
      </c>
      <c r="G969" s="27">
        <v>198</v>
      </c>
      <c r="H969" s="27">
        <v>42</v>
      </c>
      <c r="I969" s="35">
        <v>8.4</v>
      </c>
      <c r="J969" s="5">
        <v>4.34</v>
      </c>
    </row>
    <row r="970" spans="2:10">
      <c r="B970" s="27">
        <v>315</v>
      </c>
      <c r="C970" s="27">
        <v>16</v>
      </c>
      <c r="D970" s="28" t="s">
        <v>749</v>
      </c>
      <c r="E970" s="28" t="s">
        <v>46</v>
      </c>
      <c r="F970" s="27">
        <v>20</v>
      </c>
      <c r="G970" s="27">
        <v>168</v>
      </c>
      <c r="H970" s="27">
        <v>25</v>
      </c>
      <c r="I970" s="35">
        <v>9.1</v>
      </c>
      <c r="J970" s="5">
        <v>5.1</v>
      </c>
    </row>
    <row r="971" spans="2:10">
      <c r="B971" s="27">
        <v>315</v>
      </c>
      <c r="C971" s="27">
        <v>17</v>
      </c>
      <c r="D971" s="28" t="s">
        <v>750</v>
      </c>
      <c r="E971" s="28" t="s">
        <v>46</v>
      </c>
      <c r="F971" s="27">
        <v>9</v>
      </c>
      <c r="G971" s="27">
        <v>150</v>
      </c>
      <c r="H971" s="27">
        <v>41</v>
      </c>
      <c r="I971" s="35">
        <v>10.2</v>
      </c>
      <c r="J971" s="5">
        <v>4.52</v>
      </c>
    </row>
    <row r="972" spans="2:10">
      <c r="B972" s="27">
        <v>315</v>
      </c>
      <c r="C972" s="27">
        <v>18</v>
      </c>
      <c r="D972" s="28" t="s">
        <v>751</v>
      </c>
      <c r="E972" s="28" t="s">
        <v>46</v>
      </c>
      <c r="F972" s="27">
        <v>15.5</v>
      </c>
      <c r="G972" s="27">
        <v>152</v>
      </c>
      <c r="H972" s="27">
        <v>65</v>
      </c>
      <c r="I972" s="35">
        <v>9.4</v>
      </c>
      <c r="J972" s="5">
        <v>4.34</v>
      </c>
    </row>
    <row r="973" spans="2:10">
      <c r="B973" s="27">
        <v>315</v>
      </c>
      <c r="C973" s="27">
        <v>19</v>
      </c>
      <c r="D973" s="28" t="s">
        <v>752</v>
      </c>
      <c r="E973" s="28" t="s">
        <v>46</v>
      </c>
      <c r="F973" s="27">
        <v>20.5</v>
      </c>
      <c r="G973" s="27">
        <v>168</v>
      </c>
      <c r="H973" s="27">
        <v>51</v>
      </c>
      <c r="I973" s="35">
        <v>9</v>
      </c>
      <c r="J973" s="5">
        <v>3.34</v>
      </c>
    </row>
    <row r="974" spans="4:5">
      <c r="D974" s="28"/>
      <c r="E974" s="28"/>
    </row>
    <row r="975" s="20" customFormat="1" spans="1:11">
      <c r="A975" s="23" t="s">
        <v>753</v>
      </c>
      <c r="B975" s="51" t="s">
        <v>1</v>
      </c>
      <c r="C975" s="52" t="s">
        <v>2</v>
      </c>
      <c r="D975" s="53" t="s">
        <v>3</v>
      </c>
      <c r="E975" s="53" t="s">
        <v>4</v>
      </c>
      <c r="F975" s="54" t="s">
        <v>5</v>
      </c>
      <c r="G975" s="54" t="s">
        <v>6</v>
      </c>
      <c r="H975" s="54" t="s">
        <v>7</v>
      </c>
      <c r="I975" s="55" t="s">
        <v>8</v>
      </c>
      <c r="J975" s="56" t="s">
        <v>9</v>
      </c>
      <c r="K975" s="52" t="s">
        <v>10</v>
      </c>
    </row>
    <row r="976" spans="2:10">
      <c r="B976" s="27">
        <v>315</v>
      </c>
      <c r="C976" s="27">
        <v>20</v>
      </c>
      <c r="D976" s="30" t="s">
        <v>754</v>
      </c>
      <c r="E976" s="28" t="s">
        <v>46</v>
      </c>
      <c r="F976" s="27">
        <v>18.5</v>
      </c>
      <c r="G976" s="27">
        <v>170</v>
      </c>
      <c r="H976" s="27">
        <v>43</v>
      </c>
      <c r="I976" s="35">
        <v>9.3</v>
      </c>
      <c r="J976" s="5">
        <v>4.3</v>
      </c>
    </row>
    <row r="977" spans="2:10">
      <c r="B977" s="27">
        <v>315</v>
      </c>
      <c r="C977" s="27">
        <v>21</v>
      </c>
      <c r="D977" s="28" t="s">
        <v>755</v>
      </c>
      <c r="E977" s="28" t="s">
        <v>46</v>
      </c>
      <c r="F977" s="27">
        <v>16</v>
      </c>
      <c r="G977" s="27">
        <v>192</v>
      </c>
      <c r="H977" s="27">
        <v>39</v>
      </c>
      <c r="I977" s="35">
        <v>8.1</v>
      </c>
      <c r="J977" s="5">
        <v>3.46</v>
      </c>
    </row>
    <row r="978" spans="2:10">
      <c r="B978" s="27">
        <v>315</v>
      </c>
      <c r="C978" s="27">
        <v>22</v>
      </c>
      <c r="D978" s="28" t="s">
        <v>756</v>
      </c>
      <c r="E978" s="28" t="s">
        <v>46</v>
      </c>
      <c r="F978" s="27">
        <v>16.6</v>
      </c>
      <c r="G978" s="27">
        <v>165</v>
      </c>
      <c r="H978" s="27">
        <v>45</v>
      </c>
      <c r="I978" s="35">
        <v>8.9</v>
      </c>
      <c r="J978" s="5">
        <v>4.13</v>
      </c>
    </row>
    <row r="979" spans="2:10">
      <c r="B979" s="27">
        <v>315</v>
      </c>
      <c r="C979" s="27">
        <v>23</v>
      </c>
      <c r="D979" s="28" t="s">
        <v>757</v>
      </c>
      <c r="E979" s="28" t="s">
        <v>46</v>
      </c>
      <c r="F979" s="27">
        <v>17.6</v>
      </c>
      <c r="G979" s="27">
        <v>162</v>
      </c>
      <c r="H979" s="27">
        <v>28</v>
      </c>
      <c r="I979" s="35">
        <v>10.3</v>
      </c>
      <c r="J979" s="5">
        <v>4.55</v>
      </c>
    </row>
    <row r="980" spans="2:10">
      <c r="B980" s="27">
        <v>315</v>
      </c>
      <c r="C980" s="27">
        <v>24</v>
      </c>
      <c r="D980" s="28" t="s">
        <v>758</v>
      </c>
      <c r="E980" s="28" t="s">
        <v>46</v>
      </c>
      <c r="F980" s="27">
        <v>17.5</v>
      </c>
      <c r="G980" s="27">
        <v>176</v>
      </c>
      <c r="H980" s="27">
        <v>46</v>
      </c>
      <c r="I980" s="35">
        <v>8.9</v>
      </c>
      <c r="J980" s="5">
        <v>4.54</v>
      </c>
    </row>
    <row r="981" spans="2:10">
      <c r="B981" s="27">
        <v>315</v>
      </c>
      <c r="C981" s="27">
        <v>25</v>
      </c>
      <c r="D981" s="28" t="s">
        <v>759</v>
      </c>
      <c r="E981" s="28" t="s">
        <v>46</v>
      </c>
      <c r="F981" s="27">
        <v>10</v>
      </c>
      <c r="G981" s="27">
        <v>165</v>
      </c>
      <c r="H981" s="27">
        <v>48</v>
      </c>
      <c r="I981" s="35">
        <v>9.2</v>
      </c>
      <c r="J981" s="5">
        <v>4.08</v>
      </c>
    </row>
    <row r="982" spans="2:10">
      <c r="B982" s="27">
        <v>315</v>
      </c>
      <c r="C982" s="27">
        <v>26</v>
      </c>
      <c r="D982" s="28" t="s">
        <v>760</v>
      </c>
      <c r="E982" s="28" t="s">
        <v>46</v>
      </c>
      <c r="F982" s="27">
        <v>14</v>
      </c>
      <c r="G982" s="27">
        <v>157</v>
      </c>
      <c r="H982" s="27">
        <v>50</v>
      </c>
      <c r="I982" s="35">
        <v>9.4</v>
      </c>
      <c r="J982" s="5">
        <v>4.07</v>
      </c>
    </row>
    <row r="983" spans="2:10">
      <c r="B983" s="27">
        <v>315</v>
      </c>
      <c r="C983" s="27">
        <v>27</v>
      </c>
      <c r="D983" s="28" t="s">
        <v>761</v>
      </c>
      <c r="E983" s="28" t="s">
        <v>46</v>
      </c>
      <c r="F983" s="27">
        <v>15.5</v>
      </c>
      <c r="G983" s="27">
        <v>160</v>
      </c>
      <c r="H983" s="27">
        <v>45</v>
      </c>
      <c r="I983" s="35">
        <v>9.5</v>
      </c>
      <c r="J983" s="5">
        <v>4.3</v>
      </c>
    </row>
    <row r="984" spans="2:10">
      <c r="B984" s="27">
        <v>315</v>
      </c>
      <c r="C984" s="27">
        <v>28</v>
      </c>
      <c r="D984" s="28" t="s">
        <v>762</v>
      </c>
      <c r="E984" s="28" t="s">
        <v>46</v>
      </c>
      <c r="F984" s="27">
        <v>12.5</v>
      </c>
      <c r="G984" s="27">
        <v>168</v>
      </c>
      <c r="H984" s="27">
        <v>30</v>
      </c>
      <c r="I984" s="35">
        <v>10.2</v>
      </c>
      <c r="J984" s="5">
        <v>4.24</v>
      </c>
    </row>
    <row r="985" spans="2:10">
      <c r="B985" s="27">
        <v>315</v>
      </c>
      <c r="C985" s="27">
        <v>29</v>
      </c>
      <c r="D985" s="28" t="s">
        <v>763</v>
      </c>
      <c r="E985" s="28" t="s">
        <v>46</v>
      </c>
      <c r="F985" s="27">
        <v>18.5</v>
      </c>
      <c r="G985" s="27">
        <v>184</v>
      </c>
      <c r="H985" s="27">
        <v>38</v>
      </c>
      <c r="I985" s="35">
        <v>10.2</v>
      </c>
      <c r="J985" s="5">
        <v>4.5</v>
      </c>
    </row>
    <row r="986" spans="4:5">
      <c r="D986" s="28"/>
      <c r="E986" s="28"/>
    </row>
    <row r="987" spans="4:5">
      <c r="D987" s="28"/>
      <c r="E987" s="28"/>
    </row>
    <row r="988" spans="4:5">
      <c r="D988" s="28"/>
      <c r="E988" s="28"/>
    </row>
    <row r="989" spans="4:5">
      <c r="D989" s="28"/>
      <c r="E989" s="28"/>
    </row>
    <row r="990" spans="4:5">
      <c r="D990" s="28"/>
      <c r="E990" s="28"/>
    </row>
    <row r="991" spans="4:5">
      <c r="D991" s="28"/>
      <c r="E991" s="28"/>
    </row>
    <row r="992" spans="4:5">
      <c r="D992" s="28"/>
      <c r="E992" s="28"/>
    </row>
    <row r="993" spans="4:5">
      <c r="D993" s="28"/>
      <c r="E993" s="28"/>
    </row>
    <row r="994" spans="4:5">
      <c r="D994" s="28"/>
      <c r="E994" s="28"/>
    </row>
    <row r="996" s="20" customFormat="1" spans="1:11">
      <c r="A996" s="23" t="s">
        <v>764</v>
      </c>
      <c r="B996" s="51" t="s">
        <v>1</v>
      </c>
      <c r="C996" s="52" t="s">
        <v>2</v>
      </c>
      <c r="D996" s="53" t="s">
        <v>3</v>
      </c>
      <c r="E996" s="53" t="s">
        <v>4</v>
      </c>
      <c r="F996" s="54" t="s">
        <v>5</v>
      </c>
      <c r="G996" s="54" t="s">
        <v>6</v>
      </c>
      <c r="H996" s="54" t="s">
        <v>7</v>
      </c>
      <c r="I996" s="55" t="s">
        <v>8</v>
      </c>
      <c r="J996" s="56" t="s">
        <v>9</v>
      </c>
      <c r="K996" s="52" t="s">
        <v>10</v>
      </c>
    </row>
    <row r="997" spans="2:10">
      <c r="B997" s="27">
        <v>315</v>
      </c>
      <c r="C997" s="27">
        <v>30</v>
      </c>
      <c r="D997" s="30" t="s">
        <v>765</v>
      </c>
      <c r="E997" s="28" t="s">
        <v>46</v>
      </c>
      <c r="F997" s="27">
        <v>20.4</v>
      </c>
      <c r="G997" s="27">
        <v>160</v>
      </c>
      <c r="H997" s="27">
        <v>36</v>
      </c>
      <c r="I997" s="35">
        <v>9.4</v>
      </c>
      <c r="J997" s="5">
        <v>4.17</v>
      </c>
    </row>
    <row r="998" spans="2:10">
      <c r="B998" s="27">
        <v>315</v>
      </c>
      <c r="C998" s="27">
        <v>31</v>
      </c>
      <c r="D998" s="28" t="s">
        <v>766</v>
      </c>
      <c r="E998" s="28" t="s">
        <v>46</v>
      </c>
      <c r="F998" s="27">
        <v>9.3</v>
      </c>
      <c r="G998" s="27">
        <v>125</v>
      </c>
      <c r="H998" s="27">
        <v>18</v>
      </c>
      <c r="I998" s="35">
        <v>16.2</v>
      </c>
      <c r="J998" s="5">
        <v>5.09</v>
      </c>
    </row>
    <row r="999" spans="2:10">
      <c r="B999" s="27">
        <v>315</v>
      </c>
      <c r="C999" s="27">
        <v>32</v>
      </c>
      <c r="D999" s="28" t="s">
        <v>767</v>
      </c>
      <c r="E999" s="28" t="s">
        <v>46</v>
      </c>
      <c r="F999" s="27">
        <v>17</v>
      </c>
      <c r="G999" s="27">
        <v>182</v>
      </c>
      <c r="H999" s="27">
        <v>45</v>
      </c>
      <c r="I999" s="35">
        <v>9.8</v>
      </c>
      <c r="J999" s="5">
        <v>5.08</v>
      </c>
    </row>
    <row r="1000" spans="2:10">
      <c r="B1000" s="27">
        <v>315</v>
      </c>
      <c r="C1000" s="27">
        <v>33</v>
      </c>
      <c r="D1000" s="28" t="s">
        <v>768</v>
      </c>
      <c r="E1000" s="28" t="s">
        <v>46</v>
      </c>
      <c r="F1000" s="27">
        <v>8.2</v>
      </c>
      <c r="G1000" s="27">
        <v>200</v>
      </c>
      <c r="H1000" s="27">
        <v>56</v>
      </c>
      <c r="I1000" s="35">
        <v>9.1</v>
      </c>
      <c r="J1000" s="5">
        <v>5.09</v>
      </c>
    </row>
    <row r="1001" spans="2:10">
      <c r="B1001" s="27">
        <v>315</v>
      </c>
      <c r="C1001" s="27">
        <v>34</v>
      </c>
      <c r="D1001" s="28" t="s">
        <v>769</v>
      </c>
      <c r="E1001" s="28" t="s">
        <v>46</v>
      </c>
      <c r="F1001" s="27">
        <v>14.7</v>
      </c>
      <c r="G1001" s="27">
        <v>185</v>
      </c>
      <c r="H1001" s="27">
        <v>37</v>
      </c>
      <c r="I1001" s="35">
        <v>8.7</v>
      </c>
      <c r="J1001" s="5">
        <v>4.03</v>
      </c>
    </row>
    <row r="1002" spans="2:10">
      <c r="B1002" s="27">
        <v>315</v>
      </c>
      <c r="C1002" s="27">
        <v>35</v>
      </c>
      <c r="D1002" s="28" t="s">
        <v>770</v>
      </c>
      <c r="E1002" s="28" t="s">
        <v>46</v>
      </c>
      <c r="F1002" s="27">
        <v>24</v>
      </c>
      <c r="G1002" s="27">
        <v>175</v>
      </c>
      <c r="H1002" s="27">
        <v>36</v>
      </c>
      <c r="I1002" s="35">
        <v>9.4</v>
      </c>
      <c r="J1002" s="5">
        <v>4.19</v>
      </c>
    </row>
    <row r="1003" spans="2:10">
      <c r="B1003" s="27">
        <v>315</v>
      </c>
      <c r="C1003" s="27">
        <v>36</v>
      </c>
      <c r="D1003" s="28" t="s">
        <v>771</v>
      </c>
      <c r="E1003" s="28" t="s">
        <v>46</v>
      </c>
      <c r="F1003" s="27">
        <v>22.6</v>
      </c>
      <c r="G1003" s="27">
        <v>162</v>
      </c>
      <c r="H1003" s="27">
        <v>42</v>
      </c>
      <c r="I1003" s="35">
        <v>9.6</v>
      </c>
      <c r="J1003" s="5">
        <v>5.1</v>
      </c>
    </row>
    <row r="1004" spans="2:10">
      <c r="B1004" s="27">
        <v>315</v>
      </c>
      <c r="C1004" s="27">
        <v>37</v>
      </c>
      <c r="D1004" s="28" t="s">
        <v>772</v>
      </c>
      <c r="E1004" s="28" t="s">
        <v>46</v>
      </c>
      <c r="F1004" s="27">
        <v>10.3</v>
      </c>
      <c r="G1004" s="27">
        <v>168</v>
      </c>
      <c r="H1004" s="27">
        <v>44</v>
      </c>
      <c r="I1004" s="35">
        <v>9.1</v>
      </c>
      <c r="J1004" s="5">
        <v>5.25</v>
      </c>
    </row>
    <row r="1005" spans="2:10">
      <c r="B1005" s="27">
        <v>315</v>
      </c>
      <c r="C1005" s="27">
        <v>38</v>
      </c>
      <c r="D1005" s="28" t="s">
        <v>773</v>
      </c>
      <c r="E1005" s="28" t="s">
        <v>46</v>
      </c>
      <c r="F1005" s="27">
        <v>6.1</v>
      </c>
      <c r="G1005" s="27">
        <v>220</v>
      </c>
      <c r="H1005" s="27">
        <v>50</v>
      </c>
      <c r="I1005" s="35">
        <v>8.2</v>
      </c>
      <c r="J1005" s="5">
        <v>3.59</v>
      </c>
    </row>
    <row r="1006" spans="2:10">
      <c r="B1006" s="27">
        <v>315</v>
      </c>
      <c r="C1006" s="27">
        <v>39</v>
      </c>
      <c r="D1006" s="28" t="s">
        <v>774</v>
      </c>
      <c r="E1006" s="28" t="s">
        <v>46</v>
      </c>
      <c r="F1006" s="27">
        <v>10.5</v>
      </c>
      <c r="G1006" s="27">
        <v>175</v>
      </c>
      <c r="H1006" s="27">
        <v>50</v>
      </c>
      <c r="I1006" s="35">
        <v>8.4</v>
      </c>
      <c r="J1006" s="5">
        <v>4.25</v>
      </c>
    </row>
    <row r="1008" s="22" customFormat="1" spans="1:11">
      <c r="A1008" s="23"/>
      <c r="B1008" s="51"/>
      <c r="C1008" s="52"/>
      <c r="D1008" s="53"/>
      <c r="E1008" s="53"/>
      <c r="F1008" s="54"/>
      <c r="G1008" s="54"/>
      <c r="H1008" s="54"/>
      <c r="I1008" s="55"/>
      <c r="J1008" s="56"/>
      <c r="K1008" s="52"/>
    </row>
    <row r="1009" s="20" customFormat="1" spans="1:11">
      <c r="A1009" s="23" t="s">
        <v>775</v>
      </c>
      <c r="B1009" s="51" t="s">
        <v>1</v>
      </c>
      <c r="C1009" s="52" t="s">
        <v>2</v>
      </c>
      <c r="D1009" s="53" t="s">
        <v>3</v>
      </c>
      <c r="E1009" s="53" t="s">
        <v>4</v>
      </c>
      <c r="F1009" s="54" t="s">
        <v>5</v>
      </c>
      <c r="G1009" s="54" t="s">
        <v>6</v>
      </c>
      <c r="H1009" s="54" t="s">
        <v>7</v>
      </c>
      <c r="I1009" s="55" t="s">
        <v>8</v>
      </c>
      <c r="J1009" s="56" t="s">
        <v>9</v>
      </c>
      <c r="K1009" s="52" t="s">
        <v>10</v>
      </c>
    </row>
    <row r="1010" spans="2:10">
      <c r="B1010" s="27">
        <v>315</v>
      </c>
      <c r="C1010" s="27">
        <v>40</v>
      </c>
      <c r="D1010" s="30" t="s">
        <v>776</v>
      </c>
      <c r="E1010" s="28" t="s">
        <v>46</v>
      </c>
      <c r="F1010" s="27">
        <v>27</v>
      </c>
      <c r="G1010" s="27">
        <v>160</v>
      </c>
      <c r="H1010" s="27">
        <v>58</v>
      </c>
      <c r="I1010" s="35">
        <v>9.6</v>
      </c>
      <c r="J1010" s="5">
        <v>4.19</v>
      </c>
    </row>
    <row r="1011" spans="2:10">
      <c r="B1011" s="27">
        <v>315</v>
      </c>
      <c r="C1011" s="27">
        <v>41</v>
      </c>
      <c r="D1011" s="28" t="s">
        <v>777</v>
      </c>
      <c r="E1011" s="28" t="s">
        <v>46</v>
      </c>
      <c r="F1011" s="27">
        <v>12</v>
      </c>
      <c r="G1011" s="27">
        <v>178</v>
      </c>
      <c r="H1011" s="27">
        <v>22</v>
      </c>
      <c r="I1011" s="35">
        <v>9.8</v>
      </c>
      <c r="J1011" s="5">
        <v>4.32</v>
      </c>
    </row>
    <row r="1012" spans="2:10">
      <c r="B1012" s="27">
        <v>315</v>
      </c>
      <c r="C1012" s="27">
        <v>42</v>
      </c>
      <c r="D1012" s="28" t="s">
        <v>778</v>
      </c>
      <c r="E1012" s="28" t="s">
        <v>46</v>
      </c>
      <c r="F1012" s="27">
        <v>17.5</v>
      </c>
      <c r="G1012" s="27">
        <v>180</v>
      </c>
      <c r="H1012" s="27">
        <v>46</v>
      </c>
      <c r="I1012" s="35">
        <v>8.6</v>
      </c>
      <c r="J1012" s="5">
        <v>4.03</v>
      </c>
    </row>
    <row r="1013" spans="2:10">
      <c r="B1013" s="27">
        <v>315</v>
      </c>
      <c r="C1013" s="27">
        <v>43</v>
      </c>
      <c r="D1013" s="28" t="s">
        <v>779</v>
      </c>
      <c r="E1013" s="28" t="s">
        <v>46</v>
      </c>
      <c r="F1013" s="27">
        <v>9</v>
      </c>
      <c r="G1013" s="27">
        <v>147</v>
      </c>
      <c r="H1013" s="27">
        <v>39</v>
      </c>
      <c r="I1013" s="35">
        <v>10.6</v>
      </c>
      <c r="J1013" s="5" t="s">
        <v>77</v>
      </c>
    </row>
    <row r="1014" spans="2:10">
      <c r="B1014" s="27">
        <v>315</v>
      </c>
      <c r="C1014" s="27">
        <v>44</v>
      </c>
      <c r="D1014" s="28" t="s">
        <v>780</v>
      </c>
      <c r="E1014" s="28" t="s">
        <v>46</v>
      </c>
      <c r="F1014" s="27">
        <v>18.5</v>
      </c>
      <c r="G1014" s="27">
        <v>178</v>
      </c>
      <c r="H1014" s="27">
        <v>48</v>
      </c>
      <c r="I1014" s="35">
        <v>8.2</v>
      </c>
      <c r="J1014" s="5">
        <v>4.3</v>
      </c>
    </row>
    <row r="1015" spans="2:10">
      <c r="B1015" s="27">
        <v>315</v>
      </c>
      <c r="C1015" s="27">
        <v>45</v>
      </c>
      <c r="D1015" s="28" t="s">
        <v>781</v>
      </c>
      <c r="E1015" s="28" t="s">
        <v>46</v>
      </c>
      <c r="F1015" s="27">
        <v>8.5</v>
      </c>
      <c r="G1015" s="27">
        <v>180</v>
      </c>
      <c r="H1015" s="27">
        <v>51</v>
      </c>
      <c r="I1015" s="35">
        <v>8.7</v>
      </c>
      <c r="J1015" s="5">
        <v>4.14</v>
      </c>
    </row>
    <row r="1016" spans="2:10">
      <c r="B1016" s="27">
        <v>315</v>
      </c>
      <c r="C1016" s="27">
        <v>46</v>
      </c>
      <c r="D1016" s="28" t="s">
        <v>782</v>
      </c>
      <c r="E1016" s="28" t="s">
        <v>46</v>
      </c>
      <c r="F1016" s="27">
        <v>23.5</v>
      </c>
      <c r="G1016" s="27">
        <v>170</v>
      </c>
      <c r="H1016" s="27">
        <v>35</v>
      </c>
      <c r="I1016" s="35">
        <v>8.7</v>
      </c>
      <c r="J1016" s="5">
        <v>4.18</v>
      </c>
    </row>
    <row r="1017" spans="2:10">
      <c r="B1017" s="27">
        <v>315</v>
      </c>
      <c r="C1017" s="27">
        <v>47</v>
      </c>
      <c r="D1017" s="28" t="s">
        <v>783</v>
      </c>
      <c r="E1017" s="28" t="s">
        <v>46</v>
      </c>
      <c r="F1017" s="27">
        <v>7</v>
      </c>
      <c r="G1017" s="27">
        <v>178</v>
      </c>
      <c r="H1017" s="27">
        <v>50</v>
      </c>
      <c r="I1017" s="35">
        <v>9.2</v>
      </c>
      <c r="J1017" s="5">
        <v>3.38</v>
      </c>
    </row>
    <row r="1018" spans="2:10">
      <c r="B1018" s="27">
        <v>315</v>
      </c>
      <c r="C1018" s="27">
        <v>48</v>
      </c>
      <c r="D1018" s="28" t="s">
        <v>784</v>
      </c>
      <c r="E1018" s="28" t="s">
        <v>46</v>
      </c>
      <c r="F1018" s="27">
        <v>19</v>
      </c>
      <c r="G1018" s="27">
        <v>175</v>
      </c>
      <c r="H1018" s="27" t="s">
        <v>77</v>
      </c>
      <c r="I1018" s="35">
        <v>9.4</v>
      </c>
      <c r="J1018" s="5">
        <v>4.27</v>
      </c>
    </row>
    <row r="1019" spans="2:10">
      <c r="B1019" s="27">
        <v>315</v>
      </c>
      <c r="C1019" s="27">
        <v>49</v>
      </c>
      <c r="D1019" s="28" t="s">
        <v>785</v>
      </c>
      <c r="E1019" s="28" t="s">
        <v>46</v>
      </c>
      <c r="F1019" s="27">
        <v>20.5</v>
      </c>
      <c r="G1019" s="27">
        <v>188</v>
      </c>
      <c r="H1019" s="27">
        <v>48</v>
      </c>
      <c r="I1019" s="35">
        <v>8.9</v>
      </c>
      <c r="J1019" s="5">
        <v>4.26</v>
      </c>
    </row>
    <row r="1020" spans="2:10">
      <c r="B1020" s="27">
        <v>315</v>
      </c>
      <c r="C1020" s="27">
        <v>50</v>
      </c>
      <c r="D1020" s="38" t="s">
        <v>786</v>
      </c>
      <c r="E1020" s="38" t="s">
        <v>46</v>
      </c>
      <c r="F1020" s="27">
        <v>8.5</v>
      </c>
      <c r="G1020" s="27">
        <v>175</v>
      </c>
      <c r="H1020" s="27">
        <v>39</v>
      </c>
      <c r="I1020" s="35">
        <v>8.7</v>
      </c>
      <c r="J1020" s="5">
        <v>4.24</v>
      </c>
    </row>
    <row r="1029" s="20" customFormat="1" spans="1:11">
      <c r="A1029" s="23" t="s">
        <v>787</v>
      </c>
      <c r="B1029" s="51" t="s">
        <v>1</v>
      </c>
      <c r="C1029" s="52" t="s">
        <v>2</v>
      </c>
      <c r="D1029" s="53" t="s">
        <v>3</v>
      </c>
      <c r="E1029" s="53" t="s">
        <v>4</v>
      </c>
      <c r="F1029" s="54" t="s">
        <v>5</v>
      </c>
      <c r="G1029" s="54" t="s">
        <v>6</v>
      </c>
      <c r="H1029" s="54" t="s">
        <v>7</v>
      </c>
      <c r="I1029" s="55" t="s">
        <v>8</v>
      </c>
      <c r="J1029" s="56" t="s">
        <v>9</v>
      </c>
      <c r="K1029" s="52" t="s">
        <v>10</v>
      </c>
    </row>
    <row r="1030" spans="2:10">
      <c r="B1030" s="27">
        <v>316</v>
      </c>
      <c r="C1030" s="27">
        <v>1</v>
      </c>
      <c r="D1030" s="30" t="s">
        <v>788</v>
      </c>
      <c r="E1030" s="28" t="s">
        <v>12</v>
      </c>
      <c r="F1030" s="27">
        <v>1</v>
      </c>
      <c r="G1030" s="27">
        <v>230</v>
      </c>
      <c r="H1030" s="27">
        <v>8</v>
      </c>
      <c r="I1030" s="35">
        <v>6.8</v>
      </c>
      <c r="J1030" s="5">
        <v>4.54</v>
      </c>
    </row>
    <row r="1031" spans="2:10">
      <c r="B1031" s="27">
        <v>316</v>
      </c>
      <c r="C1031" s="27">
        <v>2</v>
      </c>
      <c r="D1031" s="28" t="s">
        <v>789</v>
      </c>
      <c r="E1031" s="28" t="s">
        <v>12</v>
      </c>
      <c r="F1031" s="27">
        <v>4</v>
      </c>
      <c r="G1031" s="27">
        <v>250</v>
      </c>
      <c r="H1031" s="27">
        <v>29</v>
      </c>
      <c r="I1031" s="35">
        <v>7</v>
      </c>
      <c r="J1031" s="5">
        <v>4.54</v>
      </c>
    </row>
    <row r="1032" spans="2:10">
      <c r="B1032" s="27">
        <v>316</v>
      </c>
      <c r="C1032" s="27">
        <v>3</v>
      </c>
      <c r="D1032" s="28" t="s">
        <v>790</v>
      </c>
      <c r="E1032" s="28" t="s">
        <v>12</v>
      </c>
      <c r="F1032" s="27">
        <v>3</v>
      </c>
      <c r="G1032" s="27">
        <v>280</v>
      </c>
      <c r="H1032" s="27">
        <v>10</v>
      </c>
      <c r="I1032" s="35">
        <v>6.5</v>
      </c>
      <c r="J1032" s="5">
        <v>3.18</v>
      </c>
    </row>
    <row r="1033" spans="2:11">
      <c r="B1033" s="27">
        <v>316</v>
      </c>
      <c r="C1033" s="27">
        <v>4</v>
      </c>
      <c r="D1033" s="28" t="s">
        <v>791</v>
      </c>
      <c r="E1033" s="28" t="s">
        <v>12</v>
      </c>
      <c r="K1033" s="27">
        <v>50</v>
      </c>
    </row>
    <row r="1034" spans="2:10">
      <c r="B1034" s="27">
        <v>316</v>
      </c>
      <c r="C1034" s="27">
        <v>5</v>
      </c>
      <c r="D1034" s="28" t="s">
        <v>792</v>
      </c>
      <c r="E1034" s="28" t="s">
        <v>12</v>
      </c>
      <c r="F1034" s="27">
        <v>11</v>
      </c>
      <c r="G1034" s="27">
        <v>260</v>
      </c>
      <c r="H1034" s="27">
        <v>17</v>
      </c>
      <c r="I1034" s="35">
        <v>6.9</v>
      </c>
      <c r="J1034" s="5">
        <v>4.54</v>
      </c>
    </row>
    <row r="1035" spans="2:10">
      <c r="B1035" s="27">
        <v>316</v>
      </c>
      <c r="C1035" s="27">
        <v>6</v>
      </c>
      <c r="D1035" s="28" t="s">
        <v>793</v>
      </c>
      <c r="E1035" s="28" t="s">
        <v>12</v>
      </c>
      <c r="F1035" s="27">
        <v>18</v>
      </c>
      <c r="G1035" s="27">
        <v>195</v>
      </c>
      <c r="H1035" s="27">
        <v>0</v>
      </c>
      <c r="I1035" s="35">
        <v>7.9</v>
      </c>
      <c r="J1035" s="5">
        <v>4.54</v>
      </c>
    </row>
    <row r="1036" spans="2:10">
      <c r="B1036" s="27">
        <v>316</v>
      </c>
      <c r="C1036" s="27">
        <v>7</v>
      </c>
      <c r="D1036" s="28" t="s">
        <v>794</v>
      </c>
      <c r="E1036" s="28" t="s">
        <v>12</v>
      </c>
      <c r="F1036" s="27">
        <v>17.2</v>
      </c>
      <c r="G1036" s="27">
        <v>190</v>
      </c>
      <c r="H1036" s="27">
        <v>0</v>
      </c>
      <c r="I1036" s="35">
        <v>8.1</v>
      </c>
      <c r="J1036" s="5">
        <v>4.54</v>
      </c>
    </row>
    <row r="1037" spans="2:10">
      <c r="B1037" s="27">
        <v>316</v>
      </c>
      <c r="C1037" s="27">
        <v>8</v>
      </c>
      <c r="D1037" s="28" t="s">
        <v>795</v>
      </c>
      <c r="E1037" s="28" t="s">
        <v>12</v>
      </c>
      <c r="F1037" s="27">
        <v>14</v>
      </c>
      <c r="G1037" s="27">
        <v>250</v>
      </c>
      <c r="H1037" s="27">
        <v>2</v>
      </c>
      <c r="I1037" s="35">
        <v>6.8</v>
      </c>
      <c r="J1037" s="5">
        <v>4.54</v>
      </c>
    </row>
    <row r="1038" spans="2:10">
      <c r="B1038" s="27">
        <v>316</v>
      </c>
      <c r="C1038" s="27">
        <v>9</v>
      </c>
      <c r="D1038" s="28" t="s">
        <v>796</v>
      </c>
      <c r="E1038" s="28" t="s">
        <v>12</v>
      </c>
      <c r="F1038" s="27">
        <v>14</v>
      </c>
      <c r="G1038" s="27">
        <v>235</v>
      </c>
      <c r="H1038" s="27">
        <v>10</v>
      </c>
      <c r="I1038" s="35">
        <v>6.7</v>
      </c>
      <c r="J1038" s="5">
        <v>4.54</v>
      </c>
    </row>
    <row r="1039" spans="2:10">
      <c r="B1039" s="27">
        <v>316</v>
      </c>
      <c r="C1039" s="27">
        <v>10</v>
      </c>
      <c r="D1039" s="28" t="s">
        <v>797</v>
      </c>
      <c r="E1039" s="28" t="s">
        <v>12</v>
      </c>
      <c r="F1039" s="27">
        <v>8.2</v>
      </c>
      <c r="G1039" s="27">
        <v>265</v>
      </c>
      <c r="H1039" s="27">
        <v>10</v>
      </c>
      <c r="I1039" s="35">
        <v>7</v>
      </c>
      <c r="J1039" s="5">
        <v>4.54</v>
      </c>
    </row>
    <row r="1040" spans="2:10">
      <c r="B1040" s="27">
        <v>316</v>
      </c>
      <c r="C1040" s="27">
        <v>11</v>
      </c>
      <c r="D1040" s="28" t="s">
        <v>798</v>
      </c>
      <c r="E1040" s="28" t="s">
        <v>12</v>
      </c>
      <c r="F1040" s="27">
        <v>16.5</v>
      </c>
      <c r="G1040" s="27">
        <v>195</v>
      </c>
      <c r="H1040" s="27">
        <v>0</v>
      </c>
      <c r="I1040" s="35">
        <v>7.9</v>
      </c>
      <c r="J1040" s="5">
        <v>4.54</v>
      </c>
    </row>
    <row r="1041" spans="2:10">
      <c r="B1041" s="27">
        <v>316</v>
      </c>
      <c r="C1041" s="27">
        <v>12</v>
      </c>
      <c r="D1041" s="28" t="s">
        <v>799</v>
      </c>
      <c r="E1041" s="28" t="s">
        <v>12</v>
      </c>
      <c r="F1041" s="27">
        <v>6.3</v>
      </c>
      <c r="G1041" s="27">
        <v>210</v>
      </c>
      <c r="H1041" s="27">
        <v>5</v>
      </c>
      <c r="I1041" s="35">
        <v>6.8</v>
      </c>
      <c r="J1041" s="5">
        <v>4.54</v>
      </c>
    </row>
    <row r="1042" spans="4:5">
      <c r="D1042" s="28"/>
      <c r="E1042" s="28"/>
    </row>
    <row r="1044" s="20" customFormat="1" spans="1:11">
      <c r="A1044" s="23" t="s">
        <v>800</v>
      </c>
      <c r="B1044" s="51" t="s">
        <v>1</v>
      </c>
      <c r="C1044" s="52" t="s">
        <v>2</v>
      </c>
      <c r="D1044" s="53" t="s">
        <v>3</v>
      </c>
      <c r="E1044" s="53" t="s">
        <v>4</v>
      </c>
      <c r="F1044" s="54" t="s">
        <v>5</v>
      </c>
      <c r="G1044" s="54" t="s">
        <v>6</v>
      </c>
      <c r="H1044" s="54" t="s">
        <v>7</v>
      </c>
      <c r="I1044" s="55" t="s">
        <v>8</v>
      </c>
      <c r="J1044" s="56" t="s">
        <v>9</v>
      </c>
      <c r="K1044" s="52" t="s">
        <v>10</v>
      </c>
    </row>
    <row r="1045" spans="2:10">
      <c r="B1045" s="27">
        <v>316</v>
      </c>
      <c r="C1045" s="27">
        <v>13</v>
      </c>
      <c r="D1045" s="30" t="s">
        <v>801</v>
      </c>
      <c r="E1045" s="28" t="s">
        <v>46</v>
      </c>
      <c r="F1045" s="27">
        <v>16</v>
      </c>
      <c r="G1045" s="27">
        <v>172</v>
      </c>
      <c r="H1045" s="27">
        <v>48</v>
      </c>
      <c r="I1045" s="35">
        <v>9.6</v>
      </c>
      <c r="J1045" s="5">
        <v>4.05</v>
      </c>
    </row>
    <row r="1046" spans="2:10">
      <c r="B1046" s="27">
        <v>316</v>
      </c>
      <c r="C1046" s="27">
        <v>14</v>
      </c>
      <c r="D1046" s="28" t="s">
        <v>802</v>
      </c>
      <c r="E1046" s="28" t="s">
        <v>46</v>
      </c>
      <c r="F1046" s="27">
        <v>13</v>
      </c>
      <c r="G1046" s="27">
        <v>200</v>
      </c>
      <c r="H1046" s="27">
        <v>43</v>
      </c>
      <c r="I1046" s="35">
        <v>7.9</v>
      </c>
      <c r="J1046" s="5">
        <v>4.06</v>
      </c>
    </row>
    <row r="1047" spans="2:11">
      <c r="B1047" s="27">
        <v>316</v>
      </c>
      <c r="C1047" s="27">
        <v>15</v>
      </c>
      <c r="D1047" s="28" t="s">
        <v>803</v>
      </c>
      <c r="E1047" s="28" t="s">
        <v>46</v>
      </c>
      <c r="K1047" s="27">
        <v>50</v>
      </c>
    </row>
    <row r="1048" spans="2:10">
      <c r="B1048" s="27">
        <v>316</v>
      </c>
      <c r="C1048" s="27">
        <v>16</v>
      </c>
      <c r="D1048" s="28" t="s">
        <v>804</v>
      </c>
      <c r="E1048" s="28" t="s">
        <v>46</v>
      </c>
      <c r="F1048" s="27">
        <v>19</v>
      </c>
      <c r="G1048" s="27">
        <v>175</v>
      </c>
      <c r="H1048" s="27">
        <v>46</v>
      </c>
      <c r="I1048" s="35">
        <v>8.2</v>
      </c>
      <c r="J1048" s="5">
        <v>3.24</v>
      </c>
    </row>
    <row r="1049" spans="2:10">
      <c r="B1049" s="27">
        <v>316</v>
      </c>
      <c r="C1049" s="27">
        <v>17</v>
      </c>
      <c r="D1049" s="28" t="s">
        <v>805</v>
      </c>
      <c r="E1049" s="28" t="s">
        <v>46</v>
      </c>
      <c r="F1049" s="27">
        <v>6</v>
      </c>
      <c r="G1049" s="27">
        <v>185</v>
      </c>
      <c r="H1049" s="27">
        <v>45</v>
      </c>
      <c r="I1049" s="35">
        <v>8.7</v>
      </c>
      <c r="J1049" s="5">
        <v>4.04</v>
      </c>
    </row>
    <row r="1050" spans="2:10">
      <c r="B1050" s="27">
        <v>316</v>
      </c>
      <c r="C1050" s="27">
        <v>18</v>
      </c>
      <c r="D1050" s="28" t="s">
        <v>806</v>
      </c>
      <c r="E1050" s="28" t="s">
        <v>46</v>
      </c>
      <c r="F1050" s="27">
        <v>11</v>
      </c>
      <c r="G1050" s="27">
        <v>125</v>
      </c>
      <c r="H1050" s="27">
        <v>40</v>
      </c>
      <c r="I1050" s="35">
        <v>10</v>
      </c>
      <c r="J1050" s="5">
        <v>5.3</v>
      </c>
    </row>
    <row r="1051" spans="2:10">
      <c r="B1051" s="27">
        <v>316</v>
      </c>
      <c r="C1051" s="27">
        <v>19</v>
      </c>
      <c r="D1051" s="28" t="s">
        <v>807</v>
      </c>
      <c r="E1051" s="28" t="s">
        <v>46</v>
      </c>
      <c r="F1051" s="27">
        <v>18.5</v>
      </c>
      <c r="G1051" s="27">
        <v>163</v>
      </c>
      <c r="H1051" s="27">
        <v>40</v>
      </c>
      <c r="I1051" s="35">
        <v>9.1</v>
      </c>
      <c r="J1051" s="5">
        <v>4.16</v>
      </c>
    </row>
    <row r="1052" spans="2:10">
      <c r="B1052" s="27">
        <v>316</v>
      </c>
      <c r="C1052" s="27">
        <v>20</v>
      </c>
      <c r="D1052" s="28" t="s">
        <v>808</v>
      </c>
      <c r="E1052" s="28" t="s">
        <v>46</v>
      </c>
      <c r="F1052" s="27">
        <v>26</v>
      </c>
      <c r="G1052" s="27">
        <v>211</v>
      </c>
      <c r="H1052" s="27">
        <v>42</v>
      </c>
      <c r="I1052" s="35">
        <v>8</v>
      </c>
      <c r="J1052" s="5">
        <v>3.39</v>
      </c>
    </row>
    <row r="1053" spans="2:10">
      <c r="B1053" s="27">
        <v>316</v>
      </c>
      <c r="C1053" s="27">
        <v>21</v>
      </c>
      <c r="D1053" s="28" t="s">
        <v>809</v>
      </c>
      <c r="E1053" s="28" t="s">
        <v>46</v>
      </c>
      <c r="F1053" s="27">
        <v>27.5</v>
      </c>
      <c r="G1053" s="27">
        <v>155</v>
      </c>
      <c r="H1053" s="27">
        <v>30</v>
      </c>
      <c r="I1053" s="35">
        <v>9.9</v>
      </c>
      <c r="J1053" s="5">
        <v>4.14</v>
      </c>
    </row>
    <row r="1054" spans="2:10">
      <c r="B1054" s="27">
        <v>316</v>
      </c>
      <c r="C1054" s="27">
        <v>22</v>
      </c>
      <c r="D1054" s="28" t="s">
        <v>810</v>
      </c>
      <c r="E1054" s="28" t="s">
        <v>46</v>
      </c>
      <c r="F1054" s="27">
        <v>14</v>
      </c>
      <c r="G1054" s="27">
        <v>194</v>
      </c>
      <c r="H1054" s="27">
        <v>36</v>
      </c>
      <c r="I1054" s="35">
        <v>8.8</v>
      </c>
      <c r="J1054" s="5">
        <v>4.5</v>
      </c>
    </row>
    <row r="1056" s="20" customFormat="1" spans="1:11">
      <c r="A1056" s="23" t="s">
        <v>811</v>
      </c>
      <c r="B1056" s="51" t="s">
        <v>1</v>
      </c>
      <c r="C1056" s="52" t="s">
        <v>2</v>
      </c>
      <c r="D1056" s="53" t="s">
        <v>3</v>
      </c>
      <c r="E1056" s="53" t="s">
        <v>4</v>
      </c>
      <c r="F1056" s="54" t="s">
        <v>5</v>
      </c>
      <c r="G1056" s="54" t="s">
        <v>6</v>
      </c>
      <c r="H1056" s="54" t="s">
        <v>7</v>
      </c>
      <c r="I1056" s="55" t="s">
        <v>8</v>
      </c>
      <c r="J1056" s="56" t="s">
        <v>9</v>
      </c>
      <c r="K1056" s="52" t="s">
        <v>10</v>
      </c>
    </row>
    <row r="1057" spans="2:10">
      <c r="B1057" s="27">
        <v>316</v>
      </c>
      <c r="C1057" s="27">
        <v>23</v>
      </c>
      <c r="D1057" s="30" t="s">
        <v>812</v>
      </c>
      <c r="E1057" s="28" t="s">
        <v>46</v>
      </c>
      <c r="F1057" s="27">
        <v>15.4</v>
      </c>
      <c r="G1057" s="27">
        <v>183</v>
      </c>
      <c r="H1057" s="27">
        <v>44</v>
      </c>
      <c r="I1057" s="35">
        <v>8.3</v>
      </c>
      <c r="J1057" s="5">
        <v>3.44</v>
      </c>
    </row>
    <row r="1058" spans="2:10">
      <c r="B1058" s="27">
        <v>316</v>
      </c>
      <c r="C1058" s="27">
        <v>24</v>
      </c>
      <c r="D1058" s="28" t="s">
        <v>813</v>
      </c>
      <c r="E1058" s="28" t="s">
        <v>46</v>
      </c>
      <c r="F1058" s="27">
        <v>11.5</v>
      </c>
      <c r="G1058" s="27">
        <v>175</v>
      </c>
      <c r="H1058" s="27">
        <v>41</v>
      </c>
      <c r="I1058" s="35">
        <v>9</v>
      </c>
      <c r="J1058" s="5">
        <v>4.19</v>
      </c>
    </row>
    <row r="1059" spans="2:10">
      <c r="B1059" s="27">
        <v>316</v>
      </c>
      <c r="C1059" s="27">
        <v>25</v>
      </c>
      <c r="D1059" s="28" t="s">
        <v>814</v>
      </c>
      <c r="E1059" s="28" t="s">
        <v>46</v>
      </c>
      <c r="F1059" s="27">
        <v>21.6</v>
      </c>
      <c r="G1059" s="27">
        <v>175</v>
      </c>
      <c r="H1059" s="27">
        <v>46</v>
      </c>
      <c r="I1059" s="35">
        <v>9</v>
      </c>
      <c r="J1059" s="5">
        <v>4.36</v>
      </c>
    </row>
    <row r="1060" spans="2:10">
      <c r="B1060" s="27">
        <v>316</v>
      </c>
      <c r="C1060" s="27">
        <v>26</v>
      </c>
      <c r="D1060" s="28" t="s">
        <v>815</v>
      </c>
      <c r="E1060" s="28" t="s">
        <v>46</v>
      </c>
      <c r="F1060" s="27">
        <v>14</v>
      </c>
      <c r="G1060" s="27">
        <v>184</v>
      </c>
      <c r="H1060" s="27">
        <v>45</v>
      </c>
      <c r="I1060" s="35">
        <v>9.1</v>
      </c>
      <c r="J1060" s="5">
        <v>4.08</v>
      </c>
    </row>
    <row r="1061" spans="2:10">
      <c r="B1061" s="27">
        <v>316</v>
      </c>
      <c r="C1061" s="27">
        <v>27</v>
      </c>
      <c r="D1061" s="28" t="s">
        <v>816</v>
      </c>
      <c r="E1061" s="28" t="s">
        <v>46</v>
      </c>
      <c r="F1061" s="27">
        <v>3</v>
      </c>
      <c r="G1061" s="27">
        <v>164</v>
      </c>
      <c r="H1061" s="27">
        <v>38</v>
      </c>
      <c r="I1061" s="35">
        <v>9.5</v>
      </c>
      <c r="J1061" s="5">
        <v>4.13</v>
      </c>
    </row>
    <row r="1062" spans="2:10">
      <c r="B1062" s="27">
        <v>316</v>
      </c>
      <c r="C1062" s="27">
        <v>28</v>
      </c>
      <c r="D1062" s="28" t="s">
        <v>817</v>
      </c>
      <c r="E1062" s="28" t="s">
        <v>46</v>
      </c>
      <c r="F1062" s="27">
        <v>22.5</v>
      </c>
      <c r="G1062" s="27">
        <v>192</v>
      </c>
      <c r="H1062" s="27">
        <v>55</v>
      </c>
      <c r="I1062" s="35">
        <v>8.4</v>
      </c>
      <c r="J1062" s="5">
        <v>4.58</v>
      </c>
    </row>
    <row r="1063" spans="2:11">
      <c r="B1063" s="27">
        <v>316</v>
      </c>
      <c r="C1063" s="27">
        <v>29</v>
      </c>
      <c r="D1063" s="28" t="s">
        <v>818</v>
      </c>
      <c r="E1063" s="28" t="s">
        <v>46</v>
      </c>
      <c r="K1063" s="27">
        <v>50</v>
      </c>
    </row>
    <row r="1064" spans="2:10">
      <c r="B1064" s="27">
        <v>316</v>
      </c>
      <c r="C1064" s="27">
        <v>30</v>
      </c>
      <c r="D1064" s="28" t="s">
        <v>819</v>
      </c>
      <c r="E1064" s="28" t="s">
        <v>46</v>
      </c>
      <c r="F1064" s="27">
        <v>29.8</v>
      </c>
      <c r="G1064" s="27">
        <v>220</v>
      </c>
      <c r="H1064" s="27">
        <v>34</v>
      </c>
      <c r="I1064" s="35">
        <v>7.8</v>
      </c>
      <c r="J1064" s="5">
        <v>3.37</v>
      </c>
    </row>
    <row r="1065" spans="2:10">
      <c r="B1065" s="27">
        <v>316</v>
      </c>
      <c r="C1065" s="27">
        <v>31</v>
      </c>
      <c r="D1065" s="28" t="s">
        <v>820</v>
      </c>
      <c r="E1065" s="28" t="s">
        <v>46</v>
      </c>
      <c r="F1065" s="27">
        <v>8.2</v>
      </c>
      <c r="G1065" s="27">
        <v>182</v>
      </c>
      <c r="H1065" s="27">
        <v>41</v>
      </c>
      <c r="I1065" s="35">
        <v>8.4</v>
      </c>
      <c r="J1065" s="5">
        <v>4.13</v>
      </c>
    </row>
    <row r="1067" s="22" customFormat="1" spans="1:11">
      <c r="A1067" s="23"/>
      <c r="B1067" s="51"/>
      <c r="C1067" s="52"/>
      <c r="D1067" s="53"/>
      <c r="E1067" s="53"/>
      <c r="F1067" s="54"/>
      <c r="G1067" s="54"/>
      <c r="H1067" s="54"/>
      <c r="I1067" s="55"/>
      <c r="J1067" s="56"/>
      <c r="K1067" s="52"/>
    </row>
    <row r="1068" s="20" customFormat="1" spans="1:11">
      <c r="A1068" s="23" t="s">
        <v>821</v>
      </c>
      <c r="B1068" s="51" t="s">
        <v>1</v>
      </c>
      <c r="C1068" s="52" t="s">
        <v>2</v>
      </c>
      <c r="D1068" s="53" t="s">
        <v>3</v>
      </c>
      <c r="E1068" s="53" t="s">
        <v>4</v>
      </c>
      <c r="F1068" s="54" t="s">
        <v>5</v>
      </c>
      <c r="G1068" s="54" t="s">
        <v>6</v>
      </c>
      <c r="H1068" s="54" t="s">
        <v>7</v>
      </c>
      <c r="I1068" s="55" t="s">
        <v>8</v>
      </c>
      <c r="J1068" s="56" t="s">
        <v>9</v>
      </c>
      <c r="K1068" s="52" t="s">
        <v>10</v>
      </c>
    </row>
    <row r="1069" spans="2:10">
      <c r="B1069" s="27">
        <v>316</v>
      </c>
      <c r="C1069" s="27">
        <v>32</v>
      </c>
      <c r="D1069" s="30" t="s">
        <v>822</v>
      </c>
      <c r="E1069" s="28" t="s">
        <v>46</v>
      </c>
      <c r="F1069" s="27">
        <v>21.5</v>
      </c>
      <c r="G1069" s="27">
        <v>174</v>
      </c>
      <c r="H1069" s="27">
        <v>48</v>
      </c>
      <c r="I1069" s="35">
        <v>9.7</v>
      </c>
      <c r="J1069" s="5">
        <v>4.11</v>
      </c>
    </row>
    <row r="1070" spans="2:10">
      <c r="B1070" s="27">
        <v>316</v>
      </c>
      <c r="C1070" s="27">
        <v>33</v>
      </c>
      <c r="D1070" s="28" t="s">
        <v>823</v>
      </c>
      <c r="E1070" s="28" t="s">
        <v>46</v>
      </c>
      <c r="F1070" s="27">
        <v>18.5</v>
      </c>
      <c r="G1070" s="27">
        <v>180</v>
      </c>
      <c r="H1070" s="27">
        <v>49</v>
      </c>
      <c r="I1070" s="35">
        <v>9.1</v>
      </c>
      <c r="J1070" s="5">
        <v>4.2</v>
      </c>
    </row>
    <row r="1071" spans="2:11">
      <c r="B1071" s="27">
        <v>316</v>
      </c>
      <c r="C1071" s="27">
        <v>34</v>
      </c>
      <c r="D1071" s="28" t="s">
        <v>824</v>
      </c>
      <c r="E1071" s="28" t="s">
        <v>46</v>
      </c>
      <c r="K1071" s="27">
        <v>50</v>
      </c>
    </row>
    <row r="1072" spans="2:10">
      <c r="B1072" s="27">
        <v>316</v>
      </c>
      <c r="C1072" s="27">
        <v>35</v>
      </c>
      <c r="D1072" s="28" t="s">
        <v>825</v>
      </c>
      <c r="E1072" s="28" t="s">
        <v>46</v>
      </c>
      <c r="F1072" s="27">
        <v>9.5</v>
      </c>
      <c r="G1072" s="27">
        <v>169</v>
      </c>
      <c r="H1072" s="27">
        <v>32</v>
      </c>
      <c r="I1072" s="35">
        <v>9.1</v>
      </c>
      <c r="J1072" s="5">
        <v>4.25</v>
      </c>
    </row>
    <row r="1073" spans="2:10">
      <c r="B1073" s="27">
        <v>316</v>
      </c>
      <c r="C1073" s="27">
        <v>36</v>
      </c>
      <c r="D1073" s="28" t="s">
        <v>826</v>
      </c>
      <c r="E1073" s="28" t="s">
        <v>46</v>
      </c>
      <c r="F1073" s="27">
        <v>16</v>
      </c>
      <c r="G1073" s="27">
        <v>160</v>
      </c>
      <c r="H1073" s="27">
        <v>49</v>
      </c>
      <c r="I1073" s="35">
        <v>8.7</v>
      </c>
      <c r="J1073" s="5">
        <v>4</v>
      </c>
    </row>
    <row r="1074" spans="2:10">
      <c r="B1074" s="27">
        <v>316</v>
      </c>
      <c r="C1074" s="27">
        <v>37</v>
      </c>
      <c r="D1074" s="28" t="s">
        <v>827</v>
      </c>
      <c r="E1074" s="28" t="s">
        <v>46</v>
      </c>
      <c r="F1074" s="27">
        <v>18</v>
      </c>
      <c r="G1074" s="27">
        <v>185</v>
      </c>
      <c r="H1074" s="27">
        <v>41</v>
      </c>
      <c r="I1074" s="35">
        <v>8.5</v>
      </c>
      <c r="J1074" s="5">
        <v>4.03</v>
      </c>
    </row>
    <row r="1075" spans="2:11">
      <c r="B1075" s="27">
        <v>316</v>
      </c>
      <c r="C1075" s="27">
        <v>38</v>
      </c>
      <c r="D1075" s="28" t="s">
        <v>828</v>
      </c>
      <c r="E1075" s="28" t="s">
        <v>46</v>
      </c>
      <c r="K1075" s="27">
        <v>50</v>
      </c>
    </row>
    <row r="1076" spans="2:10">
      <c r="B1076" s="27">
        <v>316</v>
      </c>
      <c r="C1076" s="27">
        <v>39</v>
      </c>
      <c r="D1076" s="28" t="s">
        <v>829</v>
      </c>
      <c r="E1076" s="28" t="s">
        <v>46</v>
      </c>
      <c r="F1076" s="27">
        <v>15</v>
      </c>
      <c r="G1076" s="27">
        <v>182</v>
      </c>
      <c r="H1076" s="27">
        <v>48</v>
      </c>
      <c r="I1076" s="35">
        <v>9.1</v>
      </c>
      <c r="J1076" s="5">
        <v>4.11</v>
      </c>
    </row>
    <row r="1077" spans="2:10">
      <c r="B1077" s="27">
        <v>316</v>
      </c>
      <c r="C1077" s="27">
        <v>40</v>
      </c>
      <c r="D1077" s="28" t="s">
        <v>830</v>
      </c>
      <c r="E1077" s="28" t="s">
        <v>46</v>
      </c>
      <c r="F1077" s="27">
        <v>12.5</v>
      </c>
      <c r="G1077" s="27">
        <v>170</v>
      </c>
      <c r="H1077" s="27">
        <v>37</v>
      </c>
      <c r="I1077" s="35">
        <v>10</v>
      </c>
      <c r="J1077" s="5">
        <v>4.4</v>
      </c>
    </row>
    <row r="1079" s="20" customFormat="1" spans="1:11">
      <c r="A1079" s="23" t="s">
        <v>831</v>
      </c>
      <c r="B1079" s="51" t="s">
        <v>1</v>
      </c>
      <c r="C1079" s="52" t="s">
        <v>2</v>
      </c>
      <c r="D1079" s="53" t="s">
        <v>3</v>
      </c>
      <c r="E1079" s="53" t="s">
        <v>4</v>
      </c>
      <c r="F1079" s="54" t="s">
        <v>5</v>
      </c>
      <c r="G1079" s="54" t="s">
        <v>6</v>
      </c>
      <c r="H1079" s="54" t="s">
        <v>7</v>
      </c>
      <c r="I1079" s="55" t="s">
        <v>8</v>
      </c>
      <c r="J1079" s="56" t="s">
        <v>9</v>
      </c>
      <c r="K1079" s="52" t="s">
        <v>10</v>
      </c>
    </row>
    <row r="1080" spans="2:10">
      <c r="B1080" s="27">
        <v>316</v>
      </c>
      <c r="C1080" s="27">
        <v>41</v>
      </c>
      <c r="D1080" s="30" t="s">
        <v>832</v>
      </c>
      <c r="E1080" s="28" t="s">
        <v>46</v>
      </c>
      <c r="F1080" s="27">
        <v>22</v>
      </c>
      <c r="G1080" s="27">
        <v>165</v>
      </c>
      <c r="H1080" s="27">
        <v>20</v>
      </c>
      <c r="I1080" s="35">
        <v>9.8</v>
      </c>
      <c r="J1080" s="5">
        <v>4.12</v>
      </c>
    </row>
    <row r="1081" spans="2:10">
      <c r="B1081" s="27">
        <v>316</v>
      </c>
      <c r="C1081" s="27">
        <v>42</v>
      </c>
      <c r="D1081" s="28" t="s">
        <v>833</v>
      </c>
      <c r="E1081" s="28" t="s">
        <v>46</v>
      </c>
      <c r="F1081" s="27">
        <v>27.6</v>
      </c>
      <c r="G1081" s="27">
        <v>209</v>
      </c>
      <c r="H1081" s="27">
        <v>49</v>
      </c>
      <c r="I1081" s="35">
        <v>7.8</v>
      </c>
      <c r="J1081" s="5">
        <v>4.05</v>
      </c>
    </row>
    <row r="1082" spans="2:10">
      <c r="B1082" s="27">
        <v>316</v>
      </c>
      <c r="C1082" s="27">
        <v>43</v>
      </c>
      <c r="D1082" s="28" t="s">
        <v>834</v>
      </c>
      <c r="E1082" s="28" t="s">
        <v>46</v>
      </c>
      <c r="F1082" s="27">
        <v>26.5</v>
      </c>
      <c r="G1082" s="27">
        <v>193</v>
      </c>
      <c r="H1082" s="27">
        <v>51</v>
      </c>
      <c r="I1082" s="35">
        <v>8.5</v>
      </c>
      <c r="J1082" s="5">
        <v>4.1</v>
      </c>
    </row>
    <row r="1083" spans="2:10">
      <c r="B1083" s="27">
        <v>316</v>
      </c>
      <c r="C1083" s="27">
        <v>44</v>
      </c>
      <c r="D1083" s="28" t="s">
        <v>835</v>
      </c>
      <c r="E1083" s="28" t="s">
        <v>46</v>
      </c>
      <c r="F1083" s="27">
        <v>12.5</v>
      </c>
      <c r="G1083" s="27">
        <v>170</v>
      </c>
      <c r="H1083" s="27">
        <v>45</v>
      </c>
      <c r="I1083" s="35">
        <v>9</v>
      </c>
      <c r="J1083" s="5">
        <v>4.14</v>
      </c>
    </row>
    <row r="1084" spans="2:10">
      <c r="B1084" s="27">
        <v>316</v>
      </c>
      <c r="C1084" s="27">
        <v>45</v>
      </c>
      <c r="D1084" s="28" t="s">
        <v>836</v>
      </c>
      <c r="E1084" s="28" t="s">
        <v>46</v>
      </c>
      <c r="F1084" s="27">
        <v>7</v>
      </c>
      <c r="G1084" s="27">
        <v>130</v>
      </c>
      <c r="H1084" s="27">
        <v>29</v>
      </c>
      <c r="I1084" s="35">
        <v>10</v>
      </c>
      <c r="J1084" s="5">
        <v>4.17</v>
      </c>
    </row>
    <row r="1085" spans="2:11">
      <c r="B1085" s="27">
        <v>316</v>
      </c>
      <c r="C1085" s="27">
        <v>46</v>
      </c>
      <c r="D1085" s="28" t="s">
        <v>837</v>
      </c>
      <c r="E1085" s="28" t="s">
        <v>46</v>
      </c>
      <c r="K1085" s="27">
        <v>50</v>
      </c>
    </row>
    <row r="1086" spans="2:10">
      <c r="B1086" s="27">
        <v>316</v>
      </c>
      <c r="C1086" s="27">
        <v>47</v>
      </c>
      <c r="D1086" s="28" t="s">
        <v>838</v>
      </c>
      <c r="E1086" s="28" t="s">
        <v>46</v>
      </c>
      <c r="F1086" s="27">
        <v>14.5</v>
      </c>
      <c r="G1086" s="27">
        <v>140</v>
      </c>
      <c r="H1086" s="27">
        <v>35</v>
      </c>
      <c r="I1086" s="35">
        <v>9.7</v>
      </c>
      <c r="J1086" s="5">
        <v>5.49</v>
      </c>
    </row>
    <row r="1087" spans="2:10">
      <c r="B1087" s="27">
        <v>316</v>
      </c>
      <c r="C1087" s="27">
        <v>48</v>
      </c>
      <c r="D1087" s="28" t="s">
        <v>839</v>
      </c>
      <c r="E1087" s="28" t="s">
        <v>46</v>
      </c>
      <c r="F1087" s="27">
        <v>20.6</v>
      </c>
      <c r="G1087" s="27">
        <v>175</v>
      </c>
      <c r="H1087" s="27">
        <v>47</v>
      </c>
      <c r="I1087" s="35">
        <v>9</v>
      </c>
      <c r="J1087" s="5">
        <v>3.48</v>
      </c>
    </row>
  </sheetData>
  <autoFilter ref="A1:K1087">
    <extLst/>
  </autoFilter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5"/>
  <sheetViews>
    <sheetView topLeftCell="E1" workbookViewId="0">
      <selection activeCell="Y2" sqref="Y2"/>
    </sheetView>
  </sheetViews>
  <sheetFormatPr defaultColWidth="9" defaultRowHeight="14.4"/>
  <cols>
    <col min="24" max="25" width="12.6296296296296"/>
  </cols>
  <sheetData>
    <row r="1" spans="1:25">
      <c r="A1" s="23" t="s">
        <v>1</v>
      </c>
      <c r="B1" s="24" t="s">
        <v>2</v>
      </c>
      <c r="C1" s="25" t="s">
        <v>3</v>
      </c>
      <c r="D1" s="25" t="s">
        <v>4</v>
      </c>
      <c r="E1" s="26" t="s">
        <v>5</v>
      </c>
      <c r="F1" s="45" t="s">
        <v>840</v>
      </c>
      <c r="G1" s="26" t="s">
        <v>6</v>
      </c>
      <c r="H1" s="45" t="s">
        <v>841</v>
      </c>
      <c r="I1" s="26" t="s">
        <v>7</v>
      </c>
      <c r="J1" s="46" t="s">
        <v>842</v>
      </c>
      <c r="K1" s="33" t="s">
        <v>843</v>
      </c>
      <c r="L1" s="46" t="s">
        <v>844</v>
      </c>
      <c r="M1" s="46" t="s">
        <v>845</v>
      </c>
      <c r="N1" s="32" t="s">
        <v>8</v>
      </c>
      <c r="O1" s="4" t="s">
        <v>846</v>
      </c>
      <c r="P1" s="47" t="s">
        <v>847</v>
      </c>
      <c r="Q1" s="4" t="s">
        <v>9</v>
      </c>
      <c r="R1" s="24" t="s">
        <v>846</v>
      </c>
      <c r="S1" s="48" t="s">
        <v>848</v>
      </c>
      <c r="T1" s="33" t="s">
        <v>843</v>
      </c>
      <c r="U1" s="46" t="s">
        <v>844</v>
      </c>
      <c r="V1" s="48" t="s">
        <v>849</v>
      </c>
      <c r="W1" s="24" t="s">
        <v>10</v>
      </c>
      <c r="X1" s="49" t="s">
        <v>850</v>
      </c>
      <c r="Y1" s="50" t="s">
        <v>851</v>
      </c>
    </row>
    <row r="2" ht="15.6" spans="1:25">
      <c r="A2" s="27">
        <v>301</v>
      </c>
      <c r="B2" s="27">
        <v>1</v>
      </c>
      <c r="C2" s="31" t="s">
        <v>11</v>
      </c>
      <c r="D2" s="27" t="s">
        <v>12</v>
      </c>
      <c r="E2" s="27">
        <v>-2</v>
      </c>
      <c r="F2" s="29">
        <v>0</v>
      </c>
      <c r="G2" s="27">
        <v>250</v>
      </c>
      <c r="H2" s="29">
        <f>LOOKUP(G2,{0,180,185,190,195,200,205,209,213,217,221,225,229,233,237,241,245,253,260,265,270},{0,10,20,30,40,50,60,62,64,66,68,70,72,74,76,78,80,85,90,95,100})</f>
        <v>80</v>
      </c>
      <c r="I2" s="27">
        <v>6</v>
      </c>
      <c r="J2" s="29">
        <f>LOOKUP(I2,{0,4,5,6,7,8,9,10,11,12,13,14,15,16,17,18},{0,10,20,30,40,50,60,64,68,72,76,80,85,90,95,100})</f>
        <v>30</v>
      </c>
      <c r="K2" s="44"/>
      <c r="L2" s="35"/>
      <c r="M2" s="35">
        <f t="shared" ref="M2:M28" si="0">J2+L2</f>
        <v>30</v>
      </c>
      <c r="N2" s="35">
        <v>7.2</v>
      </c>
      <c r="O2" s="36">
        <f t="shared" ref="O2:O28" si="1">18-N2</f>
        <v>10.8</v>
      </c>
      <c r="P2" s="29">
        <f>LOOKUP(O2,{0,7.8,8,8.2,8.4,8.6,8.8,9,9.2,9.4,9.6,9.8,10,10.2,10.4,10.6,10.8,10.9,11,11.1,11.2},{0,10,20,30,40,50,60,62,64,66,68,70,72,74,76,78,80,85,90,95,100})</f>
        <v>80</v>
      </c>
      <c r="Q2" s="5">
        <v>3.39</v>
      </c>
      <c r="R2" s="36">
        <f t="shared" ref="R2:R28" si="2">10-Q2</f>
        <v>6.61</v>
      </c>
      <c r="S2" s="29">
        <f>LOOKUP(R2,{0,3.85,4.45,4.65,4.85,5.45,5.65,5.7,5.75,5.8,5.85,5.9,5.95,6,6.45,6.5,6.55,6.63,6.7,6.75,6.8},{0,10,20,30,40,50,60,62,64,66,68,70,72,74,76,78,80,85,90,95,100})</f>
        <v>80</v>
      </c>
      <c r="T2" s="27"/>
      <c r="U2" s="27"/>
      <c r="V2" s="27">
        <f t="shared" ref="V2:V28" si="3">S2+U2</f>
        <v>80</v>
      </c>
      <c r="W2" s="27"/>
      <c r="X2" s="19">
        <f t="shared" ref="X2:X28" si="4">F2*0.1+H2*0.1+J2*0.1+P2*0.2+S2*0.2</f>
        <v>43</v>
      </c>
      <c r="Y2" s="13">
        <f t="shared" ref="Y2:Y28" si="5">X2/0.7+L2+U2</f>
        <v>61.4285714285714</v>
      </c>
    </row>
    <row r="3" ht="15.6" spans="1:25">
      <c r="A3" s="27">
        <v>301</v>
      </c>
      <c r="B3" s="27">
        <v>2</v>
      </c>
      <c r="C3" s="27" t="s">
        <v>13</v>
      </c>
      <c r="D3" s="27" t="s">
        <v>12</v>
      </c>
      <c r="E3" s="27">
        <v>-5</v>
      </c>
      <c r="F3" s="29">
        <v>0</v>
      </c>
      <c r="G3" s="27">
        <v>200</v>
      </c>
      <c r="H3" s="29">
        <f>LOOKUP(G3,{0,180,185,190,195,200,205,209,213,217,221,225,229,233,237,241,245,253,260,265,270},{0,10,20,30,40,50,60,62,64,66,68,70,72,74,76,78,80,85,90,95,100})</f>
        <v>50</v>
      </c>
      <c r="I3" s="27">
        <v>0</v>
      </c>
      <c r="J3" s="29">
        <f>LOOKUP(I3,{0,4,5,6,7,8,9,10,11,12,13,14,15,16,17,18},{0,10,20,30,40,50,60,64,68,72,76,80,85,90,95,100})</f>
        <v>0</v>
      </c>
      <c r="K3" s="44"/>
      <c r="L3" s="35"/>
      <c r="M3" s="35">
        <f t="shared" si="0"/>
        <v>0</v>
      </c>
      <c r="N3" s="35">
        <v>7.2</v>
      </c>
      <c r="O3" s="36">
        <f t="shared" si="1"/>
        <v>10.8</v>
      </c>
      <c r="P3" s="29">
        <f>LOOKUP(O3,{0,7.8,8,8.2,8.4,8.6,8.8,9,9.2,9.4,9.6,9.8,10,10.2,10.4,10.6,10.8,10.9,11,11.1,11.2},{0,10,20,30,40,50,60,62,64,66,68,70,72,74,76,78,80,85,90,95,100})</f>
        <v>80</v>
      </c>
      <c r="Q3" s="5">
        <v>5.08</v>
      </c>
      <c r="R3" s="36">
        <f t="shared" si="2"/>
        <v>4.92</v>
      </c>
      <c r="S3" s="29">
        <f>LOOKUP(R3,{0,3.85,4.45,4.65,4.85,5.45,5.65,5.7,5.75,5.8,5.85,5.9,5.95,6,6.45,6.5,6.55,6.63,6.7,6.75,6.8},{0,10,20,30,40,50,60,62,64,66,68,70,72,74,76,78,80,85,90,95,100})</f>
        <v>40</v>
      </c>
      <c r="T3" s="27"/>
      <c r="U3" s="27"/>
      <c r="V3" s="27">
        <f t="shared" si="3"/>
        <v>40</v>
      </c>
      <c r="W3" s="27"/>
      <c r="X3" s="19">
        <f t="shared" si="4"/>
        <v>29</v>
      </c>
      <c r="Y3" s="13">
        <f t="shared" si="5"/>
        <v>41.4285714285714</v>
      </c>
    </row>
    <row r="4" ht="15.6" spans="1:25">
      <c r="A4" s="27">
        <v>301</v>
      </c>
      <c r="B4" s="27">
        <v>3</v>
      </c>
      <c r="C4" s="27" t="s">
        <v>14</v>
      </c>
      <c r="D4" s="27" t="s">
        <v>12</v>
      </c>
      <c r="E4" s="27">
        <v>3.5</v>
      </c>
      <c r="F4" s="29">
        <f>LOOKUP(E4,{0,-1.8,-0.8,0.2,1.2,2.2,3.2,4.6,6,7.4,8.8,10.2,11.6,13,14.4,15.8,17.2,19.1,21,22.8,24.6},{0,10,20,30,40,50,60,62,64,66,68,70,72,74,76,78,80,85,90,95,100})</f>
        <v>60</v>
      </c>
      <c r="G4" s="27">
        <v>190</v>
      </c>
      <c r="H4" s="29">
        <f>LOOKUP(G4,{0,180,185,190,195,200,205,209,213,217,221,225,229,233,237,241,245,253,260,265,270},{0,10,20,30,40,50,60,62,64,66,68,70,72,74,76,78,80,85,90,95,100})</f>
        <v>30</v>
      </c>
      <c r="I4" s="27">
        <v>1</v>
      </c>
      <c r="J4" s="29">
        <f>LOOKUP(I4,{0,4,5,6,7,8,9,10,11,12,13,14,15,16,17,18},{0,10,20,30,40,50,60,64,68,72,76,80,85,90,95,100})</f>
        <v>0</v>
      </c>
      <c r="K4" s="44"/>
      <c r="L4" s="35"/>
      <c r="M4" s="35">
        <f t="shared" si="0"/>
        <v>0</v>
      </c>
      <c r="N4" s="35">
        <v>8.3</v>
      </c>
      <c r="O4" s="36">
        <f t="shared" si="1"/>
        <v>9.7</v>
      </c>
      <c r="P4" s="29">
        <f>LOOKUP(O4,{0,7.8,8,8.2,8.4,8.6,8.8,9,9.2,9.4,9.6,9.8,10,10.2,10.4,10.6,10.8,10.9,11,11.1,11.2},{0,10,20,30,40,50,60,62,64,66,68,70,72,74,76,78,80,85,90,95,100})</f>
        <v>68</v>
      </c>
      <c r="Q4" s="5">
        <v>5.27</v>
      </c>
      <c r="R4" s="36">
        <f t="shared" si="2"/>
        <v>4.73</v>
      </c>
      <c r="S4" s="29">
        <f>LOOKUP(R4,{0,3.85,4.45,4.65,4.85,5.45,5.65,5.7,5.75,5.8,5.85,5.9,5.95,6,6.45,6.5,6.55,6.63,6.7,6.75,6.8},{0,10,20,30,40,50,60,62,64,66,68,70,72,74,76,78,80,85,90,95,100})</f>
        <v>30</v>
      </c>
      <c r="T4" s="27"/>
      <c r="U4" s="27"/>
      <c r="V4" s="27">
        <f t="shared" si="3"/>
        <v>30</v>
      </c>
      <c r="W4" s="27"/>
      <c r="X4" s="19">
        <f t="shared" si="4"/>
        <v>28.6</v>
      </c>
      <c r="Y4" s="13">
        <f t="shared" si="5"/>
        <v>40.8571428571429</v>
      </c>
    </row>
    <row r="5" ht="15.6" spans="1:25">
      <c r="A5" s="27">
        <v>301</v>
      </c>
      <c r="B5" s="27">
        <v>4</v>
      </c>
      <c r="C5" s="27" t="s">
        <v>15</v>
      </c>
      <c r="D5" s="27" t="s">
        <v>12</v>
      </c>
      <c r="E5" s="27">
        <v>5</v>
      </c>
      <c r="F5" s="29">
        <f>LOOKUP(E5,{0,-1.8,-0.8,0.2,1.2,2.2,3.2,4.6,6,7.4,8.8,10.2,11.6,13,14.4,15.8,17.2,19.1,21,22.8,24.6},{0,10,20,30,40,50,60,62,64,66,68,70,72,74,76,78,80,85,90,95,100})</f>
        <v>62</v>
      </c>
      <c r="G5" s="27">
        <v>200</v>
      </c>
      <c r="H5" s="29">
        <f>LOOKUP(G5,{0,180,185,190,195,200,205,209,213,217,221,225,229,233,237,241,245,253,260,265,270},{0,10,20,30,40,50,60,62,64,66,68,70,72,74,76,78,80,85,90,95,100})</f>
        <v>50</v>
      </c>
      <c r="I5" s="27">
        <v>1</v>
      </c>
      <c r="J5" s="29">
        <f>LOOKUP(I5,{0,4,5,6,7,8,9,10,11,12,13,14,15,16,17,18},{0,10,20,30,40,50,60,64,68,72,76,80,85,90,95,100})</f>
        <v>0</v>
      </c>
      <c r="K5" s="44"/>
      <c r="L5" s="35"/>
      <c r="M5" s="35">
        <f t="shared" si="0"/>
        <v>0</v>
      </c>
      <c r="N5" s="35">
        <v>10</v>
      </c>
      <c r="O5" s="36">
        <f t="shared" si="1"/>
        <v>8</v>
      </c>
      <c r="P5" s="29">
        <f>LOOKUP(O5,{0,7.8,8,8.2,8.4,8.6,8.8,9,9.2,9.4,9.6,9.8,10,10.2,10.4,10.6,10.8,10.9,11,11.1,11.2},{0,10,20,30,40,50,60,62,64,66,68,70,72,74,76,78,80,85,90,95,100})</f>
        <v>20</v>
      </c>
      <c r="Q5" s="5">
        <v>5.03</v>
      </c>
      <c r="R5" s="36">
        <f t="shared" si="2"/>
        <v>4.97</v>
      </c>
      <c r="S5" s="29">
        <f>LOOKUP(R5,{0,3.85,4.45,4.65,4.85,5.45,5.65,5.7,5.75,5.8,5.85,5.9,5.95,6,6.45,6.5,6.55,6.63,6.7,6.75,6.8},{0,10,20,30,40,50,60,62,64,66,68,70,72,74,76,78,80,85,90,95,100})</f>
        <v>40</v>
      </c>
      <c r="T5" s="27"/>
      <c r="U5" s="27"/>
      <c r="V5" s="27">
        <f t="shared" si="3"/>
        <v>40</v>
      </c>
      <c r="W5" s="27"/>
      <c r="X5" s="19">
        <f t="shared" si="4"/>
        <v>23.2</v>
      </c>
      <c r="Y5" s="13">
        <f t="shared" si="5"/>
        <v>33.1428571428571</v>
      </c>
    </row>
    <row r="6" ht="15.6" spans="1:25">
      <c r="A6" s="27">
        <v>301</v>
      </c>
      <c r="B6" s="27">
        <v>5</v>
      </c>
      <c r="C6" s="27" t="s">
        <v>16</v>
      </c>
      <c r="D6" s="27" t="s">
        <v>12</v>
      </c>
      <c r="E6" s="27">
        <v>1</v>
      </c>
      <c r="F6" s="29">
        <f>LOOKUP(E6,{0,-1.8,-0.8,0.2,1.2,2.2,3.2,4.6,6,7.4,8.8,10.2,11.6,13,14.4,15.8,17.2,19.1,21,22.8,24.6},{0,10,20,30,40,50,60,62,64,66,68,70,72,74,76,78,80,85,90,95,100})</f>
        <v>30</v>
      </c>
      <c r="G6" s="27">
        <v>170</v>
      </c>
      <c r="H6" s="29">
        <f>LOOKUP(G6,{0,180,185,190,195,200,205,209,213,217,221,225,229,233,237,241,245,253,260,265,270},{0,10,20,30,40,50,60,62,64,66,68,70,72,74,76,78,80,85,90,95,100})</f>
        <v>0</v>
      </c>
      <c r="I6" s="27">
        <v>0</v>
      </c>
      <c r="J6" s="29">
        <f>LOOKUP(I6,{0,4,5,6,7,8,9,10,11,12,13,14,15,16,17,18},{0,10,20,30,40,50,60,64,68,72,76,80,85,90,95,100})</f>
        <v>0</v>
      </c>
      <c r="K6" s="44"/>
      <c r="L6" s="35"/>
      <c r="M6" s="35">
        <f t="shared" si="0"/>
        <v>0</v>
      </c>
      <c r="N6" s="35">
        <v>9.2</v>
      </c>
      <c r="O6" s="36">
        <f t="shared" si="1"/>
        <v>8.8</v>
      </c>
      <c r="P6" s="29">
        <f>LOOKUP(O6,{0,7.8,8,8.2,8.4,8.6,8.8,9,9.2,9.4,9.6,9.8,10,10.2,10.4,10.6,10.8,10.9,11,11.1,11.2},{0,10,20,30,40,50,60,62,64,66,68,70,72,74,76,78,80,85,90,95,100})</f>
        <v>60</v>
      </c>
      <c r="Q6" s="5">
        <v>5.27</v>
      </c>
      <c r="R6" s="36">
        <f t="shared" si="2"/>
        <v>4.73</v>
      </c>
      <c r="S6" s="29">
        <f>LOOKUP(R6,{0,3.85,4.45,4.65,4.85,5.45,5.65,5.7,5.75,5.8,5.85,5.9,5.95,6,6.45,6.5,6.55,6.63,6.7,6.75,6.8},{0,10,20,30,40,50,60,62,64,66,68,70,72,74,76,78,80,85,90,95,100})</f>
        <v>30</v>
      </c>
      <c r="T6" s="27"/>
      <c r="U6" s="27"/>
      <c r="V6" s="27">
        <f t="shared" si="3"/>
        <v>30</v>
      </c>
      <c r="W6" s="27"/>
      <c r="X6" s="19">
        <f t="shared" si="4"/>
        <v>21</v>
      </c>
      <c r="Y6" s="13">
        <f t="shared" si="5"/>
        <v>30</v>
      </c>
    </row>
    <row r="7" ht="15.6" spans="1:25">
      <c r="A7" s="27">
        <v>301</v>
      </c>
      <c r="B7" s="27">
        <v>6</v>
      </c>
      <c r="C7" s="27" t="s">
        <v>17</v>
      </c>
      <c r="D7" s="27" t="s">
        <v>12</v>
      </c>
      <c r="E7" s="27">
        <v>11</v>
      </c>
      <c r="F7" s="29">
        <f>LOOKUP(E7,{0,-1.8,-0.8,0.2,1.2,2.2,3.2,4.6,6,7.4,8.8,10.2,11.6,13,14.4,15.8,17.2,19.1,21,22.8,24.6},{0,10,20,30,40,50,60,62,64,66,68,70,72,74,76,78,80,85,90,95,100})</f>
        <v>70</v>
      </c>
      <c r="G7" s="27">
        <v>219</v>
      </c>
      <c r="H7" s="29">
        <f>LOOKUP(G7,{0,180,185,190,195,200,205,209,213,217,221,225,229,233,237,241,245,253,260,265,270},{0,10,20,30,40,50,60,62,64,66,68,70,72,74,76,78,80,85,90,95,100})</f>
        <v>66</v>
      </c>
      <c r="I7" s="27">
        <v>5</v>
      </c>
      <c r="J7" s="29">
        <f>LOOKUP(I7,{0,4,5,6,7,8,9,10,11,12,13,14,15,16,17,18},{0,10,20,30,40,50,60,64,68,72,76,80,85,90,95,100})</f>
        <v>20</v>
      </c>
      <c r="K7" s="44"/>
      <c r="L7" s="35"/>
      <c r="M7" s="35">
        <f t="shared" si="0"/>
        <v>20</v>
      </c>
      <c r="N7" s="35">
        <v>7.6</v>
      </c>
      <c r="O7" s="36">
        <f t="shared" si="1"/>
        <v>10.4</v>
      </c>
      <c r="P7" s="29">
        <f>LOOKUP(O7,{0,7.8,8,8.2,8.4,8.6,8.8,9,9.2,9.4,9.6,9.8,10,10.2,10.4,10.6,10.8,10.9,11,11.1,11.2},{0,10,20,30,40,50,60,62,64,66,68,70,72,74,76,78,80,85,90,95,100})</f>
        <v>76</v>
      </c>
      <c r="Q7" s="5">
        <v>3.53</v>
      </c>
      <c r="R7" s="36">
        <f t="shared" si="2"/>
        <v>6.47</v>
      </c>
      <c r="S7" s="29">
        <f>LOOKUP(R7,{0,3.85,4.45,4.65,4.85,5.45,5.65,5.7,5.75,5.8,5.85,5.9,5.95,6,6.45,6.5,6.55,6.63,6.7,6.75,6.8},{0,10,20,30,40,50,60,62,64,66,68,70,72,74,76,78,80,85,90,95,100})</f>
        <v>76</v>
      </c>
      <c r="T7" s="27"/>
      <c r="U7" s="27"/>
      <c r="V7" s="27">
        <f t="shared" si="3"/>
        <v>76</v>
      </c>
      <c r="W7" s="27"/>
      <c r="X7" s="19">
        <f t="shared" si="4"/>
        <v>46</v>
      </c>
      <c r="Y7" s="13">
        <f t="shared" si="5"/>
        <v>65.7142857142857</v>
      </c>
    </row>
    <row r="8" ht="15.6" spans="1:25">
      <c r="A8" s="27">
        <v>301</v>
      </c>
      <c r="B8" s="27">
        <v>8</v>
      </c>
      <c r="C8" s="27" t="s">
        <v>18</v>
      </c>
      <c r="D8" s="27" t="s">
        <v>12</v>
      </c>
      <c r="E8" s="27">
        <v>3</v>
      </c>
      <c r="F8" s="29">
        <f>LOOKUP(E8,{0,-1.8,-0.8,0.2,1.2,2.2,3.2,4.6,6,7.4,8.8,10.2,11.6,13,14.4,15.8,17.2,19.1,21,22.8,24.6},{0,10,20,30,40,50,60,62,64,66,68,70,72,74,76,78,80,85,90,95,100})</f>
        <v>50</v>
      </c>
      <c r="G8" s="27">
        <v>220</v>
      </c>
      <c r="H8" s="29">
        <f>LOOKUP(G8,{0,180,185,190,195,200,205,209,213,217,221,225,229,233,237,241,245,253,260,265,270},{0,10,20,30,40,50,60,62,64,66,68,70,72,74,76,78,80,85,90,95,100})</f>
        <v>66</v>
      </c>
      <c r="I8" s="27">
        <v>5</v>
      </c>
      <c r="J8" s="29">
        <f>LOOKUP(I8,{0,4,5,6,7,8,9,10,11,12,13,14,15,16,17,18},{0,10,20,30,40,50,60,64,68,72,76,80,85,90,95,100})</f>
        <v>20</v>
      </c>
      <c r="K8" s="44"/>
      <c r="L8" s="35"/>
      <c r="M8" s="35">
        <f t="shared" si="0"/>
        <v>20</v>
      </c>
      <c r="N8" s="35">
        <v>7.1</v>
      </c>
      <c r="O8" s="36">
        <f t="shared" si="1"/>
        <v>10.9</v>
      </c>
      <c r="P8" s="29">
        <f>LOOKUP(O8,{0,7.8,8,8.2,8.4,8.6,8.8,9,9.2,9.4,9.6,9.8,10,10.2,10.4,10.6,10.8,10.9,11,11.1,11.2},{0,10,20,30,40,50,60,62,64,66,68,70,72,74,76,78,80,85,90,95,100})</f>
        <v>85</v>
      </c>
      <c r="Q8" s="5">
        <v>4.29</v>
      </c>
      <c r="R8" s="36">
        <f t="shared" si="2"/>
        <v>5.71</v>
      </c>
      <c r="S8" s="29">
        <f>LOOKUP(R8,{0,3.85,4.45,4.65,4.85,5.45,5.65,5.7,5.75,5.8,5.85,5.9,5.95,6,6.45,6.5,6.55,6.63,6.7,6.75,6.8},{0,10,20,30,40,50,60,62,64,66,68,70,72,74,76,78,80,85,90,95,100})</f>
        <v>62</v>
      </c>
      <c r="T8" s="27"/>
      <c r="U8" s="27"/>
      <c r="V8" s="27">
        <f t="shared" si="3"/>
        <v>62</v>
      </c>
      <c r="W8" s="27"/>
      <c r="X8" s="19">
        <f t="shared" si="4"/>
        <v>43</v>
      </c>
      <c r="Y8" s="13">
        <f t="shared" si="5"/>
        <v>61.4285714285714</v>
      </c>
    </row>
    <row r="9" ht="15.6" spans="1:25">
      <c r="A9" s="27">
        <v>301</v>
      </c>
      <c r="B9" s="27">
        <v>9</v>
      </c>
      <c r="C9" s="27" t="s">
        <v>19</v>
      </c>
      <c r="D9" s="27" t="s">
        <v>12</v>
      </c>
      <c r="E9" s="27">
        <v>6.5</v>
      </c>
      <c r="F9" s="29">
        <f>LOOKUP(E9,{0,-1.8,-0.8,0.2,1.2,2.2,3.2,4.6,6,7.4,8.8,10.2,11.6,13,14.4,15.8,17.2,19.1,21,22.8,24.6},{0,10,20,30,40,50,60,62,64,66,68,70,72,74,76,78,80,85,90,95,100})</f>
        <v>64</v>
      </c>
      <c r="G9" s="27">
        <v>210</v>
      </c>
      <c r="H9" s="29">
        <f>LOOKUP(G9,{0,180,185,190,195,200,205,209,213,217,221,225,229,233,237,241,245,253,260,265,270},{0,10,20,30,40,50,60,62,64,66,68,70,72,74,76,78,80,85,90,95,100})</f>
        <v>62</v>
      </c>
      <c r="I9" s="27">
        <v>1</v>
      </c>
      <c r="J9" s="29">
        <f>LOOKUP(I9,{0,4,5,6,7,8,9,10,11,12,13,14,15,16,17,18},{0,10,20,30,40,50,60,64,68,72,76,80,85,90,95,100})</f>
        <v>0</v>
      </c>
      <c r="K9" s="44"/>
      <c r="L9" s="35"/>
      <c r="M9" s="35">
        <f t="shared" si="0"/>
        <v>0</v>
      </c>
      <c r="N9" s="35">
        <v>7.8</v>
      </c>
      <c r="O9" s="36">
        <f t="shared" si="1"/>
        <v>10.2</v>
      </c>
      <c r="P9" s="29">
        <f>LOOKUP(O9,{0,7.8,8,8.2,8.4,8.6,8.8,9,9.2,9.4,9.6,9.8,10,10.2,10.4,10.6,10.8,10.9,11,11.1,11.2},{0,10,20,30,40,50,60,62,64,66,68,70,72,74,76,78,80,85,90,95,100})</f>
        <v>74</v>
      </c>
      <c r="Q9" s="5">
        <v>5.27</v>
      </c>
      <c r="R9" s="36">
        <f t="shared" si="2"/>
        <v>4.73</v>
      </c>
      <c r="S9" s="29">
        <f>LOOKUP(R9,{0,3.85,4.45,4.65,4.85,5.45,5.65,5.7,5.75,5.8,5.85,5.9,5.95,6,6.45,6.5,6.55,6.63,6.7,6.75,6.8},{0,10,20,30,40,50,60,62,64,66,68,70,72,74,76,78,80,85,90,95,100})</f>
        <v>30</v>
      </c>
      <c r="T9" s="27"/>
      <c r="U9" s="27"/>
      <c r="V9" s="27">
        <f t="shared" si="3"/>
        <v>30</v>
      </c>
      <c r="W9" s="27"/>
      <c r="X9" s="19">
        <f t="shared" si="4"/>
        <v>33.4</v>
      </c>
      <c r="Y9" s="13">
        <f t="shared" si="5"/>
        <v>47.7142857142857</v>
      </c>
    </row>
    <row r="10" ht="15.6" spans="1:25">
      <c r="A10" s="27">
        <v>301</v>
      </c>
      <c r="B10" s="27">
        <v>10</v>
      </c>
      <c r="C10" s="27" t="s">
        <v>20</v>
      </c>
      <c r="D10" s="27" t="s">
        <v>12</v>
      </c>
      <c r="E10" s="27">
        <v>13</v>
      </c>
      <c r="F10" s="29">
        <f>LOOKUP(E10,{0,-1.8,-0.8,0.2,1.2,2.2,3.2,4.6,6,7.4,8.8,10.2,11.6,13,14.4,15.8,17.2,19.1,21,22.8,24.6},{0,10,20,30,40,50,60,62,64,66,68,70,72,74,76,78,80,85,90,95,100})</f>
        <v>74</v>
      </c>
      <c r="G10" s="27">
        <v>265</v>
      </c>
      <c r="H10" s="29">
        <f>LOOKUP(G10,{0,180,185,190,195,200,205,209,213,217,221,225,229,233,237,241,245,253,260,265,270},{0,10,20,30,40,50,60,62,64,66,68,70,72,74,76,78,80,85,90,95,100})</f>
        <v>95</v>
      </c>
      <c r="I10" s="27">
        <v>1</v>
      </c>
      <c r="J10" s="29">
        <f>LOOKUP(I10,{0,4,5,6,7,8,9,10,11,12,13,14,15,16,17,18},{0,10,20,30,40,50,60,64,68,72,76,80,85,90,95,100})</f>
        <v>0</v>
      </c>
      <c r="K10" s="44"/>
      <c r="L10" s="35"/>
      <c r="M10" s="35">
        <f t="shared" si="0"/>
        <v>0</v>
      </c>
      <c r="N10" s="35">
        <v>7.6</v>
      </c>
      <c r="O10" s="36">
        <f t="shared" si="1"/>
        <v>10.4</v>
      </c>
      <c r="P10" s="29">
        <f>LOOKUP(O10,{0,7.8,8,8.2,8.4,8.6,8.8,9,9.2,9.4,9.6,9.8,10,10.2,10.4,10.6,10.8,10.9,11,11.1,11.2},{0,10,20,30,40,50,60,62,64,66,68,70,72,74,76,78,80,85,90,95,100})</f>
        <v>76</v>
      </c>
      <c r="Q10" s="5">
        <v>5.09</v>
      </c>
      <c r="R10" s="36">
        <f t="shared" si="2"/>
        <v>4.91</v>
      </c>
      <c r="S10" s="29">
        <f>LOOKUP(R10,{0,3.85,4.45,4.65,4.85,5.45,5.65,5.7,5.75,5.8,5.85,5.9,5.95,6,6.45,6.5,6.55,6.63,6.7,6.75,6.8},{0,10,20,30,40,50,60,62,64,66,68,70,72,74,76,78,80,85,90,95,100})</f>
        <v>40</v>
      </c>
      <c r="T10" s="27"/>
      <c r="U10" s="27"/>
      <c r="V10" s="27">
        <f t="shared" si="3"/>
        <v>40</v>
      </c>
      <c r="W10" s="27"/>
      <c r="X10" s="19">
        <f t="shared" si="4"/>
        <v>40.1</v>
      </c>
      <c r="Y10" s="13">
        <f t="shared" si="5"/>
        <v>57.2857142857143</v>
      </c>
    </row>
    <row r="11" ht="15.6" spans="1:25">
      <c r="A11" s="27">
        <v>301</v>
      </c>
      <c r="B11" s="27">
        <v>11</v>
      </c>
      <c r="C11" s="31" t="s">
        <v>22</v>
      </c>
      <c r="D11" s="27" t="s">
        <v>12</v>
      </c>
      <c r="E11" s="27">
        <v>8</v>
      </c>
      <c r="F11" s="29">
        <f>LOOKUP(E11,{0,-1.8,-0.8,0.2,1.2,2.2,3.2,4.6,6,7.4,8.8,10.2,11.6,13,14.4,15.8,17.2,19.1,21,22.8,24.6},{0,10,20,30,40,50,60,62,64,66,68,70,72,74,76,78,80,85,90,95,100})</f>
        <v>66</v>
      </c>
      <c r="G11" s="27">
        <v>222</v>
      </c>
      <c r="H11" s="29">
        <f>LOOKUP(G11,{0,180,185,190,195,200,205,209,213,217,221,225,229,233,237,241,245,253,260,265,270},{0,10,20,30,40,50,60,62,64,66,68,70,72,74,76,78,80,85,90,95,100})</f>
        <v>68</v>
      </c>
      <c r="I11" s="27">
        <v>8</v>
      </c>
      <c r="J11" s="29">
        <f>LOOKUP(I11,{0,4,5,6,7,8,9,10,11,12,13,14,15,16,17,18},{0,10,20,30,40,50,60,64,68,72,76,80,85,90,95,100})</f>
        <v>50</v>
      </c>
      <c r="K11" s="44"/>
      <c r="L11" s="35"/>
      <c r="M11" s="35">
        <f t="shared" si="0"/>
        <v>50</v>
      </c>
      <c r="N11" s="35">
        <v>8.4</v>
      </c>
      <c r="O11" s="36">
        <f t="shared" si="1"/>
        <v>9.6</v>
      </c>
      <c r="P11" s="29">
        <f>LOOKUP(O11,{0,7.8,8,8.2,8.4,8.6,8.8,9,9.2,9.4,9.6,9.8,10,10.2,10.4,10.6,10.8,10.9,11,11.1,11.2},{0,10,20,30,40,50,60,62,64,66,68,70,72,74,76,78,80,85,90,95,100})</f>
        <v>68</v>
      </c>
      <c r="Q11" s="5">
        <v>4.06</v>
      </c>
      <c r="R11" s="36">
        <f t="shared" si="2"/>
        <v>5.94</v>
      </c>
      <c r="S11" s="29">
        <f>LOOKUP(R11,{0,3.85,4.45,4.65,4.85,5.45,5.65,5.7,5.75,5.8,5.85,5.9,5.95,6,6.45,6.5,6.55,6.63,6.7,6.75,6.8},{0,10,20,30,40,50,60,62,64,66,68,70,72,74,76,78,80,85,90,95,100})</f>
        <v>70</v>
      </c>
      <c r="T11" s="27"/>
      <c r="U11" s="27"/>
      <c r="V11" s="27">
        <f t="shared" si="3"/>
        <v>70</v>
      </c>
      <c r="W11" s="27"/>
      <c r="X11" s="19">
        <f t="shared" si="4"/>
        <v>46</v>
      </c>
      <c r="Y11" s="13">
        <f t="shared" si="5"/>
        <v>65.7142857142857</v>
      </c>
    </row>
    <row r="12" ht="15.6" spans="1:25">
      <c r="A12" s="27">
        <v>301</v>
      </c>
      <c r="B12" s="27">
        <v>12</v>
      </c>
      <c r="C12" s="27" t="s">
        <v>23</v>
      </c>
      <c r="D12" s="27" t="s">
        <v>12</v>
      </c>
      <c r="E12" s="27">
        <v>17.5</v>
      </c>
      <c r="F12" s="29">
        <f>LOOKUP(E12,{0,-1.8,-0.8,0.2,1.2,2.2,3.2,4.6,6,7.4,8.8,10.2,11.6,13,14.4,15.8,17.2,19.1,21,22.8,24.6},{0,10,20,30,40,50,60,62,64,66,68,70,72,74,76,78,80,85,90,95,100})</f>
        <v>80</v>
      </c>
      <c r="G12" s="27">
        <v>195</v>
      </c>
      <c r="H12" s="29">
        <f>LOOKUP(G12,{0,180,185,190,195,200,205,209,213,217,221,225,229,233,237,241,245,253,260,265,270},{0,10,20,30,40,50,60,62,64,66,68,70,72,74,76,78,80,85,90,95,100})</f>
        <v>40</v>
      </c>
      <c r="I12" s="27">
        <v>4</v>
      </c>
      <c r="J12" s="29">
        <f>LOOKUP(I12,{0,4,5,6,7,8,9,10,11,12,13,14,15,16,17,18},{0,10,20,30,40,50,60,64,68,72,76,80,85,90,95,100})</f>
        <v>10</v>
      </c>
      <c r="K12" s="44"/>
      <c r="L12" s="35"/>
      <c r="M12" s="35">
        <f t="shared" si="0"/>
        <v>10</v>
      </c>
      <c r="N12" s="35">
        <v>8.7</v>
      </c>
      <c r="O12" s="36">
        <f t="shared" si="1"/>
        <v>9.3</v>
      </c>
      <c r="P12" s="29">
        <f>LOOKUP(O12,{0,7.8,8,8.2,8.4,8.6,8.8,9,9.2,9.4,9.6,9.8,10,10.2,10.4,10.6,10.8,10.9,11,11.1,11.2},{0,10,20,30,40,50,60,62,64,66,68,70,72,74,76,78,80,85,90,95,100})</f>
        <v>64</v>
      </c>
      <c r="Q12" s="5">
        <v>4.14</v>
      </c>
      <c r="R12" s="36">
        <f t="shared" si="2"/>
        <v>5.86</v>
      </c>
      <c r="S12" s="29">
        <f>LOOKUP(R12,{0,3.85,4.45,4.65,4.85,5.45,5.65,5.7,5.75,5.8,5.85,5.9,5.95,6,6.45,6.5,6.55,6.63,6.7,6.75,6.8},{0,10,20,30,40,50,60,62,64,66,68,70,72,74,76,78,80,85,90,95,100})</f>
        <v>68</v>
      </c>
      <c r="T12" s="27"/>
      <c r="U12" s="27"/>
      <c r="V12" s="27">
        <f t="shared" si="3"/>
        <v>68</v>
      </c>
      <c r="W12" s="27"/>
      <c r="X12" s="19">
        <f t="shared" si="4"/>
        <v>39.4</v>
      </c>
      <c r="Y12" s="13">
        <f t="shared" si="5"/>
        <v>56.2857142857143</v>
      </c>
    </row>
    <row r="13" ht="15.6" spans="1:25">
      <c r="A13" s="27">
        <v>301</v>
      </c>
      <c r="B13" s="27">
        <v>13</v>
      </c>
      <c r="C13" s="27" t="s">
        <v>24</v>
      </c>
      <c r="D13" s="27" t="s">
        <v>12</v>
      </c>
      <c r="E13" s="27">
        <v>2.5</v>
      </c>
      <c r="F13" s="29">
        <f>LOOKUP(E13,{0,-1.8,-0.8,0.2,1.2,2.2,3.2,4.6,6,7.4,8.8,10.2,11.6,13,14.4,15.8,17.2,19.1,21,22.8,24.6},{0,10,20,30,40,50,60,62,64,66,68,70,72,74,76,78,80,85,90,95,100})</f>
        <v>50</v>
      </c>
      <c r="G13" s="27">
        <v>175</v>
      </c>
      <c r="H13" s="29">
        <f>LOOKUP(G13,{0,180,185,190,195,200,205,209,213,217,221,225,229,233,237,241,245,253,260,265,270},{0,10,20,30,40,50,60,62,64,66,68,70,72,74,76,78,80,85,90,95,100})</f>
        <v>0</v>
      </c>
      <c r="I13" s="27">
        <v>1</v>
      </c>
      <c r="J13" s="29">
        <f>LOOKUP(I13,{0,4,5,6,7,8,9,10,11,12,13,14,15,16,17,18},{0,10,20,30,40,50,60,64,68,72,76,80,85,90,95,100})</f>
        <v>0</v>
      </c>
      <c r="K13" s="44"/>
      <c r="L13" s="35"/>
      <c r="M13" s="35">
        <f t="shared" si="0"/>
        <v>0</v>
      </c>
      <c r="N13" s="35">
        <v>8.4</v>
      </c>
      <c r="O13" s="36">
        <f t="shared" si="1"/>
        <v>9.6</v>
      </c>
      <c r="P13" s="29">
        <f>LOOKUP(O13,{0,7.8,8,8.2,8.4,8.6,8.8,9,9.2,9.4,9.6,9.8,10,10.2,10.4,10.6,10.8,10.9,11,11.1,11.2},{0,10,20,30,40,50,60,62,64,66,68,70,72,74,76,78,80,85,90,95,100})</f>
        <v>68</v>
      </c>
      <c r="Q13" s="5">
        <v>4.49</v>
      </c>
      <c r="R13" s="36">
        <f t="shared" si="2"/>
        <v>5.51</v>
      </c>
      <c r="S13" s="29">
        <f>LOOKUP(R13,{0,3.85,4.45,4.65,4.85,5.45,5.65,5.7,5.75,5.8,5.85,5.9,5.95,6,6.45,6.5,6.55,6.63,6.7,6.75,6.8},{0,10,20,30,40,50,60,62,64,66,68,70,72,74,76,78,80,85,90,95,100})</f>
        <v>50</v>
      </c>
      <c r="T13" s="27"/>
      <c r="U13" s="27"/>
      <c r="V13" s="27">
        <f t="shared" si="3"/>
        <v>50</v>
      </c>
      <c r="W13" s="27"/>
      <c r="X13" s="19">
        <f t="shared" si="4"/>
        <v>28.6</v>
      </c>
      <c r="Y13" s="13">
        <f t="shared" si="5"/>
        <v>40.8571428571429</v>
      </c>
    </row>
    <row r="14" ht="15.6" spans="1:25">
      <c r="A14" s="27">
        <v>301</v>
      </c>
      <c r="B14" s="27">
        <v>14</v>
      </c>
      <c r="C14" s="27" t="s">
        <v>25</v>
      </c>
      <c r="D14" s="27" t="s">
        <v>12</v>
      </c>
      <c r="E14" s="27">
        <v>0</v>
      </c>
      <c r="F14" s="29">
        <f>LOOKUP(E14,{0,-1.8,-0.8,0.2,1.2,2.2,3.2,4.6,6,7.4,8.8,10.2,11.6,13,14.4,15.8,17.2,19.1,21,22.8,24.6},{0,10,20,30,40,50,60,62,64,66,68,70,72,74,76,78,80,85,90,95,100})</f>
        <v>20</v>
      </c>
      <c r="G14" s="27">
        <v>200</v>
      </c>
      <c r="H14" s="29">
        <f>LOOKUP(G14,{0,180,185,190,195,200,205,209,213,217,221,225,229,233,237,241,245,253,260,265,270},{0,10,20,30,40,50,60,62,64,66,68,70,72,74,76,78,80,85,90,95,100})</f>
        <v>50</v>
      </c>
      <c r="I14" s="27">
        <v>10</v>
      </c>
      <c r="J14" s="29">
        <f>LOOKUP(I14,{0,4,5,6,7,8,9,10,11,12,13,14,15,16,17,18},{0,10,20,30,40,50,60,64,68,72,76,80,85,90,95,100})</f>
        <v>64</v>
      </c>
      <c r="K14" s="44"/>
      <c r="L14" s="35"/>
      <c r="M14" s="35">
        <f t="shared" si="0"/>
        <v>64</v>
      </c>
      <c r="N14" s="35">
        <v>8.4</v>
      </c>
      <c r="O14" s="36">
        <f t="shared" si="1"/>
        <v>9.6</v>
      </c>
      <c r="P14" s="29">
        <f>LOOKUP(O14,{0,7.8,8,8.2,8.4,8.6,8.8,9,9.2,9.4,9.6,9.8,10,10.2,10.4,10.6,10.8,10.9,11,11.1,11.2},{0,10,20,30,40,50,60,62,64,66,68,70,72,74,76,78,80,85,90,95,100})</f>
        <v>68</v>
      </c>
      <c r="Q14" s="5">
        <v>4.14</v>
      </c>
      <c r="R14" s="36">
        <f t="shared" si="2"/>
        <v>5.86</v>
      </c>
      <c r="S14" s="29">
        <f>LOOKUP(R14,{0,3.85,4.45,4.65,4.85,5.45,5.65,5.7,5.75,5.8,5.85,5.9,5.95,6,6.45,6.5,6.55,6.63,6.7,6.75,6.8},{0,10,20,30,40,50,60,62,64,66,68,70,72,74,76,78,80,85,90,95,100})</f>
        <v>68</v>
      </c>
      <c r="T14" s="27"/>
      <c r="U14" s="27"/>
      <c r="V14" s="27">
        <f t="shared" si="3"/>
        <v>68</v>
      </c>
      <c r="W14" s="27"/>
      <c r="X14" s="19">
        <f t="shared" si="4"/>
        <v>40.6</v>
      </c>
      <c r="Y14" s="13">
        <f t="shared" si="5"/>
        <v>58</v>
      </c>
    </row>
    <row r="15" ht="15.6" spans="1:25">
      <c r="A15" s="27">
        <v>301</v>
      </c>
      <c r="B15" s="27">
        <v>15</v>
      </c>
      <c r="C15" s="27" t="s">
        <v>26</v>
      </c>
      <c r="D15" s="27" t="s">
        <v>12</v>
      </c>
      <c r="E15" s="27">
        <v>20</v>
      </c>
      <c r="F15" s="29">
        <f>LOOKUP(E15,{0,-1.8,-0.8,0.2,1.2,2.2,3.2,4.6,6,7.4,8.8,10.2,11.6,13,14.4,15.8,17.2,19.1,21,22.8,24.6},{0,10,20,30,40,50,60,62,64,66,68,70,72,74,76,78,80,85,90,95,100})</f>
        <v>85</v>
      </c>
      <c r="G15" s="27">
        <v>250</v>
      </c>
      <c r="H15" s="29">
        <f>LOOKUP(G15,{0,180,185,190,195,200,205,209,213,217,221,225,229,233,237,241,245,253,260,265,270},{0,10,20,30,40,50,60,62,64,66,68,70,72,74,76,78,80,85,90,95,100})</f>
        <v>80</v>
      </c>
      <c r="I15" s="27">
        <v>0</v>
      </c>
      <c r="J15" s="29">
        <f>LOOKUP(I15,{0,4,5,6,7,8,9,10,11,12,13,14,15,16,17,18},{0,10,20,30,40,50,60,64,68,72,76,80,85,90,95,100})</f>
        <v>0</v>
      </c>
      <c r="K15" s="44"/>
      <c r="L15" s="35"/>
      <c r="M15" s="35">
        <f t="shared" si="0"/>
        <v>0</v>
      </c>
      <c r="N15" s="35">
        <v>7.1</v>
      </c>
      <c r="O15" s="36">
        <f t="shared" si="1"/>
        <v>10.9</v>
      </c>
      <c r="P15" s="29">
        <f>LOOKUP(O15,{0,7.8,8,8.2,8.4,8.6,8.8,9,9.2,9.4,9.6,9.8,10,10.2,10.4,10.6,10.8,10.9,11,11.1,11.2},{0,10,20,30,40,50,60,62,64,66,68,70,72,74,76,78,80,85,90,95,100})</f>
        <v>85</v>
      </c>
      <c r="Q15" s="5">
        <v>4.32</v>
      </c>
      <c r="R15" s="36">
        <f t="shared" si="2"/>
        <v>5.68</v>
      </c>
      <c r="S15" s="29">
        <f>LOOKUP(R15,{0,3.85,4.45,4.65,4.85,5.45,5.65,5.7,5.75,5.8,5.85,5.9,5.95,6,6.45,6.5,6.55,6.63,6.7,6.75,6.8},{0,10,20,30,40,50,60,62,64,66,68,70,72,74,76,78,80,85,90,95,100})</f>
        <v>60</v>
      </c>
      <c r="T15" s="27"/>
      <c r="U15" s="27"/>
      <c r="V15" s="27">
        <f t="shared" si="3"/>
        <v>60</v>
      </c>
      <c r="W15" s="27"/>
      <c r="X15" s="19">
        <f t="shared" si="4"/>
        <v>45.5</v>
      </c>
      <c r="Y15" s="13">
        <f t="shared" si="5"/>
        <v>65</v>
      </c>
    </row>
    <row r="16" ht="15.6" spans="1:25">
      <c r="A16" s="27">
        <v>301</v>
      </c>
      <c r="B16" s="27">
        <v>16</v>
      </c>
      <c r="C16" s="27" t="s">
        <v>27</v>
      </c>
      <c r="D16" s="27" t="s">
        <v>12</v>
      </c>
      <c r="E16" s="27">
        <v>7.5</v>
      </c>
      <c r="F16" s="29">
        <f>LOOKUP(E16,{0,-1.8,-0.8,0.2,1.2,2.2,3.2,4.6,6,7.4,8.8,10.2,11.6,13,14.4,15.8,17.2,19.1,21,22.8,24.6},{0,10,20,30,40,50,60,62,64,66,68,70,72,74,76,78,80,85,90,95,100})</f>
        <v>66</v>
      </c>
      <c r="G16" s="27">
        <v>218</v>
      </c>
      <c r="H16" s="29">
        <f>LOOKUP(G16,{0,180,185,190,195,200,205,209,213,217,221,225,229,233,237,241,245,253,260,265,270},{0,10,20,30,40,50,60,62,64,66,68,70,72,74,76,78,80,85,90,95,100})</f>
        <v>66</v>
      </c>
      <c r="I16" s="27">
        <v>13</v>
      </c>
      <c r="J16" s="29">
        <f>LOOKUP(I16,{0,4,5,6,7,8,9,10,11,12,13,14,15,16,17,18},{0,10,20,30,40,50,60,64,68,72,76,80,85,90,95,100})</f>
        <v>76</v>
      </c>
      <c r="K16" s="44"/>
      <c r="L16" s="35"/>
      <c r="M16" s="35">
        <f t="shared" si="0"/>
        <v>76</v>
      </c>
      <c r="N16" s="35">
        <v>7.4</v>
      </c>
      <c r="O16" s="36">
        <f t="shared" si="1"/>
        <v>10.6</v>
      </c>
      <c r="P16" s="29">
        <f>LOOKUP(O16,{0,7.8,8,8.2,8.4,8.6,8.8,9,9.2,9.4,9.6,9.8,10,10.2,10.4,10.6,10.8,10.9,11,11.1,11.2},{0,10,20,30,40,50,60,62,64,66,68,70,72,74,76,78,80,85,90,95,100})</f>
        <v>78</v>
      </c>
      <c r="Q16" s="5">
        <v>3.47</v>
      </c>
      <c r="R16" s="36">
        <f t="shared" si="2"/>
        <v>6.53</v>
      </c>
      <c r="S16" s="29">
        <f>LOOKUP(R16,{0,3.85,4.45,4.65,4.85,5.45,5.65,5.7,5.75,5.8,5.85,5.9,5.95,6,6.45,6.5,6.55,6.63,6.7,6.75,6.8},{0,10,20,30,40,50,60,62,64,66,68,70,72,74,76,78,80,85,90,95,100})</f>
        <v>78</v>
      </c>
      <c r="T16" s="27"/>
      <c r="U16" s="27"/>
      <c r="V16" s="27">
        <f t="shared" si="3"/>
        <v>78</v>
      </c>
      <c r="W16" s="27"/>
      <c r="X16" s="19">
        <f t="shared" si="4"/>
        <v>52</v>
      </c>
      <c r="Y16" s="13">
        <f t="shared" si="5"/>
        <v>74.2857142857143</v>
      </c>
    </row>
    <row r="17" ht="15.6" spans="1:25">
      <c r="A17" s="27">
        <v>301</v>
      </c>
      <c r="B17" s="27">
        <v>17</v>
      </c>
      <c r="C17" s="27" t="s">
        <v>28</v>
      </c>
      <c r="D17" s="27" t="s">
        <v>12</v>
      </c>
      <c r="E17" s="27">
        <v>3.5</v>
      </c>
      <c r="F17" s="29">
        <f>LOOKUP(E17,{0,-1.8,-0.8,0.2,1.2,2.2,3.2,4.6,6,7.4,8.8,10.2,11.6,13,14.4,15.8,17.2,19.1,21,22.8,24.6},{0,10,20,30,40,50,60,62,64,66,68,70,72,74,76,78,80,85,90,95,100})</f>
        <v>60</v>
      </c>
      <c r="G17" s="27">
        <v>212</v>
      </c>
      <c r="H17" s="29">
        <f>LOOKUP(G17,{0,180,185,190,195,200,205,209,213,217,221,225,229,233,237,241,245,253,260,265,270},{0,10,20,30,40,50,60,62,64,66,68,70,72,74,76,78,80,85,90,95,100})</f>
        <v>62</v>
      </c>
      <c r="I17" s="27">
        <v>4</v>
      </c>
      <c r="J17" s="29">
        <f>LOOKUP(I17,{0,4,5,6,7,8,9,10,11,12,13,14,15,16,17,18},{0,10,20,30,40,50,60,64,68,72,76,80,85,90,95,100})</f>
        <v>10</v>
      </c>
      <c r="K17" s="44"/>
      <c r="L17" s="35"/>
      <c r="M17" s="35">
        <f t="shared" si="0"/>
        <v>10</v>
      </c>
      <c r="N17" s="35">
        <v>7.8</v>
      </c>
      <c r="O17" s="36">
        <f t="shared" si="1"/>
        <v>10.2</v>
      </c>
      <c r="P17" s="29">
        <f>LOOKUP(O17,{0,7.8,8,8.2,8.4,8.6,8.8,9,9.2,9.4,9.6,9.8,10,10.2,10.4,10.6,10.8,10.9,11,11.1,11.2},{0,10,20,30,40,50,60,62,64,66,68,70,72,74,76,78,80,85,90,95,100})</f>
        <v>74</v>
      </c>
      <c r="Q17" s="5">
        <v>3.44</v>
      </c>
      <c r="R17" s="36">
        <f t="shared" si="2"/>
        <v>6.56</v>
      </c>
      <c r="S17" s="29">
        <f>LOOKUP(R17,{0,3.85,4.45,4.65,4.85,5.45,5.65,5.7,5.75,5.8,5.85,5.9,5.95,6,6.45,6.5,6.55,6.63,6.7,6.75,6.8},{0,10,20,30,40,50,60,62,64,66,68,70,72,74,76,78,80,85,90,95,100})</f>
        <v>80</v>
      </c>
      <c r="T17" s="27"/>
      <c r="U17" s="27"/>
      <c r="V17" s="27">
        <f t="shared" si="3"/>
        <v>80</v>
      </c>
      <c r="W17" s="27"/>
      <c r="X17" s="19">
        <f t="shared" si="4"/>
        <v>44</v>
      </c>
      <c r="Y17" s="13">
        <f t="shared" si="5"/>
        <v>62.8571428571429</v>
      </c>
    </row>
    <row r="18" ht="15.6" spans="1:25">
      <c r="A18" s="27">
        <v>301</v>
      </c>
      <c r="B18" s="27">
        <v>18</v>
      </c>
      <c r="C18" s="27" t="s">
        <v>29</v>
      </c>
      <c r="D18" s="27" t="s">
        <v>12</v>
      </c>
      <c r="E18" s="27">
        <v>18</v>
      </c>
      <c r="F18" s="29">
        <f>LOOKUP(E18,{0,-1.8,-0.8,0.2,1.2,2.2,3.2,4.6,6,7.4,8.8,10.2,11.6,13,14.4,15.8,17.2,19.1,21,22.8,24.6},{0,10,20,30,40,50,60,62,64,66,68,70,72,74,76,78,80,85,90,95,100})</f>
        <v>80</v>
      </c>
      <c r="G18" s="27">
        <v>265</v>
      </c>
      <c r="H18" s="29">
        <f>LOOKUP(G18,{0,180,185,190,195,200,205,209,213,217,221,225,229,233,237,241,245,253,260,265,270},{0,10,20,30,40,50,60,62,64,66,68,70,72,74,76,78,80,85,90,95,100})</f>
        <v>95</v>
      </c>
      <c r="I18" s="27">
        <v>10</v>
      </c>
      <c r="J18" s="29">
        <f>LOOKUP(I18,{0,4,5,6,7,8,9,10,11,12,13,14,15,16,17,18},{0,10,20,30,40,50,60,64,68,72,76,80,85,90,95,100})</f>
        <v>64</v>
      </c>
      <c r="K18" s="44"/>
      <c r="L18" s="35"/>
      <c r="M18" s="35">
        <f t="shared" si="0"/>
        <v>64</v>
      </c>
      <c r="N18" s="35">
        <v>7.8</v>
      </c>
      <c r="O18" s="36">
        <f t="shared" si="1"/>
        <v>10.2</v>
      </c>
      <c r="P18" s="29">
        <f>LOOKUP(O18,{0,7.8,8,8.2,8.4,8.6,8.8,9,9.2,9.4,9.6,9.8,10,10.2,10.4,10.6,10.8,10.9,11,11.1,11.2},{0,10,20,30,40,50,60,62,64,66,68,70,72,74,76,78,80,85,90,95,100})</f>
        <v>74</v>
      </c>
      <c r="Q18" s="5">
        <v>4.2</v>
      </c>
      <c r="R18" s="36">
        <f t="shared" si="2"/>
        <v>5.8</v>
      </c>
      <c r="S18" s="29">
        <f>LOOKUP(R18,{0,3.85,4.45,4.65,4.85,5.45,5.65,5.7,5.75,5.8,5.85,5.9,5.95,6,6.45,6.5,6.55,6.63,6.7,6.75,6.8},{0,10,20,30,40,50,60,62,64,66,68,70,72,74,76,78,80,85,90,95,100})</f>
        <v>66</v>
      </c>
      <c r="T18" s="27"/>
      <c r="U18" s="27"/>
      <c r="V18" s="27">
        <f t="shared" si="3"/>
        <v>66</v>
      </c>
      <c r="W18" s="27"/>
      <c r="X18" s="19">
        <f t="shared" si="4"/>
        <v>51.9</v>
      </c>
      <c r="Y18" s="13">
        <f t="shared" si="5"/>
        <v>74.1428571428572</v>
      </c>
    </row>
    <row r="19" ht="15.6" spans="1:25">
      <c r="A19" s="27">
        <v>301</v>
      </c>
      <c r="B19" s="27">
        <v>19</v>
      </c>
      <c r="C19" s="27" t="s">
        <v>30</v>
      </c>
      <c r="D19" s="27" t="s">
        <v>12</v>
      </c>
      <c r="E19" s="27">
        <v>3.5</v>
      </c>
      <c r="F19" s="29">
        <f>LOOKUP(E19,{0,-1.8,-0.8,0.2,1.2,2.2,3.2,4.6,6,7.4,8.8,10.2,11.6,13,14.4,15.8,17.2,19.1,21,22.8,24.6},{0,10,20,30,40,50,60,62,64,66,68,70,72,74,76,78,80,85,90,95,100})</f>
        <v>60</v>
      </c>
      <c r="G19" s="27">
        <v>210</v>
      </c>
      <c r="H19" s="29">
        <f>LOOKUP(G19,{0,180,185,190,195,200,205,209,213,217,221,225,229,233,237,241,245,253,260,265,270},{0,10,20,30,40,50,60,62,64,66,68,70,72,74,76,78,80,85,90,95,100})</f>
        <v>62</v>
      </c>
      <c r="I19" s="27">
        <v>1</v>
      </c>
      <c r="J19" s="29">
        <f>LOOKUP(I19,{0,4,5,6,7,8,9,10,11,12,13,14,15,16,17,18},{0,10,20,30,40,50,60,64,68,72,76,80,85,90,95,100})</f>
        <v>0</v>
      </c>
      <c r="K19" s="44"/>
      <c r="L19" s="35"/>
      <c r="M19" s="35">
        <f t="shared" si="0"/>
        <v>0</v>
      </c>
      <c r="N19" s="35">
        <v>8.4</v>
      </c>
      <c r="O19" s="36">
        <f t="shared" si="1"/>
        <v>9.6</v>
      </c>
      <c r="P19" s="29">
        <f>LOOKUP(O19,{0,7.8,8,8.2,8.4,8.6,8.8,9,9.2,9.4,9.6,9.8,10,10.2,10.4,10.6,10.8,10.9,11,11.1,11.2},{0,10,20,30,40,50,60,62,64,66,68,70,72,74,76,78,80,85,90,95,100})</f>
        <v>68</v>
      </c>
      <c r="Q19" s="5">
        <v>3.55</v>
      </c>
      <c r="R19" s="36">
        <f t="shared" si="2"/>
        <v>6.45</v>
      </c>
      <c r="S19" s="29">
        <f>LOOKUP(R19,{0,3.85,4.45,4.65,4.85,5.45,5.65,5.7,5.75,5.8,5.85,5.9,5.95,6,6.45,6.5,6.55,6.63,6.7,6.75,6.8},{0,10,20,30,40,50,60,62,64,66,68,70,72,74,76,78,80,85,90,95,100})</f>
        <v>76</v>
      </c>
      <c r="T19" s="27"/>
      <c r="U19" s="27"/>
      <c r="V19" s="27">
        <f t="shared" si="3"/>
        <v>76</v>
      </c>
      <c r="W19" s="27"/>
      <c r="X19" s="19">
        <f t="shared" si="4"/>
        <v>41</v>
      </c>
      <c r="Y19" s="13">
        <f t="shared" si="5"/>
        <v>58.5714285714286</v>
      </c>
    </row>
    <row r="20" ht="15.6" spans="1:25">
      <c r="A20" s="27">
        <v>301</v>
      </c>
      <c r="B20" s="27">
        <v>20</v>
      </c>
      <c r="C20" s="27" t="s">
        <v>31</v>
      </c>
      <c r="D20" s="27" t="s">
        <v>12</v>
      </c>
      <c r="E20" s="27">
        <v>14.5</v>
      </c>
      <c r="F20" s="29">
        <f>LOOKUP(E20,{0,-1.8,-0.8,0.2,1.2,2.2,3.2,4.6,6,7.4,8.8,10.2,11.6,13,14.4,15.8,17.2,19.1,21,22.8,24.6},{0,10,20,30,40,50,60,62,64,66,68,70,72,74,76,78,80,85,90,95,100})</f>
        <v>76</v>
      </c>
      <c r="G20" s="27">
        <v>242</v>
      </c>
      <c r="H20" s="29">
        <f>LOOKUP(G20,{0,180,185,190,195,200,205,209,213,217,221,225,229,233,237,241,245,253,260,265,270},{0,10,20,30,40,50,60,62,64,66,68,70,72,74,76,78,80,85,90,95,100})</f>
        <v>78</v>
      </c>
      <c r="I20" s="27">
        <v>13</v>
      </c>
      <c r="J20" s="29">
        <f>LOOKUP(I20,{0,4,5,6,7,8,9,10,11,12,13,14,15,16,17,18},{0,10,20,30,40,50,60,64,68,72,76,80,85,90,95,100})</f>
        <v>76</v>
      </c>
      <c r="K20" s="44"/>
      <c r="L20" s="35"/>
      <c r="M20" s="35">
        <f t="shared" si="0"/>
        <v>76</v>
      </c>
      <c r="N20" s="35">
        <v>7.8</v>
      </c>
      <c r="O20" s="36">
        <f t="shared" si="1"/>
        <v>10.2</v>
      </c>
      <c r="P20" s="29">
        <f>LOOKUP(O20,{0,7.8,8,8.2,8.4,8.6,8.8,9,9.2,9.4,9.6,9.8,10,10.2,10.4,10.6,10.8,10.9,11,11.1,11.2},{0,10,20,30,40,50,60,62,64,66,68,70,72,74,76,78,80,85,90,95,100})</f>
        <v>74</v>
      </c>
      <c r="Q20" s="5">
        <v>3.47</v>
      </c>
      <c r="R20" s="36">
        <f t="shared" si="2"/>
        <v>6.53</v>
      </c>
      <c r="S20" s="29">
        <f>LOOKUP(R20,{0,3.85,4.45,4.65,4.85,5.45,5.65,5.7,5.75,5.8,5.85,5.9,5.95,6,6.45,6.5,6.55,6.63,6.7,6.75,6.8},{0,10,20,30,40,50,60,62,64,66,68,70,72,74,76,78,80,85,90,95,100})</f>
        <v>78</v>
      </c>
      <c r="T20" s="27"/>
      <c r="U20" s="27"/>
      <c r="V20" s="27">
        <f t="shared" si="3"/>
        <v>78</v>
      </c>
      <c r="W20" s="27"/>
      <c r="X20" s="19">
        <f t="shared" si="4"/>
        <v>53.4</v>
      </c>
      <c r="Y20" s="13">
        <f t="shared" si="5"/>
        <v>76.2857142857143</v>
      </c>
    </row>
    <row r="21" ht="15.6" spans="1:25">
      <c r="A21" s="27">
        <v>301</v>
      </c>
      <c r="B21" s="27">
        <v>21</v>
      </c>
      <c r="C21" s="31" t="s">
        <v>33</v>
      </c>
      <c r="D21" s="27" t="s">
        <v>12</v>
      </c>
      <c r="E21" s="27">
        <v>10.7</v>
      </c>
      <c r="F21" s="29">
        <f>LOOKUP(E21,{0,-1.8,-0.8,0.2,1.2,2.2,3.2,4.6,6,7.4,8.8,10.2,11.6,13,14.4,15.8,17.2,19.1,21,22.8,24.6},{0,10,20,30,40,50,60,62,64,66,68,70,72,74,76,78,80,85,90,95,100})</f>
        <v>70</v>
      </c>
      <c r="G21" s="27">
        <v>235</v>
      </c>
      <c r="H21" s="29">
        <f>LOOKUP(G21,{0,180,185,190,195,200,205,209,213,217,221,225,229,233,237,241,245,253,260,265,270},{0,10,20,30,40,50,60,62,64,66,68,70,72,74,76,78,80,85,90,95,100})</f>
        <v>74</v>
      </c>
      <c r="I21" s="27">
        <v>16</v>
      </c>
      <c r="J21" s="29">
        <f>LOOKUP(I21,{0,4,5,6,7,8,9,10,11,12,13,14,15,16,17,18},{0,10,20,30,40,50,60,64,68,72,76,80,85,90,95,100})</f>
        <v>90</v>
      </c>
      <c r="K21" s="44"/>
      <c r="L21" s="35"/>
      <c r="M21" s="35">
        <f t="shared" si="0"/>
        <v>90</v>
      </c>
      <c r="N21" s="35">
        <v>6.8</v>
      </c>
      <c r="O21" s="36">
        <f t="shared" si="1"/>
        <v>11.2</v>
      </c>
      <c r="P21" s="29">
        <f>LOOKUP(O21,{0,7.8,8,8.2,8.4,8.6,8.8,9,9.2,9.4,9.6,9.8,10,10.2,10.4,10.6,10.8,10.9,11,11.1,11.2},{0,10,20,30,40,50,60,62,64,66,68,70,72,74,76,78,80,85,90,95,100})</f>
        <v>100</v>
      </c>
      <c r="Q21" s="5">
        <v>3.35</v>
      </c>
      <c r="R21" s="36">
        <f t="shared" si="2"/>
        <v>6.65</v>
      </c>
      <c r="S21" s="29">
        <f>LOOKUP(R21,{0,3.85,4.45,4.65,4.85,5.45,5.65,5.7,5.75,5.8,5.85,5.9,5.95,6,6.45,6.5,6.55,6.63,6.7,6.75,6.8},{0,10,20,30,40,50,60,62,64,66,68,70,72,74,76,78,80,85,90,95,100})</f>
        <v>85</v>
      </c>
      <c r="T21" s="27"/>
      <c r="U21" s="27"/>
      <c r="V21" s="27">
        <f t="shared" si="3"/>
        <v>85</v>
      </c>
      <c r="W21" s="27"/>
      <c r="X21" s="19">
        <f t="shared" si="4"/>
        <v>60.4</v>
      </c>
      <c r="Y21" s="13">
        <f t="shared" si="5"/>
        <v>86.2857142857143</v>
      </c>
    </row>
    <row r="22" ht="15.6" spans="1:25">
      <c r="A22" s="27">
        <v>301</v>
      </c>
      <c r="B22" s="27">
        <v>22</v>
      </c>
      <c r="C22" s="27" t="s">
        <v>34</v>
      </c>
      <c r="D22" s="27" t="s">
        <v>12</v>
      </c>
      <c r="E22" s="27">
        <v>21</v>
      </c>
      <c r="F22" s="29">
        <f>LOOKUP(E22,{0,-1.8,-0.8,0.2,1.2,2.2,3.2,4.6,6,7.4,8.8,10.2,11.6,13,14.4,15.8,17.2,19.1,21,22.8,24.6},{0,10,20,30,40,50,60,62,64,66,68,70,72,74,76,78,80,85,90,95,100})</f>
        <v>90</v>
      </c>
      <c r="G22" s="27">
        <v>220</v>
      </c>
      <c r="H22" s="29">
        <f>LOOKUP(G22,{0,180,185,190,195,200,205,209,213,217,221,225,229,233,237,241,245,253,260,265,270},{0,10,20,30,40,50,60,62,64,66,68,70,72,74,76,78,80,85,90,95,100})</f>
        <v>66</v>
      </c>
      <c r="I22" s="27">
        <v>5</v>
      </c>
      <c r="J22" s="29">
        <f>LOOKUP(I22,{0,4,5,6,7,8,9,10,11,12,13,14,15,16,17,18},{0,10,20,30,40,50,60,64,68,72,76,80,85,90,95,100})</f>
        <v>20</v>
      </c>
      <c r="K22" s="44"/>
      <c r="L22" s="35"/>
      <c r="M22" s="35">
        <f t="shared" si="0"/>
        <v>20</v>
      </c>
      <c r="N22" s="35">
        <v>7.7</v>
      </c>
      <c r="O22" s="36">
        <f t="shared" si="1"/>
        <v>10.3</v>
      </c>
      <c r="P22" s="29">
        <f>LOOKUP(O22,{0,7.8,8,8.2,8.4,8.6,8.8,9,9.2,9.4,9.6,9.8,10,10.2,10.4,10.6,10.8,10.9,11,11.1,11.2},{0,10,20,30,40,50,60,62,64,66,68,70,72,74,76,78,80,85,90,95,100})</f>
        <v>74</v>
      </c>
      <c r="Q22" s="5">
        <v>4.09</v>
      </c>
      <c r="R22" s="36">
        <f t="shared" si="2"/>
        <v>5.91</v>
      </c>
      <c r="S22" s="29">
        <f>LOOKUP(R22,{0,3.85,4.45,4.65,4.85,5.45,5.65,5.7,5.75,5.8,5.85,5.9,5.95,6,6.45,6.5,6.55,6.63,6.7,6.75,6.8},{0,10,20,30,40,50,60,62,64,66,68,70,72,74,76,78,80,85,90,95,100})</f>
        <v>70</v>
      </c>
      <c r="T22" s="27"/>
      <c r="U22" s="27"/>
      <c r="V22" s="27">
        <f t="shared" si="3"/>
        <v>70</v>
      </c>
      <c r="W22" s="27"/>
      <c r="X22" s="19">
        <f t="shared" si="4"/>
        <v>46.4</v>
      </c>
      <c r="Y22" s="13">
        <f t="shared" si="5"/>
        <v>66.2857142857143</v>
      </c>
    </row>
    <row r="23" ht="15.6" spans="1:25">
      <c r="A23" s="27">
        <v>301</v>
      </c>
      <c r="B23" s="27">
        <v>23</v>
      </c>
      <c r="C23" s="27" t="s">
        <v>35</v>
      </c>
      <c r="D23" s="27" t="s">
        <v>12</v>
      </c>
      <c r="E23" s="27">
        <v>17</v>
      </c>
      <c r="F23" s="29">
        <f>LOOKUP(E23,{0,-1.8,-0.8,0.2,1.2,2.2,3.2,4.6,6,7.4,8.8,10.2,11.6,13,14.4,15.8,17.2,19.1,21,22.8,24.6},{0,10,20,30,40,50,60,62,64,66,68,70,72,74,76,78,80,85,90,95,100})</f>
        <v>78</v>
      </c>
      <c r="G23" s="27">
        <v>248</v>
      </c>
      <c r="H23" s="29">
        <f>LOOKUP(G23,{0,180,185,190,195,200,205,209,213,217,221,225,229,233,237,241,245,253,260,265,270},{0,10,20,30,40,50,60,62,64,66,68,70,72,74,76,78,80,85,90,95,100})</f>
        <v>80</v>
      </c>
      <c r="I23" s="27">
        <v>20</v>
      </c>
      <c r="J23" s="29">
        <f>LOOKUP(I23,{0,4,5,6,7,8,9,10,11,12,13,14,15,16,17,18},{0,10,20,30,40,50,60,64,68,72,76,80,85,90,95,100})</f>
        <v>100</v>
      </c>
      <c r="K23" s="44">
        <f>I23-18</f>
        <v>2</v>
      </c>
      <c r="L23" s="29">
        <f>LOOKUP(K23,{0,1,2,3,4,5,6,7,8,9,10},{0,1,2,3,4,5,6,7,8,9,10})</f>
        <v>2</v>
      </c>
      <c r="M23" s="35">
        <f t="shared" si="0"/>
        <v>102</v>
      </c>
      <c r="N23" s="35">
        <v>6.7</v>
      </c>
      <c r="O23" s="36">
        <f t="shared" si="1"/>
        <v>11.3</v>
      </c>
      <c r="P23" s="29">
        <f>LOOKUP(O23,{0,7.8,8,8.2,8.4,8.6,8.8,9,9.2,9.4,9.6,9.8,10,10.2,10.4,10.6,10.8,10.9,11,11.1,11.2},{0,10,20,30,40,50,60,62,64,66,68,70,72,74,76,78,80,85,90,95,100})</f>
        <v>100</v>
      </c>
      <c r="Q23" s="5">
        <v>4.01</v>
      </c>
      <c r="R23" s="36">
        <f t="shared" si="2"/>
        <v>5.99</v>
      </c>
      <c r="S23" s="29">
        <f>LOOKUP(R23,{0,3.85,4.45,4.65,4.85,5.45,5.65,5.7,5.75,5.8,5.85,5.9,5.95,6,6.45,6.5,6.55,6.63,6.7,6.75,6.8},{0,10,20,30,40,50,60,62,64,66,68,70,72,74,76,78,80,85,90,95,100})</f>
        <v>72</v>
      </c>
      <c r="T23" s="27"/>
      <c r="U23" s="27"/>
      <c r="V23" s="27">
        <f t="shared" si="3"/>
        <v>72</v>
      </c>
      <c r="W23" s="27"/>
      <c r="X23" s="19">
        <f t="shared" si="4"/>
        <v>60.2</v>
      </c>
      <c r="Y23" s="13">
        <f t="shared" si="5"/>
        <v>88</v>
      </c>
    </row>
    <row r="24" ht="15.6" spans="1:25">
      <c r="A24" s="27">
        <v>301</v>
      </c>
      <c r="B24" s="27">
        <v>24</v>
      </c>
      <c r="C24" s="27" t="s">
        <v>36</v>
      </c>
      <c r="D24" s="27" t="s">
        <v>12</v>
      </c>
      <c r="E24" s="27">
        <v>11</v>
      </c>
      <c r="F24" s="29">
        <f>LOOKUP(E24,{0,-1.8,-0.8,0.2,1.2,2.2,3.2,4.6,6,7.4,8.8,10.2,11.6,13,14.4,15.8,17.2,19.1,21,22.8,24.6},{0,10,20,30,40,50,60,62,64,66,68,70,72,74,76,78,80,85,90,95,100})</f>
        <v>70</v>
      </c>
      <c r="G24" s="27">
        <v>186</v>
      </c>
      <c r="H24" s="29">
        <f>LOOKUP(G24,{0,180,185,190,195,200,205,209,213,217,221,225,229,233,237,241,245,253,260,265,270},{0,10,20,30,40,50,60,62,64,66,68,70,72,74,76,78,80,85,90,95,100})</f>
        <v>20</v>
      </c>
      <c r="I24" s="27">
        <v>0</v>
      </c>
      <c r="J24" s="29">
        <f>LOOKUP(I24,{0,4,5,6,7,8,9,10,11,12,13,14,15,16,17,18},{0,10,20,30,40,50,60,64,68,72,76,80,85,90,95,100})</f>
        <v>0</v>
      </c>
      <c r="K24" s="44"/>
      <c r="L24" s="35"/>
      <c r="M24" s="35">
        <f t="shared" si="0"/>
        <v>0</v>
      </c>
      <c r="N24" s="35">
        <v>7.6</v>
      </c>
      <c r="O24" s="36">
        <f t="shared" si="1"/>
        <v>10.4</v>
      </c>
      <c r="P24" s="29">
        <f>LOOKUP(O24,{0,7.8,8,8.2,8.4,8.6,8.8,9,9.2,9.4,9.6,9.8,10,10.2,10.4,10.6,10.8,10.9,11,11.1,11.2},{0,10,20,30,40,50,60,62,64,66,68,70,72,74,76,78,80,85,90,95,100})</f>
        <v>76</v>
      </c>
      <c r="Q24" s="5">
        <v>4.15</v>
      </c>
      <c r="R24" s="36">
        <f t="shared" si="2"/>
        <v>5.85</v>
      </c>
      <c r="S24" s="29">
        <f>LOOKUP(R24,{0,3.85,4.45,4.65,4.85,5.45,5.65,5.7,5.75,5.8,5.85,5.9,5.95,6,6.45,6.5,6.55,6.63,6.7,6.75,6.8},{0,10,20,30,40,50,60,62,64,66,68,70,72,74,76,78,80,85,90,95,100})</f>
        <v>68</v>
      </c>
      <c r="T24" s="27"/>
      <c r="U24" s="27"/>
      <c r="V24" s="27">
        <f t="shared" si="3"/>
        <v>68</v>
      </c>
      <c r="W24" s="27"/>
      <c r="X24" s="19">
        <f t="shared" si="4"/>
        <v>37.8</v>
      </c>
      <c r="Y24" s="13">
        <f t="shared" si="5"/>
        <v>54</v>
      </c>
    </row>
    <row r="25" ht="15.6" spans="1:25">
      <c r="A25" s="27">
        <v>301</v>
      </c>
      <c r="B25" s="27">
        <v>25</v>
      </c>
      <c r="C25" s="27" t="s">
        <v>37</v>
      </c>
      <c r="D25" s="27" t="s">
        <v>12</v>
      </c>
      <c r="E25" s="27">
        <v>12</v>
      </c>
      <c r="F25" s="29">
        <f>LOOKUP(E25,{0,-1.8,-0.8,0.2,1.2,2.2,3.2,4.6,6,7.4,8.8,10.2,11.6,13,14.4,15.8,17.2,19.1,21,22.8,24.6},{0,10,20,30,40,50,60,62,64,66,68,70,72,74,76,78,80,85,90,95,100})</f>
        <v>72</v>
      </c>
      <c r="G25" s="27">
        <v>172</v>
      </c>
      <c r="H25" s="29">
        <f>LOOKUP(G25,{0,180,185,190,195,200,205,209,213,217,221,225,229,233,237,241,245,253,260,265,270},{0,10,20,30,40,50,60,62,64,66,68,70,72,74,76,78,80,85,90,95,100})</f>
        <v>0</v>
      </c>
      <c r="I25" s="27">
        <v>1</v>
      </c>
      <c r="J25" s="29">
        <f>LOOKUP(I25,{0,4,5,6,7,8,9,10,11,12,13,14,15,16,17,18},{0,10,20,30,40,50,60,64,68,72,76,80,85,90,95,100})</f>
        <v>0</v>
      </c>
      <c r="K25" s="44"/>
      <c r="L25" s="35"/>
      <c r="M25" s="35">
        <f t="shared" si="0"/>
        <v>0</v>
      </c>
      <c r="N25" s="35">
        <v>8.5</v>
      </c>
      <c r="O25" s="36">
        <f t="shared" si="1"/>
        <v>9.5</v>
      </c>
      <c r="P25" s="29">
        <f>LOOKUP(O25,{0,7.8,8,8.2,8.4,8.6,8.8,9,9.2,9.4,9.6,9.8,10,10.2,10.4,10.6,10.8,10.9,11,11.1,11.2},{0,10,20,30,40,50,60,62,64,66,68,70,72,74,76,78,80,85,90,95,100})</f>
        <v>66</v>
      </c>
      <c r="Q25" s="5">
        <v>4.11</v>
      </c>
      <c r="R25" s="36">
        <f t="shared" si="2"/>
        <v>5.89</v>
      </c>
      <c r="S25" s="29">
        <f>LOOKUP(R25,{0,3.85,4.45,4.65,4.85,5.45,5.65,5.7,5.75,5.8,5.85,5.9,5.95,6,6.45,6.5,6.55,6.63,6.7,6.75,6.8},{0,10,20,30,40,50,60,62,64,66,68,70,72,74,76,78,80,85,90,95,100})</f>
        <v>68</v>
      </c>
      <c r="T25" s="27"/>
      <c r="U25" s="27"/>
      <c r="V25" s="27">
        <f t="shared" si="3"/>
        <v>68</v>
      </c>
      <c r="W25" s="27"/>
      <c r="X25" s="19">
        <f t="shared" si="4"/>
        <v>34</v>
      </c>
      <c r="Y25" s="13">
        <f t="shared" si="5"/>
        <v>48.5714285714286</v>
      </c>
    </row>
    <row r="26" ht="15.6" spans="1:25">
      <c r="A26" s="27">
        <v>301</v>
      </c>
      <c r="B26" s="27">
        <v>26</v>
      </c>
      <c r="C26" s="27" t="s">
        <v>38</v>
      </c>
      <c r="D26" s="27" t="s">
        <v>12</v>
      </c>
      <c r="E26" s="27">
        <v>19</v>
      </c>
      <c r="F26" s="29">
        <f>LOOKUP(E26,{0,-1.8,-0.8,0.2,1.2,2.2,3.2,4.6,6,7.4,8.8,10.2,11.6,13,14.4,15.8,17.2,19.1,21,22.8,24.6},{0,10,20,30,40,50,60,62,64,66,68,70,72,74,76,78,80,85,90,95,100})</f>
        <v>80</v>
      </c>
      <c r="G26" s="27">
        <v>255</v>
      </c>
      <c r="H26" s="29">
        <f>LOOKUP(G26,{0,180,185,190,195,200,205,209,213,217,221,225,229,233,237,241,245,253,260,265,270},{0,10,20,30,40,50,60,62,64,66,68,70,72,74,76,78,80,85,90,95,100})</f>
        <v>85</v>
      </c>
      <c r="I26" s="27">
        <v>10</v>
      </c>
      <c r="J26" s="29">
        <f>LOOKUP(I26,{0,4,5,6,7,8,9,10,11,12,13,14,15,16,17,18},{0,10,20,30,40,50,60,64,68,72,76,80,85,90,95,100})</f>
        <v>64</v>
      </c>
      <c r="K26" s="44"/>
      <c r="L26" s="35"/>
      <c r="M26" s="35">
        <f t="shared" si="0"/>
        <v>64</v>
      </c>
      <c r="N26" s="35">
        <v>7.1</v>
      </c>
      <c r="O26" s="36">
        <f t="shared" si="1"/>
        <v>10.9</v>
      </c>
      <c r="P26" s="29">
        <f>LOOKUP(O26,{0,7.8,8,8.2,8.4,8.6,8.8,9,9.2,9.4,9.6,9.8,10,10.2,10.4,10.6,10.8,10.9,11,11.1,11.2},{0,10,20,30,40,50,60,62,64,66,68,70,72,74,76,78,80,85,90,95,100})</f>
        <v>85</v>
      </c>
      <c r="Q26" s="5">
        <v>4.02</v>
      </c>
      <c r="R26" s="36">
        <f t="shared" si="2"/>
        <v>5.98</v>
      </c>
      <c r="S26" s="29">
        <f>LOOKUP(R26,{0,3.85,4.45,4.65,4.85,5.45,5.65,5.7,5.75,5.8,5.85,5.9,5.95,6,6.45,6.5,6.55,6.63,6.7,6.75,6.8},{0,10,20,30,40,50,60,62,64,66,68,70,72,74,76,78,80,85,90,95,100})</f>
        <v>72</v>
      </c>
      <c r="T26" s="27"/>
      <c r="U26" s="27"/>
      <c r="V26" s="27">
        <f t="shared" si="3"/>
        <v>72</v>
      </c>
      <c r="W26" s="27"/>
      <c r="X26" s="19">
        <f t="shared" si="4"/>
        <v>54.3</v>
      </c>
      <c r="Y26" s="13">
        <f t="shared" si="5"/>
        <v>77.5714285714286</v>
      </c>
    </row>
    <row r="27" ht="15.6" spans="1:25">
      <c r="A27" s="27">
        <v>301</v>
      </c>
      <c r="B27" s="27">
        <v>27</v>
      </c>
      <c r="C27" s="27" t="s">
        <v>39</v>
      </c>
      <c r="D27" s="27" t="s">
        <v>12</v>
      </c>
      <c r="E27" s="27">
        <v>5</v>
      </c>
      <c r="F27" s="29">
        <f>LOOKUP(E27,{0,-1.8,-0.8,0.2,1.2,2.2,3.2,4.6,6,7.4,8.8,10.2,11.6,13,14.4,15.8,17.2,19.1,21,22.8,24.6},{0,10,20,30,40,50,60,62,64,66,68,70,72,74,76,78,80,85,90,95,100})</f>
        <v>62</v>
      </c>
      <c r="G27" s="27">
        <v>212</v>
      </c>
      <c r="H27" s="29">
        <f>LOOKUP(G27,{0,180,185,190,195,200,205,209,213,217,221,225,229,233,237,241,245,253,260,265,270},{0,10,20,30,40,50,60,62,64,66,68,70,72,74,76,78,80,85,90,95,100})</f>
        <v>62</v>
      </c>
      <c r="I27" s="27">
        <v>3</v>
      </c>
      <c r="J27" s="29">
        <f>LOOKUP(I27,{0,4,5,6,7,8,9,10,11,12,13,14,15,16,17,18},{0,10,20,30,40,50,60,64,68,72,76,80,85,90,95,100})</f>
        <v>0</v>
      </c>
      <c r="K27" s="44"/>
      <c r="L27" s="35"/>
      <c r="M27" s="35">
        <f t="shared" si="0"/>
        <v>0</v>
      </c>
      <c r="N27" s="35">
        <v>7.2</v>
      </c>
      <c r="O27" s="36">
        <f t="shared" si="1"/>
        <v>10.8</v>
      </c>
      <c r="P27" s="29">
        <f>LOOKUP(O27,{0,7.8,8,8.2,8.4,8.6,8.8,9,9.2,9.4,9.6,9.8,10,10.2,10.4,10.6,10.8,10.9,11,11.1,11.2},{0,10,20,30,40,50,60,62,64,66,68,70,72,74,76,78,80,85,90,95,100})</f>
        <v>80</v>
      </c>
      <c r="Q27" s="5">
        <v>4.57</v>
      </c>
      <c r="R27" s="36">
        <f t="shared" si="2"/>
        <v>5.43</v>
      </c>
      <c r="S27" s="29">
        <f>LOOKUP(R27,{0,3.85,4.45,4.65,4.85,5.45,5.65,5.7,5.75,5.8,5.85,5.9,5.95,6,6.45,6.5,6.55,6.63,6.7,6.75,6.8},{0,10,20,30,40,50,60,62,64,66,68,70,72,74,76,78,80,85,90,95,100})</f>
        <v>40</v>
      </c>
      <c r="T27" s="27"/>
      <c r="U27" s="27"/>
      <c r="V27" s="27">
        <f t="shared" si="3"/>
        <v>40</v>
      </c>
      <c r="W27" s="27"/>
      <c r="X27" s="19">
        <f t="shared" si="4"/>
        <v>36.4</v>
      </c>
      <c r="Y27" s="13">
        <f t="shared" si="5"/>
        <v>52</v>
      </c>
    </row>
    <row r="28" ht="15.6" spans="1:25">
      <c r="A28" s="27">
        <v>301</v>
      </c>
      <c r="B28" s="27">
        <v>28</v>
      </c>
      <c r="C28" s="27" t="s">
        <v>40</v>
      </c>
      <c r="D28" s="27" t="s">
        <v>12</v>
      </c>
      <c r="E28" s="27">
        <v>18</v>
      </c>
      <c r="F28" s="29">
        <f>LOOKUP(E28,{0,-1.8,-0.8,0.2,1.2,2.2,3.2,4.6,6,7.4,8.8,10.2,11.6,13,14.4,15.8,17.2,19.1,21,22.8,24.6},{0,10,20,30,40,50,60,62,64,66,68,70,72,74,76,78,80,85,90,95,100})</f>
        <v>80</v>
      </c>
      <c r="G28" s="27">
        <v>225</v>
      </c>
      <c r="H28" s="29">
        <f>LOOKUP(G28,{0,180,185,190,195,200,205,209,213,217,221,225,229,233,237,241,245,253,260,265,270},{0,10,20,30,40,50,60,62,64,66,68,70,72,74,76,78,80,85,90,95,100})</f>
        <v>70</v>
      </c>
      <c r="I28" s="27">
        <v>3</v>
      </c>
      <c r="J28" s="29">
        <f>LOOKUP(I28,{0,4,5,6,7,8,9,10,11,12,13,14,15,16,17,18},{0,10,20,30,40,50,60,64,68,72,76,80,85,90,95,100})</f>
        <v>0</v>
      </c>
      <c r="K28" s="44"/>
      <c r="L28" s="35"/>
      <c r="M28" s="35">
        <f t="shared" si="0"/>
        <v>0</v>
      </c>
      <c r="N28" s="35">
        <v>7.6</v>
      </c>
      <c r="O28" s="36">
        <f t="shared" si="1"/>
        <v>10.4</v>
      </c>
      <c r="P28" s="29">
        <f>LOOKUP(O28,{0,7.8,8,8.2,8.4,8.6,8.8,9,9.2,9.4,9.6,9.8,10,10.2,10.4,10.6,10.8,10.9,11,11.1,11.2},{0,10,20,30,40,50,60,62,64,66,68,70,72,74,76,78,80,85,90,95,100})</f>
        <v>76</v>
      </c>
      <c r="Q28" s="5">
        <v>4.07</v>
      </c>
      <c r="R28" s="36">
        <f t="shared" si="2"/>
        <v>5.93</v>
      </c>
      <c r="S28" s="29">
        <f>LOOKUP(R28,{0,3.85,4.45,4.65,4.85,5.45,5.65,5.7,5.75,5.8,5.85,5.9,5.95,6,6.45,6.5,6.55,6.63,6.7,6.75,6.8},{0,10,20,30,40,50,60,62,64,66,68,70,72,74,76,78,80,85,90,95,100})</f>
        <v>70</v>
      </c>
      <c r="T28" s="27"/>
      <c r="U28" s="27"/>
      <c r="V28" s="27">
        <f t="shared" si="3"/>
        <v>70</v>
      </c>
      <c r="W28" s="27"/>
      <c r="X28" s="19">
        <f t="shared" si="4"/>
        <v>44.2</v>
      </c>
      <c r="Y28" s="13">
        <f t="shared" si="5"/>
        <v>63.1428571428572</v>
      </c>
    </row>
    <row r="29" ht="15.6" spans="1:25">
      <c r="A29" s="27">
        <v>301</v>
      </c>
      <c r="B29" s="27">
        <v>29</v>
      </c>
      <c r="C29" s="27" t="s">
        <v>41</v>
      </c>
      <c r="D29" s="27" t="s">
        <v>12</v>
      </c>
      <c r="E29" s="27"/>
      <c r="F29" s="29"/>
      <c r="G29" s="27"/>
      <c r="H29" s="29"/>
      <c r="I29" s="27"/>
      <c r="J29" s="35"/>
      <c r="K29" s="44"/>
      <c r="L29" s="35"/>
      <c r="M29" s="35"/>
      <c r="N29" s="35"/>
      <c r="O29" s="5"/>
      <c r="P29" s="5"/>
      <c r="Q29" s="5"/>
      <c r="R29" s="27"/>
      <c r="S29" s="27"/>
      <c r="T29" s="27"/>
      <c r="U29" s="27"/>
      <c r="V29" s="27"/>
      <c r="W29" s="27">
        <v>50</v>
      </c>
      <c r="X29" s="19"/>
      <c r="Y29" s="19">
        <v>50</v>
      </c>
    </row>
    <row r="30" ht="15.6" spans="1:25">
      <c r="A30" s="27">
        <v>301</v>
      </c>
      <c r="B30" s="27">
        <v>30</v>
      </c>
      <c r="C30" s="27" t="s">
        <v>42</v>
      </c>
      <c r="D30" s="27" t="s">
        <v>12</v>
      </c>
      <c r="E30" s="27">
        <v>10</v>
      </c>
      <c r="F30" s="29">
        <f>LOOKUP(E30,{0,-1.8,-0.8,0.2,1.2,2.2,3.2,4.6,6,7.4,8.8,10.2,11.6,13,14.4,15.8,17.2,19.1,21,22.8,24.6},{0,10,20,30,40,50,60,62,64,66,68,70,72,74,76,78,80,85,90,95,100})</f>
        <v>68</v>
      </c>
      <c r="G30" s="27">
        <v>225</v>
      </c>
      <c r="H30" s="29">
        <f>LOOKUP(G30,{0,180,185,190,195,200,205,209,213,217,221,225,229,233,237,241,245,253,260,265,270},{0,10,20,30,40,50,60,62,64,66,68,70,72,74,76,78,80,85,90,95,100})</f>
        <v>70</v>
      </c>
      <c r="I30" s="27">
        <v>1</v>
      </c>
      <c r="J30" s="29">
        <f>LOOKUP(I30,{0,4,5,6,7,8,9,10,11,12,13,14,15,16,17,18},{0,10,20,30,40,50,60,64,68,72,76,80,85,90,95,100})</f>
        <v>0</v>
      </c>
      <c r="K30" s="44"/>
      <c r="L30" s="35"/>
      <c r="M30" s="35">
        <f t="shared" ref="M30:M43" si="6">J30+L30</f>
        <v>0</v>
      </c>
      <c r="N30" s="35">
        <v>7.7</v>
      </c>
      <c r="O30" s="36">
        <f t="shared" ref="O30:O43" si="7">18-N30</f>
        <v>10.3</v>
      </c>
      <c r="P30" s="29">
        <f>LOOKUP(O30,{0,7.8,8,8.2,8.4,8.6,8.8,9,9.2,9.4,9.6,9.8,10,10.2,10.4,10.6,10.8,10.9,11,11.1,11.2},{0,10,20,30,40,50,60,62,64,66,68,70,72,74,76,78,80,85,90,95,100})</f>
        <v>74</v>
      </c>
      <c r="Q30" s="5">
        <v>4.26</v>
      </c>
      <c r="R30" s="36">
        <f t="shared" ref="R30:R43" si="8">10-Q30</f>
        <v>5.74</v>
      </c>
      <c r="S30" s="29">
        <f>LOOKUP(R30,{0,3.85,4.45,4.65,4.85,5.45,5.65,5.7,5.75,5.8,5.85,5.9,5.95,6,6.45,6.5,6.55,6.63,6.7,6.75,6.8},{0,10,20,30,40,50,60,62,64,66,68,70,72,74,76,78,80,85,90,95,100})</f>
        <v>62</v>
      </c>
      <c r="T30" s="27"/>
      <c r="U30" s="27"/>
      <c r="V30" s="27">
        <f t="shared" ref="V30:V43" si="9">S30+U30</f>
        <v>62</v>
      </c>
      <c r="W30" s="27"/>
      <c r="X30" s="19">
        <f t="shared" ref="X30:X43" si="10">F30*0.1+H30*0.1+J30*0.1+P30*0.2+S30*0.2</f>
        <v>41</v>
      </c>
      <c r="Y30" s="13">
        <f t="shared" ref="Y30:Y43" si="11">X30/0.7+L30+U30</f>
        <v>58.5714285714286</v>
      </c>
    </row>
    <row r="31" ht="15.6" spans="1:25">
      <c r="A31" s="27">
        <v>301</v>
      </c>
      <c r="B31" s="27">
        <v>31</v>
      </c>
      <c r="C31" s="27" t="s">
        <v>43</v>
      </c>
      <c r="D31" s="27" t="s">
        <v>12</v>
      </c>
      <c r="E31" s="27">
        <v>13</v>
      </c>
      <c r="F31" s="29">
        <f>LOOKUP(E31,{0,-1.8,-0.8,0.2,1.2,2.2,3.2,4.6,6,7.4,8.8,10.2,11.6,13,14.4,15.8,17.2,19.1,21,22.8,24.6},{0,10,20,30,40,50,60,62,64,66,68,70,72,74,76,78,80,85,90,95,100})</f>
        <v>74</v>
      </c>
      <c r="G31" s="27">
        <v>200</v>
      </c>
      <c r="H31" s="29">
        <f>LOOKUP(G31,{0,180,185,190,195,200,205,209,213,217,221,225,229,233,237,241,245,253,260,265,270},{0,10,20,30,40,50,60,62,64,66,68,70,72,74,76,78,80,85,90,95,100})</f>
        <v>50</v>
      </c>
      <c r="I31" s="27">
        <v>0</v>
      </c>
      <c r="J31" s="29">
        <f>LOOKUP(I31,{0,4,5,6,7,8,9,10,11,12,13,14,15,16,17,18},{0,10,20,30,40,50,60,64,68,72,76,80,85,90,95,100})</f>
        <v>0</v>
      </c>
      <c r="K31" s="44"/>
      <c r="L31" s="35"/>
      <c r="M31" s="35">
        <f t="shared" si="6"/>
        <v>0</v>
      </c>
      <c r="N31" s="35">
        <v>7.7</v>
      </c>
      <c r="O31" s="36">
        <f t="shared" si="7"/>
        <v>10.3</v>
      </c>
      <c r="P31" s="29">
        <f>LOOKUP(O31,{0,7.8,8,8.2,8.4,8.6,8.8,9,9.2,9.4,9.6,9.8,10,10.2,10.4,10.6,10.8,10.9,11,11.1,11.2},{0,10,20,30,40,50,60,62,64,66,68,70,72,74,76,78,80,85,90,95,100})</f>
        <v>74</v>
      </c>
      <c r="Q31" s="5">
        <v>4.26</v>
      </c>
      <c r="R31" s="36">
        <f t="shared" si="8"/>
        <v>5.74</v>
      </c>
      <c r="S31" s="29">
        <f>LOOKUP(R31,{0,3.85,4.45,4.65,4.85,5.45,5.65,5.7,5.75,5.8,5.85,5.9,5.95,6,6.45,6.5,6.55,6.63,6.7,6.75,6.8},{0,10,20,30,40,50,60,62,64,66,68,70,72,74,76,78,80,85,90,95,100})</f>
        <v>62</v>
      </c>
      <c r="T31" s="27"/>
      <c r="U31" s="27"/>
      <c r="V31" s="27">
        <f t="shared" si="9"/>
        <v>62</v>
      </c>
      <c r="W31" s="27"/>
      <c r="X31" s="19">
        <f t="shared" si="10"/>
        <v>39.6</v>
      </c>
      <c r="Y31" s="13">
        <f t="shared" si="11"/>
        <v>56.5714285714286</v>
      </c>
    </row>
    <row r="32" ht="15.6" spans="1:25">
      <c r="A32" s="27">
        <v>301</v>
      </c>
      <c r="B32" s="27">
        <v>32</v>
      </c>
      <c r="C32" s="31" t="s">
        <v>45</v>
      </c>
      <c r="D32" s="27" t="s">
        <v>46</v>
      </c>
      <c r="E32" s="27">
        <v>7.3</v>
      </c>
      <c r="F32" s="29">
        <f>LOOKUP(E32,{0,1.5,2.3,3.1,3.9,4.7,5.5,6.8,8.1,9.4,10.7,12,13.3,14.6,15.9,17.2,18.5,20.2,21.9,23.6,25.3},{0,10,20,30,40,50,60,62,64,66,68,70,72,74,76,78,80,85,90,95,100})</f>
        <v>62</v>
      </c>
      <c r="G32" s="27">
        <v>155</v>
      </c>
      <c r="H32" s="29">
        <f>LOOKUP(G32,{0,125,130,135,140,145,150,153,156,159,162,165,168,171,174,177,180,187,194,200,206},{0,10,20,30,40,50,60,62,64,66,68,70,72,74,76,78,80,85,90,95,100})</f>
        <v>62</v>
      </c>
      <c r="I32" s="27">
        <v>24</v>
      </c>
      <c r="J32" s="29">
        <f>LOOKUP(I32,{0,15,17,19,21,23,25,27,29,31,33,35,37,39,41,43,45,48,51,53,55},{0,10,20,30,40,50,60,62,64,66,68,70,72,74,76,78,80,85,90,95,100})</f>
        <v>50</v>
      </c>
      <c r="K32" s="35"/>
      <c r="L32" s="35"/>
      <c r="M32" s="35">
        <f t="shared" si="6"/>
        <v>50</v>
      </c>
      <c r="N32" s="35">
        <v>8.8</v>
      </c>
      <c r="O32" s="36">
        <f t="shared" si="7"/>
        <v>9.2</v>
      </c>
      <c r="P32" s="29">
        <f>LOOKUP(O32,{0,6.6,6.8,7,7.2,7.4,7.6,7.8,8,8.2,8.4,8.6,8.8,9,9.2,9.4,9.6,9.9,10.2,10.3,10.4},{0,10,20,30,40,50,60,62,64,66,68,70,72,74,76,78,80,85,90,95,100})</f>
        <v>76</v>
      </c>
      <c r="Q32" s="5">
        <v>4.56</v>
      </c>
      <c r="R32" s="36">
        <f t="shared" si="8"/>
        <v>5.44</v>
      </c>
      <c r="S32" s="29">
        <f>LOOKUP(R32,{0,4.74,4.84,4.94,5.44,5.54,5.64,5.69,5.74,5.79,5.84,5.89,5.94,5.99,6.44,6.49,6.54,6.61,6.68,6.74,6.8},{0,10,20,30,40,50,60,62,64,66,68,70,72,74,76,78,80,85,90,95,100})</f>
        <v>40</v>
      </c>
      <c r="T32" s="27"/>
      <c r="U32" s="27"/>
      <c r="V32" s="27">
        <f t="shared" si="9"/>
        <v>40</v>
      </c>
      <c r="W32" s="27"/>
      <c r="X32" s="19">
        <f t="shared" si="10"/>
        <v>40.6</v>
      </c>
      <c r="Y32" s="13">
        <f t="shared" si="11"/>
        <v>58</v>
      </c>
    </row>
    <row r="33" ht="15.6" spans="1:25">
      <c r="A33" s="27">
        <v>301</v>
      </c>
      <c r="B33" s="27">
        <v>34</v>
      </c>
      <c r="C33" s="27" t="s">
        <v>47</v>
      </c>
      <c r="D33" s="27" t="s">
        <v>46</v>
      </c>
      <c r="E33" s="27">
        <v>18</v>
      </c>
      <c r="F33" s="29">
        <f>LOOKUP(E33,{0,1.5,2.3,3.1,3.9,4.7,5.5,6.8,8.1,9.4,10.7,12,13.3,14.6,15.9,17.2,18.5,20.2,21.9,23.6,25.3},{0,10,20,30,40,50,60,62,64,66,68,70,72,74,76,78,80,85,90,95,100})</f>
        <v>78</v>
      </c>
      <c r="G33" s="27">
        <v>172</v>
      </c>
      <c r="H33" s="29">
        <f>LOOKUP(G33,{0,125,130,135,140,145,150,153,156,159,162,165,168,171,174,177,180,187,194,200,206},{0,10,20,30,40,50,60,62,64,66,68,70,72,74,76,78,80,85,90,95,100})</f>
        <v>74</v>
      </c>
      <c r="I33" s="27">
        <v>50</v>
      </c>
      <c r="J33" s="29">
        <f>LOOKUP(I33,{0,15,17,19,21,23,25,27,29,31,33,35,37,39,41,43,45,48,51,53,55},{0,10,20,30,40,50,60,62,64,66,68,70,72,74,76,78,80,85,90,95,100})</f>
        <v>85</v>
      </c>
      <c r="K33" s="35"/>
      <c r="L33" s="35"/>
      <c r="M33" s="35">
        <f t="shared" si="6"/>
        <v>85</v>
      </c>
      <c r="N33" s="35">
        <v>8.5</v>
      </c>
      <c r="O33" s="36">
        <f t="shared" si="7"/>
        <v>9.5</v>
      </c>
      <c r="P33" s="29">
        <f>LOOKUP(O33,{0,6.6,6.8,7,7.2,7.4,7.6,7.8,8,8.2,8.4,8.6,8.8,9,9.2,9.4,9.6,9.9,10.2,10.3,10.4},{0,10,20,30,40,50,60,62,64,66,68,70,72,74,76,78,80,85,90,95,100})</f>
        <v>78</v>
      </c>
      <c r="Q33" s="5">
        <v>4.09</v>
      </c>
      <c r="R33" s="36">
        <f t="shared" si="8"/>
        <v>5.91</v>
      </c>
      <c r="S33" s="29">
        <f>LOOKUP(R33,{0,4.74,4.84,4.94,5.44,5.54,5.64,5.69,5.74,5.79,5.84,5.89,5.94,5.99,6.44,6.49,6.54,6.61,6.68,6.74,6.8},{0,10,20,30,40,50,60,62,64,66,68,70,72,74,76,78,80,85,90,95,100})</f>
        <v>70</v>
      </c>
      <c r="T33" s="27"/>
      <c r="U33" s="27"/>
      <c r="V33" s="27">
        <f t="shared" si="9"/>
        <v>70</v>
      </c>
      <c r="W33" s="27"/>
      <c r="X33" s="19">
        <f t="shared" si="10"/>
        <v>53.3</v>
      </c>
      <c r="Y33" s="13">
        <f t="shared" si="11"/>
        <v>76.1428571428572</v>
      </c>
    </row>
    <row r="34" ht="15.6" spans="1:25">
      <c r="A34" s="27">
        <v>301</v>
      </c>
      <c r="B34" s="27">
        <v>35</v>
      </c>
      <c r="C34" s="27" t="s">
        <v>48</v>
      </c>
      <c r="D34" s="27" t="s">
        <v>46</v>
      </c>
      <c r="E34" s="27">
        <v>17.5</v>
      </c>
      <c r="F34" s="29">
        <f>LOOKUP(E34,{0,1.5,2.3,3.1,3.9,4.7,5.5,6.8,8.1,9.4,10.7,12,13.3,14.6,15.9,17.2,18.5,20.2,21.9,23.6,25.3},{0,10,20,30,40,50,60,62,64,66,68,70,72,74,76,78,80,85,90,95,100})</f>
        <v>78</v>
      </c>
      <c r="G34" s="27">
        <v>158</v>
      </c>
      <c r="H34" s="29">
        <f>LOOKUP(G34,{0,125,130,135,140,145,150,153,156,159,162,165,168,171,174,177,180,187,194,200,206},{0,10,20,30,40,50,60,62,64,66,68,70,72,74,76,78,80,85,90,95,100})</f>
        <v>64</v>
      </c>
      <c r="I34" s="27">
        <v>53</v>
      </c>
      <c r="J34" s="29">
        <f>LOOKUP(I34,{0,15,17,19,21,23,25,27,29,31,33,35,37,39,41,43,45,48,51,53,55},{0,10,20,30,40,50,60,62,64,66,68,70,72,74,76,78,80,85,90,95,100})</f>
        <v>95</v>
      </c>
      <c r="K34" s="35"/>
      <c r="L34" s="35"/>
      <c r="M34" s="35">
        <f t="shared" si="6"/>
        <v>95</v>
      </c>
      <c r="N34" s="35">
        <v>8.2</v>
      </c>
      <c r="O34" s="36">
        <f t="shared" si="7"/>
        <v>9.8</v>
      </c>
      <c r="P34" s="29">
        <f>LOOKUP(O34,{0,6.6,6.8,7,7.2,7.4,7.6,7.8,8,8.2,8.4,8.6,8.8,9,9.2,9.4,9.6,9.9,10.2,10.3,10.4},{0,10,20,30,40,50,60,62,64,66,68,70,72,74,76,78,80,85,90,95,100})</f>
        <v>80</v>
      </c>
      <c r="Q34" s="5">
        <v>3.51</v>
      </c>
      <c r="R34" s="36">
        <f t="shared" si="8"/>
        <v>6.49</v>
      </c>
      <c r="S34" s="29">
        <f>LOOKUP(R34,{0,4.74,4.84,4.94,5.44,5.54,5.64,5.69,5.74,5.79,5.84,5.89,5.94,5.99,6.44,6.49,6.54,6.61,6.68,6.74,6.8},{0,10,20,30,40,50,60,62,64,66,68,70,72,74,76,78,80,85,90,95,100})</f>
        <v>78</v>
      </c>
      <c r="T34" s="27"/>
      <c r="U34" s="27"/>
      <c r="V34" s="27">
        <f t="shared" si="9"/>
        <v>78</v>
      </c>
      <c r="W34" s="27"/>
      <c r="X34" s="19">
        <f t="shared" si="10"/>
        <v>55.3</v>
      </c>
      <c r="Y34" s="13">
        <f t="shared" si="11"/>
        <v>79</v>
      </c>
    </row>
    <row r="35" ht="15.6" spans="1:25">
      <c r="A35" s="27">
        <v>301</v>
      </c>
      <c r="B35" s="27">
        <v>36</v>
      </c>
      <c r="C35" s="27" t="s">
        <v>49</v>
      </c>
      <c r="D35" s="27" t="s">
        <v>46</v>
      </c>
      <c r="E35" s="27">
        <v>16.3</v>
      </c>
      <c r="F35" s="29">
        <f>LOOKUP(E35,{0,1.5,2.3,3.1,3.9,4.7,5.5,6.8,8.1,9.4,10.7,12,13.3,14.6,15.9,17.2,18.5,20.2,21.9,23.6,25.3},{0,10,20,30,40,50,60,62,64,66,68,70,72,74,76,78,80,85,90,95,100})</f>
        <v>76</v>
      </c>
      <c r="G35" s="27">
        <v>196</v>
      </c>
      <c r="H35" s="29">
        <f>LOOKUP(G35,{0,125,130,135,140,145,150,153,156,159,162,165,168,171,174,177,180,187,194,200,206},{0,10,20,30,40,50,60,62,64,66,68,70,72,74,76,78,80,85,90,95,100})</f>
        <v>90</v>
      </c>
      <c r="I35" s="27">
        <v>43</v>
      </c>
      <c r="J35" s="29">
        <f>LOOKUP(I35,{0,15,17,19,21,23,25,27,29,31,33,35,37,39,41,43,45,48,51,53,55},{0,10,20,30,40,50,60,62,64,66,68,70,72,74,76,78,80,85,90,95,100})</f>
        <v>78</v>
      </c>
      <c r="K35" s="35"/>
      <c r="L35" s="35"/>
      <c r="M35" s="35">
        <f t="shared" si="6"/>
        <v>78</v>
      </c>
      <c r="N35" s="35">
        <v>8.5</v>
      </c>
      <c r="O35" s="36">
        <f t="shared" si="7"/>
        <v>9.5</v>
      </c>
      <c r="P35" s="29">
        <f>LOOKUP(O35,{0,6.6,6.8,7,7.2,7.4,7.6,7.8,8,8.2,8.4,8.6,8.8,9,9.2,9.4,9.6,9.9,10.2,10.3,10.4},{0,10,20,30,40,50,60,62,64,66,68,70,72,74,76,78,80,85,90,95,100})</f>
        <v>78</v>
      </c>
      <c r="Q35" s="5">
        <v>4.03</v>
      </c>
      <c r="R35" s="36">
        <f t="shared" si="8"/>
        <v>5.97</v>
      </c>
      <c r="S35" s="29">
        <f>LOOKUP(R35,{0,4.74,4.84,4.94,5.44,5.54,5.64,5.69,5.74,5.79,5.84,5.89,5.94,5.99,6.44,6.49,6.54,6.61,6.68,6.74,6.8},{0,10,20,30,40,50,60,62,64,66,68,70,72,74,76,78,80,85,90,95,100})</f>
        <v>72</v>
      </c>
      <c r="T35" s="27"/>
      <c r="U35" s="27"/>
      <c r="V35" s="27">
        <f t="shared" si="9"/>
        <v>72</v>
      </c>
      <c r="W35" s="27"/>
      <c r="X35" s="19">
        <f t="shared" si="10"/>
        <v>54.4</v>
      </c>
      <c r="Y35" s="13">
        <f t="shared" si="11"/>
        <v>77.7142857142857</v>
      </c>
    </row>
    <row r="36" ht="15.6" spans="1:25">
      <c r="A36" s="27">
        <v>301</v>
      </c>
      <c r="B36" s="27">
        <v>37</v>
      </c>
      <c r="C36" s="27" t="s">
        <v>50</v>
      </c>
      <c r="D36" s="27" t="s">
        <v>46</v>
      </c>
      <c r="E36" s="27">
        <v>21</v>
      </c>
      <c r="F36" s="29">
        <f>LOOKUP(E36,{0,1.5,2.3,3.1,3.9,4.7,5.5,6.8,8.1,9.4,10.7,12,13.3,14.6,15.9,17.2,18.5,20.2,21.9,23.6,25.3},{0,10,20,30,40,50,60,62,64,66,68,70,72,74,76,78,80,85,90,95,100})</f>
        <v>85</v>
      </c>
      <c r="G36" s="27">
        <v>195</v>
      </c>
      <c r="H36" s="29">
        <f>LOOKUP(G36,{0,125,130,135,140,145,150,153,156,159,162,165,168,171,174,177,180,187,194,200,206},{0,10,20,30,40,50,60,62,64,66,68,70,72,74,76,78,80,85,90,95,100})</f>
        <v>90</v>
      </c>
      <c r="I36" s="27">
        <v>48</v>
      </c>
      <c r="J36" s="29">
        <f>LOOKUP(I36,{0,15,17,19,21,23,25,27,29,31,33,35,37,39,41,43,45,48,51,53,55},{0,10,20,30,40,50,60,62,64,66,68,70,72,74,76,78,80,85,90,95,100})</f>
        <v>85</v>
      </c>
      <c r="K36" s="35"/>
      <c r="L36" s="35"/>
      <c r="M36" s="35">
        <f t="shared" si="6"/>
        <v>85</v>
      </c>
      <c r="N36" s="35">
        <v>8.6</v>
      </c>
      <c r="O36" s="36">
        <f t="shared" si="7"/>
        <v>9.4</v>
      </c>
      <c r="P36" s="29">
        <f>LOOKUP(O36,{0,6.6,6.8,7,7.2,7.4,7.6,7.8,8,8.2,8.4,8.6,8.8,9,9.2,9.4,9.6,9.9,10.2,10.3,10.4},{0,10,20,30,40,50,60,62,64,66,68,70,72,74,76,78,80,85,90,95,100})</f>
        <v>78</v>
      </c>
      <c r="Q36" s="5">
        <v>4.04</v>
      </c>
      <c r="R36" s="36">
        <f t="shared" si="8"/>
        <v>5.96</v>
      </c>
      <c r="S36" s="29">
        <f>LOOKUP(R36,{0,4.74,4.84,4.94,5.44,5.54,5.64,5.69,5.74,5.79,5.84,5.89,5.94,5.99,6.44,6.49,6.54,6.61,6.68,6.74,6.8},{0,10,20,30,40,50,60,62,64,66,68,70,72,74,76,78,80,85,90,95,100})</f>
        <v>72</v>
      </c>
      <c r="T36" s="27"/>
      <c r="U36" s="27"/>
      <c r="V36" s="27">
        <f t="shared" si="9"/>
        <v>72</v>
      </c>
      <c r="W36" s="27"/>
      <c r="X36" s="19">
        <f t="shared" si="10"/>
        <v>56</v>
      </c>
      <c r="Y36" s="13">
        <f t="shared" si="11"/>
        <v>80</v>
      </c>
    </row>
    <row r="37" ht="15.6" spans="1:25">
      <c r="A37" s="27">
        <v>301</v>
      </c>
      <c r="B37" s="27">
        <v>38</v>
      </c>
      <c r="C37" s="27" t="s">
        <v>51</v>
      </c>
      <c r="D37" s="27" t="s">
        <v>46</v>
      </c>
      <c r="E37" s="27">
        <v>26.5</v>
      </c>
      <c r="F37" s="29">
        <f>LOOKUP(E37,{0,1.5,2.3,3.1,3.9,4.7,5.5,6.8,8.1,9.4,10.7,12,13.3,14.6,15.9,17.2,18.5,20.2,21.9,23.6,25.3},{0,10,20,30,40,50,60,62,64,66,68,70,72,74,76,78,80,85,90,95,100})</f>
        <v>100</v>
      </c>
      <c r="G37" s="27">
        <v>197</v>
      </c>
      <c r="H37" s="29">
        <f>LOOKUP(G37,{0,125,130,135,140,145,150,153,156,159,162,165,168,171,174,177,180,187,194,200,206},{0,10,20,30,40,50,60,62,64,66,68,70,72,74,76,78,80,85,90,95,100})</f>
        <v>90</v>
      </c>
      <c r="I37" s="27">
        <v>58</v>
      </c>
      <c r="J37" s="29">
        <f>LOOKUP(I37,{0,15,17,19,21,23,25,27,29,31,33,35,37,39,41,43,45,48,51,53,55},{0,10,20,30,40,50,60,62,64,66,68,70,72,74,76,78,80,85,90,95,100})</f>
        <v>100</v>
      </c>
      <c r="K37" s="34">
        <f>I37-55</f>
        <v>3</v>
      </c>
      <c r="L37" s="29">
        <f>LOOKUP(K37,{0,2,4,6,7,8,9,10,11,12,13},{0,1,2,3,4,5,6,7,8,9,10})</f>
        <v>1</v>
      </c>
      <c r="M37" s="35">
        <f t="shared" si="6"/>
        <v>101</v>
      </c>
      <c r="N37" s="35">
        <v>8</v>
      </c>
      <c r="O37" s="36">
        <f t="shared" si="7"/>
        <v>10</v>
      </c>
      <c r="P37" s="29">
        <f>LOOKUP(O37,{0,6.6,6.8,7,7.2,7.4,7.6,7.8,8,8.2,8.4,8.6,8.8,9,9.2,9.4,9.6,9.9,10.2,10.3,10.4},{0,10,20,30,40,50,60,62,64,66,68,70,72,74,76,78,80,85,90,95,100})</f>
        <v>85</v>
      </c>
      <c r="Q37" s="5">
        <v>3.18</v>
      </c>
      <c r="R37" s="36">
        <f t="shared" si="8"/>
        <v>6.82</v>
      </c>
      <c r="S37" s="29">
        <f>LOOKUP(R37,{0,4.74,4.84,4.94,5.44,5.54,5.64,5.69,5.74,5.79,5.84,5.89,5.94,5.99,6.44,6.49,6.54,6.61,6.68,6.74,6.8},{0,10,20,30,40,50,60,62,64,66,68,70,72,74,76,78,80,85,90,95,100})</f>
        <v>100</v>
      </c>
      <c r="T37" s="36">
        <f>3.2-Q37</f>
        <v>0.02</v>
      </c>
      <c r="U37" s="29">
        <f>LOOKUP(T37,{0,0.05,0.1,0.15,0.2,0.25,0.3,0.35,0.4,0.45,0.5},{0,1,2,3,4,5,6,7,8,9,10})</f>
        <v>0</v>
      </c>
      <c r="V37" s="27">
        <f t="shared" si="9"/>
        <v>100</v>
      </c>
      <c r="W37" s="27"/>
      <c r="X37" s="19">
        <f t="shared" si="10"/>
        <v>66</v>
      </c>
      <c r="Y37" s="13">
        <f t="shared" si="11"/>
        <v>95.2857142857143</v>
      </c>
    </row>
    <row r="38" ht="15.6" spans="1:25">
      <c r="A38" s="27">
        <v>301</v>
      </c>
      <c r="B38" s="27">
        <v>39</v>
      </c>
      <c r="C38" s="27" t="s">
        <v>52</v>
      </c>
      <c r="D38" s="27" t="s">
        <v>46</v>
      </c>
      <c r="E38" s="27">
        <v>10</v>
      </c>
      <c r="F38" s="29">
        <f>LOOKUP(E38,{0,1.5,2.3,3.1,3.9,4.7,5.5,6.8,8.1,9.4,10.7,12,13.3,14.6,15.9,17.2,18.5,20.2,21.9,23.6,25.3},{0,10,20,30,40,50,60,62,64,66,68,70,72,74,76,78,80,85,90,95,100})</f>
        <v>66</v>
      </c>
      <c r="G38" s="27">
        <v>182</v>
      </c>
      <c r="H38" s="29">
        <f>LOOKUP(G38,{0,125,130,135,140,145,150,153,156,159,162,165,168,171,174,177,180,187,194,200,206},{0,10,20,30,40,50,60,62,64,66,68,70,72,74,76,78,80,85,90,95,100})</f>
        <v>80</v>
      </c>
      <c r="I38" s="27">
        <v>51</v>
      </c>
      <c r="J38" s="29">
        <f>LOOKUP(I38,{0,15,17,19,21,23,25,27,29,31,33,35,37,39,41,43,45,48,51,53,55},{0,10,20,30,40,50,60,62,64,66,68,70,72,74,76,78,80,85,90,95,100})</f>
        <v>90</v>
      </c>
      <c r="K38" s="35"/>
      <c r="L38" s="35"/>
      <c r="M38" s="35">
        <f t="shared" si="6"/>
        <v>90</v>
      </c>
      <c r="N38" s="35">
        <v>8.3</v>
      </c>
      <c r="O38" s="36">
        <f t="shared" si="7"/>
        <v>9.7</v>
      </c>
      <c r="P38" s="29">
        <f>LOOKUP(O38,{0,6.6,6.8,7,7.2,7.4,7.6,7.8,8,8.2,8.4,8.6,8.8,9,9.2,9.4,9.6,9.9,10.2,10.3,10.4},{0,10,20,30,40,50,60,62,64,66,68,70,72,74,76,78,80,85,90,95,100})</f>
        <v>80</v>
      </c>
      <c r="Q38" s="5">
        <v>4.09</v>
      </c>
      <c r="R38" s="36">
        <f t="shared" si="8"/>
        <v>5.91</v>
      </c>
      <c r="S38" s="29">
        <f>LOOKUP(R38,{0,4.74,4.84,4.94,5.44,5.54,5.64,5.69,5.74,5.79,5.84,5.89,5.94,5.99,6.44,6.49,6.54,6.61,6.68,6.74,6.8},{0,10,20,30,40,50,60,62,64,66,68,70,72,74,76,78,80,85,90,95,100})</f>
        <v>70</v>
      </c>
      <c r="T38" s="27"/>
      <c r="U38" s="27"/>
      <c r="V38" s="27">
        <f t="shared" si="9"/>
        <v>70</v>
      </c>
      <c r="W38" s="27"/>
      <c r="X38" s="19">
        <f t="shared" si="10"/>
        <v>53.6</v>
      </c>
      <c r="Y38" s="13">
        <f t="shared" si="11"/>
        <v>76.5714285714286</v>
      </c>
    </row>
    <row r="39" ht="15.6" spans="1:25">
      <c r="A39" s="27">
        <v>301</v>
      </c>
      <c r="B39" s="27">
        <v>40</v>
      </c>
      <c r="C39" s="27" t="s">
        <v>53</v>
      </c>
      <c r="D39" s="27" t="s">
        <v>46</v>
      </c>
      <c r="E39" s="27">
        <v>20</v>
      </c>
      <c r="F39" s="29">
        <f>LOOKUP(E39,{0,1.5,2.3,3.1,3.9,4.7,5.5,6.8,8.1,9.4,10.7,12,13.3,14.6,15.9,17.2,18.5,20.2,21.9,23.6,25.3},{0,10,20,30,40,50,60,62,64,66,68,70,72,74,76,78,80,85,90,95,100})</f>
        <v>80</v>
      </c>
      <c r="G39" s="27">
        <v>192</v>
      </c>
      <c r="H39" s="29">
        <f>LOOKUP(G39,{0,125,130,135,140,145,150,153,156,159,162,165,168,171,174,177,180,187,194,200,206},{0,10,20,30,40,50,60,62,64,66,68,70,72,74,76,78,80,85,90,95,100})</f>
        <v>85</v>
      </c>
      <c r="I39" s="27">
        <v>42</v>
      </c>
      <c r="J39" s="29">
        <f>LOOKUP(I39,{0,15,17,19,21,23,25,27,29,31,33,35,37,39,41,43,45,48,51,53,55},{0,10,20,30,40,50,60,62,64,66,68,70,72,74,76,78,80,85,90,95,100})</f>
        <v>76</v>
      </c>
      <c r="K39" s="35"/>
      <c r="L39" s="35"/>
      <c r="M39" s="35">
        <f t="shared" si="6"/>
        <v>76</v>
      </c>
      <c r="N39" s="35">
        <v>8.5</v>
      </c>
      <c r="O39" s="36">
        <f t="shared" si="7"/>
        <v>9.5</v>
      </c>
      <c r="P39" s="29">
        <f>LOOKUP(O39,{0,6.6,6.8,7,7.2,7.4,7.6,7.8,8,8.2,8.4,8.6,8.8,9,9.2,9.4,9.6,9.9,10.2,10.3,10.4},{0,10,20,30,40,50,60,62,64,66,68,70,72,74,76,78,80,85,90,95,100})</f>
        <v>78</v>
      </c>
      <c r="Q39" s="5">
        <v>3.18</v>
      </c>
      <c r="R39" s="36">
        <f t="shared" si="8"/>
        <v>6.82</v>
      </c>
      <c r="S39" s="29">
        <f>LOOKUP(R39,{0,4.74,4.84,4.94,5.44,5.54,5.64,5.69,5.74,5.79,5.84,5.89,5.94,5.99,6.44,6.49,6.54,6.61,6.68,6.74,6.8},{0,10,20,30,40,50,60,62,64,66,68,70,72,74,76,78,80,85,90,95,100})</f>
        <v>100</v>
      </c>
      <c r="T39" s="36">
        <f>3.2-Q39</f>
        <v>0.02</v>
      </c>
      <c r="U39" s="29">
        <f>LOOKUP(T39,{0,0.05,0.1,0.15,0.2,0.25,0.3,0.35,0.4,0.45,0.5},{0,1,2,3,4,5,6,7,8,9,10})</f>
        <v>0</v>
      </c>
      <c r="V39" s="27">
        <f t="shared" si="9"/>
        <v>100</v>
      </c>
      <c r="W39" s="27"/>
      <c r="X39" s="19">
        <f t="shared" si="10"/>
        <v>59.7</v>
      </c>
      <c r="Y39" s="13">
        <f t="shared" si="11"/>
        <v>85.2857142857143</v>
      </c>
    </row>
    <row r="40" ht="15.6" spans="1:25">
      <c r="A40" s="27">
        <v>301</v>
      </c>
      <c r="B40" s="27">
        <v>41</v>
      </c>
      <c r="C40" s="27" t="s">
        <v>54</v>
      </c>
      <c r="D40" s="27" t="s">
        <v>46</v>
      </c>
      <c r="E40" s="27">
        <v>15</v>
      </c>
      <c r="F40" s="29">
        <f>LOOKUP(E40,{0,1.5,2.3,3.1,3.9,4.7,5.5,6.8,8.1,9.4,10.7,12,13.3,14.6,15.9,17.2,18.5,20.2,21.9,23.6,25.3},{0,10,20,30,40,50,60,62,64,66,68,70,72,74,76,78,80,85,90,95,100})</f>
        <v>74</v>
      </c>
      <c r="G40" s="27">
        <v>155</v>
      </c>
      <c r="H40" s="29">
        <f>LOOKUP(G40,{0,125,130,135,140,145,150,153,156,159,162,165,168,171,174,177,180,187,194,200,206},{0,10,20,30,40,50,60,62,64,66,68,70,72,74,76,78,80,85,90,95,100})</f>
        <v>62</v>
      </c>
      <c r="I40" s="27">
        <v>35</v>
      </c>
      <c r="J40" s="29">
        <f>LOOKUP(I40,{0,15,17,19,21,23,25,27,29,31,33,35,37,39,41,43,45,48,51,53,55},{0,10,20,30,40,50,60,62,64,66,68,70,72,74,76,78,80,85,90,95,100})</f>
        <v>70</v>
      </c>
      <c r="K40" s="35"/>
      <c r="L40" s="35"/>
      <c r="M40" s="35">
        <f t="shared" si="6"/>
        <v>70</v>
      </c>
      <c r="N40" s="35">
        <v>9</v>
      </c>
      <c r="O40" s="36">
        <f t="shared" si="7"/>
        <v>9</v>
      </c>
      <c r="P40" s="29">
        <f>LOOKUP(O40,{0,6.6,6.8,7,7.2,7.4,7.6,7.8,8,8.2,8.4,8.6,8.8,9,9.2,9.4,9.6,9.9,10.2,10.3,10.4},{0,10,20,30,40,50,60,62,64,66,68,70,72,74,76,78,80,85,90,95,100})</f>
        <v>74</v>
      </c>
      <c r="Q40" s="5">
        <v>3.56</v>
      </c>
      <c r="R40" s="36">
        <f t="shared" si="8"/>
        <v>6.44</v>
      </c>
      <c r="S40" s="29">
        <f>LOOKUP(R40,{0,4.74,4.84,4.94,5.44,5.54,5.64,5.69,5.74,5.79,5.84,5.89,5.94,5.99,6.44,6.49,6.54,6.61,6.68,6.74,6.8},{0,10,20,30,40,50,60,62,64,66,68,70,72,74,76,78,80,85,90,95,100})</f>
        <v>76</v>
      </c>
      <c r="T40" s="27"/>
      <c r="U40" s="27"/>
      <c r="V40" s="27">
        <f t="shared" si="9"/>
        <v>76</v>
      </c>
      <c r="W40" s="27"/>
      <c r="X40" s="19">
        <f t="shared" si="10"/>
        <v>50.6</v>
      </c>
      <c r="Y40" s="13">
        <f t="shared" si="11"/>
        <v>72.2857142857143</v>
      </c>
    </row>
    <row r="41" ht="15.6" spans="1:25">
      <c r="A41" s="27">
        <v>301</v>
      </c>
      <c r="B41" s="27">
        <v>42</v>
      </c>
      <c r="C41" s="27" t="s">
        <v>55</v>
      </c>
      <c r="D41" s="27" t="s">
        <v>46</v>
      </c>
      <c r="E41" s="27">
        <v>9.6</v>
      </c>
      <c r="F41" s="29">
        <f>LOOKUP(E41,{0,1.5,2.3,3.1,3.9,4.7,5.5,6.8,8.1,9.4,10.7,12,13.3,14.6,15.9,17.2,18.5,20.2,21.9,23.6,25.3},{0,10,20,30,40,50,60,62,64,66,68,70,72,74,76,78,80,85,90,95,100})</f>
        <v>66</v>
      </c>
      <c r="G41" s="27">
        <v>166</v>
      </c>
      <c r="H41" s="29">
        <f>LOOKUP(G41,{0,125,130,135,140,145,150,153,156,159,162,165,168,171,174,177,180,187,194,200,206},{0,10,20,30,40,50,60,62,64,66,68,70,72,74,76,78,80,85,90,95,100})</f>
        <v>70</v>
      </c>
      <c r="I41" s="27">
        <v>41</v>
      </c>
      <c r="J41" s="29">
        <f>LOOKUP(I41,{0,15,17,19,21,23,25,27,29,31,33,35,37,39,41,43,45,48,51,53,55},{0,10,20,30,40,50,60,62,64,66,68,70,72,74,76,78,80,85,90,95,100})</f>
        <v>76</v>
      </c>
      <c r="K41" s="35"/>
      <c r="L41" s="35"/>
      <c r="M41" s="35">
        <f t="shared" si="6"/>
        <v>76</v>
      </c>
      <c r="N41" s="35">
        <v>9.3</v>
      </c>
      <c r="O41" s="36">
        <f t="shared" si="7"/>
        <v>8.7</v>
      </c>
      <c r="P41" s="29">
        <f>LOOKUP(O41,{0,6.6,6.8,7,7.2,7.4,7.6,7.8,8,8.2,8.4,8.6,8.8,9,9.2,9.4,9.6,9.9,10.2,10.3,10.4},{0,10,20,30,40,50,60,62,64,66,68,70,72,74,76,78,80,85,90,95,100})</f>
        <v>70</v>
      </c>
      <c r="Q41" s="5">
        <v>4.07</v>
      </c>
      <c r="R41" s="36">
        <f t="shared" si="8"/>
        <v>5.93</v>
      </c>
      <c r="S41" s="29">
        <f>LOOKUP(R41,{0,4.74,4.84,4.94,5.44,5.54,5.64,5.69,5.74,5.79,5.84,5.89,5.94,5.99,6.44,6.49,6.54,6.61,6.68,6.74,6.8},{0,10,20,30,40,50,60,62,64,66,68,70,72,74,76,78,80,85,90,95,100})</f>
        <v>70</v>
      </c>
      <c r="T41" s="27"/>
      <c r="U41" s="27"/>
      <c r="V41" s="27">
        <f t="shared" si="9"/>
        <v>70</v>
      </c>
      <c r="W41" s="27"/>
      <c r="X41" s="19">
        <f t="shared" si="10"/>
        <v>49.2</v>
      </c>
      <c r="Y41" s="13">
        <f t="shared" si="11"/>
        <v>70.2857142857143</v>
      </c>
    </row>
    <row r="42" ht="15.6" spans="1:25">
      <c r="A42" s="27">
        <v>301</v>
      </c>
      <c r="B42" s="27">
        <v>43</v>
      </c>
      <c r="C42" s="27" t="s">
        <v>56</v>
      </c>
      <c r="D42" s="27" t="s">
        <v>46</v>
      </c>
      <c r="E42" s="27">
        <v>19</v>
      </c>
      <c r="F42" s="29">
        <f>LOOKUP(E42,{0,1.5,2.3,3.1,3.9,4.7,5.5,6.8,8.1,9.4,10.7,12,13.3,14.6,15.9,17.2,18.5,20.2,21.9,23.6,25.3},{0,10,20,30,40,50,60,62,64,66,68,70,72,74,76,78,80,85,90,95,100})</f>
        <v>80</v>
      </c>
      <c r="G42" s="27">
        <v>185</v>
      </c>
      <c r="H42" s="29">
        <f>LOOKUP(G42,{0,125,130,135,140,145,150,153,156,159,162,165,168,171,174,177,180,187,194,200,206},{0,10,20,30,40,50,60,62,64,66,68,70,72,74,76,78,80,85,90,95,100})</f>
        <v>80</v>
      </c>
      <c r="I42" s="27">
        <v>38</v>
      </c>
      <c r="J42" s="29">
        <f>LOOKUP(I42,{0,15,17,19,21,23,25,27,29,31,33,35,37,39,41,43,45,48,51,53,55},{0,10,20,30,40,50,60,62,64,66,68,70,72,74,76,78,80,85,90,95,100})</f>
        <v>72</v>
      </c>
      <c r="K42" s="35"/>
      <c r="L42" s="35"/>
      <c r="M42" s="35">
        <f t="shared" si="6"/>
        <v>72</v>
      </c>
      <c r="N42" s="35">
        <v>9</v>
      </c>
      <c r="O42" s="36">
        <f t="shared" si="7"/>
        <v>9</v>
      </c>
      <c r="P42" s="29">
        <f>LOOKUP(O42,{0,6.6,6.8,7,7.2,7.4,7.6,7.8,8,8.2,8.4,8.6,8.8,9,9.2,9.4,9.6,9.9,10.2,10.3,10.4},{0,10,20,30,40,50,60,62,64,66,68,70,72,74,76,78,80,85,90,95,100})</f>
        <v>74</v>
      </c>
      <c r="Q42" s="5">
        <v>4.24</v>
      </c>
      <c r="R42" s="36">
        <f t="shared" si="8"/>
        <v>5.76</v>
      </c>
      <c r="S42" s="29">
        <f>LOOKUP(R42,{0,4.74,4.84,4.94,5.44,5.54,5.64,5.69,5.74,5.79,5.84,5.89,5.94,5.99,6.44,6.49,6.54,6.61,6.68,6.74,6.8},{0,10,20,30,40,50,60,62,64,66,68,70,72,74,76,78,80,85,90,95,100})</f>
        <v>64</v>
      </c>
      <c r="T42" s="27"/>
      <c r="U42" s="27"/>
      <c r="V42" s="27">
        <f t="shared" si="9"/>
        <v>64</v>
      </c>
      <c r="W42" s="27"/>
      <c r="X42" s="19">
        <f t="shared" si="10"/>
        <v>50.8</v>
      </c>
      <c r="Y42" s="13">
        <f t="shared" si="11"/>
        <v>72.5714285714286</v>
      </c>
    </row>
    <row r="43" ht="15.6" spans="1:25">
      <c r="A43" s="27">
        <v>302</v>
      </c>
      <c r="B43" s="27">
        <v>1</v>
      </c>
      <c r="C43" s="31" t="s">
        <v>58</v>
      </c>
      <c r="D43" s="27" t="s">
        <v>12</v>
      </c>
      <c r="E43" s="27">
        <v>-5</v>
      </c>
      <c r="F43" s="29">
        <v>0</v>
      </c>
      <c r="G43" s="27">
        <v>260</v>
      </c>
      <c r="H43" s="29">
        <f>LOOKUP(G43,{0,180,185,190,195,200,205,209,213,217,221,225,229,233,237,241,245,253,260,265,270},{0,10,20,30,40,50,60,62,64,66,68,70,72,74,76,78,80,85,90,95,100})</f>
        <v>90</v>
      </c>
      <c r="I43" s="27">
        <v>4</v>
      </c>
      <c r="J43" s="29">
        <f>LOOKUP(I43,{0,4,5,6,7,8,9,10,11,12,13,14,15,16,17,18},{0,10,20,30,40,50,60,64,68,72,76,80,85,90,95,100})</f>
        <v>10</v>
      </c>
      <c r="K43" s="44"/>
      <c r="L43" s="35"/>
      <c r="M43" s="35">
        <f t="shared" si="6"/>
        <v>10</v>
      </c>
      <c r="N43" s="35">
        <v>7.4</v>
      </c>
      <c r="O43" s="36">
        <f t="shared" si="7"/>
        <v>10.6</v>
      </c>
      <c r="P43" s="29">
        <f>LOOKUP(O43,{0,7.8,8,8.2,8.4,8.6,8.8,9,9.2,9.4,9.6,9.8,10,10.2,10.4,10.6,10.8,10.9,11,11.1,11.2},{0,10,20,30,40,50,60,62,64,66,68,70,72,74,76,78,80,85,90,95,100})</f>
        <v>78</v>
      </c>
      <c r="Q43" s="5">
        <v>4.38</v>
      </c>
      <c r="R43" s="36">
        <f t="shared" si="8"/>
        <v>5.62</v>
      </c>
      <c r="S43" s="29">
        <f>LOOKUP(R43,{0,3.85,4.45,4.65,4.85,5.45,5.65,5.7,5.75,5.8,5.85,5.9,5.95,6,6.45,6.5,6.55,6.63,6.7,6.75,6.8},{0,10,20,30,40,50,60,62,64,66,68,70,72,74,76,78,80,85,90,95,100})</f>
        <v>50</v>
      </c>
      <c r="T43" s="27"/>
      <c r="U43" s="27"/>
      <c r="V43" s="27">
        <f t="shared" si="9"/>
        <v>50</v>
      </c>
      <c r="W43" s="27"/>
      <c r="X43" s="19">
        <f t="shared" si="10"/>
        <v>35.6</v>
      </c>
      <c r="Y43" s="13">
        <f t="shared" si="11"/>
        <v>50.8571428571429</v>
      </c>
    </row>
    <row r="44" ht="15.6" spans="1:25">
      <c r="A44" s="27">
        <v>302</v>
      </c>
      <c r="B44" s="27">
        <v>2</v>
      </c>
      <c r="C44" s="27" t="s">
        <v>59</v>
      </c>
      <c r="D44" s="27" t="s">
        <v>12</v>
      </c>
      <c r="E44" s="27"/>
      <c r="F44" s="29"/>
      <c r="G44" s="27"/>
      <c r="H44" s="29"/>
      <c r="I44" s="27"/>
      <c r="J44" s="35"/>
      <c r="K44" s="44"/>
      <c r="L44" s="35"/>
      <c r="M44" s="35"/>
      <c r="N44" s="35"/>
      <c r="O44" s="5"/>
      <c r="P44" s="5"/>
      <c r="Q44" s="5"/>
      <c r="R44" s="27"/>
      <c r="S44" s="27"/>
      <c r="T44" s="27"/>
      <c r="U44" s="27"/>
      <c r="V44" s="27"/>
      <c r="W44" s="27">
        <v>50</v>
      </c>
      <c r="X44" s="19"/>
      <c r="Y44" s="19">
        <v>50</v>
      </c>
    </row>
    <row r="45" ht="15.6" spans="1:25">
      <c r="A45" s="27">
        <v>302</v>
      </c>
      <c r="B45" s="27">
        <v>3</v>
      </c>
      <c r="C45" s="27" t="s">
        <v>60</v>
      </c>
      <c r="D45" s="27" t="s">
        <v>12</v>
      </c>
      <c r="E45" s="27">
        <v>-4.5</v>
      </c>
      <c r="F45" s="29">
        <v>0</v>
      </c>
      <c r="G45" s="27">
        <v>185</v>
      </c>
      <c r="H45" s="29">
        <f>LOOKUP(G45,{0,180,185,190,195,200,205,209,213,217,221,225,229,233,237,241,245,253,260,265,270},{0,10,20,30,40,50,60,62,64,66,68,70,72,74,76,78,80,85,90,95,100})</f>
        <v>20</v>
      </c>
      <c r="I45" s="27">
        <v>0</v>
      </c>
      <c r="J45" s="29">
        <f>LOOKUP(I45,{0,4,5,6,7,8,9,10,11,12,13,14,15,16,17,18},{0,10,20,30,40,50,60,64,68,72,76,80,85,90,95,100})</f>
        <v>0</v>
      </c>
      <c r="K45" s="44"/>
      <c r="L45" s="35"/>
      <c r="M45" s="35">
        <f t="shared" ref="M45:M91" si="12">J45+L45</f>
        <v>0</v>
      </c>
      <c r="N45" s="35">
        <v>8.8</v>
      </c>
      <c r="O45" s="36">
        <f t="shared" ref="O45:O72" si="13">18-N45</f>
        <v>9.2</v>
      </c>
      <c r="P45" s="29">
        <f>LOOKUP(O45,{0,7.8,8,8.2,8.4,8.6,8.8,9,9.2,9.4,9.6,9.8,10,10.2,10.4,10.6,10.8,10.9,11,11.1,11.2},{0,10,20,30,40,50,60,62,64,66,68,70,72,74,76,78,80,85,90,95,100})</f>
        <v>64</v>
      </c>
      <c r="Q45" s="5">
        <v>4.54</v>
      </c>
      <c r="R45" s="36">
        <f t="shared" ref="R45:R72" si="14">10-Q45</f>
        <v>5.46</v>
      </c>
      <c r="S45" s="29">
        <f>LOOKUP(R45,{0,3.85,4.45,4.65,4.85,5.45,5.65,5.7,5.75,5.8,5.85,5.9,5.95,6,6.45,6.5,6.55,6.63,6.7,6.75,6.8},{0,10,20,30,40,50,60,62,64,66,68,70,72,74,76,78,80,85,90,95,100})</f>
        <v>50</v>
      </c>
      <c r="T45" s="27"/>
      <c r="U45" s="27"/>
      <c r="V45" s="27">
        <f t="shared" ref="V45:V91" si="15">S45+U45</f>
        <v>50</v>
      </c>
      <c r="W45" s="27"/>
      <c r="X45" s="19">
        <f t="shared" ref="X45:X91" si="16">F45*0.1+H45*0.1+J45*0.1+P45*0.2+S45*0.2</f>
        <v>24.8</v>
      </c>
      <c r="Y45" s="13">
        <f t="shared" ref="Y45:Y91" si="17">X45/0.7+L45+U45</f>
        <v>35.4285714285714</v>
      </c>
    </row>
    <row r="46" ht="15.6" spans="1:25">
      <c r="A46" s="27">
        <v>302</v>
      </c>
      <c r="B46" s="27">
        <v>4</v>
      </c>
      <c r="C46" s="27" t="s">
        <v>61</v>
      </c>
      <c r="D46" s="27" t="s">
        <v>12</v>
      </c>
      <c r="E46" s="27">
        <v>6.5</v>
      </c>
      <c r="F46" s="29">
        <f>LOOKUP(E46,{0,-1.8,-0.8,0.2,1.2,2.2,3.2,4.6,6,7.4,8.8,10.2,11.6,13,14.4,15.8,17.2,19.1,21,22.8,24.6},{0,10,20,30,40,50,60,62,64,66,68,70,72,74,76,78,80,85,90,95,100})</f>
        <v>64</v>
      </c>
      <c r="G46" s="27">
        <v>260</v>
      </c>
      <c r="H46" s="29">
        <f>LOOKUP(G46,{0,180,185,190,195,200,205,209,213,217,221,225,229,233,237,241,245,253,260,265,270},{0,10,20,30,40,50,60,62,64,66,68,70,72,74,76,78,80,85,90,95,100})</f>
        <v>90</v>
      </c>
      <c r="I46" s="27">
        <v>5</v>
      </c>
      <c r="J46" s="29">
        <f>LOOKUP(I46,{0,4,5,6,7,8,9,10,11,12,13,14,15,16,17,18},{0,10,20,30,40,50,60,64,68,72,76,80,85,90,95,100})</f>
        <v>20</v>
      </c>
      <c r="K46" s="44"/>
      <c r="L46" s="35"/>
      <c r="M46" s="35">
        <f t="shared" si="12"/>
        <v>20</v>
      </c>
      <c r="N46" s="35">
        <v>7.2</v>
      </c>
      <c r="O46" s="36">
        <f t="shared" si="13"/>
        <v>10.8</v>
      </c>
      <c r="P46" s="29">
        <f>LOOKUP(O46,{0,7.8,8,8.2,8.4,8.6,8.8,9,9.2,9.4,9.6,9.8,10,10.2,10.4,10.6,10.8,10.9,11,11.1,11.2},{0,10,20,30,40,50,60,62,64,66,68,70,72,74,76,78,80,85,90,95,100})</f>
        <v>80</v>
      </c>
      <c r="Q46" s="5">
        <v>4.21</v>
      </c>
      <c r="R46" s="36">
        <f t="shared" si="14"/>
        <v>5.79</v>
      </c>
      <c r="S46" s="29">
        <f>LOOKUP(R46,{0,3.85,4.45,4.65,4.85,5.45,5.65,5.7,5.75,5.8,5.85,5.9,5.95,6,6.45,6.5,6.55,6.63,6.7,6.75,6.8},{0,10,20,30,40,50,60,62,64,66,68,70,72,74,76,78,80,85,90,95,100})</f>
        <v>64</v>
      </c>
      <c r="T46" s="27"/>
      <c r="U46" s="27"/>
      <c r="V46" s="27">
        <f t="shared" si="15"/>
        <v>64</v>
      </c>
      <c r="W46" s="27"/>
      <c r="X46" s="19">
        <f t="shared" si="16"/>
        <v>46.2</v>
      </c>
      <c r="Y46" s="13">
        <f t="shared" si="17"/>
        <v>66</v>
      </c>
    </row>
    <row r="47" ht="15.6" spans="1:25">
      <c r="A47" s="27">
        <v>302</v>
      </c>
      <c r="B47" s="27">
        <v>5</v>
      </c>
      <c r="C47" s="27" t="s">
        <v>62</v>
      </c>
      <c r="D47" s="27" t="s">
        <v>12</v>
      </c>
      <c r="E47" s="27">
        <v>4</v>
      </c>
      <c r="F47" s="29">
        <f>LOOKUP(E47,{0,-1.8,-0.8,0.2,1.2,2.2,3.2,4.6,6,7.4,8.8,10.2,11.6,13,14.4,15.8,17.2,19.1,21,22.8,24.6},{0,10,20,30,40,50,60,62,64,66,68,70,72,74,76,78,80,85,90,95,100})</f>
        <v>60</v>
      </c>
      <c r="G47" s="27">
        <v>222</v>
      </c>
      <c r="H47" s="29">
        <f>LOOKUP(G47,{0,180,185,190,195,200,205,209,213,217,221,225,229,233,237,241,245,253,260,265,270},{0,10,20,30,40,50,60,62,64,66,68,70,72,74,76,78,80,85,90,95,100})</f>
        <v>68</v>
      </c>
      <c r="I47" s="27">
        <v>7</v>
      </c>
      <c r="J47" s="29">
        <f>LOOKUP(I47,{0,4,5,6,7,8,9,10,11,12,13,14,15,16,17,18},{0,10,20,30,40,50,60,64,68,72,76,80,85,90,95,100})</f>
        <v>40</v>
      </c>
      <c r="K47" s="44"/>
      <c r="L47" s="35"/>
      <c r="M47" s="35">
        <f t="shared" si="12"/>
        <v>40</v>
      </c>
      <c r="N47" s="35">
        <v>7.5</v>
      </c>
      <c r="O47" s="36">
        <f t="shared" si="13"/>
        <v>10.5</v>
      </c>
      <c r="P47" s="29">
        <f>LOOKUP(O47,{0,7.8,8,8.2,8.4,8.6,8.8,9,9.2,9.4,9.6,9.8,10,10.2,10.4,10.6,10.8,10.9,11,11.1,11.2},{0,10,20,30,40,50,60,62,64,66,68,70,72,74,76,78,80,85,90,95,100})</f>
        <v>76</v>
      </c>
      <c r="Q47" s="5">
        <v>4.07</v>
      </c>
      <c r="R47" s="36">
        <f t="shared" si="14"/>
        <v>5.93</v>
      </c>
      <c r="S47" s="29">
        <f>LOOKUP(R47,{0,3.85,4.45,4.65,4.85,5.45,5.65,5.7,5.75,5.8,5.85,5.9,5.95,6,6.45,6.5,6.55,6.63,6.7,6.75,6.8},{0,10,20,30,40,50,60,62,64,66,68,70,72,74,76,78,80,85,90,95,100})</f>
        <v>70</v>
      </c>
      <c r="T47" s="27"/>
      <c r="U47" s="27"/>
      <c r="V47" s="27">
        <f t="shared" si="15"/>
        <v>70</v>
      </c>
      <c r="W47" s="27"/>
      <c r="X47" s="19">
        <f t="shared" si="16"/>
        <v>46</v>
      </c>
      <c r="Y47" s="13">
        <f t="shared" si="17"/>
        <v>65.7142857142857</v>
      </c>
    </row>
    <row r="48" ht="15.6" spans="1:25">
      <c r="A48" s="27">
        <v>302</v>
      </c>
      <c r="B48" s="27">
        <v>6</v>
      </c>
      <c r="C48" s="27" t="s">
        <v>63</v>
      </c>
      <c r="D48" s="27" t="s">
        <v>12</v>
      </c>
      <c r="E48" s="27">
        <v>12.5</v>
      </c>
      <c r="F48" s="29">
        <f>LOOKUP(E48,{0,-1.8,-0.8,0.2,1.2,2.2,3.2,4.6,6,7.4,8.8,10.2,11.6,13,14.4,15.8,17.2,19.1,21,22.8,24.6},{0,10,20,30,40,50,60,62,64,66,68,70,72,74,76,78,80,85,90,95,100})</f>
        <v>72</v>
      </c>
      <c r="G48" s="27">
        <v>235</v>
      </c>
      <c r="H48" s="29">
        <f>LOOKUP(G48,{0,180,185,190,195,200,205,209,213,217,221,225,229,233,237,241,245,253,260,265,270},{0,10,20,30,40,50,60,62,64,66,68,70,72,74,76,78,80,85,90,95,100})</f>
        <v>74</v>
      </c>
      <c r="I48" s="27">
        <v>10</v>
      </c>
      <c r="J48" s="29">
        <f>LOOKUP(I48,{0,4,5,6,7,8,9,10,11,12,13,14,15,16,17,18},{0,10,20,30,40,50,60,64,68,72,76,80,85,90,95,100})</f>
        <v>64</v>
      </c>
      <c r="K48" s="44"/>
      <c r="L48" s="35"/>
      <c r="M48" s="35">
        <f t="shared" si="12"/>
        <v>64</v>
      </c>
      <c r="N48" s="35">
        <v>7.6</v>
      </c>
      <c r="O48" s="36">
        <f t="shared" si="13"/>
        <v>10.4</v>
      </c>
      <c r="P48" s="29">
        <f>LOOKUP(O48,{0,7.8,8,8.2,8.4,8.6,8.8,9,9.2,9.4,9.6,9.8,10,10.2,10.4,10.6,10.8,10.9,11,11.1,11.2},{0,10,20,30,40,50,60,62,64,66,68,70,72,74,76,78,80,85,90,95,100})</f>
        <v>76</v>
      </c>
      <c r="Q48" s="5">
        <v>4.21</v>
      </c>
      <c r="R48" s="36">
        <f t="shared" si="14"/>
        <v>5.79</v>
      </c>
      <c r="S48" s="29">
        <f>LOOKUP(R48,{0,3.85,4.45,4.65,4.85,5.45,5.65,5.7,5.75,5.8,5.85,5.9,5.95,6,6.45,6.5,6.55,6.63,6.7,6.75,6.8},{0,10,20,30,40,50,60,62,64,66,68,70,72,74,76,78,80,85,90,95,100})</f>
        <v>64</v>
      </c>
      <c r="T48" s="27"/>
      <c r="U48" s="27"/>
      <c r="V48" s="27">
        <f t="shared" si="15"/>
        <v>64</v>
      </c>
      <c r="W48" s="27"/>
      <c r="X48" s="19">
        <f t="shared" si="16"/>
        <v>49</v>
      </c>
      <c r="Y48" s="13">
        <f t="shared" si="17"/>
        <v>70</v>
      </c>
    </row>
    <row r="49" ht="15.6" spans="1:25">
      <c r="A49" s="27">
        <v>302</v>
      </c>
      <c r="B49" s="27">
        <v>7</v>
      </c>
      <c r="C49" s="27" t="s">
        <v>64</v>
      </c>
      <c r="D49" s="27" t="s">
        <v>12</v>
      </c>
      <c r="E49" s="27">
        <v>-10</v>
      </c>
      <c r="F49" s="29">
        <v>0</v>
      </c>
      <c r="G49" s="27">
        <v>200</v>
      </c>
      <c r="H49" s="29">
        <f>LOOKUP(G49,{0,180,185,190,195,200,205,209,213,217,221,225,229,233,237,241,245,253,260,265,270},{0,10,20,30,40,50,60,62,64,66,68,70,72,74,76,78,80,85,90,95,100})</f>
        <v>50</v>
      </c>
      <c r="I49" s="27">
        <v>4</v>
      </c>
      <c r="J49" s="29">
        <f>LOOKUP(I49,{0,4,5,6,7,8,9,10,11,12,13,14,15,16,17,18},{0,10,20,30,40,50,60,64,68,72,76,80,85,90,95,100})</f>
        <v>10</v>
      </c>
      <c r="K49" s="44"/>
      <c r="L49" s="35"/>
      <c r="M49" s="35">
        <f t="shared" si="12"/>
        <v>10</v>
      </c>
      <c r="N49" s="35">
        <v>7.3</v>
      </c>
      <c r="O49" s="36">
        <f t="shared" si="13"/>
        <v>10.7</v>
      </c>
      <c r="P49" s="29">
        <f>LOOKUP(O49,{0,7.8,8,8.2,8.4,8.6,8.8,9,9.2,9.4,9.6,9.8,10,10.2,10.4,10.6,10.8,10.9,11,11.1,11.2},{0,10,20,30,40,50,60,62,64,66,68,70,72,74,76,78,80,85,90,95,100})</f>
        <v>78</v>
      </c>
      <c r="Q49" s="5">
        <v>4.2</v>
      </c>
      <c r="R49" s="36">
        <f t="shared" si="14"/>
        <v>5.8</v>
      </c>
      <c r="S49" s="29">
        <f>LOOKUP(R49,{0,3.85,4.45,4.65,4.85,5.45,5.65,5.7,5.75,5.8,5.85,5.9,5.95,6,6.45,6.5,6.55,6.63,6.7,6.75,6.8},{0,10,20,30,40,50,60,62,64,66,68,70,72,74,76,78,80,85,90,95,100})</f>
        <v>66</v>
      </c>
      <c r="T49" s="27"/>
      <c r="U49" s="27"/>
      <c r="V49" s="27">
        <f t="shared" si="15"/>
        <v>66</v>
      </c>
      <c r="W49" s="27"/>
      <c r="X49" s="19">
        <f t="shared" si="16"/>
        <v>34.8</v>
      </c>
      <c r="Y49" s="13">
        <f t="shared" si="17"/>
        <v>49.7142857142857</v>
      </c>
    </row>
    <row r="50" ht="15.6" spans="1:25">
      <c r="A50" s="27">
        <v>302</v>
      </c>
      <c r="B50" s="27">
        <v>8</v>
      </c>
      <c r="C50" s="27" t="s">
        <v>65</v>
      </c>
      <c r="D50" s="27" t="s">
        <v>12</v>
      </c>
      <c r="E50" s="27">
        <v>10.5</v>
      </c>
      <c r="F50" s="29">
        <f>LOOKUP(E50,{0,-1.8,-0.8,0.2,1.2,2.2,3.2,4.6,6,7.4,8.8,10.2,11.6,13,14.4,15.8,17.2,19.1,21,22.8,24.6},{0,10,20,30,40,50,60,62,64,66,68,70,72,74,76,78,80,85,90,95,100})</f>
        <v>70</v>
      </c>
      <c r="G50" s="27">
        <v>238</v>
      </c>
      <c r="H50" s="29">
        <f>LOOKUP(G50,{0,180,185,190,195,200,205,209,213,217,221,225,229,233,237,241,245,253,260,265,270},{0,10,20,30,40,50,60,62,64,66,68,70,72,74,76,78,80,85,90,95,100})</f>
        <v>76</v>
      </c>
      <c r="I50" s="27">
        <v>4</v>
      </c>
      <c r="J50" s="29">
        <f>LOOKUP(I50,{0,4,5,6,7,8,9,10,11,12,13,14,15,16,17,18},{0,10,20,30,40,50,60,64,68,72,76,80,85,90,95,100})</f>
        <v>10</v>
      </c>
      <c r="K50" s="44"/>
      <c r="L50" s="35"/>
      <c r="M50" s="35">
        <f t="shared" si="12"/>
        <v>10</v>
      </c>
      <c r="N50" s="35">
        <v>7.9</v>
      </c>
      <c r="O50" s="36">
        <f t="shared" si="13"/>
        <v>10.1</v>
      </c>
      <c r="P50" s="29">
        <f>LOOKUP(O50,{0,7.8,8,8.2,8.4,8.6,8.8,9,9.2,9.4,9.6,9.8,10,10.2,10.4,10.6,10.8,10.9,11,11.1,11.2},{0,10,20,30,40,50,60,62,64,66,68,70,72,74,76,78,80,85,90,95,100})</f>
        <v>72</v>
      </c>
      <c r="Q50" s="5">
        <v>4.36</v>
      </c>
      <c r="R50" s="36">
        <f t="shared" si="14"/>
        <v>5.64</v>
      </c>
      <c r="S50" s="29">
        <f>LOOKUP(R50,{0,3.85,4.45,4.65,4.85,5.45,5.65,5.7,5.75,5.8,5.85,5.9,5.95,6,6.45,6.5,6.55,6.63,6.7,6.75,6.8},{0,10,20,30,40,50,60,62,64,66,68,70,72,74,76,78,80,85,90,95,100})</f>
        <v>50</v>
      </c>
      <c r="T50" s="27"/>
      <c r="U50" s="27"/>
      <c r="V50" s="27">
        <f t="shared" si="15"/>
        <v>50</v>
      </c>
      <c r="W50" s="27"/>
      <c r="X50" s="19">
        <f t="shared" si="16"/>
        <v>40</v>
      </c>
      <c r="Y50" s="13">
        <f t="shared" si="17"/>
        <v>57.1428571428571</v>
      </c>
    </row>
    <row r="51" ht="15.6" spans="1:25">
      <c r="A51" s="27">
        <v>302</v>
      </c>
      <c r="B51" s="27">
        <v>9</v>
      </c>
      <c r="C51" s="27" t="s">
        <v>66</v>
      </c>
      <c r="D51" s="27" t="s">
        <v>12</v>
      </c>
      <c r="E51" s="27">
        <v>12</v>
      </c>
      <c r="F51" s="29">
        <f>LOOKUP(E51,{0,-1.8,-0.8,0.2,1.2,2.2,3.2,4.6,6,7.4,8.8,10.2,11.6,13,14.4,15.8,17.2,19.1,21,22.8,24.6},{0,10,20,30,40,50,60,62,64,66,68,70,72,74,76,78,80,85,90,95,100})</f>
        <v>72</v>
      </c>
      <c r="G51" s="27">
        <v>241</v>
      </c>
      <c r="H51" s="29">
        <f>LOOKUP(G51,{0,180,185,190,195,200,205,209,213,217,221,225,229,233,237,241,245,253,260,265,270},{0,10,20,30,40,50,60,62,64,66,68,70,72,74,76,78,80,85,90,95,100})</f>
        <v>78</v>
      </c>
      <c r="I51" s="27">
        <v>5</v>
      </c>
      <c r="J51" s="29">
        <f>LOOKUP(I51,{0,4,5,6,7,8,9,10,11,12,13,14,15,16,17,18},{0,10,20,30,40,50,60,64,68,72,76,80,85,90,95,100})</f>
        <v>20</v>
      </c>
      <c r="K51" s="44"/>
      <c r="L51" s="35"/>
      <c r="M51" s="35">
        <f t="shared" si="12"/>
        <v>20</v>
      </c>
      <c r="N51" s="35">
        <v>7.7</v>
      </c>
      <c r="O51" s="36">
        <f t="shared" si="13"/>
        <v>10.3</v>
      </c>
      <c r="P51" s="29">
        <f>LOOKUP(O51,{0,7.8,8,8.2,8.4,8.6,8.8,9,9.2,9.4,9.6,9.8,10,10.2,10.4,10.6,10.8,10.9,11,11.1,11.2},{0,10,20,30,40,50,60,62,64,66,68,70,72,74,76,78,80,85,90,95,100})</f>
        <v>74</v>
      </c>
      <c r="Q51" s="5">
        <v>4.11</v>
      </c>
      <c r="R51" s="36">
        <f t="shared" si="14"/>
        <v>5.89</v>
      </c>
      <c r="S51" s="29">
        <f>LOOKUP(R51,{0,3.85,4.45,4.65,4.85,5.45,5.65,5.7,5.75,5.8,5.85,5.9,5.95,6,6.45,6.5,6.55,6.63,6.7,6.75,6.8},{0,10,20,30,40,50,60,62,64,66,68,70,72,74,76,78,80,85,90,95,100})</f>
        <v>68</v>
      </c>
      <c r="T51" s="27"/>
      <c r="U51" s="27"/>
      <c r="V51" s="27">
        <f t="shared" si="15"/>
        <v>68</v>
      </c>
      <c r="W51" s="27"/>
      <c r="X51" s="19">
        <f t="shared" si="16"/>
        <v>45.4</v>
      </c>
      <c r="Y51" s="13">
        <f t="shared" si="17"/>
        <v>64.8571428571429</v>
      </c>
    </row>
    <row r="52" ht="15.6" spans="1:25">
      <c r="A52" s="27">
        <v>302</v>
      </c>
      <c r="B52" s="27">
        <v>10</v>
      </c>
      <c r="C52" s="27" t="s">
        <v>67</v>
      </c>
      <c r="D52" s="27" t="s">
        <v>12</v>
      </c>
      <c r="E52" s="27">
        <v>2</v>
      </c>
      <c r="F52" s="29">
        <f>LOOKUP(E52,{0,-1.8,-0.8,0.2,1.2,2.2,3.2,4.6,6,7.4,8.8,10.2,11.6,13,14.4,15.8,17.2,19.1,21,22.8,24.6},{0,10,20,30,40,50,60,62,64,66,68,70,72,74,76,78,80,85,90,95,100})</f>
        <v>40</v>
      </c>
      <c r="G52" s="27">
        <v>229</v>
      </c>
      <c r="H52" s="29">
        <f>LOOKUP(G52,{0,180,185,190,195,200,205,209,213,217,221,225,229,233,237,241,245,253,260,265,270},{0,10,20,30,40,50,60,62,64,66,68,70,72,74,76,78,80,85,90,95,100})</f>
        <v>72</v>
      </c>
      <c r="I52" s="27">
        <v>2</v>
      </c>
      <c r="J52" s="29">
        <f>LOOKUP(I52,{0,4,5,6,7,8,9,10,11,12,13,14,15,16,17,18},{0,10,20,30,40,50,60,64,68,72,76,80,85,90,95,100})</f>
        <v>0</v>
      </c>
      <c r="K52" s="44"/>
      <c r="L52" s="35"/>
      <c r="M52" s="35">
        <f t="shared" si="12"/>
        <v>0</v>
      </c>
      <c r="N52" s="35">
        <v>8</v>
      </c>
      <c r="O52" s="36">
        <f t="shared" si="13"/>
        <v>10</v>
      </c>
      <c r="P52" s="29">
        <f>LOOKUP(O52,{0,7.8,8,8.2,8.4,8.6,8.8,9,9.2,9.4,9.6,9.8,10,10.2,10.4,10.6,10.8,10.9,11,11.1,11.2},{0,10,20,30,40,50,60,62,64,66,68,70,72,74,76,78,80,85,90,95,100})</f>
        <v>72</v>
      </c>
      <c r="Q52" s="5">
        <v>4.15</v>
      </c>
      <c r="R52" s="36">
        <f t="shared" si="14"/>
        <v>5.85</v>
      </c>
      <c r="S52" s="29">
        <f>LOOKUP(R52,{0,3.85,4.45,4.65,4.85,5.45,5.65,5.7,5.75,5.8,5.85,5.9,5.95,6,6.45,6.5,6.55,6.63,6.7,6.75,6.8},{0,10,20,30,40,50,60,62,64,66,68,70,72,74,76,78,80,85,90,95,100})</f>
        <v>68</v>
      </c>
      <c r="T52" s="27"/>
      <c r="U52" s="27"/>
      <c r="V52" s="27">
        <f t="shared" si="15"/>
        <v>68</v>
      </c>
      <c r="W52" s="27"/>
      <c r="X52" s="19">
        <f t="shared" si="16"/>
        <v>39.2</v>
      </c>
      <c r="Y52" s="13">
        <f t="shared" si="17"/>
        <v>56</v>
      </c>
    </row>
    <row r="53" ht="15.6" spans="1:25">
      <c r="A53" s="27">
        <v>302</v>
      </c>
      <c r="B53" s="27">
        <v>11</v>
      </c>
      <c r="C53" s="31" t="s">
        <v>69</v>
      </c>
      <c r="D53" s="27" t="s">
        <v>12</v>
      </c>
      <c r="E53" s="27">
        <v>19</v>
      </c>
      <c r="F53" s="29">
        <f>LOOKUP(E53,{0,-1.8,-0.8,0.2,1.2,2.2,3.2,4.6,6,7.4,8.8,10.2,11.6,13,14.4,15.8,17.2,19.1,21,22.8,24.6},{0,10,20,30,40,50,60,62,64,66,68,70,72,74,76,78,80,85,90,95,100})</f>
        <v>80</v>
      </c>
      <c r="G53" s="27">
        <v>215</v>
      </c>
      <c r="H53" s="29">
        <f>LOOKUP(G53,{0,180,185,190,195,200,205,209,213,217,221,225,229,233,237,241,245,253,260,265,270},{0,10,20,30,40,50,60,62,64,66,68,70,72,74,76,78,80,85,90,95,100})</f>
        <v>64</v>
      </c>
      <c r="I53" s="27">
        <v>3</v>
      </c>
      <c r="J53" s="29">
        <f>LOOKUP(I53,{0,4,5,6,7,8,9,10,11,12,13,14,15,16,17,18},{0,10,20,30,40,50,60,64,68,72,76,80,85,90,95,100})</f>
        <v>0</v>
      </c>
      <c r="K53" s="44"/>
      <c r="L53" s="35"/>
      <c r="M53" s="35">
        <f t="shared" si="12"/>
        <v>0</v>
      </c>
      <c r="N53" s="35">
        <v>7.5</v>
      </c>
      <c r="O53" s="36">
        <f t="shared" si="13"/>
        <v>10.5</v>
      </c>
      <c r="P53" s="29">
        <f>LOOKUP(O53,{0,7.8,8,8.2,8.4,8.6,8.8,9,9.2,9.4,9.6,9.8,10,10.2,10.4,10.6,10.8,10.9,11,11.1,11.2},{0,10,20,30,40,50,60,62,64,66,68,70,72,74,76,78,80,85,90,95,100})</f>
        <v>76</v>
      </c>
      <c r="Q53" s="5">
        <v>4.15</v>
      </c>
      <c r="R53" s="36">
        <f t="shared" si="14"/>
        <v>5.85</v>
      </c>
      <c r="S53" s="29">
        <f>LOOKUP(R53,{0,3.85,4.45,4.65,4.85,5.45,5.65,5.7,5.75,5.8,5.85,5.9,5.95,6,6.45,6.5,6.55,6.63,6.7,6.75,6.8},{0,10,20,30,40,50,60,62,64,66,68,70,72,74,76,78,80,85,90,95,100})</f>
        <v>68</v>
      </c>
      <c r="T53" s="27"/>
      <c r="U53" s="27"/>
      <c r="V53" s="27">
        <f t="shared" si="15"/>
        <v>68</v>
      </c>
      <c r="W53" s="27"/>
      <c r="X53" s="19">
        <f t="shared" si="16"/>
        <v>43.2</v>
      </c>
      <c r="Y53" s="13">
        <f t="shared" si="17"/>
        <v>61.7142857142857</v>
      </c>
    </row>
    <row r="54" ht="15.6" spans="1:25">
      <c r="A54" s="27">
        <v>302</v>
      </c>
      <c r="B54" s="27">
        <v>12</v>
      </c>
      <c r="C54" s="27" t="s">
        <v>70</v>
      </c>
      <c r="D54" s="27" t="s">
        <v>12</v>
      </c>
      <c r="E54" s="27">
        <v>9</v>
      </c>
      <c r="F54" s="29">
        <f>LOOKUP(E54,{0,-1.8,-0.8,0.2,1.2,2.2,3.2,4.6,6,7.4,8.8,10.2,11.6,13,14.4,15.8,17.2,19.1,21,22.8,24.6},{0,10,20,30,40,50,60,62,64,66,68,70,72,74,76,78,80,85,90,95,100})</f>
        <v>68</v>
      </c>
      <c r="G54" s="27">
        <v>220</v>
      </c>
      <c r="H54" s="29">
        <f>LOOKUP(G54,{0,180,185,190,195,200,205,209,213,217,221,225,229,233,237,241,245,253,260,265,270},{0,10,20,30,40,50,60,62,64,66,68,70,72,74,76,78,80,85,90,95,100})</f>
        <v>66</v>
      </c>
      <c r="I54" s="27">
        <v>5</v>
      </c>
      <c r="J54" s="29">
        <f>LOOKUP(I54,{0,4,5,6,7,8,9,10,11,12,13,14,15,16,17,18},{0,10,20,30,40,50,60,64,68,72,76,80,85,90,95,100})</f>
        <v>20</v>
      </c>
      <c r="K54" s="44"/>
      <c r="L54" s="35"/>
      <c r="M54" s="35">
        <f t="shared" si="12"/>
        <v>20</v>
      </c>
      <c r="N54" s="35">
        <v>10.2</v>
      </c>
      <c r="O54" s="36">
        <f t="shared" si="13"/>
        <v>7.8</v>
      </c>
      <c r="P54" s="29">
        <f>LOOKUP(O54,{0,7.8,8,8.2,8.4,8.6,8.8,9,9.2,9.4,9.6,9.8,10,10.2,10.4,10.6,10.8,10.9,11,11.1,11.2},{0,10,20,30,40,50,60,62,64,66,68,70,72,74,76,78,80,85,90,95,100})</f>
        <v>10</v>
      </c>
      <c r="Q54" s="5">
        <v>4.16</v>
      </c>
      <c r="R54" s="36">
        <f t="shared" si="14"/>
        <v>5.84</v>
      </c>
      <c r="S54" s="29">
        <f>LOOKUP(R54,{0,3.85,4.45,4.65,4.85,5.45,5.65,5.7,5.75,5.8,5.85,5.9,5.95,6,6.45,6.5,6.55,6.63,6.7,6.75,6.8},{0,10,20,30,40,50,60,62,64,66,68,70,72,74,76,78,80,85,90,95,100})</f>
        <v>66</v>
      </c>
      <c r="T54" s="27"/>
      <c r="U54" s="27"/>
      <c r="V54" s="27">
        <f t="shared" si="15"/>
        <v>66</v>
      </c>
      <c r="W54" s="27"/>
      <c r="X54" s="19">
        <f t="shared" si="16"/>
        <v>30.6</v>
      </c>
      <c r="Y54" s="13">
        <f t="shared" si="17"/>
        <v>43.7142857142857</v>
      </c>
    </row>
    <row r="55" ht="15.6" spans="1:25">
      <c r="A55" s="27">
        <v>302</v>
      </c>
      <c r="B55" s="27">
        <v>13</v>
      </c>
      <c r="C55" s="27" t="s">
        <v>71</v>
      </c>
      <c r="D55" s="27" t="s">
        <v>12</v>
      </c>
      <c r="E55" s="27">
        <v>14.2</v>
      </c>
      <c r="F55" s="29">
        <f>LOOKUP(E55,{0,-1.8,-0.8,0.2,1.2,2.2,3.2,4.6,6,7.4,8.8,10.2,11.6,13,14.4,15.8,17.2,19.1,21,22.8,24.6},{0,10,20,30,40,50,60,62,64,66,68,70,72,74,76,78,80,85,90,95,100})</f>
        <v>74</v>
      </c>
      <c r="G55" s="27">
        <v>235</v>
      </c>
      <c r="H55" s="29">
        <f>LOOKUP(G55,{0,180,185,190,195,200,205,209,213,217,221,225,229,233,237,241,245,253,260,265,270},{0,10,20,30,40,50,60,62,64,66,68,70,72,74,76,78,80,85,90,95,100})</f>
        <v>74</v>
      </c>
      <c r="I55" s="27">
        <v>0</v>
      </c>
      <c r="J55" s="29">
        <f>LOOKUP(I55,{0,4,5,6,7,8,9,10,11,12,13,14,15,16,17,18},{0,10,20,30,40,50,60,64,68,72,76,80,85,90,95,100})</f>
        <v>0</v>
      </c>
      <c r="K55" s="44"/>
      <c r="L55" s="35"/>
      <c r="M55" s="35">
        <f t="shared" si="12"/>
        <v>0</v>
      </c>
      <c r="N55" s="35">
        <v>7.4</v>
      </c>
      <c r="O55" s="36">
        <f t="shared" si="13"/>
        <v>10.6</v>
      </c>
      <c r="P55" s="29">
        <f>LOOKUP(O55,{0,7.8,8,8.2,8.4,8.6,8.8,9,9.2,9.4,9.6,9.8,10,10.2,10.4,10.6,10.8,10.9,11,11.1,11.2},{0,10,20,30,40,50,60,62,64,66,68,70,72,74,76,78,80,85,90,95,100})</f>
        <v>78</v>
      </c>
      <c r="Q55" s="5">
        <v>5.27</v>
      </c>
      <c r="R55" s="36">
        <f t="shared" si="14"/>
        <v>4.73</v>
      </c>
      <c r="S55" s="29">
        <f>LOOKUP(R55,{0,3.85,4.45,4.65,4.85,5.45,5.65,5.7,5.75,5.8,5.85,5.9,5.95,6,6.45,6.5,6.55,6.63,6.7,6.75,6.8},{0,10,20,30,40,50,60,62,64,66,68,70,72,74,76,78,80,85,90,95,100})</f>
        <v>30</v>
      </c>
      <c r="T55" s="27"/>
      <c r="U55" s="27"/>
      <c r="V55" s="27">
        <f t="shared" si="15"/>
        <v>30</v>
      </c>
      <c r="W55" s="27"/>
      <c r="X55" s="19">
        <f t="shared" si="16"/>
        <v>36.4</v>
      </c>
      <c r="Y55" s="13">
        <f t="shared" si="17"/>
        <v>52</v>
      </c>
    </row>
    <row r="56" ht="15.6" spans="1:25">
      <c r="A56" s="27">
        <v>302</v>
      </c>
      <c r="B56" s="27">
        <v>14</v>
      </c>
      <c r="C56" s="27" t="s">
        <v>72</v>
      </c>
      <c r="D56" s="27" t="s">
        <v>12</v>
      </c>
      <c r="E56" s="27">
        <v>7.5</v>
      </c>
      <c r="F56" s="29">
        <f>LOOKUP(E56,{0,-1.8,-0.8,0.2,1.2,2.2,3.2,4.6,6,7.4,8.8,10.2,11.6,13,14.4,15.8,17.2,19.1,21,22.8,24.6},{0,10,20,30,40,50,60,62,64,66,68,70,72,74,76,78,80,85,90,95,100})</f>
        <v>66</v>
      </c>
      <c r="G56" s="27">
        <v>210</v>
      </c>
      <c r="H56" s="29">
        <f>LOOKUP(G56,{0,180,185,190,195,200,205,209,213,217,221,225,229,233,237,241,245,253,260,265,270},{0,10,20,30,40,50,60,62,64,66,68,70,72,74,76,78,80,85,90,95,100})</f>
        <v>62</v>
      </c>
      <c r="I56" s="27">
        <v>11</v>
      </c>
      <c r="J56" s="29">
        <f>LOOKUP(I56,{0,4,5,6,7,8,9,10,11,12,13,14,15,16,17,18},{0,10,20,30,40,50,60,64,68,72,76,80,85,90,95,100})</f>
        <v>68</v>
      </c>
      <c r="K56" s="44"/>
      <c r="L56" s="35"/>
      <c r="M56" s="35">
        <f t="shared" si="12"/>
        <v>68</v>
      </c>
      <c r="N56" s="35">
        <v>7.6</v>
      </c>
      <c r="O56" s="36">
        <f t="shared" si="13"/>
        <v>10.4</v>
      </c>
      <c r="P56" s="29">
        <f>LOOKUP(O56,{0,7.8,8,8.2,8.4,8.6,8.8,9,9.2,9.4,9.6,9.8,10,10.2,10.4,10.6,10.8,10.9,11,11.1,11.2},{0,10,20,30,40,50,60,62,64,66,68,70,72,74,76,78,80,85,90,95,100})</f>
        <v>76</v>
      </c>
      <c r="Q56" s="5">
        <v>4.26</v>
      </c>
      <c r="R56" s="36">
        <f t="shared" si="14"/>
        <v>5.74</v>
      </c>
      <c r="S56" s="29">
        <f>LOOKUP(R56,{0,3.85,4.45,4.65,4.85,5.45,5.65,5.7,5.75,5.8,5.85,5.9,5.95,6,6.45,6.5,6.55,6.63,6.7,6.75,6.8},{0,10,20,30,40,50,60,62,64,66,68,70,72,74,76,78,80,85,90,95,100})</f>
        <v>62</v>
      </c>
      <c r="T56" s="27"/>
      <c r="U56" s="27"/>
      <c r="V56" s="27">
        <f t="shared" si="15"/>
        <v>62</v>
      </c>
      <c r="W56" s="27"/>
      <c r="X56" s="19">
        <f t="shared" si="16"/>
        <v>47.2</v>
      </c>
      <c r="Y56" s="13">
        <f t="shared" si="17"/>
        <v>67.4285714285714</v>
      </c>
    </row>
    <row r="57" ht="15.6" spans="1:25">
      <c r="A57" s="27">
        <v>302</v>
      </c>
      <c r="B57" s="27">
        <v>15</v>
      </c>
      <c r="C57" s="27" t="s">
        <v>73</v>
      </c>
      <c r="D57" s="27" t="s">
        <v>12</v>
      </c>
      <c r="E57" s="27">
        <v>12.3</v>
      </c>
      <c r="F57" s="29">
        <f>LOOKUP(E57,{0,-1.8,-0.8,0.2,1.2,2.2,3.2,4.6,6,7.4,8.8,10.2,11.6,13,14.4,15.8,17.2,19.1,21,22.8,24.6},{0,10,20,30,40,50,60,62,64,66,68,70,72,74,76,78,80,85,90,95,100})</f>
        <v>72</v>
      </c>
      <c r="G57" s="27">
        <v>227</v>
      </c>
      <c r="H57" s="29">
        <f>LOOKUP(G57,{0,180,185,190,195,200,205,209,213,217,221,225,229,233,237,241,245,253,260,265,270},{0,10,20,30,40,50,60,62,64,66,68,70,72,74,76,78,80,85,90,95,100})</f>
        <v>70</v>
      </c>
      <c r="I57" s="27">
        <v>2</v>
      </c>
      <c r="J57" s="29">
        <f>LOOKUP(I57,{0,4,5,6,7,8,9,10,11,12,13,14,15,16,17,18},{0,10,20,30,40,50,60,64,68,72,76,80,85,90,95,100})</f>
        <v>0</v>
      </c>
      <c r="K57" s="44"/>
      <c r="L57" s="35"/>
      <c r="M57" s="35">
        <f t="shared" si="12"/>
        <v>0</v>
      </c>
      <c r="N57" s="35">
        <v>7.3</v>
      </c>
      <c r="O57" s="36">
        <f t="shared" si="13"/>
        <v>10.7</v>
      </c>
      <c r="P57" s="29">
        <f>LOOKUP(O57,{0,7.8,8,8.2,8.4,8.6,8.8,9,9.2,9.4,9.6,9.8,10,10.2,10.4,10.6,10.8,10.9,11,11.1,11.2},{0,10,20,30,40,50,60,62,64,66,68,70,72,74,76,78,80,85,90,95,100})</f>
        <v>78</v>
      </c>
      <c r="Q57" s="5">
        <v>4.37</v>
      </c>
      <c r="R57" s="36">
        <f t="shared" si="14"/>
        <v>5.63</v>
      </c>
      <c r="S57" s="29">
        <f>LOOKUP(R57,{0,3.85,4.45,4.65,4.85,5.45,5.65,5.7,5.75,5.8,5.85,5.9,5.95,6,6.45,6.5,6.55,6.63,6.7,6.75,6.8},{0,10,20,30,40,50,60,62,64,66,68,70,72,74,76,78,80,85,90,95,100})</f>
        <v>50</v>
      </c>
      <c r="T57" s="27"/>
      <c r="U57" s="27"/>
      <c r="V57" s="27">
        <f t="shared" si="15"/>
        <v>50</v>
      </c>
      <c r="W57" s="27"/>
      <c r="X57" s="19">
        <f t="shared" si="16"/>
        <v>39.8</v>
      </c>
      <c r="Y57" s="13">
        <f t="shared" si="17"/>
        <v>56.8571428571429</v>
      </c>
    </row>
    <row r="58" ht="15.6" spans="1:25">
      <c r="A58" s="27">
        <v>302</v>
      </c>
      <c r="B58" s="27">
        <v>16</v>
      </c>
      <c r="C58" s="27" t="s">
        <v>74</v>
      </c>
      <c r="D58" s="27" t="s">
        <v>12</v>
      </c>
      <c r="E58" s="27">
        <v>16</v>
      </c>
      <c r="F58" s="29">
        <f>LOOKUP(E58,{0,-1.8,-0.8,0.2,1.2,2.2,3.2,4.6,6,7.4,8.8,10.2,11.6,13,14.4,15.8,17.2,19.1,21,22.8,24.6},{0,10,20,30,40,50,60,62,64,66,68,70,72,74,76,78,80,85,90,95,100})</f>
        <v>78</v>
      </c>
      <c r="G58" s="27">
        <v>260</v>
      </c>
      <c r="H58" s="29">
        <f>LOOKUP(G58,{0,180,185,190,195,200,205,209,213,217,221,225,229,233,237,241,245,253,260,265,270},{0,10,20,30,40,50,60,62,64,66,68,70,72,74,76,78,80,85,90,95,100})</f>
        <v>90</v>
      </c>
      <c r="I58" s="27">
        <v>10</v>
      </c>
      <c r="J58" s="29">
        <f>LOOKUP(I58,{0,4,5,6,7,8,9,10,11,12,13,14,15,16,17,18},{0,10,20,30,40,50,60,64,68,72,76,80,85,90,95,100})</f>
        <v>64</v>
      </c>
      <c r="K58" s="44"/>
      <c r="L58" s="35"/>
      <c r="M58" s="35">
        <f t="shared" si="12"/>
        <v>64</v>
      </c>
      <c r="N58" s="35">
        <v>6.8</v>
      </c>
      <c r="O58" s="36">
        <f t="shared" si="13"/>
        <v>11.2</v>
      </c>
      <c r="P58" s="29">
        <f>LOOKUP(O58,{0,7.8,8,8.2,8.4,8.6,8.8,9,9.2,9.4,9.6,9.8,10,10.2,10.4,10.6,10.8,10.9,11,11.1,11.2},{0,10,20,30,40,50,60,62,64,66,68,70,72,74,76,78,80,85,90,95,100})</f>
        <v>100</v>
      </c>
      <c r="Q58" s="5">
        <v>3.47</v>
      </c>
      <c r="R58" s="36">
        <f t="shared" si="14"/>
        <v>6.53</v>
      </c>
      <c r="S58" s="29">
        <f>LOOKUP(R58,{0,3.85,4.45,4.65,4.85,5.45,5.65,5.7,5.75,5.8,5.85,5.9,5.95,6,6.45,6.5,6.55,6.63,6.7,6.75,6.8},{0,10,20,30,40,50,60,62,64,66,68,70,72,74,76,78,80,85,90,95,100})</f>
        <v>78</v>
      </c>
      <c r="T58" s="27"/>
      <c r="U58" s="27"/>
      <c r="V58" s="27">
        <f t="shared" si="15"/>
        <v>78</v>
      </c>
      <c r="W58" s="27"/>
      <c r="X58" s="19">
        <f t="shared" si="16"/>
        <v>58.8</v>
      </c>
      <c r="Y58" s="13">
        <f t="shared" si="17"/>
        <v>84</v>
      </c>
    </row>
    <row r="59" ht="15.6" spans="1:25">
      <c r="A59" s="27">
        <v>302</v>
      </c>
      <c r="B59" s="27">
        <v>17</v>
      </c>
      <c r="C59" s="27" t="s">
        <v>75</v>
      </c>
      <c r="D59" s="27" t="s">
        <v>12</v>
      </c>
      <c r="E59" s="27">
        <v>-5</v>
      </c>
      <c r="F59" s="29">
        <v>0</v>
      </c>
      <c r="G59" s="27">
        <v>260</v>
      </c>
      <c r="H59" s="29">
        <f>LOOKUP(G59,{0,180,185,190,195,200,205,209,213,217,221,225,229,233,237,241,245,253,260,265,270},{0,10,20,30,40,50,60,62,64,66,68,70,72,74,76,78,80,85,90,95,100})</f>
        <v>90</v>
      </c>
      <c r="I59" s="27">
        <v>14</v>
      </c>
      <c r="J59" s="29">
        <f>LOOKUP(I59,{0,4,5,6,7,8,9,10,11,12,13,14,15,16,17,18},{0,10,20,30,40,50,60,64,68,72,76,80,85,90,95,100})</f>
        <v>80</v>
      </c>
      <c r="K59" s="44"/>
      <c r="L59" s="35"/>
      <c r="M59" s="35">
        <f t="shared" si="12"/>
        <v>80</v>
      </c>
      <c r="N59" s="35">
        <v>7.5</v>
      </c>
      <c r="O59" s="36">
        <f t="shared" si="13"/>
        <v>10.5</v>
      </c>
      <c r="P59" s="29">
        <f>LOOKUP(O59,{0,7.8,8,8.2,8.4,8.6,8.8,9,9.2,9.4,9.6,9.8,10,10.2,10.4,10.6,10.8,10.9,11,11.1,11.2},{0,10,20,30,40,50,60,62,64,66,68,70,72,74,76,78,80,85,90,95,100})</f>
        <v>76</v>
      </c>
      <c r="Q59" s="5">
        <v>3.38</v>
      </c>
      <c r="R59" s="36">
        <f t="shared" si="14"/>
        <v>6.62</v>
      </c>
      <c r="S59" s="29">
        <f>LOOKUP(R59,{0,3.85,4.45,4.65,4.85,5.45,5.65,5.7,5.75,5.8,5.85,5.9,5.95,6,6.45,6.5,6.55,6.63,6.7,6.75,6.8},{0,10,20,30,40,50,60,62,64,66,68,70,72,74,76,78,80,85,90,95,100})</f>
        <v>80</v>
      </c>
      <c r="T59" s="27"/>
      <c r="U59" s="27"/>
      <c r="V59" s="27">
        <f t="shared" si="15"/>
        <v>80</v>
      </c>
      <c r="W59" s="27"/>
      <c r="X59" s="19">
        <f t="shared" si="16"/>
        <v>48.2</v>
      </c>
      <c r="Y59" s="13">
        <f t="shared" si="17"/>
        <v>68.8571428571429</v>
      </c>
    </row>
    <row r="60" ht="15.6" spans="1:25">
      <c r="A60" s="27">
        <v>302</v>
      </c>
      <c r="B60" s="27">
        <v>18</v>
      </c>
      <c r="C60" s="27" t="s">
        <v>76</v>
      </c>
      <c r="D60" s="27" t="s">
        <v>12</v>
      </c>
      <c r="E60" s="27">
        <v>4.5</v>
      </c>
      <c r="F60" s="29">
        <f>LOOKUP(E60,{0,-1.8,-0.8,0.2,1.2,2.2,3.2,4.6,6,7.4,8.8,10.2,11.6,13,14.4,15.8,17.2,19.1,21,22.8,24.6},{0,10,20,30,40,50,60,62,64,66,68,70,72,74,76,78,80,85,90,95,100})</f>
        <v>60</v>
      </c>
      <c r="G60" s="27">
        <v>210</v>
      </c>
      <c r="H60" s="29">
        <f>LOOKUP(G60,{0,180,185,190,195,200,205,209,213,217,221,225,229,233,237,241,245,253,260,265,270},{0,10,20,30,40,50,60,62,64,66,68,70,72,74,76,78,80,85,90,95,100})</f>
        <v>62</v>
      </c>
      <c r="I60" s="27">
        <v>0</v>
      </c>
      <c r="J60" s="29">
        <f>LOOKUP(I60,{0,4,5,6,7,8,9,10,11,12,13,14,15,16,17,18},{0,10,20,30,40,50,60,64,68,72,76,80,85,90,95,100})</f>
        <v>0</v>
      </c>
      <c r="K60" s="44"/>
      <c r="L60" s="35"/>
      <c r="M60" s="35">
        <f t="shared" si="12"/>
        <v>0</v>
      </c>
      <c r="N60" s="35">
        <v>7.7</v>
      </c>
      <c r="O60" s="36">
        <f t="shared" si="13"/>
        <v>10.3</v>
      </c>
      <c r="P60" s="29">
        <f>LOOKUP(O60,{0,7.8,8,8.2,8.4,8.6,8.8,9,9.2,9.4,9.6,9.8,10,10.2,10.4,10.6,10.8,10.9,11,11.1,11.2},{0,10,20,30,40,50,60,62,64,66,68,70,72,74,76,78,80,85,90,95,100})</f>
        <v>74</v>
      </c>
      <c r="Q60" s="5" t="s">
        <v>77</v>
      </c>
      <c r="R60" s="36" t="e">
        <f t="shared" si="14"/>
        <v>#VALUE!</v>
      </c>
      <c r="S60" s="29"/>
      <c r="T60" s="27"/>
      <c r="U60" s="27"/>
      <c r="V60" s="27"/>
      <c r="W60" s="42">
        <v>50</v>
      </c>
      <c r="X60" s="19">
        <f t="shared" si="16"/>
        <v>27</v>
      </c>
      <c r="Y60" s="13">
        <v>50</v>
      </c>
    </row>
    <row r="61" ht="15.6" spans="1:25">
      <c r="A61" s="27">
        <v>302</v>
      </c>
      <c r="B61" s="27">
        <v>19</v>
      </c>
      <c r="C61" s="27" t="s">
        <v>78</v>
      </c>
      <c r="D61" s="27" t="s">
        <v>12</v>
      </c>
      <c r="E61" s="27">
        <v>4</v>
      </c>
      <c r="F61" s="29">
        <f>LOOKUP(E61,{0,-1.8,-0.8,0.2,1.2,2.2,3.2,4.6,6,7.4,8.8,10.2,11.6,13,14.4,15.8,17.2,19.1,21,22.8,24.6},{0,10,20,30,40,50,60,62,64,66,68,70,72,74,76,78,80,85,90,95,100})</f>
        <v>60</v>
      </c>
      <c r="G61" s="27">
        <v>230</v>
      </c>
      <c r="H61" s="29">
        <f>LOOKUP(G61,{0,180,185,190,195,200,205,209,213,217,221,225,229,233,237,241,245,253,260,265,270},{0,10,20,30,40,50,60,62,64,66,68,70,72,74,76,78,80,85,90,95,100})</f>
        <v>72</v>
      </c>
      <c r="I61" s="27">
        <v>3</v>
      </c>
      <c r="J61" s="29">
        <f>LOOKUP(I61,{0,4,5,6,7,8,9,10,11,12,13,14,15,16,17,18},{0,10,20,30,40,50,60,64,68,72,76,80,85,90,95,100})</f>
        <v>0</v>
      </c>
      <c r="K61" s="44"/>
      <c r="L61" s="35"/>
      <c r="M61" s="35">
        <f t="shared" si="12"/>
        <v>0</v>
      </c>
      <c r="N61" s="35">
        <v>7.1</v>
      </c>
      <c r="O61" s="36">
        <f t="shared" si="13"/>
        <v>10.9</v>
      </c>
      <c r="P61" s="29">
        <f>LOOKUP(O61,{0,7.8,8,8.2,8.4,8.6,8.8,9,9.2,9.4,9.6,9.8,10,10.2,10.4,10.6,10.8,10.9,11,11.1,11.2},{0,10,20,30,40,50,60,62,64,66,68,70,72,74,76,78,80,85,90,95,100})</f>
        <v>85</v>
      </c>
      <c r="Q61" s="5">
        <v>5.11</v>
      </c>
      <c r="R61" s="36">
        <f t="shared" si="14"/>
        <v>4.89</v>
      </c>
      <c r="S61" s="29">
        <f>LOOKUP(R61,{0,3.85,4.45,4.65,4.85,5.45,5.65,5.7,5.75,5.8,5.85,5.9,5.95,6,6.45,6.5,6.55,6.63,6.7,6.75,6.8},{0,10,20,30,40,50,60,62,64,66,68,70,72,74,76,78,80,85,90,95,100})</f>
        <v>40</v>
      </c>
      <c r="T61" s="27"/>
      <c r="U61" s="27"/>
      <c r="V61" s="27">
        <f t="shared" si="15"/>
        <v>40</v>
      </c>
      <c r="W61" s="27"/>
      <c r="X61" s="19">
        <f t="shared" si="16"/>
        <v>38.2</v>
      </c>
      <c r="Y61" s="13">
        <f t="shared" si="17"/>
        <v>54.5714285714286</v>
      </c>
    </row>
    <row r="62" ht="15.6" spans="1:25">
      <c r="A62" s="27">
        <v>302</v>
      </c>
      <c r="B62" s="27">
        <v>20</v>
      </c>
      <c r="C62" s="27" t="s">
        <v>79</v>
      </c>
      <c r="D62" s="27" t="s">
        <v>12</v>
      </c>
      <c r="E62" s="27">
        <v>14.5</v>
      </c>
      <c r="F62" s="29">
        <f>LOOKUP(E62,{0,-1.8,-0.8,0.2,1.2,2.2,3.2,4.6,6,7.4,8.8,10.2,11.6,13,14.4,15.8,17.2,19.1,21,22.8,24.6},{0,10,20,30,40,50,60,62,64,66,68,70,72,74,76,78,80,85,90,95,100})</f>
        <v>76</v>
      </c>
      <c r="G62" s="27">
        <v>240</v>
      </c>
      <c r="H62" s="29">
        <f>LOOKUP(G62,{0,180,185,190,195,200,205,209,213,217,221,225,229,233,237,241,245,253,260,265,270},{0,10,20,30,40,50,60,62,64,66,68,70,72,74,76,78,80,85,90,95,100})</f>
        <v>76</v>
      </c>
      <c r="I62" s="27">
        <v>13</v>
      </c>
      <c r="J62" s="29">
        <f>LOOKUP(I62,{0,4,5,6,7,8,9,10,11,12,13,14,15,16,17,18},{0,10,20,30,40,50,60,64,68,72,76,80,85,90,95,100})</f>
        <v>76</v>
      </c>
      <c r="K62" s="44"/>
      <c r="L62" s="35"/>
      <c r="M62" s="35">
        <f t="shared" si="12"/>
        <v>76</v>
      </c>
      <c r="N62" s="35">
        <v>7.3</v>
      </c>
      <c r="O62" s="36">
        <f t="shared" si="13"/>
        <v>10.7</v>
      </c>
      <c r="P62" s="29">
        <f>LOOKUP(O62,{0,7.8,8,8.2,8.4,8.6,8.8,9,9.2,9.4,9.6,9.8,10,10.2,10.4,10.6,10.8,10.9,11,11.1,11.2},{0,10,20,30,40,50,60,62,64,66,68,70,72,74,76,78,80,85,90,95,100})</f>
        <v>78</v>
      </c>
      <c r="Q62" s="5" t="s">
        <v>77</v>
      </c>
      <c r="R62" s="36" t="e">
        <f t="shared" si="14"/>
        <v>#VALUE!</v>
      </c>
      <c r="S62" s="29"/>
      <c r="T62" s="27"/>
      <c r="U62" s="27"/>
      <c r="V62" s="27"/>
      <c r="W62" s="27"/>
      <c r="X62" s="19">
        <f t="shared" si="16"/>
        <v>38.4</v>
      </c>
      <c r="Y62" s="13">
        <f t="shared" si="17"/>
        <v>54.8571428571429</v>
      </c>
    </row>
    <row r="63" ht="15.6" spans="1:25">
      <c r="A63" s="27">
        <v>302</v>
      </c>
      <c r="B63" s="27">
        <v>21</v>
      </c>
      <c r="C63" s="31" t="s">
        <v>81</v>
      </c>
      <c r="D63" s="27" t="s">
        <v>12</v>
      </c>
      <c r="E63" s="27">
        <v>24</v>
      </c>
      <c r="F63" s="29">
        <f>LOOKUP(E63,{0,-1.8,-0.8,0.2,1.2,2.2,3.2,4.6,6,7.4,8.8,10.2,11.6,13,14.4,15.8,17.2,19.1,21,22.8,24.6},{0,10,20,30,40,50,60,62,64,66,68,70,72,74,76,78,80,85,90,95,100})</f>
        <v>95</v>
      </c>
      <c r="G63" s="27">
        <v>265</v>
      </c>
      <c r="H63" s="29">
        <f>LOOKUP(G63,{0,180,185,190,195,200,205,209,213,217,221,225,229,233,237,241,245,253,260,265,270},{0,10,20,30,40,50,60,62,64,66,68,70,72,74,76,78,80,85,90,95,100})</f>
        <v>95</v>
      </c>
      <c r="I63" s="27">
        <v>7</v>
      </c>
      <c r="J63" s="29">
        <f>LOOKUP(I63,{0,4,5,6,7,8,9,10,11,12,13,14,15,16,17,18},{0,10,20,30,40,50,60,64,68,72,76,80,85,90,95,100})</f>
        <v>40</v>
      </c>
      <c r="K63" s="44"/>
      <c r="L63" s="35"/>
      <c r="M63" s="35">
        <f t="shared" si="12"/>
        <v>40</v>
      </c>
      <c r="N63" s="35">
        <v>6.7</v>
      </c>
      <c r="O63" s="36">
        <f t="shared" si="13"/>
        <v>11.3</v>
      </c>
      <c r="P63" s="29">
        <f>LOOKUP(O63,{0,7.8,8,8.2,8.4,8.6,8.8,9,9.2,9.4,9.6,9.8,10,10.2,10.4,10.6,10.8,10.9,11,11.1,11.2},{0,10,20,30,40,50,60,62,64,66,68,70,72,74,76,78,80,85,90,95,100})</f>
        <v>100</v>
      </c>
      <c r="Q63" s="5">
        <v>3.41</v>
      </c>
      <c r="R63" s="36">
        <f t="shared" si="14"/>
        <v>6.59</v>
      </c>
      <c r="S63" s="29">
        <f>LOOKUP(R63,{0,3.85,4.45,4.65,4.85,5.45,5.65,5.7,5.75,5.8,5.85,5.9,5.95,6,6.45,6.5,6.55,6.63,6.7,6.75,6.8},{0,10,20,30,40,50,60,62,64,66,68,70,72,74,76,78,80,85,90,95,100})</f>
        <v>80</v>
      </c>
      <c r="T63" s="27"/>
      <c r="U63" s="27"/>
      <c r="V63" s="27">
        <f t="shared" si="15"/>
        <v>80</v>
      </c>
      <c r="W63" s="27"/>
      <c r="X63" s="19">
        <f t="shared" si="16"/>
        <v>59</v>
      </c>
      <c r="Y63" s="13">
        <f t="shared" si="17"/>
        <v>84.2857142857143</v>
      </c>
    </row>
    <row r="64" ht="15.6" spans="1:25">
      <c r="A64" s="27">
        <v>302</v>
      </c>
      <c r="B64" s="27">
        <v>22</v>
      </c>
      <c r="C64" s="27" t="s">
        <v>82</v>
      </c>
      <c r="D64" s="27" t="s">
        <v>12</v>
      </c>
      <c r="E64" s="27">
        <v>15</v>
      </c>
      <c r="F64" s="29">
        <f>LOOKUP(E64,{0,-1.8,-0.8,0.2,1.2,2.2,3.2,4.6,6,7.4,8.8,10.2,11.6,13,14.4,15.8,17.2,19.1,21,22.8,24.6},{0,10,20,30,40,50,60,62,64,66,68,70,72,74,76,78,80,85,90,95,100})</f>
        <v>76</v>
      </c>
      <c r="G64" s="27">
        <v>215</v>
      </c>
      <c r="H64" s="29">
        <f>LOOKUP(G64,{0,180,185,190,195,200,205,209,213,217,221,225,229,233,237,241,245,253,260,265,270},{0,10,20,30,40,50,60,62,64,66,68,70,72,74,76,78,80,85,90,95,100})</f>
        <v>64</v>
      </c>
      <c r="I64" s="27">
        <v>8</v>
      </c>
      <c r="J64" s="29">
        <f>LOOKUP(I64,{0,4,5,6,7,8,9,10,11,12,13,14,15,16,17,18},{0,10,20,30,40,50,60,64,68,72,76,80,85,90,95,100})</f>
        <v>50</v>
      </c>
      <c r="K64" s="44"/>
      <c r="L64" s="35"/>
      <c r="M64" s="35">
        <f t="shared" si="12"/>
        <v>50</v>
      </c>
      <c r="N64" s="35">
        <v>7.6</v>
      </c>
      <c r="O64" s="36">
        <f t="shared" si="13"/>
        <v>10.4</v>
      </c>
      <c r="P64" s="29">
        <f>LOOKUP(O64,{0,7.8,8,8.2,8.4,8.6,8.8,9,9.2,9.4,9.6,9.8,10,10.2,10.4,10.6,10.8,10.9,11,11.1,11.2},{0,10,20,30,40,50,60,62,64,66,68,70,72,74,76,78,80,85,90,95,100})</f>
        <v>76</v>
      </c>
      <c r="Q64" s="5">
        <v>4.42</v>
      </c>
      <c r="R64" s="36">
        <f t="shared" si="14"/>
        <v>5.58</v>
      </c>
      <c r="S64" s="29">
        <f>LOOKUP(R64,{0,3.85,4.45,4.65,4.85,5.45,5.65,5.7,5.75,5.8,5.85,5.9,5.95,6,6.45,6.5,6.55,6.63,6.7,6.75,6.8},{0,10,20,30,40,50,60,62,64,66,68,70,72,74,76,78,80,85,90,95,100})</f>
        <v>50</v>
      </c>
      <c r="T64" s="27"/>
      <c r="U64" s="27"/>
      <c r="V64" s="27">
        <f t="shared" si="15"/>
        <v>50</v>
      </c>
      <c r="W64" s="27"/>
      <c r="X64" s="19">
        <f t="shared" si="16"/>
        <v>44.2</v>
      </c>
      <c r="Y64" s="13">
        <f t="shared" si="17"/>
        <v>63.1428571428572</v>
      </c>
    </row>
    <row r="65" ht="15.6" spans="1:25">
      <c r="A65" s="27">
        <v>302</v>
      </c>
      <c r="B65" s="27">
        <v>23</v>
      </c>
      <c r="C65" s="27" t="s">
        <v>83</v>
      </c>
      <c r="D65" s="27" t="s">
        <v>12</v>
      </c>
      <c r="E65" s="27">
        <v>2.5</v>
      </c>
      <c r="F65" s="29">
        <f>LOOKUP(E65,{0,-1.8,-0.8,0.2,1.2,2.2,3.2,4.6,6,7.4,8.8,10.2,11.6,13,14.4,15.8,17.2,19.1,21,22.8,24.6},{0,10,20,30,40,50,60,62,64,66,68,70,72,74,76,78,80,85,90,95,100})</f>
        <v>50</v>
      </c>
      <c r="G65" s="27">
        <v>225</v>
      </c>
      <c r="H65" s="29">
        <f>LOOKUP(G65,{0,180,185,190,195,200,205,209,213,217,221,225,229,233,237,241,245,253,260,265,270},{0,10,20,30,40,50,60,62,64,66,68,70,72,74,76,78,80,85,90,95,100})</f>
        <v>70</v>
      </c>
      <c r="I65" s="27">
        <v>1</v>
      </c>
      <c r="J65" s="29">
        <f>LOOKUP(I65,{0,4,5,6,7,8,9,10,11,12,13,14,15,16,17,18},{0,10,20,30,40,50,60,64,68,72,76,80,85,90,95,100})</f>
        <v>0</v>
      </c>
      <c r="K65" s="44"/>
      <c r="L65" s="35"/>
      <c r="M65" s="35">
        <f t="shared" si="12"/>
        <v>0</v>
      </c>
      <c r="N65" s="35">
        <v>7.3</v>
      </c>
      <c r="O65" s="36">
        <f t="shared" si="13"/>
        <v>10.7</v>
      </c>
      <c r="P65" s="29">
        <f>LOOKUP(O65,{0,7.8,8,8.2,8.4,8.6,8.8,9,9.2,9.4,9.6,9.8,10,10.2,10.4,10.6,10.8,10.9,11,11.1,11.2},{0,10,20,30,40,50,60,62,64,66,68,70,72,74,76,78,80,85,90,95,100})</f>
        <v>78</v>
      </c>
      <c r="Q65" s="5" t="s">
        <v>77</v>
      </c>
      <c r="R65" s="36" t="e">
        <f t="shared" si="14"/>
        <v>#VALUE!</v>
      </c>
      <c r="S65" s="29"/>
      <c r="T65" s="27"/>
      <c r="U65" s="27"/>
      <c r="V65" s="27"/>
      <c r="W65" s="42">
        <v>50</v>
      </c>
      <c r="X65" s="19">
        <f t="shared" si="16"/>
        <v>27.6</v>
      </c>
      <c r="Y65" s="13">
        <v>50</v>
      </c>
    </row>
    <row r="66" ht="15.6" spans="1:25">
      <c r="A66" s="27">
        <v>302</v>
      </c>
      <c r="B66" s="27">
        <v>24</v>
      </c>
      <c r="C66" s="27" t="s">
        <v>84</v>
      </c>
      <c r="D66" s="27" t="s">
        <v>12</v>
      </c>
      <c r="E66" s="27">
        <v>7</v>
      </c>
      <c r="F66" s="29">
        <f>LOOKUP(E66,{0,-1.8,-0.8,0.2,1.2,2.2,3.2,4.6,6,7.4,8.8,10.2,11.6,13,14.4,15.8,17.2,19.1,21,22.8,24.6},{0,10,20,30,40,50,60,62,64,66,68,70,72,74,76,78,80,85,90,95,100})</f>
        <v>64</v>
      </c>
      <c r="G66" s="27">
        <v>217</v>
      </c>
      <c r="H66" s="29">
        <f>LOOKUP(G66,{0,180,185,190,195,200,205,209,213,217,221,225,229,233,237,241,245,253,260,265,270},{0,10,20,30,40,50,60,62,64,66,68,70,72,74,76,78,80,85,90,95,100})</f>
        <v>66</v>
      </c>
      <c r="I66" s="27">
        <v>9</v>
      </c>
      <c r="J66" s="29">
        <f>LOOKUP(I66,{0,4,5,6,7,8,9,10,11,12,13,14,15,16,17,18},{0,10,20,30,40,50,60,64,68,72,76,80,85,90,95,100})</f>
        <v>60</v>
      </c>
      <c r="K66" s="44"/>
      <c r="L66" s="35"/>
      <c r="M66" s="35">
        <f t="shared" si="12"/>
        <v>60</v>
      </c>
      <c r="N66" s="35">
        <v>7.4</v>
      </c>
      <c r="O66" s="36">
        <f t="shared" si="13"/>
        <v>10.6</v>
      </c>
      <c r="P66" s="29">
        <f>LOOKUP(O66,{0,7.8,8,8.2,8.4,8.6,8.8,9,9.2,9.4,9.6,9.8,10,10.2,10.4,10.6,10.8,10.9,11,11.1,11.2},{0,10,20,30,40,50,60,62,64,66,68,70,72,74,76,78,80,85,90,95,100})</f>
        <v>78</v>
      </c>
      <c r="Q66" s="5">
        <v>4.35</v>
      </c>
      <c r="R66" s="36">
        <f t="shared" si="14"/>
        <v>5.65</v>
      </c>
      <c r="S66" s="29">
        <f>LOOKUP(R66,{0,3.85,4.45,4.65,4.85,5.45,5.65,5.7,5.75,5.8,5.85,5.9,5.95,6,6.45,6.5,6.55,6.63,6.7,6.75,6.8},{0,10,20,30,40,50,60,62,64,66,68,70,72,74,76,78,80,85,90,95,100})</f>
        <v>60</v>
      </c>
      <c r="T66" s="27"/>
      <c r="U66" s="27"/>
      <c r="V66" s="27">
        <f t="shared" si="15"/>
        <v>60</v>
      </c>
      <c r="W66" s="27"/>
      <c r="X66" s="19">
        <f t="shared" si="16"/>
        <v>46.6</v>
      </c>
      <c r="Y66" s="13">
        <f t="shared" si="17"/>
        <v>66.5714285714286</v>
      </c>
    </row>
    <row r="67" ht="15.6" spans="1:25">
      <c r="A67" s="27">
        <v>302</v>
      </c>
      <c r="B67" s="27">
        <v>25</v>
      </c>
      <c r="C67" s="27" t="s">
        <v>85</v>
      </c>
      <c r="D67" s="27" t="s">
        <v>12</v>
      </c>
      <c r="E67" s="27">
        <v>-6.5</v>
      </c>
      <c r="F67" s="29">
        <v>0</v>
      </c>
      <c r="G67" s="27">
        <v>200</v>
      </c>
      <c r="H67" s="29">
        <f>LOOKUP(G67,{0,180,185,190,195,200,205,209,213,217,221,225,229,233,237,241,245,253,260,265,270},{0,10,20,30,40,50,60,62,64,66,68,70,72,74,76,78,80,85,90,95,100})</f>
        <v>50</v>
      </c>
      <c r="I67" s="27">
        <v>11</v>
      </c>
      <c r="J67" s="29">
        <f>LOOKUP(I67,{0,4,5,6,7,8,9,10,11,12,13,14,15,16,17,18},{0,10,20,30,40,50,60,64,68,72,76,80,85,90,95,100})</f>
        <v>68</v>
      </c>
      <c r="K67" s="44"/>
      <c r="L67" s="35"/>
      <c r="M67" s="35">
        <f t="shared" si="12"/>
        <v>68</v>
      </c>
      <c r="N67" s="35">
        <v>8.1</v>
      </c>
      <c r="O67" s="36">
        <f t="shared" si="13"/>
        <v>9.9</v>
      </c>
      <c r="P67" s="29">
        <f>LOOKUP(O67,{0,7.8,8,8.2,8.4,8.6,8.8,9,9.2,9.4,9.6,9.8,10,10.2,10.4,10.6,10.8,10.9,11,11.1,11.2},{0,10,20,30,40,50,60,62,64,66,68,70,72,74,76,78,80,85,90,95,100})</f>
        <v>70</v>
      </c>
      <c r="Q67" s="5">
        <v>4.21</v>
      </c>
      <c r="R67" s="36">
        <f t="shared" si="14"/>
        <v>5.79</v>
      </c>
      <c r="S67" s="29">
        <f>LOOKUP(R67,{0,3.85,4.45,4.65,4.85,5.45,5.65,5.7,5.75,5.8,5.85,5.9,5.95,6,6.45,6.5,6.55,6.63,6.7,6.75,6.8},{0,10,20,30,40,50,60,62,64,66,68,70,72,74,76,78,80,85,90,95,100})</f>
        <v>64</v>
      </c>
      <c r="T67" s="27"/>
      <c r="U67" s="27"/>
      <c r="V67" s="27">
        <f t="shared" si="15"/>
        <v>64</v>
      </c>
      <c r="W67" s="27"/>
      <c r="X67" s="19">
        <f t="shared" si="16"/>
        <v>38.6</v>
      </c>
      <c r="Y67" s="13">
        <f t="shared" si="17"/>
        <v>55.1428571428571</v>
      </c>
    </row>
    <row r="68" ht="15.6" spans="1:25">
      <c r="A68" s="27">
        <v>302</v>
      </c>
      <c r="B68" s="27">
        <v>26</v>
      </c>
      <c r="C68" s="27" t="s">
        <v>86</v>
      </c>
      <c r="D68" s="27" t="s">
        <v>12</v>
      </c>
      <c r="E68" s="27">
        <v>1</v>
      </c>
      <c r="F68" s="29">
        <f>LOOKUP(E68,{0,-1.8,-0.8,0.2,1.2,2.2,3.2,4.6,6,7.4,8.8,10.2,11.6,13,14.4,15.8,17.2,19.1,21,22.8,24.6},{0,10,20,30,40,50,60,62,64,66,68,70,72,74,76,78,80,85,90,95,100})</f>
        <v>30</v>
      </c>
      <c r="G68" s="27">
        <v>210</v>
      </c>
      <c r="H68" s="29">
        <f>LOOKUP(G68,{0,180,185,190,195,200,205,209,213,217,221,225,229,233,237,241,245,253,260,265,270},{0,10,20,30,40,50,60,62,64,66,68,70,72,74,76,78,80,85,90,95,100})</f>
        <v>62</v>
      </c>
      <c r="I68" s="27">
        <v>1</v>
      </c>
      <c r="J68" s="29">
        <f>LOOKUP(I68,{0,4,5,6,7,8,9,10,11,12,13,14,15,16,17,18},{0,10,20,30,40,50,60,64,68,72,76,80,85,90,95,100})</f>
        <v>0</v>
      </c>
      <c r="K68" s="44"/>
      <c r="L68" s="35"/>
      <c r="M68" s="35">
        <f t="shared" si="12"/>
        <v>0</v>
      </c>
      <c r="N68" s="35">
        <v>8.1</v>
      </c>
      <c r="O68" s="36">
        <f t="shared" si="13"/>
        <v>9.9</v>
      </c>
      <c r="P68" s="29">
        <f>LOOKUP(O68,{0,7.8,8,8.2,8.4,8.6,8.8,9,9.2,9.4,9.6,9.8,10,10.2,10.4,10.6,10.8,10.9,11,11.1,11.2},{0,10,20,30,40,50,60,62,64,66,68,70,72,74,76,78,80,85,90,95,100})</f>
        <v>70</v>
      </c>
      <c r="Q68" s="5">
        <v>4.16</v>
      </c>
      <c r="R68" s="36">
        <f t="shared" si="14"/>
        <v>5.84</v>
      </c>
      <c r="S68" s="29">
        <f>LOOKUP(R68,{0,3.85,4.45,4.65,4.85,5.45,5.65,5.7,5.75,5.8,5.85,5.9,5.95,6,6.45,6.5,6.55,6.63,6.7,6.75,6.8},{0,10,20,30,40,50,60,62,64,66,68,70,72,74,76,78,80,85,90,95,100})</f>
        <v>66</v>
      </c>
      <c r="T68" s="27"/>
      <c r="U68" s="27"/>
      <c r="V68" s="27">
        <f t="shared" si="15"/>
        <v>66</v>
      </c>
      <c r="W68" s="27"/>
      <c r="X68" s="19">
        <f t="shared" si="16"/>
        <v>36.4</v>
      </c>
      <c r="Y68" s="13">
        <f t="shared" si="17"/>
        <v>52</v>
      </c>
    </row>
    <row r="69" ht="15.6" spans="1:25">
      <c r="A69" s="27">
        <v>302</v>
      </c>
      <c r="B69" s="27">
        <v>27</v>
      </c>
      <c r="C69" s="27" t="s">
        <v>87</v>
      </c>
      <c r="D69" s="27" t="s">
        <v>12</v>
      </c>
      <c r="E69" s="27">
        <v>23</v>
      </c>
      <c r="F69" s="29">
        <f>LOOKUP(E69,{0,-1.8,-0.8,0.2,1.2,2.2,3.2,4.6,6,7.4,8.8,10.2,11.6,13,14.4,15.8,17.2,19.1,21,22.8,24.6},{0,10,20,30,40,50,60,62,64,66,68,70,72,74,76,78,80,85,90,95,100})</f>
        <v>95</v>
      </c>
      <c r="G69" s="27">
        <v>223</v>
      </c>
      <c r="H69" s="29">
        <f>LOOKUP(G69,{0,180,185,190,195,200,205,209,213,217,221,225,229,233,237,241,245,253,260,265,270},{0,10,20,30,40,50,60,62,64,66,68,70,72,74,76,78,80,85,90,95,100})</f>
        <v>68</v>
      </c>
      <c r="I69" s="27">
        <v>6</v>
      </c>
      <c r="J69" s="29">
        <f>LOOKUP(I69,{0,4,5,6,7,8,9,10,11,12,13,14,15,16,17,18},{0,10,20,30,40,50,60,64,68,72,76,80,85,90,95,100})</f>
        <v>30</v>
      </c>
      <c r="K69" s="44"/>
      <c r="L69" s="35"/>
      <c r="M69" s="35">
        <f t="shared" si="12"/>
        <v>30</v>
      </c>
      <c r="N69" s="35">
        <v>7.5</v>
      </c>
      <c r="O69" s="36">
        <f t="shared" si="13"/>
        <v>10.5</v>
      </c>
      <c r="P69" s="29">
        <f>LOOKUP(O69,{0,7.8,8,8.2,8.4,8.6,8.8,9,9.2,9.4,9.6,9.8,10,10.2,10.4,10.6,10.8,10.9,11,11.1,11.2},{0,10,20,30,40,50,60,62,64,66,68,70,72,74,76,78,80,85,90,95,100})</f>
        <v>76</v>
      </c>
      <c r="Q69" s="5">
        <v>4.22</v>
      </c>
      <c r="R69" s="36">
        <f t="shared" si="14"/>
        <v>5.78</v>
      </c>
      <c r="S69" s="29">
        <f>LOOKUP(R69,{0,3.85,4.45,4.65,4.85,5.45,5.65,5.7,5.75,5.8,5.85,5.9,5.95,6,6.45,6.5,6.55,6.63,6.7,6.75,6.8},{0,10,20,30,40,50,60,62,64,66,68,70,72,74,76,78,80,85,90,95,100})</f>
        <v>64</v>
      </c>
      <c r="T69" s="27"/>
      <c r="U69" s="27"/>
      <c r="V69" s="27">
        <f t="shared" si="15"/>
        <v>64</v>
      </c>
      <c r="W69" s="27"/>
      <c r="X69" s="19">
        <f t="shared" si="16"/>
        <v>47.3</v>
      </c>
      <c r="Y69" s="13">
        <f t="shared" si="17"/>
        <v>67.5714285714286</v>
      </c>
    </row>
    <row r="70" ht="15.6" spans="1:25">
      <c r="A70" s="27">
        <v>302</v>
      </c>
      <c r="B70" s="27">
        <v>28</v>
      </c>
      <c r="C70" s="27" t="s">
        <v>88</v>
      </c>
      <c r="D70" s="27" t="s">
        <v>12</v>
      </c>
      <c r="E70" s="27">
        <v>15</v>
      </c>
      <c r="F70" s="29">
        <f>LOOKUP(E70,{0,-1.8,-0.8,0.2,1.2,2.2,3.2,4.6,6,7.4,8.8,10.2,11.6,13,14.4,15.8,17.2,19.1,21,22.8,24.6},{0,10,20,30,40,50,60,62,64,66,68,70,72,74,76,78,80,85,90,95,100})</f>
        <v>76</v>
      </c>
      <c r="G70" s="27">
        <v>200</v>
      </c>
      <c r="H70" s="29">
        <f>LOOKUP(G70,{0,180,185,190,195,200,205,209,213,217,221,225,229,233,237,241,245,253,260,265,270},{0,10,20,30,40,50,60,62,64,66,68,70,72,74,76,78,80,85,90,95,100})</f>
        <v>50</v>
      </c>
      <c r="I70" s="27">
        <v>1</v>
      </c>
      <c r="J70" s="29">
        <f>LOOKUP(I70,{0,4,5,6,7,8,9,10,11,12,13,14,15,16,17,18},{0,10,20,30,40,50,60,64,68,72,76,80,85,90,95,100})</f>
        <v>0</v>
      </c>
      <c r="K70" s="44"/>
      <c r="L70" s="35"/>
      <c r="M70" s="35">
        <f t="shared" si="12"/>
        <v>0</v>
      </c>
      <c r="N70" s="35">
        <v>8.5</v>
      </c>
      <c r="O70" s="36">
        <f t="shared" si="13"/>
        <v>9.5</v>
      </c>
      <c r="P70" s="29">
        <f>LOOKUP(O70,{0,7.8,8,8.2,8.4,8.6,8.8,9,9.2,9.4,9.6,9.8,10,10.2,10.4,10.6,10.8,10.9,11,11.1,11.2},{0,10,20,30,40,50,60,62,64,66,68,70,72,74,76,78,80,85,90,95,100})</f>
        <v>66</v>
      </c>
      <c r="Q70" s="5" t="s">
        <v>77</v>
      </c>
      <c r="R70" s="36" t="e">
        <f t="shared" si="14"/>
        <v>#VALUE!</v>
      </c>
      <c r="S70" s="29"/>
      <c r="T70" s="27"/>
      <c r="U70" s="27"/>
      <c r="V70" s="27"/>
      <c r="W70" s="42">
        <v>50</v>
      </c>
      <c r="X70" s="19">
        <f t="shared" si="16"/>
        <v>25.8</v>
      </c>
      <c r="Y70" s="13">
        <v>50</v>
      </c>
    </row>
    <row r="71" ht="15.6" spans="1:25">
      <c r="A71" s="27">
        <v>302</v>
      </c>
      <c r="B71" s="27">
        <v>29</v>
      </c>
      <c r="C71" s="27" t="s">
        <v>89</v>
      </c>
      <c r="D71" s="27" t="s">
        <v>12</v>
      </c>
      <c r="E71" s="27">
        <v>14.5</v>
      </c>
      <c r="F71" s="29">
        <f>LOOKUP(E71,{0,-1.8,-0.8,0.2,1.2,2.2,3.2,4.6,6,7.4,8.8,10.2,11.6,13,14.4,15.8,17.2,19.1,21,22.8,24.6},{0,10,20,30,40,50,60,62,64,66,68,70,72,74,76,78,80,85,90,95,100})</f>
        <v>76</v>
      </c>
      <c r="G71" s="27">
        <v>230</v>
      </c>
      <c r="H71" s="29">
        <f>LOOKUP(G71,{0,180,185,190,195,200,205,209,213,217,221,225,229,233,237,241,245,253,260,265,270},{0,10,20,30,40,50,60,62,64,66,68,70,72,74,76,78,80,85,90,95,100})</f>
        <v>72</v>
      </c>
      <c r="I71" s="27">
        <v>4</v>
      </c>
      <c r="J71" s="29">
        <f>LOOKUP(I71,{0,4,5,6,7,8,9,10,11,12,13,14,15,16,17,18},{0,10,20,30,40,50,60,64,68,72,76,80,85,90,95,100})</f>
        <v>10</v>
      </c>
      <c r="K71" s="44"/>
      <c r="L71" s="35"/>
      <c r="M71" s="35">
        <f t="shared" si="12"/>
        <v>10</v>
      </c>
      <c r="N71" s="35">
        <v>9.3</v>
      </c>
      <c r="O71" s="36">
        <f t="shared" si="13"/>
        <v>8.7</v>
      </c>
      <c r="P71" s="29">
        <f>LOOKUP(O71,{0,7.8,8,8.2,8.4,8.6,8.8,9,9.2,9.4,9.6,9.8,10,10.2,10.4,10.6,10.8,10.9,11,11.1,11.2},{0,10,20,30,40,50,60,62,64,66,68,70,72,74,76,78,80,85,90,95,100})</f>
        <v>50</v>
      </c>
      <c r="Q71" s="5">
        <v>4.38</v>
      </c>
      <c r="R71" s="36">
        <f t="shared" si="14"/>
        <v>5.62</v>
      </c>
      <c r="S71" s="29">
        <f>LOOKUP(R71,{0,3.85,4.45,4.65,4.85,5.45,5.65,5.7,5.75,5.8,5.85,5.9,5.95,6,6.45,6.5,6.55,6.63,6.7,6.75,6.8},{0,10,20,30,40,50,60,62,64,66,68,70,72,74,76,78,80,85,90,95,100})</f>
        <v>50</v>
      </c>
      <c r="T71" s="27"/>
      <c r="U71" s="27"/>
      <c r="V71" s="27">
        <f t="shared" si="15"/>
        <v>50</v>
      </c>
      <c r="W71" s="27"/>
      <c r="X71" s="19">
        <f t="shared" si="16"/>
        <v>35.8</v>
      </c>
      <c r="Y71" s="13">
        <f t="shared" si="17"/>
        <v>51.1428571428571</v>
      </c>
    </row>
    <row r="72" ht="15.6" spans="1:25">
      <c r="A72" s="27">
        <v>302</v>
      </c>
      <c r="B72" s="27">
        <v>30</v>
      </c>
      <c r="C72" s="27" t="s">
        <v>90</v>
      </c>
      <c r="D72" s="27" t="s">
        <v>12</v>
      </c>
      <c r="E72" s="27">
        <v>2</v>
      </c>
      <c r="F72" s="29">
        <f>LOOKUP(E72,{0,-1.8,-0.8,0.2,1.2,2.2,3.2,4.6,6,7.4,8.8,10.2,11.6,13,14.4,15.8,17.2,19.1,21,22.8,24.6},{0,10,20,30,40,50,60,62,64,66,68,70,72,74,76,78,80,85,90,95,100})</f>
        <v>40</v>
      </c>
      <c r="G72" s="27">
        <v>195</v>
      </c>
      <c r="H72" s="29">
        <f>LOOKUP(G72,{0,180,185,190,195,200,205,209,213,217,221,225,229,233,237,241,245,253,260,265,270},{0,10,20,30,40,50,60,62,64,66,68,70,72,74,76,78,80,85,90,95,100})</f>
        <v>40</v>
      </c>
      <c r="I72" s="27">
        <v>0</v>
      </c>
      <c r="J72" s="29">
        <f>LOOKUP(I72,{0,4,5,6,7,8,9,10,11,12,13,14,15,16,17,18},{0,10,20,30,40,50,60,64,68,72,76,80,85,90,95,100})</f>
        <v>0</v>
      </c>
      <c r="K72" s="44"/>
      <c r="L72" s="35"/>
      <c r="M72" s="35">
        <f t="shared" si="12"/>
        <v>0</v>
      </c>
      <c r="N72" s="35">
        <v>14.8</v>
      </c>
      <c r="O72" s="36">
        <f t="shared" si="13"/>
        <v>3.2</v>
      </c>
      <c r="P72" s="29">
        <f>LOOKUP(O72,{0,7.8,8,8.2,8.4,8.6,8.8,9,9.2,9.4,9.6,9.8,10,10.2,10.4,10.6,10.8,10.9,11,11.1,11.2},{0,10,20,30,40,50,60,62,64,66,68,70,72,74,76,78,80,85,90,95,100})</f>
        <v>0</v>
      </c>
      <c r="Q72" s="5" t="s">
        <v>77</v>
      </c>
      <c r="R72" s="36" t="e">
        <f t="shared" si="14"/>
        <v>#VALUE!</v>
      </c>
      <c r="S72" s="29"/>
      <c r="T72" s="27"/>
      <c r="U72" s="27"/>
      <c r="V72" s="27"/>
      <c r="W72" s="42">
        <v>50</v>
      </c>
      <c r="X72" s="19">
        <f t="shared" si="16"/>
        <v>8</v>
      </c>
      <c r="Y72" s="13">
        <v>50</v>
      </c>
    </row>
    <row r="73" ht="15.6" spans="1:25">
      <c r="A73" s="27">
        <v>302</v>
      </c>
      <c r="B73" s="27">
        <v>31</v>
      </c>
      <c r="C73" s="31" t="s">
        <v>92</v>
      </c>
      <c r="D73" s="27" t="s">
        <v>46</v>
      </c>
      <c r="E73" s="27">
        <v>19</v>
      </c>
      <c r="F73" s="29">
        <f>LOOKUP(E73,{0,1.5,2.3,3.1,3.9,4.7,5.5,6.8,8.1,9.4,10.7,12,13.3,14.6,15.9,17.2,18.5,20.2,21.9,23.6,25.3},{0,10,20,30,40,50,60,62,64,66,68,70,72,74,76,78,80,85,90,95,100})</f>
        <v>80</v>
      </c>
      <c r="G73" s="27">
        <v>185</v>
      </c>
      <c r="H73" s="29">
        <f>LOOKUP(G73,{0,125,130,135,140,145,150,153,156,159,162,165,168,171,174,177,180,187,194,200,206},{0,10,20,30,40,50,60,62,64,66,68,70,72,74,76,78,80,85,90,95,100})</f>
        <v>80</v>
      </c>
      <c r="I73" s="27" t="s">
        <v>77</v>
      </c>
      <c r="J73" s="29"/>
      <c r="K73" s="27"/>
      <c r="L73" s="27"/>
      <c r="M73" s="35"/>
      <c r="N73" s="27" t="s">
        <v>77</v>
      </c>
      <c r="O73" s="27"/>
      <c r="P73" s="27"/>
      <c r="Q73" s="27" t="s">
        <v>77</v>
      </c>
      <c r="R73" s="27"/>
      <c r="S73" s="27"/>
      <c r="T73" s="27"/>
      <c r="U73" s="27"/>
      <c r="V73" s="27"/>
      <c r="W73" s="42">
        <v>50</v>
      </c>
      <c r="X73" s="19">
        <f t="shared" si="16"/>
        <v>16</v>
      </c>
      <c r="Y73" s="13">
        <v>50</v>
      </c>
    </row>
    <row r="74" ht="15.6" spans="1:25">
      <c r="A74" s="27">
        <v>302</v>
      </c>
      <c r="B74" s="27">
        <v>32</v>
      </c>
      <c r="C74" s="27" t="s">
        <v>93</v>
      </c>
      <c r="D74" s="27" t="s">
        <v>46</v>
      </c>
      <c r="E74" s="27">
        <v>17</v>
      </c>
      <c r="F74" s="29">
        <f>LOOKUP(E74,{0,1.5,2.3,3.1,3.9,4.7,5.5,6.8,8.1,9.4,10.7,12,13.3,14.6,15.9,17.2,18.5,20.2,21.9,23.6,25.3},{0,10,20,30,40,50,60,62,64,66,68,70,72,74,76,78,80,85,90,95,100})</f>
        <v>76</v>
      </c>
      <c r="G74" s="27">
        <v>185</v>
      </c>
      <c r="H74" s="29">
        <f>LOOKUP(G74,{0,125,130,135,140,145,150,153,156,159,162,165,168,171,174,177,180,187,194,200,206},{0,10,20,30,40,50,60,62,64,66,68,70,72,74,76,78,80,85,90,95,100})</f>
        <v>80</v>
      </c>
      <c r="I74" s="27">
        <v>46</v>
      </c>
      <c r="J74" s="29">
        <f>LOOKUP(I74,{0,15,17,19,21,23,25,27,29,31,33,35,37,39,41,43,45,48,51,53,55},{0,10,20,30,40,50,60,62,64,66,68,70,72,74,76,78,80,85,90,95,100})</f>
        <v>80</v>
      </c>
      <c r="K74" s="35"/>
      <c r="L74" s="35"/>
      <c r="M74" s="35">
        <f t="shared" si="12"/>
        <v>80</v>
      </c>
      <c r="N74" s="35">
        <v>8.5</v>
      </c>
      <c r="O74" s="36">
        <f>18-N74</f>
        <v>9.5</v>
      </c>
      <c r="P74" s="29">
        <f>LOOKUP(O74,{0,6.6,6.8,7,7.2,7.4,7.6,7.8,8,8.2,8.4,8.6,8.8,9,9.2,9.4,9.6,9.9,10.2,10.3,10.4},{0,10,20,30,40,50,60,62,64,66,68,70,72,74,76,78,80,85,90,95,100})</f>
        <v>78</v>
      </c>
      <c r="Q74" s="5">
        <v>3.33</v>
      </c>
      <c r="R74" s="36">
        <f>10-Q74</f>
        <v>6.67</v>
      </c>
      <c r="S74" s="29">
        <f>LOOKUP(R74,{0,4.74,4.84,4.94,5.44,5.54,5.64,5.69,5.74,5.79,5.84,5.89,5.94,5.99,6.44,6.49,6.54,6.61,6.68,6.74,6.8},{0,10,20,30,40,50,60,62,64,66,68,70,72,74,76,78,80,85,90,95,100})</f>
        <v>85</v>
      </c>
      <c r="T74" s="27"/>
      <c r="U74" s="27"/>
      <c r="V74" s="27">
        <f t="shared" si="15"/>
        <v>85</v>
      </c>
      <c r="W74" s="27"/>
      <c r="X74" s="19">
        <f t="shared" si="16"/>
        <v>56.2</v>
      </c>
      <c r="Y74" s="13">
        <f t="shared" si="17"/>
        <v>80.2857142857143</v>
      </c>
    </row>
    <row r="75" ht="15.6" spans="1:25">
      <c r="A75" s="27">
        <v>302</v>
      </c>
      <c r="B75" s="27">
        <v>33</v>
      </c>
      <c r="C75" s="27" t="s">
        <v>94</v>
      </c>
      <c r="D75" s="27" t="s">
        <v>46</v>
      </c>
      <c r="E75" s="27">
        <v>17</v>
      </c>
      <c r="F75" s="29">
        <f>LOOKUP(E75,{0,1.5,2.3,3.1,3.9,4.7,5.5,6.8,8.1,9.4,10.7,12,13.3,14.6,15.9,17.2,18.5,20.2,21.9,23.6,25.3},{0,10,20,30,40,50,60,62,64,66,68,70,72,74,76,78,80,85,90,95,100})</f>
        <v>76</v>
      </c>
      <c r="G75" s="27">
        <v>180</v>
      </c>
      <c r="H75" s="29">
        <f>LOOKUP(G75,{0,125,130,135,140,145,150,153,156,159,162,165,168,171,174,177,180,187,194,200,206},{0,10,20,30,40,50,60,62,64,66,68,70,72,74,76,78,80,85,90,95,100})</f>
        <v>80</v>
      </c>
      <c r="I75" s="27">
        <v>58</v>
      </c>
      <c r="J75" s="29">
        <f>LOOKUP(I75,{0,15,17,19,21,23,25,27,29,31,33,35,37,39,41,43,45,48,51,53,55},{0,10,20,30,40,50,60,62,64,66,68,70,72,74,76,78,80,85,90,95,100})</f>
        <v>100</v>
      </c>
      <c r="K75" s="34">
        <f>I75-55</f>
        <v>3</v>
      </c>
      <c r="L75" s="29">
        <f>LOOKUP(K75,{0,2,4,6,7,8,9,10,11,12,13},{0,1,2,3,4,5,6,7,8,9,10})</f>
        <v>1</v>
      </c>
      <c r="M75" s="35">
        <f t="shared" si="12"/>
        <v>101</v>
      </c>
      <c r="N75" s="35">
        <v>8.7</v>
      </c>
      <c r="O75" s="36">
        <f>18-N75</f>
        <v>9.3</v>
      </c>
      <c r="P75" s="29">
        <f>LOOKUP(O75,{0,6.6,6.8,7,7.2,7.4,7.6,7.8,8,8.2,8.4,8.6,8.8,9,9.2,9.4,9.6,9.9,10.2,10.3,10.4},{0,10,20,30,40,50,60,62,64,66,68,70,72,74,76,78,80,85,90,95,100})</f>
        <v>76</v>
      </c>
      <c r="Q75" s="5">
        <v>3.36</v>
      </c>
      <c r="R75" s="36">
        <f>10-Q75</f>
        <v>6.64</v>
      </c>
      <c r="S75" s="29">
        <f>LOOKUP(R75,{0,4.74,4.84,4.94,5.44,5.54,5.64,5.69,5.74,5.79,5.84,5.89,5.94,5.99,6.44,6.49,6.54,6.61,6.68,6.74,6.8},{0,10,20,30,40,50,60,62,64,66,68,70,72,74,76,78,80,85,90,95,100})</f>
        <v>85</v>
      </c>
      <c r="T75" s="27"/>
      <c r="U75" s="27"/>
      <c r="V75" s="27">
        <f t="shared" si="15"/>
        <v>85</v>
      </c>
      <c r="W75" s="27"/>
      <c r="X75" s="19">
        <f t="shared" si="16"/>
        <v>57.8</v>
      </c>
      <c r="Y75" s="13">
        <f t="shared" si="17"/>
        <v>83.5714285714286</v>
      </c>
    </row>
    <row r="76" ht="15.6" spans="1:25">
      <c r="A76" s="27">
        <v>302</v>
      </c>
      <c r="B76" s="27">
        <v>34</v>
      </c>
      <c r="C76" s="27" t="s">
        <v>95</v>
      </c>
      <c r="D76" s="27" t="s">
        <v>46</v>
      </c>
      <c r="E76" s="27">
        <v>21.3</v>
      </c>
      <c r="F76" s="29">
        <f>LOOKUP(E76,{0,1.5,2.3,3.1,3.9,4.7,5.5,6.8,8.1,9.4,10.7,12,13.3,14.6,15.9,17.2,18.5,20.2,21.9,23.6,25.3},{0,10,20,30,40,50,60,62,64,66,68,70,72,74,76,78,80,85,90,95,100})</f>
        <v>85</v>
      </c>
      <c r="G76" s="27">
        <v>185</v>
      </c>
      <c r="H76" s="29">
        <f>LOOKUP(G76,{0,125,130,135,140,145,150,153,156,159,162,165,168,171,174,177,180,187,194,200,206},{0,10,20,30,40,50,60,62,64,66,68,70,72,74,76,78,80,85,90,95,100})</f>
        <v>80</v>
      </c>
      <c r="I76" s="27" t="s">
        <v>77</v>
      </c>
      <c r="J76" s="29"/>
      <c r="K76" s="27"/>
      <c r="L76" s="27"/>
      <c r="M76" s="35"/>
      <c r="N76" s="27" t="s">
        <v>77</v>
      </c>
      <c r="O76" s="27"/>
      <c r="P76" s="27"/>
      <c r="Q76" s="27" t="s">
        <v>77</v>
      </c>
      <c r="R76" s="27"/>
      <c r="S76" s="27"/>
      <c r="T76" s="27"/>
      <c r="U76" s="27"/>
      <c r="V76" s="27"/>
      <c r="W76" s="42">
        <v>50</v>
      </c>
      <c r="X76" s="19">
        <f t="shared" si="16"/>
        <v>16.5</v>
      </c>
      <c r="Y76" s="13">
        <v>50</v>
      </c>
    </row>
    <row r="77" ht="15.6" spans="1:25">
      <c r="A77" s="27">
        <v>302</v>
      </c>
      <c r="B77" s="27">
        <v>35</v>
      </c>
      <c r="C77" s="27" t="s">
        <v>96</v>
      </c>
      <c r="D77" s="27" t="s">
        <v>46</v>
      </c>
      <c r="E77" s="27">
        <v>15</v>
      </c>
      <c r="F77" s="29">
        <f>LOOKUP(E77,{0,1.5,2.3,3.1,3.9,4.7,5.5,6.8,8.1,9.4,10.7,12,13.3,14.6,15.9,17.2,18.5,20.2,21.9,23.6,25.3},{0,10,20,30,40,50,60,62,64,66,68,70,72,74,76,78,80,85,90,95,100})</f>
        <v>74</v>
      </c>
      <c r="G77" s="27">
        <v>185</v>
      </c>
      <c r="H77" s="29">
        <f>LOOKUP(G77,{0,125,130,135,140,145,150,153,156,159,162,165,168,171,174,177,180,187,194,200,206},{0,10,20,30,40,50,60,62,64,66,68,70,72,74,76,78,80,85,90,95,100})</f>
        <v>80</v>
      </c>
      <c r="I77" s="27">
        <v>37</v>
      </c>
      <c r="J77" s="29">
        <f>LOOKUP(I77,{0,15,17,19,21,23,25,27,29,31,33,35,37,39,41,43,45,48,51,53,55},{0,10,20,30,40,50,60,62,64,66,68,70,72,74,76,78,80,85,90,95,100})</f>
        <v>72</v>
      </c>
      <c r="K77" s="35"/>
      <c r="L77" s="35"/>
      <c r="M77" s="35">
        <f t="shared" si="12"/>
        <v>72</v>
      </c>
      <c r="N77" s="35">
        <v>9</v>
      </c>
      <c r="O77" s="36">
        <f t="shared" ref="O77:O91" si="18">18-N77</f>
        <v>9</v>
      </c>
      <c r="P77" s="29">
        <f>LOOKUP(O77,{0,6.6,6.8,7,7.2,7.4,7.6,7.8,8,8.2,8.4,8.6,8.8,9,9.2,9.4,9.6,9.9,10.2,10.3,10.4},{0,10,20,30,40,50,60,62,64,66,68,70,72,74,76,78,80,85,90,95,100})</f>
        <v>74</v>
      </c>
      <c r="Q77" s="5">
        <v>3.57</v>
      </c>
      <c r="R77" s="36">
        <f>10-Q77</f>
        <v>6.43</v>
      </c>
      <c r="S77" s="29">
        <f>LOOKUP(R77,{0,4.74,4.84,4.94,5.44,5.54,5.64,5.69,5.74,5.79,5.84,5.89,5.94,5.99,6.44,6.49,6.54,6.61,6.68,6.74,6.8},{0,10,20,30,40,50,60,62,64,66,68,70,72,74,76,78,80,85,90,95,100})</f>
        <v>74</v>
      </c>
      <c r="T77" s="27"/>
      <c r="U77" s="27"/>
      <c r="V77" s="27">
        <f t="shared" si="15"/>
        <v>74</v>
      </c>
      <c r="W77" s="27"/>
      <c r="X77" s="19">
        <f t="shared" si="16"/>
        <v>52.2</v>
      </c>
      <c r="Y77" s="13">
        <f t="shared" si="17"/>
        <v>74.5714285714286</v>
      </c>
    </row>
    <row r="78" ht="15.6" spans="1:25">
      <c r="A78" s="27">
        <v>302</v>
      </c>
      <c r="B78" s="27">
        <v>36</v>
      </c>
      <c r="C78" s="27" t="s">
        <v>97</v>
      </c>
      <c r="D78" s="27" t="s">
        <v>46</v>
      </c>
      <c r="E78" s="27">
        <v>21</v>
      </c>
      <c r="F78" s="29">
        <f>LOOKUP(E78,{0,1.5,2.3,3.1,3.9,4.7,5.5,6.8,8.1,9.4,10.7,12,13.3,14.6,15.9,17.2,18.5,20.2,21.9,23.6,25.3},{0,10,20,30,40,50,60,62,64,66,68,70,72,74,76,78,80,85,90,95,100})</f>
        <v>85</v>
      </c>
      <c r="G78" s="27">
        <v>210</v>
      </c>
      <c r="H78" s="29">
        <f>LOOKUP(G78,{0,125,130,135,140,145,150,153,156,159,162,165,168,171,174,177,180,187,194,200,206},{0,10,20,30,40,50,60,62,64,66,68,70,72,74,76,78,80,85,90,95,100})</f>
        <v>100</v>
      </c>
      <c r="I78" s="27">
        <v>48</v>
      </c>
      <c r="J78" s="29">
        <f>LOOKUP(I78,{0,15,17,19,21,23,25,27,29,31,33,35,37,39,41,43,45,48,51,53,55},{0,10,20,30,40,50,60,62,64,66,68,70,72,74,76,78,80,85,90,95,100})</f>
        <v>85</v>
      </c>
      <c r="K78" s="35"/>
      <c r="L78" s="35"/>
      <c r="M78" s="35">
        <f t="shared" si="12"/>
        <v>85</v>
      </c>
      <c r="N78" s="35">
        <v>8.3</v>
      </c>
      <c r="O78" s="36">
        <f t="shared" si="18"/>
        <v>9.7</v>
      </c>
      <c r="P78" s="29">
        <f>LOOKUP(O78,{0,6.6,6.8,7,7.2,7.4,7.6,7.8,8,8.2,8.4,8.6,8.8,9,9.2,9.4,9.6,9.9,10.2,10.3,10.4},{0,10,20,30,40,50,60,62,64,66,68,70,72,74,76,78,80,85,90,95,100})</f>
        <v>80</v>
      </c>
      <c r="Q78" s="5">
        <v>3.39</v>
      </c>
      <c r="R78" s="36">
        <f>10-Q78</f>
        <v>6.61</v>
      </c>
      <c r="S78" s="29">
        <f>LOOKUP(R78,{0,4.74,4.84,4.94,5.44,5.54,5.64,5.69,5.74,5.79,5.84,5.89,5.94,5.99,6.44,6.49,6.54,6.61,6.68,6.74,6.8},{0,10,20,30,40,50,60,62,64,66,68,70,72,74,76,78,80,85,90,95,100})</f>
        <v>85</v>
      </c>
      <c r="T78" s="27"/>
      <c r="U78" s="27"/>
      <c r="V78" s="27">
        <f t="shared" si="15"/>
        <v>85</v>
      </c>
      <c r="W78" s="27"/>
      <c r="X78" s="19">
        <f t="shared" si="16"/>
        <v>60</v>
      </c>
      <c r="Y78" s="13">
        <f t="shared" si="17"/>
        <v>85.7142857142857</v>
      </c>
    </row>
    <row r="79" ht="15.6" spans="1:25">
      <c r="A79" s="27">
        <v>302</v>
      </c>
      <c r="B79" s="27">
        <v>37</v>
      </c>
      <c r="C79" s="27" t="s">
        <v>98</v>
      </c>
      <c r="D79" s="27" t="s">
        <v>46</v>
      </c>
      <c r="E79" s="27">
        <v>18.5</v>
      </c>
      <c r="F79" s="29">
        <f>LOOKUP(E79,{0,1.5,2.3,3.1,3.9,4.7,5.5,6.8,8.1,9.4,10.7,12,13.3,14.6,15.9,17.2,18.5,20.2,21.9,23.6,25.3},{0,10,20,30,40,50,60,62,64,66,68,70,72,74,76,78,80,85,90,95,100})</f>
        <v>80</v>
      </c>
      <c r="G79" s="27">
        <v>147</v>
      </c>
      <c r="H79" s="29">
        <f>LOOKUP(G79,{0,125,130,135,140,145,150,153,156,159,162,165,168,171,174,177,180,187,194,200,206},{0,10,20,30,40,50,60,62,64,66,68,70,72,74,76,78,80,85,90,95,100})</f>
        <v>50</v>
      </c>
      <c r="I79" s="27">
        <v>39</v>
      </c>
      <c r="J79" s="29">
        <f>LOOKUP(I79,{0,15,17,19,21,23,25,27,29,31,33,35,37,39,41,43,45,48,51,53,55},{0,10,20,30,40,50,60,62,64,66,68,70,72,74,76,78,80,85,90,95,100})</f>
        <v>74</v>
      </c>
      <c r="K79" s="35"/>
      <c r="L79" s="35"/>
      <c r="M79" s="35">
        <f t="shared" si="12"/>
        <v>74</v>
      </c>
      <c r="N79" s="35">
        <v>9.5</v>
      </c>
      <c r="O79" s="36">
        <f t="shared" si="18"/>
        <v>8.5</v>
      </c>
      <c r="P79" s="29">
        <f>LOOKUP(O79,{0,6.6,6.8,7,7.2,7.4,7.6,7.8,8,8.2,8.4,8.6,8.8,9,9.2,9.4,9.6,9.9,10.2,10.3,10.4},{0,10,20,30,40,50,60,62,64,66,68,70,72,74,76,78,80,85,90,95,100})</f>
        <v>68</v>
      </c>
      <c r="Q79" s="5">
        <v>3.54</v>
      </c>
      <c r="R79" s="36">
        <f>10-Q79</f>
        <v>6.46</v>
      </c>
      <c r="S79" s="29">
        <f>LOOKUP(R79,{0,4.74,4.84,4.94,5.44,5.54,5.64,5.69,5.74,5.79,5.84,5.89,5.94,5.99,6.44,6.49,6.54,6.61,6.68,6.74,6.8},{0,10,20,30,40,50,60,62,64,66,68,70,72,74,76,78,80,85,90,95,100})</f>
        <v>76</v>
      </c>
      <c r="T79" s="27"/>
      <c r="U79" s="27"/>
      <c r="V79" s="27">
        <f t="shared" si="15"/>
        <v>76</v>
      </c>
      <c r="W79" s="27"/>
      <c r="X79" s="19">
        <f t="shared" si="16"/>
        <v>49.2</v>
      </c>
      <c r="Y79" s="13">
        <f t="shared" si="17"/>
        <v>70.2857142857143</v>
      </c>
    </row>
    <row r="80" ht="15.6" spans="1:25">
      <c r="A80" s="27">
        <v>302</v>
      </c>
      <c r="B80" s="27">
        <v>38</v>
      </c>
      <c r="C80" s="27" t="s">
        <v>99</v>
      </c>
      <c r="D80" s="27" t="s">
        <v>46</v>
      </c>
      <c r="E80" s="27">
        <v>28.5</v>
      </c>
      <c r="F80" s="29">
        <f>LOOKUP(E80,{0,1.5,2.3,3.1,3.9,4.7,5.5,6.8,8.1,9.4,10.7,12,13.3,14.6,15.9,17.2,18.5,20.2,21.9,23.6,25.3},{0,10,20,30,40,50,60,62,64,66,68,70,72,74,76,78,80,85,90,95,100})</f>
        <v>100</v>
      </c>
      <c r="G80" s="27">
        <v>195</v>
      </c>
      <c r="H80" s="29">
        <f>LOOKUP(G80,{0,125,130,135,140,145,150,153,156,159,162,165,168,171,174,177,180,187,194,200,206},{0,10,20,30,40,50,60,62,64,66,68,70,72,74,76,78,80,85,90,95,100})</f>
        <v>90</v>
      </c>
      <c r="I80" s="27">
        <v>48</v>
      </c>
      <c r="J80" s="29">
        <f>LOOKUP(I80,{0,15,17,19,21,23,25,27,29,31,33,35,37,39,41,43,45,48,51,53,55},{0,10,20,30,40,50,60,62,64,66,68,70,72,74,76,78,80,85,90,95,100})</f>
        <v>85</v>
      </c>
      <c r="K80" s="35"/>
      <c r="L80" s="35"/>
      <c r="M80" s="35">
        <f t="shared" si="12"/>
        <v>85</v>
      </c>
      <c r="N80" s="35">
        <v>8.9</v>
      </c>
      <c r="O80" s="36">
        <f t="shared" si="18"/>
        <v>9.1</v>
      </c>
      <c r="P80" s="29">
        <f>LOOKUP(O80,{0,6.6,6.8,7,7.2,7.4,7.6,7.8,8,8.2,8.4,8.6,8.8,9,9.2,9.4,9.6,9.9,10.2,10.3,10.4},{0,10,20,30,40,50,60,62,64,66,68,70,72,74,76,78,80,85,90,95,100})</f>
        <v>74</v>
      </c>
      <c r="Q80" s="5">
        <v>3.56</v>
      </c>
      <c r="R80" s="36">
        <f>10-Q80</f>
        <v>6.44</v>
      </c>
      <c r="S80" s="29">
        <f>LOOKUP(R80,{0,4.74,4.84,4.94,5.44,5.54,5.64,5.69,5.74,5.79,5.84,5.89,5.94,5.99,6.44,6.49,6.54,6.61,6.68,6.74,6.8},{0,10,20,30,40,50,60,62,64,66,68,70,72,74,76,78,80,85,90,95,100})</f>
        <v>76</v>
      </c>
      <c r="T80" s="27"/>
      <c r="U80" s="27"/>
      <c r="V80" s="27">
        <f t="shared" si="15"/>
        <v>76</v>
      </c>
      <c r="W80" s="27"/>
      <c r="X80" s="19">
        <f t="shared" si="16"/>
        <v>57.5</v>
      </c>
      <c r="Y80" s="13">
        <f t="shared" si="17"/>
        <v>82.1428571428572</v>
      </c>
    </row>
    <row r="81" ht="15.6" spans="1:25">
      <c r="A81" s="27">
        <v>302</v>
      </c>
      <c r="B81" s="27">
        <v>39</v>
      </c>
      <c r="C81" s="27" t="s">
        <v>100</v>
      </c>
      <c r="D81" s="27" t="s">
        <v>46</v>
      </c>
      <c r="E81" s="27">
        <v>18.5</v>
      </c>
      <c r="F81" s="29">
        <f>LOOKUP(E81,{0,1.5,2.3,3.1,3.9,4.7,5.5,6.8,8.1,9.4,10.7,12,13.3,14.6,15.9,17.2,18.5,20.2,21.9,23.6,25.3},{0,10,20,30,40,50,60,62,64,66,68,70,72,74,76,78,80,85,90,95,100})</f>
        <v>80</v>
      </c>
      <c r="G81" s="27">
        <v>208</v>
      </c>
      <c r="H81" s="29">
        <f>LOOKUP(G81,{0,125,130,135,140,145,150,153,156,159,162,165,168,171,174,177,180,187,194,200,206},{0,10,20,30,40,50,60,62,64,66,68,70,72,74,76,78,80,85,90,95,100})</f>
        <v>100</v>
      </c>
      <c r="I81" s="27">
        <v>44</v>
      </c>
      <c r="J81" s="29">
        <f>LOOKUP(I81,{0,15,17,19,21,23,25,27,29,31,33,35,37,39,41,43,45,48,51,53,55},{0,10,20,30,40,50,60,62,64,66,68,70,72,74,76,78,80,85,90,95,100})</f>
        <v>78</v>
      </c>
      <c r="K81" s="35"/>
      <c r="L81" s="35"/>
      <c r="M81" s="35">
        <f t="shared" si="12"/>
        <v>78</v>
      </c>
      <c r="N81" s="35">
        <v>8.6</v>
      </c>
      <c r="O81" s="36">
        <f t="shared" si="18"/>
        <v>9.4</v>
      </c>
      <c r="P81" s="29">
        <f>LOOKUP(O81,{0,6.6,6.8,7,7.2,7.4,7.6,7.8,8,8.2,8.4,8.6,8.8,9,9.2,9.4,9.6,9.9,10.2,10.3,10.4},{0,10,20,30,40,50,60,62,64,66,68,70,72,74,76,78,80,85,90,95,100})</f>
        <v>78</v>
      </c>
      <c r="Q81" s="5">
        <v>3.24</v>
      </c>
      <c r="R81" s="36">
        <f>10-Q81</f>
        <v>6.76</v>
      </c>
      <c r="S81" s="29">
        <f>LOOKUP(R81,{0,4.74,4.84,4.94,5.44,5.54,5.64,5.69,5.74,5.79,5.84,5.89,5.94,5.99,6.44,6.49,6.54,6.61,6.68,6.74,6.8},{0,10,20,30,40,50,60,62,64,66,68,70,72,74,76,78,80,85,90,95,100})</f>
        <v>95</v>
      </c>
      <c r="T81" s="27"/>
      <c r="U81" s="27"/>
      <c r="V81" s="27">
        <f t="shared" si="15"/>
        <v>95</v>
      </c>
      <c r="W81" s="27"/>
      <c r="X81" s="19">
        <f t="shared" si="16"/>
        <v>60.4</v>
      </c>
      <c r="Y81" s="13">
        <f t="shared" si="17"/>
        <v>86.2857142857143</v>
      </c>
    </row>
    <row r="82" ht="15.6" spans="1:25">
      <c r="A82" s="27">
        <v>302</v>
      </c>
      <c r="B82" s="27">
        <v>40</v>
      </c>
      <c r="C82" s="27" t="s">
        <v>101</v>
      </c>
      <c r="D82" s="27" t="s">
        <v>46</v>
      </c>
      <c r="E82" s="27">
        <v>15</v>
      </c>
      <c r="F82" s="29">
        <f>LOOKUP(E82,{0,1.5,2.3,3.1,3.9,4.7,5.5,6.8,8.1,9.4,10.7,12,13.3,14.6,15.9,17.2,18.5,20.2,21.9,23.6,25.3},{0,10,20,30,40,50,60,62,64,66,68,70,72,74,76,78,80,85,90,95,100})</f>
        <v>74</v>
      </c>
      <c r="G82" s="27">
        <v>175</v>
      </c>
      <c r="H82" s="29">
        <f>LOOKUP(G82,{0,125,130,135,140,145,150,153,156,159,162,165,168,171,174,177,180,187,194,200,206},{0,10,20,30,40,50,60,62,64,66,68,70,72,74,76,78,80,85,90,95,100})</f>
        <v>76</v>
      </c>
      <c r="I82" s="27">
        <v>34</v>
      </c>
      <c r="J82" s="29">
        <f>LOOKUP(I82,{0,15,17,19,21,23,25,27,29,31,33,35,37,39,41,43,45,48,51,53,55},{0,10,20,30,40,50,60,62,64,66,68,70,72,74,76,78,80,85,90,95,100})</f>
        <v>68</v>
      </c>
      <c r="K82" s="35"/>
      <c r="L82" s="35"/>
      <c r="M82" s="35">
        <f t="shared" si="12"/>
        <v>68</v>
      </c>
      <c r="N82" s="35">
        <v>9.2</v>
      </c>
      <c r="O82" s="36">
        <f t="shared" si="18"/>
        <v>8.8</v>
      </c>
      <c r="P82" s="29">
        <f>LOOKUP(O82,{0,6.6,6.8,7,7.2,7.4,7.6,7.8,8,8.2,8.4,8.6,8.8,9,9.2,9.4,9.6,9.9,10.2,10.3,10.4},{0,10,20,30,40,50,60,62,64,66,68,70,72,74,76,78,80,85,90,95,100})</f>
        <v>72</v>
      </c>
      <c r="Q82" s="27" t="s">
        <v>77</v>
      </c>
      <c r="R82" s="27"/>
      <c r="S82" s="27"/>
      <c r="T82" s="27"/>
      <c r="U82" s="27"/>
      <c r="V82" s="27"/>
      <c r="W82" s="27"/>
      <c r="X82" s="19">
        <f t="shared" si="16"/>
        <v>36.2</v>
      </c>
      <c r="Y82" s="13">
        <f t="shared" si="17"/>
        <v>51.7142857142857</v>
      </c>
    </row>
    <row r="83" ht="15.6" spans="1:25">
      <c r="A83" s="27">
        <v>303</v>
      </c>
      <c r="B83" s="27">
        <v>1</v>
      </c>
      <c r="C83" s="31" t="s">
        <v>103</v>
      </c>
      <c r="D83" s="27" t="s">
        <v>12</v>
      </c>
      <c r="E83" s="27">
        <v>-19</v>
      </c>
      <c r="F83" s="29">
        <v>0</v>
      </c>
      <c r="G83" s="27">
        <v>201</v>
      </c>
      <c r="H83" s="29">
        <f>LOOKUP(G83,{0,180,185,190,195,200,205,209,213,217,221,225,229,233,237,241,245,253,260,265,270},{0,10,20,30,40,50,60,62,64,66,68,70,72,74,76,78,80,85,90,95,100})</f>
        <v>50</v>
      </c>
      <c r="I83" s="27">
        <v>1</v>
      </c>
      <c r="J83" s="29">
        <f>LOOKUP(I83,{0,4,5,6,7,8,9,10,11,12,13,14,15,16,17,18},{0,10,20,30,40,50,60,64,68,72,76,80,85,90,95,100})</f>
        <v>0</v>
      </c>
      <c r="K83" s="44"/>
      <c r="L83" s="35"/>
      <c r="M83" s="35">
        <f t="shared" si="12"/>
        <v>0</v>
      </c>
      <c r="N83" s="35">
        <v>7.5</v>
      </c>
      <c r="O83" s="36">
        <f t="shared" si="18"/>
        <v>10.5</v>
      </c>
      <c r="P83" s="29">
        <f>LOOKUP(O83,{0,7.8,8,8.2,8.4,8.6,8.8,9,9.2,9.4,9.6,9.8,10,10.2,10.4,10.6,10.8,10.9,11,11.1,11.2},{0,10,20,30,40,50,60,62,64,66,68,70,72,74,76,78,80,85,90,95,100})</f>
        <v>76</v>
      </c>
      <c r="Q83" s="5">
        <v>4.26</v>
      </c>
      <c r="R83" s="36">
        <f t="shared" ref="R83:R91" si="19">10-Q83</f>
        <v>5.74</v>
      </c>
      <c r="S83" s="29">
        <f>LOOKUP(R83,{0,3.85,4.45,4.65,4.85,5.45,5.65,5.7,5.75,5.8,5.85,5.9,5.95,6,6.45,6.5,6.55,6.63,6.7,6.75,6.8},{0,10,20,30,40,50,60,62,64,66,68,70,72,74,76,78,80,85,90,95,100})</f>
        <v>62</v>
      </c>
      <c r="T83" s="27"/>
      <c r="U83" s="27"/>
      <c r="V83" s="27">
        <f t="shared" si="15"/>
        <v>62</v>
      </c>
      <c r="W83" s="27"/>
      <c r="X83" s="19">
        <f t="shared" si="16"/>
        <v>32.6</v>
      </c>
      <c r="Y83" s="13">
        <f t="shared" si="17"/>
        <v>46.5714285714286</v>
      </c>
    </row>
    <row r="84" ht="15.6" spans="1:25">
      <c r="A84" s="27">
        <v>303</v>
      </c>
      <c r="B84" s="27">
        <v>2</v>
      </c>
      <c r="C84" s="27" t="s">
        <v>104</v>
      </c>
      <c r="D84" s="27" t="s">
        <v>12</v>
      </c>
      <c r="E84" s="27">
        <v>-10.5</v>
      </c>
      <c r="F84" s="29">
        <v>0</v>
      </c>
      <c r="G84" s="27">
        <v>215</v>
      </c>
      <c r="H84" s="29">
        <f>LOOKUP(G84,{0,180,185,190,195,200,205,209,213,217,221,225,229,233,237,241,245,253,260,265,270},{0,10,20,30,40,50,60,62,64,66,68,70,72,74,76,78,80,85,90,95,100})</f>
        <v>64</v>
      </c>
      <c r="I84" s="27">
        <v>4</v>
      </c>
      <c r="J84" s="29">
        <f>LOOKUP(I84,{0,4,5,6,7,8,9,10,11,12,13,14,15,16,17,18},{0,10,20,30,40,50,60,64,68,72,76,80,85,90,95,100})</f>
        <v>10</v>
      </c>
      <c r="K84" s="44"/>
      <c r="L84" s="35"/>
      <c r="M84" s="35">
        <f t="shared" si="12"/>
        <v>10</v>
      </c>
      <c r="N84" s="35">
        <v>7.6</v>
      </c>
      <c r="O84" s="36">
        <f t="shared" si="18"/>
        <v>10.4</v>
      </c>
      <c r="P84" s="29">
        <f>LOOKUP(O84,{0,7.8,8,8.2,8.4,8.6,8.8,9,9.2,9.4,9.6,9.8,10,10.2,10.4,10.6,10.8,10.9,11,11.1,11.2},{0,10,20,30,40,50,60,62,64,66,68,70,72,74,76,78,80,85,90,95,100})</f>
        <v>76</v>
      </c>
      <c r="Q84" s="5">
        <v>4.16</v>
      </c>
      <c r="R84" s="36">
        <f t="shared" si="19"/>
        <v>5.84</v>
      </c>
      <c r="S84" s="29">
        <f>LOOKUP(R84,{0,3.85,4.45,4.65,4.85,5.45,5.65,5.7,5.75,5.8,5.85,5.9,5.95,6,6.45,6.5,6.55,6.63,6.7,6.75,6.8},{0,10,20,30,40,50,60,62,64,66,68,70,72,74,76,78,80,85,90,95,100})</f>
        <v>66</v>
      </c>
      <c r="T84" s="27"/>
      <c r="U84" s="27"/>
      <c r="V84" s="27">
        <f t="shared" si="15"/>
        <v>66</v>
      </c>
      <c r="W84" s="27"/>
      <c r="X84" s="19">
        <f t="shared" si="16"/>
        <v>35.8</v>
      </c>
      <c r="Y84" s="13">
        <f t="shared" si="17"/>
        <v>51.1428571428572</v>
      </c>
    </row>
    <row r="85" ht="15.6" spans="1:25">
      <c r="A85" s="27">
        <v>303</v>
      </c>
      <c r="B85" s="27">
        <v>3</v>
      </c>
      <c r="C85" s="27" t="s">
        <v>105</v>
      </c>
      <c r="D85" s="27" t="s">
        <v>12</v>
      </c>
      <c r="E85" s="27">
        <v>5.5</v>
      </c>
      <c r="F85" s="29">
        <f>LOOKUP(E85,{0,-1.8,-0.8,0.2,1.2,2.2,3.2,4.6,6,7.4,8.8,10.2,11.6,13,14.4,15.8,17.2,19.1,21,22.8,24.6},{0,10,20,30,40,50,60,62,64,66,68,70,72,74,76,78,80,85,90,95,100})</f>
        <v>62</v>
      </c>
      <c r="G85" s="27">
        <v>200</v>
      </c>
      <c r="H85" s="29">
        <f>LOOKUP(G85,{0,180,185,190,195,200,205,209,213,217,221,225,229,233,237,241,245,253,260,265,270},{0,10,20,30,40,50,60,62,64,66,68,70,72,74,76,78,80,85,90,95,100})</f>
        <v>50</v>
      </c>
      <c r="I85" s="27">
        <v>1</v>
      </c>
      <c r="J85" s="29">
        <f>LOOKUP(I85,{0,4,5,6,7,8,9,10,11,12,13,14,15,16,17,18},{0,10,20,30,40,50,60,64,68,72,76,80,85,90,95,100})</f>
        <v>0</v>
      </c>
      <c r="K85" s="44"/>
      <c r="L85" s="35"/>
      <c r="M85" s="35">
        <f t="shared" si="12"/>
        <v>0</v>
      </c>
      <c r="N85" s="35">
        <v>7.7</v>
      </c>
      <c r="O85" s="36">
        <f t="shared" si="18"/>
        <v>10.3</v>
      </c>
      <c r="P85" s="29">
        <f>LOOKUP(O85,{0,7.8,8,8.2,8.4,8.6,8.8,9,9.2,9.4,9.6,9.8,10,10.2,10.4,10.6,10.8,10.9,11,11.1,11.2},{0,10,20,30,40,50,60,62,64,66,68,70,72,74,76,78,80,85,90,95,100})</f>
        <v>74</v>
      </c>
      <c r="Q85" s="5">
        <v>4.12</v>
      </c>
      <c r="R85" s="36">
        <f t="shared" si="19"/>
        <v>5.88</v>
      </c>
      <c r="S85" s="29">
        <f>LOOKUP(R85,{0,3.85,4.45,4.65,4.85,5.45,5.65,5.7,5.75,5.8,5.85,5.9,5.95,6,6.45,6.5,6.55,6.63,6.7,6.75,6.8},{0,10,20,30,40,50,60,62,64,66,68,70,72,74,76,78,80,85,90,95,100})</f>
        <v>68</v>
      </c>
      <c r="T85" s="27"/>
      <c r="U85" s="27"/>
      <c r="V85" s="27">
        <f t="shared" si="15"/>
        <v>68</v>
      </c>
      <c r="W85" s="27"/>
      <c r="X85" s="19">
        <f t="shared" si="16"/>
        <v>39.6</v>
      </c>
      <c r="Y85" s="13">
        <f t="shared" si="17"/>
        <v>56.5714285714286</v>
      </c>
    </row>
    <row r="86" ht="15.6" spans="1:25">
      <c r="A86" s="27">
        <v>303</v>
      </c>
      <c r="B86" s="27">
        <v>4</v>
      </c>
      <c r="C86" s="27" t="s">
        <v>106</v>
      </c>
      <c r="D86" s="27" t="s">
        <v>12</v>
      </c>
      <c r="E86" s="27">
        <v>10.3</v>
      </c>
      <c r="F86" s="29">
        <f>LOOKUP(E86,{0,-1.8,-0.8,0.2,1.2,2.2,3.2,4.6,6,7.4,8.8,10.2,11.6,13,14.4,15.8,17.2,19.1,21,22.8,24.6},{0,10,20,30,40,50,60,62,64,66,68,70,72,74,76,78,80,85,90,95,100})</f>
        <v>70</v>
      </c>
      <c r="G86" s="27">
        <v>227</v>
      </c>
      <c r="H86" s="29">
        <f>LOOKUP(G86,{0,180,185,190,195,200,205,209,213,217,221,225,229,233,237,241,245,253,260,265,270},{0,10,20,30,40,50,60,62,64,66,68,70,72,74,76,78,80,85,90,95,100})</f>
        <v>70</v>
      </c>
      <c r="I86" s="27">
        <v>0</v>
      </c>
      <c r="J86" s="29">
        <f>LOOKUP(I86,{0,4,5,6,7,8,9,10,11,12,13,14,15,16,17,18},{0,10,20,30,40,50,60,64,68,72,76,80,85,90,95,100})</f>
        <v>0</v>
      </c>
      <c r="K86" s="44"/>
      <c r="L86" s="35"/>
      <c r="M86" s="35">
        <f t="shared" si="12"/>
        <v>0</v>
      </c>
      <c r="N86" s="35">
        <v>7.4</v>
      </c>
      <c r="O86" s="36">
        <f t="shared" si="18"/>
        <v>10.6</v>
      </c>
      <c r="P86" s="29">
        <f>LOOKUP(O86,{0,7.8,8,8.2,8.4,8.6,8.8,9,9.2,9.4,9.6,9.8,10,10.2,10.4,10.6,10.8,10.9,11,11.1,11.2},{0,10,20,30,40,50,60,62,64,66,68,70,72,74,76,78,80,85,90,95,100})</f>
        <v>78</v>
      </c>
      <c r="Q86" s="5">
        <v>4.24</v>
      </c>
      <c r="R86" s="36">
        <f t="shared" si="19"/>
        <v>5.76</v>
      </c>
      <c r="S86" s="29">
        <f>LOOKUP(R86,{0,3.85,4.45,4.65,4.85,5.45,5.65,5.7,5.75,5.8,5.85,5.9,5.95,6,6.45,6.5,6.55,6.63,6.7,6.75,6.8},{0,10,20,30,40,50,60,62,64,66,68,70,72,74,76,78,80,85,90,95,100})</f>
        <v>64</v>
      </c>
      <c r="T86" s="27"/>
      <c r="U86" s="27"/>
      <c r="V86" s="27">
        <f t="shared" si="15"/>
        <v>64</v>
      </c>
      <c r="W86" s="27"/>
      <c r="X86" s="19">
        <f t="shared" si="16"/>
        <v>42.4</v>
      </c>
      <c r="Y86" s="13">
        <f t="shared" si="17"/>
        <v>60.5714285714286</v>
      </c>
    </row>
    <row r="87" ht="15.6" spans="1:25">
      <c r="A87" s="27">
        <v>303</v>
      </c>
      <c r="B87" s="27">
        <v>5</v>
      </c>
      <c r="C87" s="27" t="s">
        <v>107</v>
      </c>
      <c r="D87" s="27" t="s">
        <v>12</v>
      </c>
      <c r="E87" s="27">
        <v>12</v>
      </c>
      <c r="F87" s="29">
        <f>LOOKUP(E87,{0,-1.8,-0.8,0.2,1.2,2.2,3.2,4.6,6,7.4,8.8,10.2,11.6,13,14.4,15.8,17.2,19.1,21,22.8,24.6},{0,10,20,30,40,50,60,62,64,66,68,70,72,74,76,78,80,85,90,95,100})</f>
        <v>72</v>
      </c>
      <c r="G87" s="27">
        <v>220</v>
      </c>
      <c r="H87" s="29">
        <f>LOOKUP(G87,{0,180,185,190,195,200,205,209,213,217,221,225,229,233,237,241,245,253,260,265,270},{0,10,20,30,40,50,60,62,64,66,68,70,72,74,76,78,80,85,90,95,100})</f>
        <v>66</v>
      </c>
      <c r="I87" s="27">
        <v>5</v>
      </c>
      <c r="J87" s="29">
        <f>LOOKUP(I87,{0,4,5,6,7,8,9,10,11,12,13,14,15,16,17,18},{0,10,20,30,40,50,60,64,68,72,76,80,85,90,95,100})</f>
        <v>20</v>
      </c>
      <c r="K87" s="44"/>
      <c r="L87" s="35"/>
      <c r="M87" s="35">
        <f t="shared" si="12"/>
        <v>20</v>
      </c>
      <c r="N87" s="35">
        <v>7.4</v>
      </c>
      <c r="O87" s="36">
        <f t="shared" si="18"/>
        <v>10.6</v>
      </c>
      <c r="P87" s="29">
        <f>LOOKUP(O87,{0,7.8,8,8.2,8.4,8.6,8.8,9,9.2,9.4,9.6,9.8,10,10.2,10.4,10.6,10.8,10.9,11,11.1,11.2},{0,10,20,30,40,50,60,62,64,66,68,70,72,74,76,78,80,85,90,95,100})</f>
        <v>78</v>
      </c>
      <c r="Q87" s="5">
        <v>4.08</v>
      </c>
      <c r="R87" s="36">
        <f t="shared" si="19"/>
        <v>5.92</v>
      </c>
      <c r="S87" s="29">
        <f>LOOKUP(R87,{0,3.85,4.45,4.65,4.85,5.45,5.65,5.7,5.75,5.8,5.85,5.9,5.95,6,6.45,6.5,6.55,6.63,6.7,6.75,6.8},{0,10,20,30,40,50,60,62,64,66,68,70,72,74,76,78,80,85,90,95,100})</f>
        <v>70</v>
      </c>
      <c r="T87" s="27"/>
      <c r="U87" s="27"/>
      <c r="V87" s="27">
        <f t="shared" si="15"/>
        <v>70</v>
      </c>
      <c r="W87" s="27"/>
      <c r="X87" s="19">
        <f t="shared" si="16"/>
        <v>45.4</v>
      </c>
      <c r="Y87" s="13">
        <f t="shared" si="17"/>
        <v>64.8571428571429</v>
      </c>
    </row>
    <row r="88" ht="15.6" spans="1:25">
      <c r="A88" s="27">
        <v>303</v>
      </c>
      <c r="B88" s="27">
        <v>6</v>
      </c>
      <c r="C88" s="27" t="s">
        <v>108</v>
      </c>
      <c r="D88" s="27" t="s">
        <v>12</v>
      </c>
      <c r="E88" s="27">
        <v>16</v>
      </c>
      <c r="F88" s="29">
        <f>LOOKUP(E88,{0,-1.8,-0.8,0.2,1.2,2.2,3.2,4.6,6,7.4,8.8,10.2,11.6,13,14.4,15.8,17.2,19.1,21,22.8,24.6},{0,10,20,30,40,50,60,62,64,66,68,70,72,74,76,78,80,85,90,95,100})</f>
        <v>78</v>
      </c>
      <c r="G88" s="27">
        <v>235</v>
      </c>
      <c r="H88" s="29">
        <f>LOOKUP(G88,{0,180,185,190,195,200,205,209,213,217,221,225,229,233,237,241,245,253,260,265,270},{0,10,20,30,40,50,60,62,64,66,68,70,72,74,76,78,80,85,90,95,100})</f>
        <v>74</v>
      </c>
      <c r="I88" s="27">
        <v>12</v>
      </c>
      <c r="J88" s="29">
        <f>LOOKUP(I88,{0,4,5,6,7,8,9,10,11,12,13,14,15,16,17,18},{0,10,20,30,40,50,60,64,68,72,76,80,85,90,95,100})</f>
        <v>72</v>
      </c>
      <c r="K88" s="44"/>
      <c r="L88" s="35"/>
      <c r="M88" s="35">
        <f t="shared" si="12"/>
        <v>72</v>
      </c>
      <c r="N88" s="35">
        <v>7.1</v>
      </c>
      <c r="O88" s="36">
        <f t="shared" si="18"/>
        <v>10.9</v>
      </c>
      <c r="P88" s="29">
        <f>LOOKUP(O88,{0,7.8,8,8.2,8.4,8.6,8.8,9,9.2,9.4,9.6,9.8,10,10.2,10.4,10.6,10.8,10.9,11,11.1,11.2},{0,10,20,30,40,50,60,62,64,66,68,70,72,74,76,78,80,85,90,95,100})</f>
        <v>85</v>
      </c>
      <c r="Q88" s="5">
        <v>4.25</v>
      </c>
      <c r="R88" s="36">
        <f t="shared" si="19"/>
        <v>5.75</v>
      </c>
      <c r="S88" s="29">
        <f>LOOKUP(R88,{0,3.85,4.45,4.65,4.85,5.45,5.65,5.7,5.75,5.8,5.85,5.9,5.95,6,6.45,6.5,6.55,6.63,6.7,6.75,6.8},{0,10,20,30,40,50,60,62,64,66,68,70,72,74,76,78,80,85,90,95,100})</f>
        <v>64</v>
      </c>
      <c r="T88" s="27"/>
      <c r="U88" s="27"/>
      <c r="V88" s="27">
        <f t="shared" si="15"/>
        <v>64</v>
      </c>
      <c r="W88" s="27"/>
      <c r="X88" s="19">
        <f t="shared" si="16"/>
        <v>52.2</v>
      </c>
      <c r="Y88" s="13">
        <f t="shared" si="17"/>
        <v>74.5714285714286</v>
      </c>
    </row>
    <row r="89" ht="15.6" spans="1:25">
      <c r="A89" s="27">
        <v>303</v>
      </c>
      <c r="B89" s="27">
        <v>7</v>
      </c>
      <c r="C89" s="27" t="s">
        <v>109</v>
      </c>
      <c r="D89" s="27" t="s">
        <v>12</v>
      </c>
      <c r="E89" s="27">
        <v>17</v>
      </c>
      <c r="F89" s="29">
        <f>LOOKUP(E89,{0,-1.8,-0.8,0.2,1.2,2.2,3.2,4.6,6,7.4,8.8,10.2,11.6,13,14.4,15.8,17.2,19.1,21,22.8,24.6},{0,10,20,30,40,50,60,62,64,66,68,70,72,74,76,78,80,85,90,95,100})</f>
        <v>78</v>
      </c>
      <c r="G89" s="27">
        <v>265</v>
      </c>
      <c r="H89" s="29">
        <f>LOOKUP(G89,{0,180,185,190,195,200,205,209,213,217,221,225,229,233,237,241,245,253,260,265,270},{0,10,20,30,40,50,60,62,64,66,68,70,72,74,76,78,80,85,90,95,100})</f>
        <v>95</v>
      </c>
      <c r="I89" s="27">
        <v>15</v>
      </c>
      <c r="J89" s="29">
        <f>LOOKUP(I89,{0,4,5,6,7,8,9,10,11,12,13,14,15,16,17,18},{0,10,20,30,40,50,60,64,68,72,76,80,85,90,95,100})</f>
        <v>85</v>
      </c>
      <c r="K89" s="44"/>
      <c r="L89" s="35"/>
      <c r="M89" s="35">
        <f t="shared" si="12"/>
        <v>85</v>
      </c>
      <c r="N89" s="35">
        <v>6.8</v>
      </c>
      <c r="O89" s="36">
        <f t="shared" si="18"/>
        <v>11.2</v>
      </c>
      <c r="P89" s="29">
        <f>LOOKUP(O89,{0,7.8,8,8.2,8.4,8.6,8.8,9,9.2,9.4,9.6,9.8,10,10.2,10.4,10.6,10.8,10.9,11,11.1,11.2},{0,10,20,30,40,50,60,62,64,66,68,70,72,74,76,78,80,85,90,95,100})</f>
        <v>100</v>
      </c>
      <c r="Q89" s="5">
        <v>4</v>
      </c>
      <c r="R89" s="36">
        <f t="shared" si="19"/>
        <v>6</v>
      </c>
      <c r="S89" s="29">
        <f>LOOKUP(R89,{0,3.85,4.45,4.65,4.85,5.45,5.65,5.7,5.75,5.8,5.85,5.9,5.95,6,6.45,6.5,6.55,6.63,6.7,6.75,6.8},{0,10,20,30,40,50,60,62,64,66,68,70,72,74,76,78,80,85,90,95,100})</f>
        <v>74</v>
      </c>
      <c r="T89" s="27"/>
      <c r="U89" s="27"/>
      <c r="V89" s="27">
        <f t="shared" si="15"/>
        <v>74</v>
      </c>
      <c r="W89" s="27"/>
      <c r="X89" s="19">
        <f t="shared" si="16"/>
        <v>60.6</v>
      </c>
      <c r="Y89" s="13">
        <f t="shared" si="17"/>
        <v>86.5714285714286</v>
      </c>
    </row>
    <row r="90" ht="15.6" spans="1:25">
      <c r="A90" s="27">
        <v>303</v>
      </c>
      <c r="B90" s="27">
        <v>8</v>
      </c>
      <c r="C90" s="27" t="s">
        <v>110</v>
      </c>
      <c r="D90" s="27" t="s">
        <v>12</v>
      </c>
      <c r="E90" s="27">
        <v>6</v>
      </c>
      <c r="F90" s="29">
        <f>LOOKUP(E90,{0,-1.8,-0.8,0.2,1.2,2.2,3.2,4.6,6,7.4,8.8,10.2,11.6,13,14.4,15.8,17.2,19.1,21,22.8,24.6},{0,10,20,30,40,50,60,62,64,66,68,70,72,74,76,78,80,85,90,95,100})</f>
        <v>64</v>
      </c>
      <c r="G90" s="27">
        <v>230</v>
      </c>
      <c r="H90" s="29">
        <f>LOOKUP(G90,{0,180,185,190,195,200,205,209,213,217,221,225,229,233,237,241,245,253,260,265,270},{0,10,20,30,40,50,60,62,64,66,68,70,72,74,76,78,80,85,90,95,100})</f>
        <v>72</v>
      </c>
      <c r="I90" s="27">
        <v>2</v>
      </c>
      <c r="J90" s="29">
        <f>LOOKUP(I90,{0,4,5,6,7,8,9,10,11,12,13,14,15,16,17,18},{0,10,20,30,40,50,60,64,68,72,76,80,85,90,95,100})</f>
        <v>0</v>
      </c>
      <c r="K90" s="44"/>
      <c r="L90" s="35"/>
      <c r="M90" s="35">
        <f t="shared" si="12"/>
        <v>0</v>
      </c>
      <c r="N90" s="35">
        <v>7.9</v>
      </c>
      <c r="O90" s="36">
        <f t="shared" si="18"/>
        <v>10.1</v>
      </c>
      <c r="P90" s="29">
        <f>LOOKUP(O90,{0,7.8,8,8.2,8.4,8.6,8.8,9,9.2,9.4,9.6,9.8,10,10.2,10.4,10.6,10.8,10.9,11,11.1,11.2},{0,10,20,30,40,50,60,62,64,66,68,70,72,74,76,78,80,85,90,95,100})</f>
        <v>72</v>
      </c>
      <c r="Q90" s="5">
        <v>4.19</v>
      </c>
      <c r="R90" s="36">
        <f t="shared" si="19"/>
        <v>5.81</v>
      </c>
      <c r="S90" s="29">
        <f>LOOKUP(R90,{0,3.85,4.45,4.65,4.85,5.45,5.65,5.7,5.75,5.8,5.85,5.9,5.95,6,6.45,6.5,6.55,6.63,6.7,6.75,6.8},{0,10,20,30,40,50,60,62,64,66,68,70,72,74,76,78,80,85,90,95,100})</f>
        <v>66</v>
      </c>
      <c r="T90" s="27"/>
      <c r="U90" s="27"/>
      <c r="V90" s="27">
        <f t="shared" si="15"/>
        <v>66</v>
      </c>
      <c r="W90" s="27"/>
      <c r="X90" s="19">
        <f t="shared" si="16"/>
        <v>41.2</v>
      </c>
      <c r="Y90" s="13">
        <f t="shared" si="17"/>
        <v>58.8571428571429</v>
      </c>
    </row>
    <row r="91" ht="15.6" spans="1:25">
      <c r="A91" s="27">
        <v>303</v>
      </c>
      <c r="B91" s="27">
        <v>9</v>
      </c>
      <c r="C91" s="27" t="s">
        <v>111</v>
      </c>
      <c r="D91" s="27" t="s">
        <v>12</v>
      </c>
      <c r="E91" s="27">
        <v>11.3</v>
      </c>
      <c r="F91" s="29">
        <f>LOOKUP(E91,{0,-1.8,-0.8,0.2,1.2,2.2,3.2,4.6,6,7.4,8.8,10.2,11.6,13,14.4,15.8,17.2,19.1,21,22.8,24.6},{0,10,20,30,40,50,60,62,64,66,68,70,72,74,76,78,80,85,90,95,100})</f>
        <v>70</v>
      </c>
      <c r="G91" s="27">
        <v>230</v>
      </c>
      <c r="H91" s="29">
        <f>LOOKUP(G91,{0,180,185,190,195,200,205,209,213,217,221,225,229,233,237,241,245,253,260,265,270},{0,10,20,30,40,50,60,62,64,66,68,70,72,74,76,78,80,85,90,95,100})</f>
        <v>72</v>
      </c>
      <c r="I91" s="27">
        <v>1</v>
      </c>
      <c r="J91" s="29">
        <f>LOOKUP(I91,{0,4,5,6,7,8,9,10,11,12,13,14,15,16,17,18},{0,10,20,30,40,50,60,64,68,72,76,80,85,90,95,100})</f>
        <v>0</v>
      </c>
      <c r="K91" s="44"/>
      <c r="L91" s="35"/>
      <c r="M91" s="35">
        <f t="shared" si="12"/>
        <v>0</v>
      </c>
      <c r="N91" s="35">
        <v>7.4</v>
      </c>
      <c r="O91" s="36">
        <f t="shared" si="18"/>
        <v>10.6</v>
      </c>
      <c r="P91" s="29">
        <f>LOOKUP(O91,{0,7.8,8,8.2,8.4,8.6,8.8,9,9.2,9.4,9.6,9.8,10,10.2,10.4,10.6,10.8,10.9,11,11.1,11.2},{0,10,20,30,40,50,60,62,64,66,68,70,72,74,76,78,80,85,90,95,100})</f>
        <v>78</v>
      </c>
      <c r="Q91" s="5">
        <v>4.22</v>
      </c>
      <c r="R91" s="36">
        <f t="shared" si="19"/>
        <v>5.78</v>
      </c>
      <c r="S91" s="29">
        <f>LOOKUP(R91,{0,3.85,4.45,4.65,4.85,5.45,5.65,5.7,5.75,5.8,5.85,5.9,5.95,6,6.45,6.5,6.55,6.63,6.7,6.75,6.8},{0,10,20,30,40,50,60,62,64,66,68,70,72,74,76,78,80,85,90,95,100})</f>
        <v>64</v>
      </c>
      <c r="T91" s="27"/>
      <c r="U91" s="27"/>
      <c r="V91" s="27">
        <f t="shared" si="15"/>
        <v>64</v>
      </c>
      <c r="W91" s="27"/>
      <c r="X91" s="19">
        <f t="shared" si="16"/>
        <v>42.6</v>
      </c>
      <c r="Y91" s="13">
        <f t="shared" si="17"/>
        <v>60.8571428571429</v>
      </c>
    </row>
    <row r="92" ht="15.6" spans="1:25">
      <c r="A92" s="27">
        <v>303</v>
      </c>
      <c r="B92" s="27">
        <v>10</v>
      </c>
      <c r="C92" s="27" t="s">
        <v>112</v>
      </c>
      <c r="D92" s="27" t="s">
        <v>12</v>
      </c>
      <c r="E92" s="27"/>
      <c r="F92" s="29"/>
      <c r="G92" s="27"/>
      <c r="H92" s="29"/>
      <c r="I92" s="27"/>
      <c r="J92" s="35"/>
      <c r="K92" s="44"/>
      <c r="L92" s="35"/>
      <c r="M92" s="35"/>
      <c r="N92" s="35"/>
      <c r="O92" s="5"/>
      <c r="P92" s="5"/>
      <c r="Q92" s="5"/>
      <c r="R92" s="27"/>
      <c r="S92" s="27"/>
      <c r="T92" s="27"/>
      <c r="U92" s="27"/>
      <c r="V92" s="27"/>
      <c r="W92" s="27">
        <v>50</v>
      </c>
      <c r="X92" s="19"/>
      <c r="Y92" s="19">
        <v>50</v>
      </c>
    </row>
    <row r="93" ht="15.6" spans="1:25">
      <c r="A93" s="27">
        <v>303</v>
      </c>
      <c r="B93" s="27">
        <v>11</v>
      </c>
      <c r="C93" s="27" t="s">
        <v>113</v>
      </c>
      <c r="D93" s="27" t="s">
        <v>12</v>
      </c>
      <c r="E93" s="27">
        <v>12.5</v>
      </c>
      <c r="F93" s="29">
        <f>LOOKUP(E93,{0,-1.8,-0.8,0.2,1.2,2.2,3.2,4.6,6,7.4,8.8,10.2,11.6,13,14.4,15.8,17.2,19.1,21,22.8,24.6},{0,10,20,30,40,50,60,62,64,66,68,70,72,74,76,78,80,85,90,95,100})</f>
        <v>72</v>
      </c>
      <c r="G93" s="27">
        <v>270</v>
      </c>
      <c r="H93" s="29">
        <f>LOOKUP(G93,{0,180,185,190,195,200,205,209,213,217,221,225,229,233,237,241,245,253,260,265,270},{0,10,20,30,40,50,60,62,64,66,68,70,72,74,76,78,80,85,90,95,100})</f>
        <v>100</v>
      </c>
      <c r="I93" s="27">
        <v>5</v>
      </c>
      <c r="J93" s="29">
        <f>LOOKUP(I93,{0,4,5,6,7,8,9,10,11,12,13,14,15,16,17,18},{0,10,20,30,40,50,60,64,68,72,76,80,85,90,95,100})</f>
        <v>20</v>
      </c>
      <c r="K93" s="44"/>
      <c r="L93" s="35"/>
      <c r="M93" s="35">
        <f t="shared" ref="M93:M98" si="20">J93+L93</f>
        <v>20</v>
      </c>
      <c r="N93" s="35">
        <v>7.2</v>
      </c>
      <c r="O93" s="36">
        <f t="shared" ref="O93:O98" si="21">18-N93</f>
        <v>10.8</v>
      </c>
      <c r="P93" s="29">
        <f>LOOKUP(O93,{0,7.8,8,8.2,8.4,8.6,8.8,9,9.2,9.4,9.6,9.8,10,10.2,10.4,10.6,10.8,10.9,11,11.1,11.2},{0,10,20,30,40,50,60,62,64,66,68,70,72,74,76,78,80,85,90,95,100})</f>
        <v>80</v>
      </c>
      <c r="Q93" s="5">
        <v>4.1</v>
      </c>
      <c r="R93" s="36">
        <f t="shared" ref="R93:R98" si="22">10-Q93</f>
        <v>5.9</v>
      </c>
      <c r="S93" s="29">
        <f>LOOKUP(R93,{0,3.85,4.45,4.65,4.85,5.45,5.65,5.7,5.75,5.8,5.85,5.9,5.95,6,6.45,6.5,6.55,6.63,6.7,6.75,6.8},{0,10,20,30,40,50,60,62,64,66,68,70,72,74,76,78,80,85,90,95,100})</f>
        <v>70</v>
      </c>
      <c r="T93" s="27"/>
      <c r="U93" s="27"/>
      <c r="V93" s="27">
        <f t="shared" ref="V93:V98" si="23">S93+U93</f>
        <v>70</v>
      </c>
      <c r="W93" s="27"/>
      <c r="X93" s="19">
        <f t="shared" ref="X93:X98" si="24">F93*0.1+H93*0.1+J93*0.1+P93*0.2+S93*0.2</f>
        <v>49.2</v>
      </c>
      <c r="Y93" s="13">
        <f t="shared" ref="Y93:Y98" si="25">X93/0.7+L93+U93</f>
        <v>70.2857142857143</v>
      </c>
    </row>
    <row r="94" ht="15.6" spans="1:25">
      <c r="A94" s="27">
        <v>303</v>
      </c>
      <c r="B94" s="27">
        <v>12</v>
      </c>
      <c r="C94" s="31" t="s">
        <v>115</v>
      </c>
      <c r="D94" s="27" t="s">
        <v>12</v>
      </c>
      <c r="E94" s="27">
        <v>9.5</v>
      </c>
      <c r="F94" s="29">
        <f>LOOKUP(E94,{0,-1.8,-0.8,0.2,1.2,2.2,3.2,4.6,6,7.4,8.8,10.2,11.6,13,14.4,15.8,17.2,19.1,21,22.8,24.6},{0,10,20,30,40,50,60,62,64,66,68,70,72,74,76,78,80,85,90,95,100})</f>
        <v>68</v>
      </c>
      <c r="G94" s="27">
        <v>200</v>
      </c>
      <c r="H94" s="29">
        <f>LOOKUP(G94,{0,180,185,190,195,200,205,209,213,217,221,225,229,233,237,241,245,253,260,265,270},{0,10,20,30,40,50,60,62,64,66,68,70,72,74,76,78,80,85,90,95,100})</f>
        <v>50</v>
      </c>
      <c r="I94" s="27">
        <v>10</v>
      </c>
      <c r="J94" s="29">
        <f>LOOKUP(I94,{0,4,5,6,7,8,9,10,11,12,13,14,15,16,17,18},{0,10,20,30,40,50,60,64,68,72,76,80,85,90,95,100})</f>
        <v>64</v>
      </c>
      <c r="K94" s="44"/>
      <c r="L94" s="35"/>
      <c r="M94" s="35">
        <f t="shared" si="20"/>
        <v>64</v>
      </c>
      <c r="N94" s="35">
        <v>7.5</v>
      </c>
      <c r="O94" s="36">
        <f t="shared" si="21"/>
        <v>10.5</v>
      </c>
      <c r="P94" s="29">
        <f>LOOKUP(O94,{0,7.8,8,8.2,8.4,8.6,8.8,9,9.2,9.4,9.6,9.8,10,10.2,10.4,10.6,10.8,10.9,11,11.1,11.2},{0,10,20,30,40,50,60,62,64,66,68,70,72,74,76,78,80,85,90,95,100})</f>
        <v>76</v>
      </c>
      <c r="Q94" s="5">
        <v>4.13</v>
      </c>
      <c r="R94" s="36">
        <f t="shared" si="22"/>
        <v>5.87</v>
      </c>
      <c r="S94" s="29">
        <f>LOOKUP(R94,{0,3.85,4.45,4.65,4.85,5.45,5.65,5.7,5.75,5.8,5.85,5.9,5.95,6,6.45,6.5,6.55,6.63,6.7,6.75,6.8},{0,10,20,30,40,50,60,62,64,66,68,70,72,74,76,78,80,85,90,95,100})</f>
        <v>68</v>
      </c>
      <c r="T94" s="27"/>
      <c r="U94" s="27"/>
      <c r="V94" s="27">
        <f t="shared" si="23"/>
        <v>68</v>
      </c>
      <c r="W94" s="27"/>
      <c r="X94" s="19">
        <f t="shared" si="24"/>
        <v>47</v>
      </c>
      <c r="Y94" s="13">
        <f t="shared" si="25"/>
        <v>67.1428571428572</v>
      </c>
    </row>
    <row r="95" ht="15.6" spans="1:25">
      <c r="A95" s="27">
        <v>303</v>
      </c>
      <c r="B95" s="27">
        <v>13</v>
      </c>
      <c r="C95" s="27" t="s">
        <v>116</v>
      </c>
      <c r="D95" s="27" t="s">
        <v>12</v>
      </c>
      <c r="E95" s="27">
        <v>7</v>
      </c>
      <c r="F95" s="29">
        <f>LOOKUP(E95,{0,-1.8,-0.8,0.2,1.2,2.2,3.2,4.6,6,7.4,8.8,10.2,11.6,13,14.4,15.8,17.2,19.1,21,22.8,24.6},{0,10,20,30,40,50,60,62,64,66,68,70,72,74,76,78,80,85,90,95,100})</f>
        <v>64</v>
      </c>
      <c r="G95" s="27">
        <v>190</v>
      </c>
      <c r="H95" s="29">
        <f>LOOKUP(G95,{0,180,185,190,195,200,205,209,213,217,221,225,229,233,237,241,245,253,260,265,270},{0,10,20,30,40,50,60,62,64,66,68,70,72,74,76,78,80,85,90,95,100})</f>
        <v>30</v>
      </c>
      <c r="I95" s="27">
        <v>18</v>
      </c>
      <c r="J95" s="29">
        <f>LOOKUP(I95,{0,4,5,6,7,8,9,10,11,12,13,14,15,16,17,18},{0,10,20,30,40,50,60,64,68,72,76,80,85,90,95,100})</f>
        <v>100</v>
      </c>
      <c r="K95" s="44"/>
      <c r="L95" s="35"/>
      <c r="M95" s="35">
        <f t="shared" si="20"/>
        <v>100</v>
      </c>
      <c r="N95" s="35">
        <v>7.3</v>
      </c>
      <c r="O95" s="36">
        <f t="shared" si="21"/>
        <v>10.7</v>
      </c>
      <c r="P95" s="29">
        <f>LOOKUP(O95,{0,7.8,8,8.2,8.4,8.6,8.8,9,9.2,9.4,9.6,9.8,10,10.2,10.4,10.6,10.8,10.9,11,11.1,11.2},{0,10,20,30,40,50,60,62,64,66,68,70,72,74,76,78,80,85,90,95,100})</f>
        <v>78</v>
      </c>
      <c r="Q95" s="5">
        <v>3.58</v>
      </c>
      <c r="R95" s="36">
        <f t="shared" si="22"/>
        <v>6.42</v>
      </c>
      <c r="S95" s="29">
        <f>LOOKUP(R95,{0,3.85,4.45,4.65,4.85,5.45,5.65,5.7,5.75,5.8,5.85,5.9,5.95,6,6.45,6.5,6.55,6.63,6.7,6.75,6.8},{0,10,20,30,40,50,60,62,64,66,68,70,72,74,76,78,80,85,90,95,100})</f>
        <v>74</v>
      </c>
      <c r="T95" s="27"/>
      <c r="U95" s="27"/>
      <c r="V95" s="27">
        <f t="shared" si="23"/>
        <v>74</v>
      </c>
      <c r="W95" s="27"/>
      <c r="X95" s="19">
        <f t="shared" si="24"/>
        <v>49.8</v>
      </c>
      <c r="Y95" s="13">
        <f t="shared" si="25"/>
        <v>71.1428571428571</v>
      </c>
    </row>
    <row r="96" ht="15.6" spans="1:25">
      <c r="A96" s="27">
        <v>303</v>
      </c>
      <c r="B96" s="27">
        <v>14</v>
      </c>
      <c r="C96" s="27" t="s">
        <v>117</v>
      </c>
      <c r="D96" s="27" t="s">
        <v>12</v>
      </c>
      <c r="E96" s="27">
        <v>5</v>
      </c>
      <c r="F96" s="29">
        <f>LOOKUP(E96,{0,-1.8,-0.8,0.2,1.2,2.2,3.2,4.6,6,7.4,8.8,10.2,11.6,13,14.4,15.8,17.2,19.1,21,22.8,24.6},{0,10,20,30,40,50,60,62,64,66,68,70,72,74,76,78,80,85,90,95,100})</f>
        <v>62</v>
      </c>
      <c r="G96" s="27">
        <v>185</v>
      </c>
      <c r="H96" s="29">
        <f>LOOKUP(G96,{0,180,185,190,195,200,205,209,213,217,221,225,229,233,237,241,245,253,260,265,270},{0,10,20,30,40,50,60,62,64,66,68,70,72,74,76,78,80,85,90,95,100})</f>
        <v>20</v>
      </c>
      <c r="I96" s="27">
        <v>3</v>
      </c>
      <c r="J96" s="29">
        <f>LOOKUP(I96,{0,4,5,6,7,8,9,10,11,12,13,14,15,16,17,18},{0,10,20,30,40,50,60,64,68,72,76,80,85,90,95,100})</f>
        <v>0</v>
      </c>
      <c r="K96" s="44"/>
      <c r="L96" s="35"/>
      <c r="M96" s="35">
        <f t="shared" si="20"/>
        <v>0</v>
      </c>
      <c r="N96" s="35">
        <v>7.9</v>
      </c>
      <c r="O96" s="36">
        <f t="shared" si="21"/>
        <v>10.1</v>
      </c>
      <c r="P96" s="29">
        <f>LOOKUP(O96,{0,7.8,8,8.2,8.4,8.6,8.8,9,9.2,9.4,9.6,9.8,10,10.2,10.4,10.6,10.8,10.9,11,11.1,11.2},{0,10,20,30,40,50,60,62,64,66,68,70,72,74,76,78,80,85,90,95,100})</f>
        <v>72</v>
      </c>
      <c r="Q96" s="5">
        <v>4.17</v>
      </c>
      <c r="R96" s="36">
        <f t="shared" si="22"/>
        <v>5.83</v>
      </c>
      <c r="S96" s="29">
        <f>LOOKUP(R96,{0,3.85,4.45,4.65,4.85,5.45,5.65,5.7,5.75,5.8,5.85,5.9,5.95,6,6.45,6.5,6.55,6.63,6.7,6.75,6.8},{0,10,20,30,40,50,60,62,64,66,68,70,72,74,76,78,80,85,90,95,100})</f>
        <v>66</v>
      </c>
      <c r="T96" s="27"/>
      <c r="U96" s="27"/>
      <c r="V96" s="27">
        <f t="shared" si="23"/>
        <v>66</v>
      </c>
      <c r="W96" s="27"/>
      <c r="X96" s="19">
        <f t="shared" si="24"/>
        <v>35.8</v>
      </c>
      <c r="Y96" s="13">
        <f t="shared" si="25"/>
        <v>51.1428571428572</v>
      </c>
    </row>
    <row r="97" ht="15.6" spans="1:25">
      <c r="A97" s="27">
        <v>303</v>
      </c>
      <c r="B97" s="27">
        <v>15</v>
      </c>
      <c r="C97" s="27" t="s">
        <v>118</v>
      </c>
      <c r="D97" s="27" t="s">
        <v>12</v>
      </c>
      <c r="E97" s="27">
        <v>11.5</v>
      </c>
      <c r="F97" s="29">
        <f>LOOKUP(E97,{0,-1.8,-0.8,0.2,1.2,2.2,3.2,4.6,6,7.4,8.8,10.2,11.6,13,14.4,15.8,17.2,19.1,21,22.8,24.6},{0,10,20,30,40,50,60,62,64,66,68,70,72,74,76,78,80,85,90,95,100})</f>
        <v>70</v>
      </c>
      <c r="G97" s="27">
        <v>235</v>
      </c>
      <c r="H97" s="29">
        <f>LOOKUP(G97,{0,180,185,190,195,200,205,209,213,217,221,225,229,233,237,241,245,253,260,265,270},{0,10,20,30,40,50,60,62,64,66,68,70,72,74,76,78,80,85,90,95,100})</f>
        <v>74</v>
      </c>
      <c r="I97" s="27">
        <v>1</v>
      </c>
      <c r="J97" s="29">
        <f>LOOKUP(I97,{0,4,5,6,7,8,9,10,11,12,13,14,15,16,17,18},{0,10,20,30,40,50,60,64,68,72,76,80,85,90,95,100})</f>
        <v>0</v>
      </c>
      <c r="K97" s="44"/>
      <c r="L97" s="35"/>
      <c r="M97" s="35">
        <f t="shared" si="20"/>
        <v>0</v>
      </c>
      <c r="N97" s="35">
        <v>7.9</v>
      </c>
      <c r="O97" s="36">
        <f t="shared" si="21"/>
        <v>10.1</v>
      </c>
      <c r="P97" s="29">
        <f>LOOKUP(O97,{0,7.8,8,8.2,8.4,8.6,8.8,9,9.2,9.4,9.6,9.8,10,10.2,10.4,10.6,10.8,10.9,11,11.1,11.2},{0,10,20,30,40,50,60,62,64,66,68,70,72,74,76,78,80,85,90,95,100})</f>
        <v>72</v>
      </c>
      <c r="Q97" s="5">
        <v>4.49</v>
      </c>
      <c r="R97" s="36">
        <f t="shared" si="22"/>
        <v>5.51</v>
      </c>
      <c r="S97" s="29">
        <f>LOOKUP(R97,{0,3.85,4.45,4.65,4.85,5.45,5.65,5.7,5.75,5.8,5.85,5.9,5.95,6,6.45,6.5,6.55,6.63,6.7,6.75,6.8},{0,10,20,30,40,50,60,62,64,66,68,70,72,74,76,78,80,85,90,95,100})</f>
        <v>50</v>
      </c>
      <c r="T97" s="27"/>
      <c r="U97" s="27"/>
      <c r="V97" s="27">
        <f t="shared" si="23"/>
        <v>50</v>
      </c>
      <c r="W97" s="27"/>
      <c r="X97" s="19">
        <f t="shared" si="24"/>
        <v>38.8</v>
      </c>
      <c r="Y97" s="13">
        <f t="shared" si="25"/>
        <v>55.4285714285714</v>
      </c>
    </row>
    <row r="98" ht="15.6" spans="1:25">
      <c r="A98" s="27">
        <v>303</v>
      </c>
      <c r="B98" s="27">
        <v>16</v>
      </c>
      <c r="C98" s="27" t="s">
        <v>119</v>
      </c>
      <c r="D98" s="27" t="s">
        <v>12</v>
      </c>
      <c r="E98" s="27">
        <v>8.5</v>
      </c>
      <c r="F98" s="29">
        <f>LOOKUP(E98,{0,-1.8,-0.8,0.2,1.2,2.2,3.2,4.6,6,7.4,8.8,10.2,11.6,13,14.4,15.8,17.2,19.1,21,22.8,24.6},{0,10,20,30,40,50,60,62,64,66,68,70,72,74,76,78,80,85,90,95,100})</f>
        <v>66</v>
      </c>
      <c r="G98" s="27">
        <v>225</v>
      </c>
      <c r="H98" s="29">
        <f>LOOKUP(G98,{0,180,185,190,195,200,205,209,213,217,221,225,229,233,237,241,245,253,260,265,270},{0,10,20,30,40,50,60,62,64,66,68,70,72,74,76,78,80,85,90,95,100})</f>
        <v>70</v>
      </c>
      <c r="I98" s="27">
        <v>1</v>
      </c>
      <c r="J98" s="29">
        <f>LOOKUP(I98,{0,4,5,6,7,8,9,10,11,12,13,14,15,16,17,18},{0,10,20,30,40,50,60,64,68,72,76,80,85,90,95,100})</f>
        <v>0</v>
      </c>
      <c r="K98" s="44"/>
      <c r="L98" s="35"/>
      <c r="M98" s="35">
        <f t="shared" si="20"/>
        <v>0</v>
      </c>
      <c r="N98" s="35">
        <v>7.5</v>
      </c>
      <c r="O98" s="36">
        <f t="shared" si="21"/>
        <v>10.5</v>
      </c>
      <c r="P98" s="29">
        <f>LOOKUP(O98,{0,7.8,8,8.2,8.4,8.6,8.8,9,9.2,9.4,9.6,9.8,10,10.2,10.4,10.6,10.8,10.9,11,11.1,11.2},{0,10,20,30,40,50,60,62,64,66,68,70,72,74,76,78,80,85,90,95,100})</f>
        <v>76</v>
      </c>
      <c r="Q98" s="5">
        <v>4.06</v>
      </c>
      <c r="R98" s="36">
        <f t="shared" si="22"/>
        <v>5.94</v>
      </c>
      <c r="S98" s="29">
        <f>LOOKUP(R98,{0,3.85,4.45,4.65,4.85,5.45,5.65,5.7,5.75,5.8,5.85,5.9,5.95,6,6.45,6.5,6.55,6.63,6.7,6.75,6.8},{0,10,20,30,40,50,60,62,64,66,68,70,72,74,76,78,80,85,90,95,100})</f>
        <v>70</v>
      </c>
      <c r="T98" s="27"/>
      <c r="U98" s="27"/>
      <c r="V98" s="27">
        <f t="shared" si="23"/>
        <v>70</v>
      </c>
      <c r="W98" s="27"/>
      <c r="X98" s="19">
        <f t="shared" si="24"/>
        <v>42.8</v>
      </c>
      <c r="Y98" s="13">
        <f t="shared" si="25"/>
        <v>61.1428571428572</v>
      </c>
    </row>
    <row r="99" ht="15.6" spans="1:25">
      <c r="A99" s="27">
        <v>303</v>
      </c>
      <c r="B99" s="27">
        <v>17</v>
      </c>
      <c r="C99" s="27" t="s">
        <v>120</v>
      </c>
      <c r="D99" s="27" t="s">
        <v>12</v>
      </c>
      <c r="E99" s="27"/>
      <c r="F99" s="29"/>
      <c r="G99" s="27"/>
      <c r="H99" s="29"/>
      <c r="I99" s="27"/>
      <c r="J99" s="35"/>
      <c r="K99" s="44"/>
      <c r="L99" s="35"/>
      <c r="M99" s="35"/>
      <c r="N99" s="35"/>
      <c r="O99" s="5"/>
      <c r="P99" s="5"/>
      <c r="Q99" s="5"/>
      <c r="R99" s="27"/>
      <c r="S99" s="27"/>
      <c r="T99" s="27"/>
      <c r="U99" s="27"/>
      <c r="V99" s="27"/>
      <c r="W99" s="27">
        <v>50</v>
      </c>
      <c r="X99" s="19"/>
      <c r="Y99" s="19">
        <v>50</v>
      </c>
    </row>
    <row r="100" ht="15.6" spans="1:25">
      <c r="A100" s="27">
        <v>303</v>
      </c>
      <c r="B100" s="27">
        <v>18</v>
      </c>
      <c r="C100" s="27" t="s">
        <v>121</v>
      </c>
      <c r="D100" s="27" t="s">
        <v>12</v>
      </c>
      <c r="E100" s="27"/>
      <c r="F100" s="29"/>
      <c r="G100" s="27"/>
      <c r="H100" s="29"/>
      <c r="I100" s="27"/>
      <c r="J100" s="35"/>
      <c r="K100" s="44"/>
      <c r="L100" s="35"/>
      <c r="M100" s="35"/>
      <c r="N100" s="35"/>
      <c r="O100" s="5"/>
      <c r="P100" s="5"/>
      <c r="Q100" s="5"/>
      <c r="R100" s="27"/>
      <c r="S100" s="27"/>
      <c r="T100" s="27"/>
      <c r="U100" s="27"/>
      <c r="V100" s="27"/>
      <c r="W100" s="27">
        <v>50</v>
      </c>
      <c r="X100" s="19"/>
      <c r="Y100" s="19">
        <v>50</v>
      </c>
    </row>
    <row r="101" ht="15.6" spans="1:25">
      <c r="A101" s="27">
        <v>303</v>
      </c>
      <c r="B101" s="27">
        <v>19</v>
      </c>
      <c r="C101" s="27" t="s">
        <v>122</v>
      </c>
      <c r="D101" s="27" t="s">
        <v>12</v>
      </c>
      <c r="E101" s="27"/>
      <c r="F101" s="29"/>
      <c r="G101" s="27"/>
      <c r="H101" s="29"/>
      <c r="I101" s="27"/>
      <c r="J101" s="35"/>
      <c r="K101" s="44"/>
      <c r="L101" s="35"/>
      <c r="M101" s="35"/>
      <c r="N101" s="35"/>
      <c r="O101" s="5"/>
      <c r="P101" s="5"/>
      <c r="Q101" s="5"/>
      <c r="R101" s="27"/>
      <c r="S101" s="27"/>
      <c r="T101" s="27"/>
      <c r="U101" s="27"/>
      <c r="V101" s="27"/>
      <c r="W101" s="27">
        <v>50</v>
      </c>
      <c r="X101" s="19"/>
      <c r="Y101" s="19">
        <v>50</v>
      </c>
    </row>
    <row r="102" ht="15.6" spans="1:25">
      <c r="A102" s="27">
        <v>303</v>
      </c>
      <c r="B102" s="27">
        <v>20</v>
      </c>
      <c r="C102" s="27" t="s">
        <v>123</v>
      </c>
      <c r="D102" s="27" t="s">
        <v>12</v>
      </c>
      <c r="E102" s="27"/>
      <c r="F102" s="29"/>
      <c r="G102" s="27"/>
      <c r="H102" s="29"/>
      <c r="I102" s="27"/>
      <c r="J102" s="35"/>
      <c r="K102" s="44"/>
      <c r="L102" s="35"/>
      <c r="M102" s="35"/>
      <c r="N102" s="35"/>
      <c r="O102" s="5"/>
      <c r="P102" s="5"/>
      <c r="Q102" s="5"/>
      <c r="R102" s="27"/>
      <c r="S102" s="27"/>
      <c r="T102" s="27"/>
      <c r="U102" s="27"/>
      <c r="V102" s="27"/>
      <c r="W102" s="27">
        <v>50</v>
      </c>
      <c r="X102" s="19"/>
      <c r="Y102" s="19">
        <v>50</v>
      </c>
    </row>
    <row r="103" ht="15.6" spans="1:25">
      <c r="A103" s="27">
        <v>303</v>
      </c>
      <c r="B103" s="27">
        <v>21</v>
      </c>
      <c r="C103" s="27" t="s">
        <v>124</v>
      </c>
      <c r="D103" s="27" t="s">
        <v>12</v>
      </c>
      <c r="E103" s="27">
        <v>2</v>
      </c>
      <c r="F103" s="29">
        <f>LOOKUP(E103,{0,-1.8,-0.8,0.2,1.2,2.2,3.2,4.6,6,7.4,8.8,10.2,11.6,13,14.4,15.8,17.2,19.1,21,22.8,24.6},{0,10,20,30,40,50,60,62,64,66,68,70,72,74,76,78,80,85,90,95,100})</f>
        <v>40</v>
      </c>
      <c r="G103" s="27">
        <v>224</v>
      </c>
      <c r="H103" s="29">
        <f>LOOKUP(G103,{0,180,185,190,195,200,205,209,213,217,221,225,229,233,237,241,245,253,260,265,270},{0,10,20,30,40,50,60,62,64,66,68,70,72,74,76,78,80,85,90,95,100})</f>
        <v>68</v>
      </c>
      <c r="I103" s="27">
        <v>5</v>
      </c>
      <c r="J103" s="29">
        <f>LOOKUP(I103,{0,4,5,6,7,8,9,10,11,12,13,14,15,16,17,18},{0,10,20,30,40,50,60,64,68,72,76,80,85,90,95,100})</f>
        <v>20</v>
      </c>
      <c r="K103" s="44"/>
      <c r="L103" s="35"/>
      <c r="M103" s="35">
        <f t="shared" ref="M103:M109" si="26">J103+L103</f>
        <v>20</v>
      </c>
      <c r="N103" s="35">
        <v>7.7</v>
      </c>
      <c r="O103" s="36">
        <f t="shared" ref="O103:O109" si="27">18-N103</f>
        <v>10.3</v>
      </c>
      <c r="P103" s="29">
        <f>LOOKUP(O103,{0,7.8,8,8.2,8.4,8.6,8.8,9,9.2,9.4,9.6,9.8,10,10.2,10.4,10.6,10.8,10.9,11,11.1,11.2},{0,10,20,30,40,50,60,62,64,66,68,70,72,74,76,78,80,85,90,95,100})</f>
        <v>74</v>
      </c>
      <c r="Q103" s="5">
        <v>3.59</v>
      </c>
      <c r="R103" s="36">
        <f t="shared" ref="R103:R109" si="28">10-Q103</f>
        <v>6.41</v>
      </c>
      <c r="S103" s="29">
        <f>LOOKUP(R103,{0,3.85,4.45,4.65,4.85,5.45,5.65,5.7,5.75,5.8,5.85,5.9,5.95,6,6.45,6.5,6.55,6.63,6.7,6.75,6.8},{0,10,20,30,40,50,60,62,64,66,68,70,72,74,76,78,80,85,90,95,100})</f>
        <v>74</v>
      </c>
      <c r="T103" s="27"/>
      <c r="U103" s="27"/>
      <c r="V103" s="27">
        <f t="shared" ref="V103:V109" si="29">S103+U103</f>
        <v>74</v>
      </c>
      <c r="W103" s="27"/>
      <c r="X103" s="19">
        <f t="shared" ref="X103:X109" si="30">F103*0.1+H103*0.1+J103*0.1+P103*0.2+S103*0.2</f>
        <v>42.4</v>
      </c>
      <c r="Y103" s="13">
        <f t="shared" ref="Y103:Y109" si="31">X103/0.7+L103+U103</f>
        <v>60.5714285714286</v>
      </c>
    </row>
    <row r="104" ht="15.6" spans="1:25">
      <c r="A104" s="27">
        <v>303</v>
      </c>
      <c r="B104" s="27">
        <v>23</v>
      </c>
      <c r="C104" s="27" t="s">
        <v>125</v>
      </c>
      <c r="D104" s="27" t="s">
        <v>12</v>
      </c>
      <c r="E104" s="27">
        <v>16.5</v>
      </c>
      <c r="F104" s="29">
        <f>LOOKUP(E104,{0,-1.8,-0.8,0.2,1.2,2.2,3.2,4.6,6,7.4,8.8,10.2,11.6,13,14.4,15.8,17.2,19.1,21,22.8,24.6},{0,10,20,30,40,50,60,62,64,66,68,70,72,74,76,78,80,85,90,95,100})</f>
        <v>78</v>
      </c>
      <c r="G104" s="27">
        <v>265</v>
      </c>
      <c r="H104" s="29">
        <f>LOOKUP(G104,{0,180,185,190,195,200,205,209,213,217,221,225,229,233,237,241,245,253,260,265,270},{0,10,20,30,40,50,60,62,64,66,68,70,72,74,76,78,80,85,90,95,100})</f>
        <v>95</v>
      </c>
      <c r="I104" s="27">
        <v>18</v>
      </c>
      <c r="J104" s="29">
        <f>LOOKUP(I104,{0,4,5,6,7,8,9,10,11,12,13,14,15,16,17,18},{0,10,20,30,40,50,60,64,68,72,76,80,85,90,95,100})</f>
        <v>100</v>
      </c>
      <c r="K104" s="44"/>
      <c r="L104" s="35"/>
      <c r="M104" s="35">
        <f t="shared" si="26"/>
        <v>100</v>
      </c>
      <c r="N104" s="35">
        <v>7.1</v>
      </c>
      <c r="O104" s="36">
        <f t="shared" si="27"/>
        <v>10.9</v>
      </c>
      <c r="P104" s="29">
        <f>LOOKUP(O104,{0,7.8,8,8.2,8.4,8.6,8.8,9,9.2,9.4,9.6,9.8,10,10.2,10.4,10.6,10.8,10.9,11,11.1,11.2},{0,10,20,30,40,50,60,62,64,66,68,70,72,74,76,78,80,85,90,95,100})</f>
        <v>85</v>
      </c>
      <c r="Q104" s="5">
        <v>3.58</v>
      </c>
      <c r="R104" s="36">
        <f t="shared" si="28"/>
        <v>6.42</v>
      </c>
      <c r="S104" s="29">
        <f>LOOKUP(R104,{0,3.85,4.45,4.65,4.85,5.45,5.65,5.7,5.75,5.8,5.85,5.9,5.95,6,6.45,6.5,6.55,6.63,6.7,6.75,6.8},{0,10,20,30,40,50,60,62,64,66,68,70,72,74,76,78,80,85,90,95,100})</f>
        <v>74</v>
      </c>
      <c r="T104" s="27"/>
      <c r="U104" s="27"/>
      <c r="V104" s="27">
        <f t="shared" si="29"/>
        <v>74</v>
      </c>
      <c r="W104" s="27"/>
      <c r="X104" s="19">
        <f t="shared" si="30"/>
        <v>59.1</v>
      </c>
      <c r="Y104" s="13">
        <f t="shared" si="31"/>
        <v>84.4285714285714</v>
      </c>
    </row>
    <row r="105" ht="15.6" spans="1:25">
      <c r="A105" s="27">
        <v>303</v>
      </c>
      <c r="B105" s="27">
        <v>24</v>
      </c>
      <c r="C105" s="31" t="s">
        <v>127</v>
      </c>
      <c r="D105" s="27" t="s">
        <v>12</v>
      </c>
      <c r="E105" s="27">
        <v>8</v>
      </c>
      <c r="F105" s="29">
        <f>LOOKUP(E105,{0,-1.8,-0.8,0.2,1.2,2.2,3.2,4.6,6,7.4,8.8,10.2,11.6,13,14.4,15.8,17.2,19.1,21,22.8,24.6},{0,10,20,30,40,50,60,62,64,66,68,70,72,74,76,78,80,85,90,95,100})</f>
        <v>66</v>
      </c>
      <c r="G105" s="27">
        <v>230</v>
      </c>
      <c r="H105" s="29">
        <f>LOOKUP(G105,{0,180,185,190,195,200,205,209,213,217,221,225,229,233,237,241,245,253,260,265,270},{0,10,20,30,40,50,60,62,64,66,68,70,72,74,76,78,80,85,90,95,100})</f>
        <v>72</v>
      </c>
      <c r="I105" s="27">
        <v>3</v>
      </c>
      <c r="J105" s="29">
        <f>LOOKUP(I105,{0,4,5,6,7,8,9,10,11,12,13,14,15,16,17,18},{0,10,20,30,40,50,60,64,68,72,76,80,85,90,95,100})</f>
        <v>0</v>
      </c>
      <c r="K105" s="44"/>
      <c r="L105" s="35"/>
      <c r="M105" s="35">
        <f t="shared" si="26"/>
        <v>0</v>
      </c>
      <c r="N105" s="35">
        <v>7.6</v>
      </c>
      <c r="O105" s="36">
        <f t="shared" si="27"/>
        <v>10.4</v>
      </c>
      <c r="P105" s="29">
        <f>LOOKUP(O105,{0,7.8,8,8.2,8.4,8.6,8.8,9,9.2,9.4,9.6,9.8,10,10.2,10.4,10.6,10.8,10.9,11,11.1,11.2},{0,10,20,30,40,50,60,62,64,66,68,70,72,74,76,78,80,85,90,95,100})</f>
        <v>76</v>
      </c>
      <c r="Q105" s="5">
        <v>4.27</v>
      </c>
      <c r="R105" s="36">
        <f t="shared" si="28"/>
        <v>5.73</v>
      </c>
      <c r="S105" s="29">
        <f>LOOKUP(R105,{0,3.85,4.45,4.65,4.85,5.45,5.65,5.7,5.75,5.8,5.85,5.9,5.95,6,6.45,6.5,6.55,6.63,6.7,6.75,6.8},{0,10,20,30,40,50,60,62,64,66,68,70,72,74,76,78,80,85,90,95,100})</f>
        <v>62</v>
      </c>
      <c r="T105" s="27"/>
      <c r="U105" s="27"/>
      <c r="V105" s="27">
        <f t="shared" si="29"/>
        <v>62</v>
      </c>
      <c r="W105" s="27"/>
      <c r="X105" s="19">
        <f t="shared" si="30"/>
        <v>41.4</v>
      </c>
      <c r="Y105" s="13">
        <f t="shared" si="31"/>
        <v>59.1428571428571</v>
      </c>
    </row>
    <row r="106" ht="15.6" spans="1:25">
      <c r="A106" s="27">
        <v>303</v>
      </c>
      <c r="B106" s="27">
        <v>25</v>
      </c>
      <c r="C106" s="27" t="s">
        <v>128</v>
      </c>
      <c r="D106" s="27" t="s">
        <v>12</v>
      </c>
      <c r="E106" s="27">
        <v>5</v>
      </c>
      <c r="F106" s="29">
        <f>LOOKUP(E106,{0,-1.8,-0.8,0.2,1.2,2.2,3.2,4.6,6,7.4,8.8,10.2,11.6,13,14.4,15.8,17.2,19.1,21,22.8,24.6},{0,10,20,30,40,50,60,62,64,66,68,70,72,74,76,78,80,85,90,95,100})</f>
        <v>62</v>
      </c>
      <c r="G106" s="27">
        <v>220</v>
      </c>
      <c r="H106" s="29">
        <f>LOOKUP(G106,{0,180,185,190,195,200,205,209,213,217,221,225,229,233,237,241,245,253,260,265,270},{0,10,20,30,40,50,60,62,64,66,68,70,72,74,76,78,80,85,90,95,100})</f>
        <v>66</v>
      </c>
      <c r="I106" s="27">
        <v>3</v>
      </c>
      <c r="J106" s="29">
        <f>LOOKUP(I106,{0,4,5,6,7,8,9,10,11,12,13,14,15,16,17,18},{0,10,20,30,40,50,60,64,68,72,76,80,85,90,95,100})</f>
        <v>0</v>
      </c>
      <c r="K106" s="44"/>
      <c r="L106" s="35"/>
      <c r="M106" s="35">
        <f t="shared" si="26"/>
        <v>0</v>
      </c>
      <c r="N106" s="35">
        <v>8</v>
      </c>
      <c r="O106" s="36">
        <f t="shared" si="27"/>
        <v>10</v>
      </c>
      <c r="P106" s="29">
        <f>LOOKUP(O106,{0,7.8,8,8.2,8.4,8.6,8.8,9,9.2,9.4,9.6,9.8,10,10.2,10.4,10.6,10.8,10.9,11,11.1,11.2},{0,10,20,30,40,50,60,62,64,66,68,70,72,74,76,78,80,85,90,95,100})</f>
        <v>72</v>
      </c>
      <c r="Q106" s="5">
        <v>3.57</v>
      </c>
      <c r="R106" s="36">
        <f t="shared" si="28"/>
        <v>6.43</v>
      </c>
      <c r="S106" s="29">
        <f>LOOKUP(R106,{0,3.85,4.45,4.65,4.85,5.45,5.65,5.7,5.75,5.8,5.85,5.9,5.95,6,6.45,6.5,6.55,6.63,6.7,6.75,6.8},{0,10,20,30,40,50,60,62,64,66,68,70,72,74,76,78,80,85,90,95,100})</f>
        <v>74</v>
      </c>
      <c r="T106" s="27"/>
      <c r="U106" s="27"/>
      <c r="V106" s="27">
        <f t="shared" si="29"/>
        <v>74</v>
      </c>
      <c r="W106" s="27"/>
      <c r="X106" s="19">
        <f t="shared" si="30"/>
        <v>42</v>
      </c>
      <c r="Y106" s="13">
        <f t="shared" si="31"/>
        <v>60</v>
      </c>
    </row>
    <row r="107" ht="15.6" spans="1:25">
      <c r="A107" s="27">
        <v>303</v>
      </c>
      <c r="B107" s="27">
        <v>27</v>
      </c>
      <c r="C107" s="27" t="s">
        <v>129</v>
      </c>
      <c r="D107" s="27" t="s">
        <v>12</v>
      </c>
      <c r="E107" s="27">
        <v>10</v>
      </c>
      <c r="F107" s="29">
        <f>LOOKUP(E107,{0,-1.8,-0.8,0.2,1.2,2.2,3.2,4.6,6,7.4,8.8,10.2,11.6,13,14.4,15.8,17.2,19.1,21,22.8,24.6},{0,10,20,30,40,50,60,62,64,66,68,70,72,74,76,78,80,85,90,95,100})</f>
        <v>68</v>
      </c>
      <c r="G107" s="27">
        <v>215</v>
      </c>
      <c r="H107" s="29">
        <f>LOOKUP(G107,{0,180,185,190,195,200,205,209,213,217,221,225,229,233,237,241,245,253,260,265,270},{0,10,20,30,40,50,60,62,64,66,68,70,72,74,76,78,80,85,90,95,100})</f>
        <v>64</v>
      </c>
      <c r="I107" s="27">
        <v>9</v>
      </c>
      <c r="J107" s="29">
        <f>LOOKUP(I107,{0,4,5,6,7,8,9,10,11,12,13,14,15,16,17,18},{0,10,20,30,40,50,60,64,68,72,76,80,85,90,95,100})</f>
        <v>60</v>
      </c>
      <c r="K107" s="44"/>
      <c r="L107" s="35"/>
      <c r="M107" s="35">
        <f t="shared" si="26"/>
        <v>60</v>
      </c>
      <c r="N107" s="35">
        <v>7.9</v>
      </c>
      <c r="O107" s="36">
        <f t="shared" si="27"/>
        <v>10.1</v>
      </c>
      <c r="P107" s="29">
        <f>LOOKUP(O107,{0,7.8,8,8.2,8.4,8.6,8.8,9,9.2,9.4,9.6,9.8,10,10.2,10.4,10.6,10.8,10.9,11,11.1,11.2},{0,10,20,30,40,50,60,62,64,66,68,70,72,74,76,78,80,85,90,95,100})</f>
        <v>72</v>
      </c>
      <c r="Q107" s="5">
        <v>4.45</v>
      </c>
      <c r="R107" s="36">
        <f t="shared" si="28"/>
        <v>5.55</v>
      </c>
      <c r="S107" s="29">
        <f>LOOKUP(R107,{0,3.85,4.45,4.65,4.85,5.45,5.65,5.7,5.75,5.8,5.85,5.9,5.95,6,6.45,6.5,6.55,6.63,6.7,6.75,6.8},{0,10,20,30,40,50,60,62,64,66,68,70,72,74,76,78,80,85,90,95,100})</f>
        <v>50</v>
      </c>
      <c r="T107" s="27"/>
      <c r="U107" s="27"/>
      <c r="V107" s="27">
        <f t="shared" si="29"/>
        <v>50</v>
      </c>
      <c r="W107" s="27"/>
      <c r="X107" s="19">
        <f t="shared" si="30"/>
        <v>43.6</v>
      </c>
      <c r="Y107" s="13">
        <f t="shared" si="31"/>
        <v>62.2857142857143</v>
      </c>
    </row>
    <row r="108" ht="15.6" spans="1:25">
      <c r="A108" s="27">
        <v>303</v>
      </c>
      <c r="B108" s="27">
        <v>28</v>
      </c>
      <c r="C108" s="27" t="s">
        <v>130</v>
      </c>
      <c r="D108" s="27" t="s">
        <v>12</v>
      </c>
      <c r="E108" s="27">
        <v>6.5</v>
      </c>
      <c r="F108" s="29">
        <f>LOOKUP(E108,{0,-1.8,-0.8,0.2,1.2,2.2,3.2,4.6,6,7.4,8.8,10.2,11.6,13,14.4,15.8,17.2,19.1,21,22.8,24.6},{0,10,20,30,40,50,60,62,64,66,68,70,72,74,76,78,80,85,90,95,100})</f>
        <v>64</v>
      </c>
      <c r="G108" s="27">
        <v>220</v>
      </c>
      <c r="H108" s="29">
        <f>LOOKUP(G108,{0,180,185,190,195,200,205,209,213,217,221,225,229,233,237,241,245,253,260,265,270},{0,10,20,30,40,50,60,62,64,66,68,70,72,74,76,78,80,85,90,95,100})</f>
        <v>66</v>
      </c>
      <c r="I108" s="27">
        <v>2</v>
      </c>
      <c r="J108" s="29">
        <f>LOOKUP(I108,{0,4,5,6,7,8,9,10,11,12,13,14,15,16,17,18},{0,10,20,30,40,50,60,64,68,72,76,80,85,90,95,100})</f>
        <v>0</v>
      </c>
      <c r="K108" s="44"/>
      <c r="L108" s="35"/>
      <c r="M108" s="35">
        <f t="shared" si="26"/>
        <v>0</v>
      </c>
      <c r="N108" s="35">
        <v>7.6</v>
      </c>
      <c r="O108" s="36">
        <f t="shared" si="27"/>
        <v>10.4</v>
      </c>
      <c r="P108" s="29">
        <f>LOOKUP(O108,{0,7.8,8,8.2,8.4,8.6,8.8,9,9.2,9.4,9.6,9.8,10,10.2,10.4,10.6,10.8,10.9,11,11.1,11.2},{0,10,20,30,40,50,60,62,64,66,68,70,72,74,76,78,80,85,90,95,100})</f>
        <v>76</v>
      </c>
      <c r="Q108" s="5">
        <v>4.14</v>
      </c>
      <c r="R108" s="36">
        <f t="shared" si="28"/>
        <v>5.86</v>
      </c>
      <c r="S108" s="29">
        <f>LOOKUP(R108,{0,3.85,4.45,4.65,4.85,5.45,5.65,5.7,5.75,5.8,5.85,5.9,5.95,6,6.45,6.5,6.55,6.63,6.7,6.75,6.8},{0,10,20,30,40,50,60,62,64,66,68,70,72,74,76,78,80,85,90,95,100})</f>
        <v>68</v>
      </c>
      <c r="T108" s="27"/>
      <c r="U108" s="27"/>
      <c r="V108" s="27">
        <f t="shared" si="29"/>
        <v>68</v>
      </c>
      <c r="W108" s="27"/>
      <c r="X108" s="19">
        <f t="shared" si="30"/>
        <v>41.8</v>
      </c>
      <c r="Y108" s="13">
        <f t="shared" si="31"/>
        <v>59.7142857142857</v>
      </c>
    </row>
    <row r="109" ht="15.6" spans="1:25">
      <c r="A109" s="27">
        <v>303</v>
      </c>
      <c r="B109" s="27">
        <v>29</v>
      </c>
      <c r="C109" s="27" t="s">
        <v>131</v>
      </c>
      <c r="D109" s="27" t="s">
        <v>12</v>
      </c>
      <c r="E109" s="27">
        <v>14</v>
      </c>
      <c r="F109" s="29">
        <f>LOOKUP(E109,{0,-1.8,-0.8,0.2,1.2,2.2,3.2,4.6,6,7.4,8.8,10.2,11.6,13,14.4,15.8,17.2,19.1,21,22.8,24.6},{0,10,20,30,40,50,60,62,64,66,68,70,72,74,76,78,80,85,90,95,100})</f>
        <v>74</v>
      </c>
      <c r="G109" s="27">
        <v>242</v>
      </c>
      <c r="H109" s="29">
        <f>LOOKUP(G109,{0,180,185,190,195,200,205,209,213,217,221,225,229,233,237,241,245,253,260,265,270},{0,10,20,30,40,50,60,62,64,66,68,70,72,74,76,78,80,85,90,95,100})</f>
        <v>78</v>
      </c>
      <c r="I109" s="27">
        <v>0</v>
      </c>
      <c r="J109" s="29">
        <f>LOOKUP(I109,{0,4,5,6,7,8,9,10,11,12,13,14,15,16,17,18},{0,10,20,30,40,50,60,64,68,72,76,80,85,90,95,100})</f>
        <v>0</v>
      </c>
      <c r="K109" s="44"/>
      <c r="L109" s="35"/>
      <c r="M109" s="35">
        <f t="shared" si="26"/>
        <v>0</v>
      </c>
      <c r="N109" s="35">
        <v>7.3</v>
      </c>
      <c r="O109" s="36">
        <f t="shared" si="27"/>
        <v>10.7</v>
      </c>
      <c r="P109" s="29">
        <f>LOOKUP(O109,{0,7.8,8,8.2,8.4,8.6,8.8,9,9.2,9.4,9.6,9.8,10,10.2,10.4,10.6,10.8,10.9,11,11.1,11.2},{0,10,20,30,40,50,60,62,64,66,68,70,72,74,76,78,80,85,90,95,100})</f>
        <v>78</v>
      </c>
      <c r="Q109" s="5">
        <v>4.28</v>
      </c>
      <c r="R109" s="36">
        <f t="shared" si="28"/>
        <v>5.72</v>
      </c>
      <c r="S109" s="29">
        <f>LOOKUP(R109,{0,3.85,4.45,4.65,4.85,5.45,5.65,5.7,5.75,5.8,5.85,5.9,5.95,6,6.45,6.5,6.55,6.63,6.7,6.75,6.8},{0,10,20,30,40,50,60,62,64,66,68,70,72,74,76,78,80,85,90,95,100})</f>
        <v>62</v>
      </c>
      <c r="T109" s="27"/>
      <c r="U109" s="27"/>
      <c r="V109" s="27">
        <f t="shared" si="29"/>
        <v>62</v>
      </c>
      <c r="W109" s="27"/>
      <c r="X109" s="19">
        <f t="shared" si="30"/>
        <v>43.2</v>
      </c>
      <c r="Y109" s="13">
        <f t="shared" si="31"/>
        <v>61.7142857142857</v>
      </c>
    </row>
    <row r="110" ht="15.6" spans="1:25">
      <c r="A110" s="27">
        <v>303</v>
      </c>
      <c r="B110" s="27">
        <v>30</v>
      </c>
      <c r="C110" s="27" t="s">
        <v>132</v>
      </c>
      <c r="D110" s="27" t="s">
        <v>12</v>
      </c>
      <c r="E110" s="27"/>
      <c r="F110" s="29"/>
      <c r="G110" s="27"/>
      <c r="H110" s="29"/>
      <c r="I110" s="27"/>
      <c r="J110" s="35"/>
      <c r="K110" s="44"/>
      <c r="L110" s="35"/>
      <c r="M110" s="35"/>
      <c r="N110" s="35"/>
      <c r="O110" s="5"/>
      <c r="P110" s="5"/>
      <c r="Q110" s="5"/>
      <c r="R110" s="27"/>
      <c r="S110" s="27"/>
      <c r="T110" s="27"/>
      <c r="U110" s="27"/>
      <c r="V110" s="27"/>
      <c r="W110" s="27">
        <v>50</v>
      </c>
      <c r="X110" s="19"/>
      <c r="Y110" s="19">
        <v>50</v>
      </c>
    </row>
    <row r="111" ht="15.6" spans="1:25">
      <c r="A111" s="27">
        <v>303</v>
      </c>
      <c r="B111" s="27">
        <v>31</v>
      </c>
      <c r="C111" s="27" t="s">
        <v>133</v>
      </c>
      <c r="D111" s="27" t="s">
        <v>12</v>
      </c>
      <c r="E111" s="27">
        <v>9.5</v>
      </c>
      <c r="F111" s="29">
        <f>LOOKUP(E111,{0,-1.8,-0.8,0.2,1.2,2.2,3.2,4.6,6,7.4,8.8,10.2,11.6,13,14.4,15.8,17.2,19.1,21,22.8,24.6},{0,10,20,30,40,50,60,62,64,66,68,70,72,74,76,78,80,85,90,95,100})</f>
        <v>68</v>
      </c>
      <c r="G111" s="27">
        <v>200</v>
      </c>
      <c r="H111" s="29">
        <f>LOOKUP(G111,{0,180,185,190,195,200,205,209,213,217,221,225,229,233,237,241,245,253,260,265,270},{0,10,20,30,40,50,60,62,64,66,68,70,72,74,76,78,80,85,90,95,100})</f>
        <v>50</v>
      </c>
      <c r="I111" s="27">
        <v>0</v>
      </c>
      <c r="J111" s="29">
        <f>LOOKUP(I111,{0,4,5,6,7,8,9,10,11,12,13,14,15,16,17,18},{0,10,20,30,40,50,60,64,68,72,76,80,85,90,95,100})</f>
        <v>0</v>
      </c>
      <c r="K111" s="44"/>
      <c r="L111" s="35"/>
      <c r="M111" s="35">
        <f>J111+L111</f>
        <v>0</v>
      </c>
      <c r="N111" s="35">
        <v>7.3</v>
      </c>
      <c r="O111" s="36">
        <f>18-N111</f>
        <v>10.7</v>
      </c>
      <c r="P111" s="29">
        <f>LOOKUP(O111,{0,7.8,8,8.2,8.4,8.6,8.8,9,9.2,9.4,9.6,9.8,10,10.2,10.4,10.6,10.8,10.9,11,11.1,11.2},{0,10,20,30,40,50,60,62,64,66,68,70,72,74,76,78,80,85,90,95,100})</f>
        <v>78</v>
      </c>
      <c r="Q111" s="5">
        <v>4.01</v>
      </c>
      <c r="R111" s="36">
        <f>10-Q111</f>
        <v>5.99</v>
      </c>
      <c r="S111" s="29">
        <f>LOOKUP(R111,{0,3.85,4.45,4.65,4.85,5.45,5.65,5.7,5.75,5.8,5.85,5.9,5.95,6,6.45,6.5,6.55,6.63,6.7,6.75,6.8},{0,10,20,30,40,50,60,62,64,66,68,70,72,74,76,78,80,85,90,95,100})</f>
        <v>72</v>
      </c>
      <c r="T111" s="27"/>
      <c r="U111" s="27"/>
      <c r="V111" s="27">
        <f>S111+U111</f>
        <v>72</v>
      </c>
      <c r="W111" s="27"/>
      <c r="X111" s="19">
        <f>F111*0.1+H111*0.1+J111*0.1+P111*0.2+S111*0.2</f>
        <v>41.8</v>
      </c>
      <c r="Y111" s="13">
        <f>X111/0.7+L111+U111</f>
        <v>59.7142857142857</v>
      </c>
    </row>
    <row r="112" ht="15.6" spans="1:25">
      <c r="A112" s="27">
        <v>303</v>
      </c>
      <c r="B112" s="27">
        <v>32</v>
      </c>
      <c r="C112" s="27" t="s">
        <v>134</v>
      </c>
      <c r="D112" s="27" t="s">
        <v>12</v>
      </c>
      <c r="E112" s="27">
        <v>17</v>
      </c>
      <c r="F112" s="29">
        <f>LOOKUP(E112,{0,-1.8,-0.8,0.2,1.2,2.2,3.2,4.6,6,7.4,8.8,10.2,11.6,13,14.4,15.8,17.2,19.1,21,22.8,24.6},{0,10,20,30,40,50,60,62,64,66,68,70,72,74,76,78,80,85,90,95,100})</f>
        <v>78</v>
      </c>
      <c r="G112" s="27">
        <v>205</v>
      </c>
      <c r="H112" s="29">
        <f>LOOKUP(G112,{0,180,185,190,195,200,205,209,213,217,221,225,229,233,237,241,245,253,260,265,270},{0,10,20,30,40,50,60,62,64,66,68,70,72,74,76,78,80,85,90,95,100})</f>
        <v>60</v>
      </c>
      <c r="I112" s="27">
        <v>7</v>
      </c>
      <c r="J112" s="29">
        <f>LOOKUP(I112,{0,4,5,6,7,8,9,10,11,12,13,14,15,16,17,18},{0,10,20,30,40,50,60,64,68,72,76,80,85,90,95,100})</f>
        <v>40</v>
      </c>
      <c r="K112" s="44"/>
      <c r="L112" s="35"/>
      <c r="M112" s="35">
        <f>J112+L112</f>
        <v>40</v>
      </c>
      <c r="N112" s="35">
        <v>7.8</v>
      </c>
      <c r="O112" s="36">
        <f>18-N112</f>
        <v>10.2</v>
      </c>
      <c r="P112" s="29">
        <f>LOOKUP(O112,{0,7.8,8,8.2,8.4,8.6,8.8,9,9.2,9.4,9.6,9.8,10,10.2,10.4,10.6,10.8,10.9,11,11.1,11.2},{0,10,20,30,40,50,60,62,64,66,68,70,72,74,76,78,80,85,90,95,100})</f>
        <v>74</v>
      </c>
      <c r="Q112" s="5">
        <v>3.59</v>
      </c>
      <c r="R112" s="36">
        <f>10-Q112</f>
        <v>6.41</v>
      </c>
      <c r="S112" s="29">
        <f>LOOKUP(R112,{0,3.85,4.45,4.65,4.85,5.45,5.65,5.7,5.75,5.8,5.85,5.9,5.95,6,6.45,6.5,6.55,6.63,6.7,6.75,6.8},{0,10,20,30,40,50,60,62,64,66,68,70,72,74,76,78,80,85,90,95,100})</f>
        <v>74</v>
      </c>
      <c r="T112" s="27"/>
      <c r="U112" s="27"/>
      <c r="V112" s="27">
        <f>S112+U112</f>
        <v>74</v>
      </c>
      <c r="W112" s="27"/>
      <c r="X112" s="19">
        <f>F112*0.1+H112*0.1+J112*0.1+P112*0.2+S112*0.2</f>
        <v>47.4</v>
      </c>
      <c r="Y112" s="13">
        <f>X112/0.7+L112+U112</f>
        <v>67.7142857142857</v>
      </c>
    </row>
    <row r="113" ht="15.6" spans="1:25">
      <c r="A113" s="27">
        <v>303</v>
      </c>
      <c r="B113" s="27">
        <v>33</v>
      </c>
      <c r="C113" s="27" t="s">
        <v>135</v>
      </c>
      <c r="D113" s="27" t="s">
        <v>12</v>
      </c>
      <c r="E113" s="27">
        <v>24</v>
      </c>
      <c r="F113" s="29">
        <f>LOOKUP(E113,{0,-1.8,-0.8,0.2,1.2,2.2,3.2,4.6,6,7.4,8.8,10.2,11.6,13,14.4,15.8,17.2,19.1,21,22.8,24.6},{0,10,20,30,40,50,60,62,64,66,68,70,72,74,76,78,80,85,90,95,100})</f>
        <v>95</v>
      </c>
      <c r="G113" s="27">
        <v>260</v>
      </c>
      <c r="H113" s="29">
        <f>LOOKUP(G113,{0,180,185,190,195,200,205,209,213,217,221,225,229,233,237,241,245,253,260,265,270},{0,10,20,30,40,50,60,62,64,66,68,70,72,74,76,78,80,85,90,95,100})</f>
        <v>90</v>
      </c>
      <c r="I113" s="27">
        <v>12</v>
      </c>
      <c r="J113" s="29">
        <f>LOOKUP(I113,{0,4,5,6,7,8,9,10,11,12,13,14,15,16,17,18},{0,10,20,30,40,50,60,64,68,72,76,80,85,90,95,100})</f>
        <v>72</v>
      </c>
      <c r="K113" s="44"/>
      <c r="L113" s="35"/>
      <c r="M113" s="35">
        <f>J113+L113</f>
        <v>72</v>
      </c>
      <c r="N113" s="35">
        <v>7</v>
      </c>
      <c r="O113" s="36">
        <f>18-N113</f>
        <v>11</v>
      </c>
      <c r="P113" s="29">
        <f>LOOKUP(O113,{0,7.8,8,8.2,8.4,8.6,8.8,9,9.2,9.4,9.6,9.8,10,10.2,10.4,10.6,10.8,10.9,11,11.1,11.2},{0,10,20,30,40,50,60,62,64,66,68,70,72,74,76,78,80,85,90,95,100})</f>
        <v>90</v>
      </c>
      <c r="Q113" s="5">
        <v>3.4</v>
      </c>
      <c r="R113" s="36">
        <f>10-Q113</f>
        <v>6.6</v>
      </c>
      <c r="S113" s="29">
        <f>LOOKUP(R113,{0,3.85,4.45,4.65,4.85,5.45,5.65,5.7,5.75,5.8,5.85,5.9,5.95,6,6.45,6.5,6.55,6.63,6.7,6.75,6.8},{0,10,20,30,40,50,60,62,64,66,68,70,72,74,76,78,80,85,90,95,100})</f>
        <v>80</v>
      </c>
      <c r="T113" s="27"/>
      <c r="U113" s="27"/>
      <c r="V113" s="27">
        <f>S113+U113</f>
        <v>80</v>
      </c>
      <c r="W113" s="27"/>
      <c r="X113" s="19">
        <f>F113*0.1+H113*0.1+J113*0.1+P113*0.2+S113*0.2</f>
        <v>59.7</v>
      </c>
      <c r="Y113" s="13">
        <f>X113/0.7+L113+U113</f>
        <v>85.2857142857143</v>
      </c>
    </row>
    <row r="114" ht="15.6" spans="1:25">
      <c r="A114" s="27">
        <v>303</v>
      </c>
      <c r="B114" s="27">
        <v>34</v>
      </c>
      <c r="C114" s="27" t="s">
        <v>136</v>
      </c>
      <c r="D114" s="27" t="s">
        <v>12</v>
      </c>
      <c r="E114" s="27">
        <v>4.5</v>
      </c>
      <c r="F114" s="29">
        <f>LOOKUP(E114,{0,-1.8,-0.8,0.2,1.2,2.2,3.2,4.6,6,7.4,8.8,10.2,11.6,13,14.4,15.8,17.2,19.1,21,22.8,24.6},{0,10,20,30,40,50,60,62,64,66,68,70,72,74,76,78,80,85,90,95,100})</f>
        <v>60</v>
      </c>
      <c r="G114" s="27">
        <v>220</v>
      </c>
      <c r="H114" s="29">
        <f>LOOKUP(G114,{0,180,185,190,195,200,205,209,213,217,221,225,229,233,237,241,245,253,260,265,270},{0,10,20,30,40,50,60,62,64,66,68,70,72,74,76,78,80,85,90,95,100})</f>
        <v>66</v>
      </c>
      <c r="I114" s="27">
        <v>0</v>
      </c>
      <c r="J114" s="29">
        <f>LOOKUP(I114,{0,4,5,6,7,8,9,10,11,12,13,14,15,16,17,18},{0,10,20,30,40,50,60,64,68,72,76,80,85,90,95,100})</f>
        <v>0</v>
      </c>
      <c r="K114" s="44"/>
      <c r="L114" s="35"/>
      <c r="M114" s="35">
        <f>J114+L114</f>
        <v>0</v>
      </c>
      <c r="N114" s="35">
        <v>8.4</v>
      </c>
      <c r="O114" s="36">
        <f>18-N114</f>
        <v>9.6</v>
      </c>
      <c r="P114" s="29">
        <f>LOOKUP(O114,{0,7.8,8,8.2,8.4,8.6,8.8,9,9.2,9.4,9.6,9.8,10,10.2,10.4,10.6,10.8,10.9,11,11.1,11.2},{0,10,20,30,40,50,60,62,64,66,68,70,72,74,76,78,80,85,90,95,100})</f>
        <v>68</v>
      </c>
      <c r="Q114" s="5">
        <v>5</v>
      </c>
      <c r="R114" s="36">
        <f>10-Q114</f>
        <v>5</v>
      </c>
      <c r="S114" s="29">
        <f>LOOKUP(R114,{0,3.85,4.45,4.65,4.85,5.45,5.65,5.7,5.75,5.8,5.85,5.9,5.95,6,6.45,6.5,6.55,6.63,6.7,6.75,6.8},{0,10,20,30,40,50,60,62,64,66,68,70,72,74,76,78,80,85,90,95,100})</f>
        <v>40</v>
      </c>
      <c r="T114" s="27"/>
      <c r="U114" s="27"/>
      <c r="V114" s="27">
        <f>S114+U114</f>
        <v>40</v>
      </c>
      <c r="W114" s="27"/>
      <c r="X114" s="19">
        <f>F114*0.1+H114*0.1+J114*0.1+P114*0.2+S114*0.2</f>
        <v>34.2</v>
      </c>
      <c r="Y114" s="13">
        <f>X114/0.7+L114+U114</f>
        <v>48.8571428571429</v>
      </c>
    </row>
    <row r="115" ht="15.6" spans="1:25">
      <c r="A115" s="27">
        <v>303</v>
      </c>
      <c r="B115" s="27">
        <v>35</v>
      </c>
      <c r="C115" s="27" t="s">
        <v>137</v>
      </c>
      <c r="D115" s="27" t="s">
        <v>12</v>
      </c>
      <c r="E115" s="27"/>
      <c r="F115" s="29"/>
      <c r="G115" s="27"/>
      <c r="H115" s="29"/>
      <c r="I115" s="27"/>
      <c r="J115" s="35"/>
      <c r="K115" s="44"/>
      <c r="L115" s="35"/>
      <c r="M115" s="35"/>
      <c r="N115" s="35"/>
      <c r="O115" s="5"/>
      <c r="P115" s="5"/>
      <c r="Q115" s="5"/>
      <c r="R115" s="27"/>
      <c r="S115" s="27"/>
      <c r="T115" s="27"/>
      <c r="U115" s="27"/>
      <c r="V115" s="27"/>
      <c r="W115" s="27">
        <v>50</v>
      </c>
      <c r="X115" s="19"/>
      <c r="Y115" s="19">
        <v>50</v>
      </c>
    </row>
    <row r="116" ht="15.6" spans="1:25">
      <c r="A116" s="27">
        <v>303</v>
      </c>
      <c r="B116" s="27">
        <v>36</v>
      </c>
      <c r="C116" s="31" t="s">
        <v>139</v>
      </c>
      <c r="D116" s="27" t="s">
        <v>46</v>
      </c>
      <c r="E116" s="27">
        <v>21.5</v>
      </c>
      <c r="F116" s="29">
        <f>LOOKUP(E116,{0,1.5,2.3,3.1,3.9,4.7,5.5,6.8,8.1,9.4,10.7,12,13.3,14.6,15.9,17.2,18.5,20.2,21.9,23.6,25.3},{0,10,20,30,40,50,60,62,64,66,68,70,72,74,76,78,80,85,90,95,100})</f>
        <v>85</v>
      </c>
      <c r="G116" s="27">
        <v>190</v>
      </c>
      <c r="H116" s="29">
        <f>LOOKUP(G116,{0,125,130,135,140,145,150,153,156,159,162,165,168,171,174,177,180,187,194,200,206},{0,10,20,30,40,50,60,62,64,66,68,70,72,74,76,78,80,85,90,95,100})</f>
        <v>85</v>
      </c>
      <c r="I116" s="27">
        <v>42</v>
      </c>
      <c r="J116" s="29">
        <f>LOOKUP(I116,{0,15,17,19,21,23,25,27,29,31,33,35,37,39,41,43,45,48,51,53,55},{0,10,20,30,40,50,60,62,64,66,68,70,72,74,76,78,80,85,90,95,100})</f>
        <v>76</v>
      </c>
      <c r="K116" s="35"/>
      <c r="L116" s="35"/>
      <c r="M116" s="35">
        <f>J116+L116</f>
        <v>76</v>
      </c>
      <c r="N116" s="35">
        <v>8.4</v>
      </c>
      <c r="O116" s="36">
        <f>18-N116</f>
        <v>9.6</v>
      </c>
      <c r="P116" s="29">
        <f>LOOKUP(O116,{0,6.6,6.8,7,7.2,7.4,7.6,7.8,8,8.2,8.4,8.6,8.8,9,9.2,9.4,9.6,9.9,10.2,10.3,10.4},{0,10,20,30,40,50,60,62,64,66,68,70,72,74,76,78,80,85,90,95,100})</f>
        <v>80</v>
      </c>
      <c r="Q116" s="5">
        <v>4.06</v>
      </c>
      <c r="R116" s="36">
        <f>10-Q116</f>
        <v>5.94</v>
      </c>
      <c r="S116" s="29">
        <f>LOOKUP(R116,{0,4.74,4.84,4.94,5.44,5.54,5.64,5.69,5.74,5.79,5.84,5.89,5.94,5.99,6.44,6.49,6.54,6.61,6.68,6.74,6.8},{0,10,20,30,40,50,60,62,64,66,68,70,72,74,76,78,80,85,90,95,100})</f>
        <v>72</v>
      </c>
      <c r="T116" s="27"/>
      <c r="U116" s="27"/>
      <c r="V116" s="27">
        <f>S116+U116</f>
        <v>72</v>
      </c>
      <c r="W116" s="27"/>
      <c r="X116" s="19">
        <f>F116*0.1+H116*0.1+J116*0.1+P116*0.2+S116*0.2</f>
        <v>55</v>
      </c>
      <c r="Y116" s="13">
        <f>X116/0.7+L116+U116</f>
        <v>78.5714285714286</v>
      </c>
    </row>
    <row r="117" ht="15.6" spans="1:25">
      <c r="A117" s="27">
        <v>303</v>
      </c>
      <c r="B117" s="27">
        <v>37</v>
      </c>
      <c r="C117" s="27" t="s">
        <v>140</v>
      </c>
      <c r="D117" s="27" t="s">
        <v>46</v>
      </c>
      <c r="E117" s="27">
        <v>16.5</v>
      </c>
      <c r="F117" s="29">
        <f>LOOKUP(E117,{0,1.5,2.3,3.1,3.9,4.7,5.5,6.8,8.1,9.4,10.7,12,13.3,14.6,15.9,17.2,18.5,20.2,21.9,23.6,25.3},{0,10,20,30,40,50,60,62,64,66,68,70,72,74,76,78,80,85,90,95,100})</f>
        <v>76</v>
      </c>
      <c r="G117" s="27">
        <v>180</v>
      </c>
      <c r="H117" s="29">
        <f>LOOKUP(G117,{0,125,130,135,140,145,150,153,156,159,162,165,168,171,174,177,180,187,194,200,206},{0,10,20,30,40,50,60,62,64,66,68,70,72,74,76,78,80,85,90,95,100})</f>
        <v>80</v>
      </c>
      <c r="I117" s="27">
        <v>55</v>
      </c>
      <c r="J117" s="29">
        <f>LOOKUP(I117,{0,15,17,19,21,23,25,27,29,31,33,35,37,39,41,43,45,48,51,53,55},{0,10,20,30,40,50,60,62,64,66,68,70,72,74,76,78,80,85,90,95,100})</f>
        <v>100</v>
      </c>
      <c r="K117" s="35"/>
      <c r="L117" s="35"/>
      <c r="M117" s="35">
        <f>J117+L117</f>
        <v>100</v>
      </c>
      <c r="N117" s="35">
        <v>9.1</v>
      </c>
      <c r="O117" s="36">
        <f>18-N117</f>
        <v>8.9</v>
      </c>
      <c r="P117" s="29">
        <f>LOOKUP(O117,{0,6.6,6.8,7,7.2,7.4,7.6,7.8,8,8.2,8.4,8.6,8.8,9,9.2,9.4,9.6,9.9,10.2,10.3,10.4},{0,10,20,30,40,50,60,62,64,66,68,70,72,74,76,78,80,85,90,95,100})</f>
        <v>72</v>
      </c>
      <c r="Q117" s="5">
        <v>3.51</v>
      </c>
      <c r="R117" s="36">
        <f>10-Q117</f>
        <v>6.49</v>
      </c>
      <c r="S117" s="29">
        <f>LOOKUP(R117,{0,4.74,4.84,4.94,5.44,5.54,5.64,5.69,5.74,5.79,5.84,5.89,5.94,5.99,6.44,6.49,6.54,6.61,6.68,6.74,6.8},{0,10,20,30,40,50,60,62,64,66,68,70,72,74,76,78,80,85,90,95,100})</f>
        <v>78</v>
      </c>
      <c r="T117" s="27"/>
      <c r="U117" s="27"/>
      <c r="V117" s="27">
        <f>S117+U117</f>
        <v>78</v>
      </c>
      <c r="W117" s="27"/>
      <c r="X117" s="19">
        <f>F117*0.1+H117*0.1+J117*0.1+P117*0.2+S117*0.2</f>
        <v>55.6</v>
      </c>
      <c r="Y117" s="13">
        <f>X117/0.7+L117+U117</f>
        <v>79.4285714285714</v>
      </c>
    </row>
    <row r="118" ht="15.6" spans="1:25">
      <c r="A118" s="27">
        <v>303</v>
      </c>
      <c r="B118" s="27">
        <v>38</v>
      </c>
      <c r="C118" s="27" t="s">
        <v>141</v>
      </c>
      <c r="D118" s="27" t="s">
        <v>46</v>
      </c>
      <c r="E118" s="27">
        <v>10.5</v>
      </c>
      <c r="F118" s="29">
        <f>LOOKUP(E118,{0,1.5,2.3,3.1,3.9,4.7,5.5,6.8,8.1,9.4,10.7,12,13.3,14.6,15.9,17.2,18.5,20.2,21.9,23.6,25.3},{0,10,20,30,40,50,60,62,64,66,68,70,72,74,76,78,80,85,90,95,100})</f>
        <v>66</v>
      </c>
      <c r="G118" s="27">
        <v>176</v>
      </c>
      <c r="H118" s="29">
        <f>LOOKUP(G118,{0,125,130,135,140,145,150,153,156,159,162,165,168,171,174,177,180,187,194,200,206},{0,10,20,30,40,50,60,62,64,66,68,70,72,74,76,78,80,85,90,95,100})</f>
        <v>76</v>
      </c>
      <c r="I118" s="27">
        <v>52</v>
      </c>
      <c r="J118" s="29">
        <f>LOOKUP(I118,{0,15,17,19,21,23,25,27,29,31,33,35,37,39,41,43,45,48,51,53,55},{0,10,20,30,40,50,60,62,64,66,68,70,72,74,76,78,80,85,90,95,100})</f>
        <v>90</v>
      </c>
      <c r="K118" s="35"/>
      <c r="L118" s="35"/>
      <c r="M118" s="35">
        <f>J118+L118</f>
        <v>90</v>
      </c>
      <c r="N118" s="35">
        <v>8.2</v>
      </c>
      <c r="O118" s="36">
        <f>18-N118</f>
        <v>9.8</v>
      </c>
      <c r="P118" s="29">
        <f>LOOKUP(O118,{0,6.6,6.8,7,7.2,7.4,7.6,7.8,8,8.2,8.4,8.6,8.8,9,9.2,9.4,9.6,9.9,10.2,10.3,10.4},{0,10,20,30,40,50,60,62,64,66,68,70,72,74,76,78,80,85,90,95,100})</f>
        <v>80</v>
      </c>
      <c r="Q118" s="5" t="s">
        <v>77</v>
      </c>
      <c r="R118" s="27"/>
      <c r="S118" s="27"/>
      <c r="T118" s="27"/>
      <c r="U118" s="27"/>
      <c r="V118" s="27"/>
      <c r="W118" s="27"/>
      <c r="X118" s="19">
        <f>F118*0.1+H118*0.1+J118*0.1+P118*0.2+S118*0.2</f>
        <v>39.2</v>
      </c>
      <c r="Y118" s="13">
        <f>X118/0.7+L118+U118</f>
        <v>56</v>
      </c>
    </row>
    <row r="119" ht="15.6" spans="1:25">
      <c r="A119" s="27">
        <v>303</v>
      </c>
      <c r="B119" s="27">
        <v>39</v>
      </c>
      <c r="C119" s="27" t="s">
        <v>142</v>
      </c>
      <c r="D119" s="27" t="s">
        <v>46</v>
      </c>
      <c r="E119" s="27">
        <v>17.5</v>
      </c>
      <c r="F119" s="29">
        <f>LOOKUP(E119,{0,1.5,2.3,3.1,3.9,4.7,5.5,6.8,8.1,9.4,10.7,12,13.3,14.6,15.9,17.2,18.5,20.2,21.9,23.6,25.3},{0,10,20,30,40,50,60,62,64,66,68,70,72,74,76,78,80,85,90,95,100})</f>
        <v>78</v>
      </c>
      <c r="G119" s="27">
        <v>168</v>
      </c>
      <c r="H119" s="29">
        <f>LOOKUP(G119,{0,125,130,135,140,145,150,153,156,159,162,165,168,171,174,177,180,187,194,200,206},{0,10,20,30,40,50,60,62,64,66,68,70,72,74,76,78,80,85,90,95,100})</f>
        <v>72</v>
      </c>
      <c r="I119" s="27">
        <v>50</v>
      </c>
      <c r="J119" s="29">
        <f>LOOKUP(I119,{0,15,17,19,21,23,25,27,29,31,33,35,37,39,41,43,45,48,51,53,55},{0,10,20,30,40,50,60,62,64,66,68,70,72,74,76,78,80,85,90,95,100})</f>
        <v>85</v>
      </c>
      <c r="K119" s="35"/>
      <c r="L119" s="35"/>
      <c r="M119" s="35">
        <f>J119+L119</f>
        <v>85</v>
      </c>
      <c r="N119" s="35">
        <v>8.8</v>
      </c>
      <c r="O119" s="36">
        <f>18-N119</f>
        <v>9.2</v>
      </c>
      <c r="P119" s="29">
        <f>LOOKUP(O119,{0,6.6,6.8,7,7.2,7.4,7.6,7.8,8,8.2,8.4,8.6,8.8,9,9.2,9.4,9.6,9.9,10.2,10.3,10.4},{0,10,20,30,40,50,60,62,64,66,68,70,72,74,76,78,80,85,90,95,100})</f>
        <v>76</v>
      </c>
      <c r="Q119" s="5">
        <v>4.44</v>
      </c>
      <c r="R119" s="36">
        <f>10-Q119</f>
        <v>5.56</v>
      </c>
      <c r="S119" s="29">
        <f>LOOKUP(R119,{0,4.74,4.84,4.94,5.44,5.54,5.64,5.69,5.74,5.79,5.84,5.89,5.94,5.99,6.44,6.49,6.54,6.61,6.68,6.74,6.8},{0,10,20,30,40,50,60,62,64,66,68,70,72,74,76,78,80,85,90,95,100})</f>
        <v>50</v>
      </c>
      <c r="T119" s="27"/>
      <c r="U119" s="27"/>
      <c r="V119" s="27">
        <f>S119+U119</f>
        <v>50</v>
      </c>
      <c r="W119" s="27"/>
      <c r="X119" s="19">
        <f>F119*0.1+H119*0.1+J119*0.1+P119*0.2+S119*0.2</f>
        <v>48.7</v>
      </c>
      <c r="Y119" s="13">
        <f>X119/0.7+L119+U119</f>
        <v>69.5714285714286</v>
      </c>
    </row>
    <row r="120" ht="15.6" spans="1:25">
      <c r="A120" s="27">
        <v>303</v>
      </c>
      <c r="B120" s="27">
        <v>40</v>
      </c>
      <c r="C120" s="27" t="s">
        <v>143</v>
      </c>
      <c r="D120" s="27" t="s">
        <v>46</v>
      </c>
      <c r="E120" s="27">
        <v>21</v>
      </c>
      <c r="F120" s="29">
        <f>LOOKUP(E120,{0,1.5,2.3,3.1,3.9,4.7,5.5,6.8,8.1,9.4,10.7,12,13.3,14.6,15.9,17.2,18.5,20.2,21.9,23.6,25.3},{0,10,20,30,40,50,60,62,64,66,68,70,72,74,76,78,80,85,90,95,100})</f>
        <v>85</v>
      </c>
      <c r="G120" s="27">
        <v>177</v>
      </c>
      <c r="H120" s="29">
        <f>LOOKUP(G120,{0,125,130,135,140,145,150,153,156,159,162,165,168,171,174,177,180,187,194,200,206},{0,10,20,30,40,50,60,62,64,66,68,70,72,74,76,78,80,85,90,95,100})</f>
        <v>78</v>
      </c>
      <c r="I120" s="27">
        <v>53</v>
      </c>
      <c r="J120" s="29">
        <f>LOOKUP(I120,{0,15,17,19,21,23,25,27,29,31,33,35,37,39,41,43,45,48,51,53,55},{0,10,20,30,40,50,60,62,64,66,68,70,72,74,76,78,80,85,90,95,100})</f>
        <v>95</v>
      </c>
      <c r="K120" s="35"/>
      <c r="L120" s="35"/>
      <c r="M120" s="35">
        <f>J120+L120</f>
        <v>95</v>
      </c>
      <c r="N120" s="35">
        <v>8.8</v>
      </c>
      <c r="O120" s="36">
        <f>18-N120</f>
        <v>9.2</v>
      </c>
      <c r="P120" s="29">
        <f>LOOKUP(O120,{0,6.6,6.8,7,7.2,7.4,7.6,7.8,8,8.2,8.4,8.6,8.8,9,9.2,9.4,9.6,9.9,10.2,10.3,10.4},{0,10,20,30,40,50,60,62,64,66,68,70,72,74,76,78,80,85,90,95,100})</f>
        <v>76</v>
      </c>
      <c r="Q120" s="5">
        <v>3.32</v>
      </c>
      <c r="R120" s="36">
        <f>10-Q120</f>
        <v>6.68</v>
      </c>
      <c r="S120" s="29">
        <f>LOOKUP(R120,{0,4.74,4.84,4.94,5.44,5.54,5.64,5.69,5.74,5.79,5.84,5.89,5.94,5.99,6.44,6.49,6.54,6.61,6.68,6.74,6.8},{0,10,20,30,40,50,60,62,64,66,68,70,72,74,76,78,80,85,90,95,100})</f>
        <v>90</v>
      </c>
      <c r="T120" s="27"/>
      <c r="U120" s="27"/>
      <c r="V120" s="27">
        <f>S120+U120</f>
        <v>90</v>
      </c>
      <c r="W120" s="27"/>
      <c r="X120" s="19">
        <f>F120*0.1+H120*0.1+J120*0.1+P120*0.2+S120*0.2</f>
        <v>59</v>
      </c>
      <c r="Y120" s="13">
        <f>X120/0.7+L120+U120</f>
        <v>84.2857142857143</v>
      </c>
    </row>
    <row r="121" spans="1:25">
      <c r="A121" s="27">
        <v>303</v>
      </c>
      <c r="B121" s="27">
        <v>41</v>
      </c>
      <c r="C121" s="27" t="s">
        <v>144</v>
      </c>
      <c r="D121" s="27" t="s">
        <v>46</v>
      </c>
      <c r="E121" s="27"/>
      <c r="F121" s="27"/>
      <c r="G121" s="27"/>
      <c r="H121" s="27"/>
      <c r="I121" s="27"/>
      <c r="J121" s="35"/>
      <c r="K121" s="35"/>
      <c r="L121" s="35"/>
      <c r="M121" s="35"/>
      <c r="N121" s="35"/>
      <c r="O121" s="5"/>
      <c r="P121" s="5"/>
      <c r="Q121" s="5"/>
      <c r="R121" s="27"/>
      <c r="S121" s="27"/>
      <c r="T121" s="27"/>
      <c r="U121" s="27"/>
      <c r="V121" s="27"/>
      <c r="W121" s="27">
        <v>50</v>
      </c>
      <c r="X121" s="19"/>
      <c r="Y121" s="19">
        <v>50</v>
      </c>
    </row>
    <row r="122" ht="15.6" spans="1:25">
      <c r="A122" s="27">
        <v>303</v>
      </c>
      <c r="B122" s="27">
        <v>42</v>
      </c>
      <c r="C122" s="27" t="s">
        <v>145</v>
      </c>
      <c r="D122" s="27" t="s">
        <v>46</v>
      </c>
      <c r="E122" s="27">
        <v>19</v>
      </c>
      <c r="F122" s="29">
        <f>LOOKUP(E122,{0,1.5,2.3,3.1,3.9,4.7,5.5,6.8,8.1,9.4,10.7,12,13.3,14.6,15.9,17.2,18.5,20.2,21.9,23.6,25.3},{0,10,20,30,40,50,60,62,64,66,68,70,72,74,76,78,80,85,90,95,100})</f>
        <v>80</v>
      </c>
      <c r="G122" s="27">
        <v>190</v>
      </c>
      <c r="H122" s="29">
        <f>LOOKUP(G122,{0,125,130,135,140,145,150,153,156,159,162,165,168,171,174,177,180,187,194,200,206},{0,10,20,30,40,50,60,62,64,66,68,70,72,74,76,78,80,85,90,95,100})</f>
        <v>85</v>
      </c>
      <c r="I122" s="27">
        <v>46</v>
      </c>
      <c r="J122" s="29">
        <f>LOOKUP(I122,{0,15,17,19,21,23,25,27,29,31,33,35,37,39,41,43,45,48,51,53,55},{0,10,20,30,40,50,60,62,64,66,68,70,72,74,76,78,80,85,90,95,100})</f>
        <v>80</v>
      </c>
      <c r="K122" s="35"/>
      <c r="L122" s="35"/>
      <c r="M122" s="35">
        <f>J122+L122</f>
        <v>80</v>
      </c>
      <c r="N122" s="35">
        <v>9.4</v>
      </c>
      <c r="O122" s="36">
        <f>18-N122</f>
        <v>8.6</v>
      </c>
      <c r="P122" s="29">
        <f>LOOKUP(O122,{0,6.6,6.8,7,7.2,7.4,7.6,7.8,8,8.2,8.4,8.6,8.8,9,9.2,9.4,9.6,9.9,10.2,10.3,10.4},{0,10,20,30,40,50,60,62,64,66,68,70,72,74,76,78,80,85,90,95,100})</f>
        <v>70</v>
      </c>
      <c r="Q122" s="5">
        <v>4.19</v>
      </c>
      <c r="R122" s="36">
        <f>10-Q122</f>
        <v>5.81</v>
      </c>
      <c r="S122" s="29">
        <f>LOOKUP(R122,{0,4.74,4.84,4.94,5.44,5.54,5.64,5.69,5.74,5.79,5.84,5.89,5.94,5.99,6.44,6.49,6.54,6.61,6.68,6.74,6.8},{0,10,20,30,40,50,60,62,64,66,68,70,72,74,76,78,80,85,90,95,100})</f>
        <v>66</v>
      </c>
      <c r="T122" s="27"/>
      <c r="U122" s="27"/>
      <c r="V122" s="27">
        <f>S122+U122</f>
        <v>66</v>
      </c>
      <c r="W122" s="27"/>
      <c r="X122" s="19">
        <f>F122*0.1+H122*0.1+J122*0.1+P122*0.2+S122*0.2</f>
        <v>51.7</v>
      </c>
      <c r="Y122" s="13">
        <f>X122/0.7+L122+U122</f>
        <v>73.8571428571429</v>
      </c>
    </row>
    <row r="123" ht="15.6" spans="1:25">
      <c r="A123" s="27">
        <v>303</v>
      </c>
      <c r="B123" s="27">
        <v>44</v>
      </c>
      <c r="C123" s="27" t="s">
        <v>146</v>
      </c>
      <c r="D123" s="27" t="s">
        <v>46</v>
      </c>
      <c r="E123" s="27">
        <v>14</v>
      </c>
      <c r="F123" s="29">
        <f>LOOKUP(E123,{0,1.5,2.3,3.1,3.9,4.7,5.5,6.8,8.1,9.4,10.7,12,13.3,14.6,15.9,17.2,18.5,20.2,21.9,23.6,25.3},{0,10,20,30,40,50,60,62,64,66,68,70,72,74,76,78,80,85,90,95,100})</f>
        <v>72</v>
      </c>
      <c r="G123" s="27">
        <v>160</v>
      </c>
      <c r="H123" s="29">
        <f>LOOKUP(G123,{0,125,130,135,140,145,150,153,156,159,162,165,168,171,174,177,180,187,194,200,206},{0,10,20,30,40,50,60,62,64,66,68,70,72,74,76,78,80,85,90,95,100})</f>
        <v>66</v>
      </c>
      <c r="I123" s="27">
        <v>36</v>
      </c>
      <c r="J123" s="29">
        <f>LOOKUP(I123,{0,15,17,19,21,23,25,27,29,31,33,35,37,39,41,43,45,48,51,53,55},{0,10,20,30,40,50,60,62,64,66,68,70,72,74,76,78,80,85,90,95,100})</f>
        <v>70</v>
      </c>
      <c r="K123" s="35"/>
      <c r="L123" s="35"/>
      <c r="M123" s="35">
        <f>J123+L123</f>
        <v>70</v>
      </c>
      <c r="N123" s="35">
        <v>9</v>
      </c>
      <c r="O123" s="36">
        <f>18-N123</f>
        <v>9</v>
      </c>
      <c r="P123" s="29">
        <f>LOOKUP(O123,{0,6.6,6.8,7,7.2,7.4,7.6,7.8,8,8.2,8.4,8.6,8.8,9,9.2,9.4,9.6,9.9,10.2,10.3,10.4},{0,10,20,30,40,50,60,62,64,66,68,70,72,74,76,78,80,85,90,95,100})</f>
        <v>74</v>
      </c>
      <c r="Q123" s="5">
        <v>4.44</v>
      </c>
      <c r="R123" s="36">
        <f>10-Q123</f>
        <v>5.56</v>
      </c>
      <c r="S123" s="29">
        <f>LOOKUP(R123,{0,4.74,4.84,4.94,5.44,5.54,5.64,5.69,5.74,5.79,5.84,5.89,5.94,5.99,6.44,6.49,6.54,6.61,6.68,6.74,6.8},{0,10,20,30,40,50,60,62,64,66,68,70,72,74,76,78,80,85,90,95,100})</f>
        <v>50</v>
      </c>
      <c r="T123" s="27"/>
      <c r="U123" s="27"/>
      <c r="V123" s="27">
        <f>S123+U123</f>
        <v>50</v>
      </c>
      <c r="W123" s="27"/>
      <c r="X123" s="19">
        <f>F123*0.1+H123*0.1+J123*0.1+P123*0.2+S123*0.2</f>
        <v>45.6</v>
      </c>
      <c r="Y123" s="13">
        <f>X123/0.7+L123+U123</f>
        <v>65.1428571428572</v>
      </c>
    </row>
    <row r="124" ht="15.6" spans="1:25">
      <c r="A124" s="27">
        <v>304</v>
      </c>
      <c r="B124" s="27">
        <v>1</v>
      </c>
      <c r="C124" s="31" t="s">
        <v>148</v>
      </c>
      <c r="D124" s="27" t="s">
        <v>12</v>
      </c>
      <c r="E124" s="27"/>
      <c r="F124" s="29"/>
      <c r="G124" s="27"/>
      <c r="H124" s="29"/>
      <c r="I124" s="27"/>
      <c r="J124" s="35"/>
      <c r="K124" s="44"/>
      <c r="L124" s="35"/>
      <c r="M124" s="35"/>
      <c r="N124" s="35"/>
      <c r="O124" s="5"/>
      <c r="P124" s="5"/>
      <c r="Q124" s="5"/>
      <c r="R124" s="27"/>
      <c r="S124" s="27"/>
      <c r="T124" s="27"/>
      <c r="U124" s="27"/>
      <c r="V124" s="27"/>
      <c r="W124" s="27">
        <v>50</v>
      </c>
      <c r="X124" s="19"/>
      <c r="Y124" s="19">
        <v>50</v>
      </c>
    </row>
    <row r="125" ht="15.6" spans="1:25">
      <c r="A125" s="27">
        <v>304</v>
      </c>
      <c r="B125" s="27">
        <v>2</v>
      </c>
      <c r="C125" s="27" t="s">
        <v>149</v>
      </c>
      <c r="D125" s="27" t="s">
        <v>12</v>
      </c>
      <c r="E125" s="27">
        <v>0.5</v>
      </c>
      <c r="F125" s="29">
        <f>LOOKUP(E125,{0,-1.8,-0.8,0.2,1.2,2.2,3.2,4.6,6,7.4,8.8,10.2,11.6,13,14.4,15.8,17.2,19.1,21,22.8,24.6},{0,10,20,30,40,50,60,62,64,66,68,70,72,74,76,78,80,85,90,95,100})</f>
        <v>30</v>
      </c>
      <c r="G125" s="27">
        <v>184</v>
      </c>
      <c r="H125" s="29">
        <f>LOOKUP(G125,{0,180,185,190,195,200,205,209,213,217,221,225,229,233,237,241,245,253,260,265,270},{0,10,20,30,40,50,60,62,64,66,68,70,72,74,76,78,80,85,90,95,100})</f>
        <v>10</v>
      </c>
      <c r="I125" s="27">
        <v>0</v>
      </c>
      <c r="J125" s="29">
        <f>LOOKUP(I125,{0,4,5,6,7,8,9,10,11,12,13,14,15,16,17,18},{0,10,20,30,40,50,60,64,68,72,76,80,85,90,95,100})</f>
        <v>0</v>
      </c>
      <c r="K125" s="44"/>
      <c r="L125" s="35"/>
      <c r="M125" s="35">
        <f>J125+L125</f>
        <v>0</v>
      </c>
      <c r="N125" s="35">
        <v>8.1</v>
      </c>
      <c r="O125" s="36">
        <f>18-N125</f>
        <v>9.9</v>
      </c>
      <c r="P125" s="29">
        <f>LOOKUP(O125,{0,7.8,8,8.2,8.4,8.6,8.8,9,9.2,9.4,9.6,9.8,10,10.2,10.4,10.6,10.8,10.9,11,11.1,11.2},{0,10,20,30,40,50,60,62,64,66,68,70,72,74,76,78,80,85,90,95,100})</f>
        <v>70</v>
      </c>
      <c r="Q125" s="5" t="s">
        <v>77</v>
      </c>
      <c r="R125" s="36" t="e">
        <f>10-Q125</f>
        <v>#VALUE!</v>
      </c>
      <c r="S125" s="29"/>
      <c r="T125" s="27"/>
      <c r="U125" s="27"/>
      <c r="V125" s="27"/>
      <c r="W125" s="42">
        <v>50</v>
      </c>
      <c r="X125" s="19">
        <f>F125*0.1+H125*0.1+J125*0.1+P125*0.2+S125*0.2</f>
        <v>18</v>
      </c>
      <c r="Y125" s="13">
        <v>50</v>
      </c>
    </row>
    <row r="126" ht="15.6" spans="1:25">
      <c r="A126" s="27">
        <v>304</v>
      </c>
      <c r="B126" s="27">
        <v>3</v>
      </c>
      <c r="C126" s="27" t="s">
        <v>150</v>
      </c>
      <c r="D126" s="27" t="s">
        <v>12</v>
      </c>
      <c r="E126" s="27">
        <v>27</v>
      </c>
      <c r="F126" s="29">
        <f>LOOKUP(E126,{0,-1.8,-0.8,0.2,1.2,2.2,3.2,4.6,6,7.4,8.8,10.2,11.6,13,14.4,15.8,17.2,19.1,21,22.8,24.6},{0,10,20,30,40,50,60,62,64,66,68,70,72,74,76,78,80,85,90,95,100})</f>
        <v>100</v>
      </c>
      <c r="G126" s="27">
        <v>248</v>
      </c>
      <c r="H126" s="29">
        <f>LOOKUP(G126,{0,180,185,190,195,200,205,209,213,217,221,225,229,233,237,241,245,253,260,265,270},{0,10,20,30,40,50,60,62,64,66,68,70,72,74,76,78,80,85,90,95,100})</f>
        <v>80</v>
      </c>
      <c r="I126" s="27">
        <v>4</v>
      </c>
      <c r="J126" s="29">
        <f>LOOKUP(I126,{0,4,5,6,7,8,9,10,11,12,13,14,15,16,17,18},{0,10,20,30,40,50,60,64,68,72,76,80,85,90,95,100})</f>
        <v>10</v>
      </c>
      <c r="K126" s="44"/>
      <c r="L126" s="35"/>
      <c r="M126" s="35">
        <f>J126+L126</f>
        <v>10</v>
      </c>
      <c r="N126" s="35">
        <v>7.1</v>
      </c>
      <c r="O126" s="36">
        <f>18-N126</f>
        <v>10.9</v>
      </c>
      <c r="P126" s="29">
        <f>LOOKUP(O126,{0,7.8,8,8.2,8.4,8.6,8.8,9,9.2,9.4,9.6,9.8,10,10.2,10.4,10.6,10.8,10.9,11,11.1,11.2},{0,10,20,30,40,50,60,62,64,66,68,70,72,74,76,78,80,85,90,95,100})</f>
        <v>85</v>
      </c>
      <c r="Q126" s="5">
        <v>3.54</v>
      </c>
      <c r="R126" s="36">
        <f>10-Q126</f>
        <v>6.46</v>
      </c>
      <c r="S126" s="29">
        <f>LOOKUP(R126,{0,3.85,4.45,4.65,4.85,5.45,5.65,5.7,5.75,5.8,5.85,5.9,5.95,6,6.45,6.5,6.55,6.63,6.7,6.75,6.8},{0,10,20,30,40,50,60,62,64,66,68,70,72,74,76,78,80,85,90,95,100})</f>
        <v>76</v>
      </c>
      <c r="T126" s="27"/>
      <c r="U126" s="27"/>
      <c r="V126" s="27">
        <f>S126+U126</f>
        <v>76</v>
      </c>
      <c r="W126" s="27"/>
      <c r="X126" s="19">
        <f>F126*0.1+H126*0.1+J126*0.1+P126*0.2+S126*0.2</f>
        <v>51.2</v>
      </c>
      <c r="Y126" s="13">
        <f>X126/0.7+L126+U126</f>
        <v>73.1428571428572</v>
      </c>
    </row>
    <row r="127" ht="15.6" spans="1:25">
      <c r="A127" s="27">
        <v>304</v>
      </c>
      <c r="B127" s="27">
        <v>4</v>
      </c>
      <c r="C127" s="27" t="s">
        <v>151</v>
      </c>
      <c r="D127" s="27" t="s">
        <v>12</v>
      </c>
      <c r="E127" s="27">
        <v>11</v>
      </c>
      <c r="F127" s="29">
        <f>LOOKUP(E127,{0,-1.8,-0.8,0.2,1.2,2.2,3.2,4.6,6,7.4,8.8,10.2,11.6,13,14.4,15.8,17.2,19.1,21,22.8,24.6},{0,10,20,30,40,50,60,62,64,66,68,70,72,74,76,78,80,85,90,95,100})</f>
        <v>70</v>
      </c>
      <c r="G127" s="27">
        <v>231</v>
      </c>
      <c r="H127" s="29">
        <f>LOOKUP(G127,{0,180,185,190,195,200,205,209,213,217,221,225,229,233,237,241,245,253,260,265,270},{0,10,20,30,40,50,60,62,64,66,68,70,72,74,76,78,80,85,90,95,100})</f>
        <v>72</v>
      </c>
      <c r="I127" s="27">
        <v>0</v>
      </c>
      <c r="J127" s="29">
        <f>LOOKUP(I127,{0,4,5,6,7,8,9,10,11,12,13,14,15,16,17,18},{0,10,20,30,40,50,60,64,68,72,76,80,85,90,95,100})</f>
        <v>0</v>
      </c>
      <c r="K127" s="44"/>
      <c r="L127" s="35"/>
      <c r="M127" s="35">
        <f>J127+L127</f>
        <v>0</v>
      </c>
      <c r="N127" s="35">
        <v>7.5</v>
      </c>
      <c r="O127" s="36">
        <f>18-N127</f>
        <v>10.5</v>
      </c>
      <c r="P127" s="29">
        <f>LOOKUP(O127,{0,7.8,8,8.2,8.4,8.6,8.8,9,9.2,9.4,9.6,9.8,10,10.2,10.4,10.6,10.8,10.9,11,11.1,11.2},{0,10,20,30,40,50,60,62,64,66,68,70,72,74,76,78,80,85,90,95,100})</f>
        <v>76</v>
      </c>
      <c r="Q127" s="5">
        <v>3.57</v>
      </c>
      <c r="R127" s="36">
        <f>10-Q127</f>
        <v>6.43</v>
      </c>
      <c r="S127" s="29">
        <f>LOOKUP(R127,{0,3.85,4.45,4.65,4.85,5.45,5.65,5.7,5.75,5.8,5.85,5.9,5.95,6,6.45,6.5,6.55,6.63,6.7,6.75,6.8},{0,10,20,30,40,50,60,62,64,66,68,70,72,74,76,78,80,85,90,95,100})</f>
        <v>74</v>
      </c>
      <c r="T127" s="27"/>
      <c r="U127" s="27"/>
      <c r="V127" s="27">
        <f>S127+U127</f>
        <v>74</v>
      </c>
      <c r="W127" s="27"/>
      <c r="X127" s="19">
        <f>F127*0.1+H127*0.1+J127*0.1+P127*0.2+S127*0.2</f>
        <v>44.2</v>
      </c>
      <c r="Y127" s="13">
        <f>X127/0.7+L127+U127</f>
        <v>63.1428571428572</v>
      </c>
    </row>
    <row r="128" ht="15.6" spans="1:25">
      <c r="A128" s="27">
        <v>304</v>
      </c>
      <c r="B128" s="27">
        <v>5</v>
      </c>
      <c r="C128" s="27" t="s">
        <v>152</v>
      </c>
      <c r="D128" s="27" t="s">
        <v>12</v>
      </c>
      <c r="E128" s="27"/>
      <c r="F128" s="29"/>
      <c r="G128" s="27"/>
      <c r="H128" s="29"/>
      <c r="I128" s="27"/>
      <c r="J128" s="35"/>
      <c r="K128" s="44"/>
      <c r="L128" s="35"/>
      <c r="M128" s="35"/>
      <c r="N128" s="35"/>
      <c r="O128" s="5"/>
      <c r="P128" s="5"/>
      <c r="Q128" s="5"/>
      <c r="R128" s="27"/>
      <c r="S128" s="27"/>
      <c r="T128" s="27"/>
      <c r="U128" s="27"/>
      <c r="V128" s="27"/>
      <c r="W128" s="27">
        <v>50</v>
      </c>
      <c r="X128" s="19"/>
      <c r="Y128" s="19">
        <v>50</v>
      </c>
    </row>
    <row r="129" ht="15.6" spans="1:25">
      <c r="A129" s="27">
        <v>304</v>
      </c>
      <c r="B129" s="27">
        <v>6</v>
      </c>
      <c r="C129" s="27" t="s">
        <v>153</v>
      </c>
      <c r="D129" s="27" t="s">
        <v>12</v>
      </c>
      <c r="E129" s="27"/>
      <c r="F129" s="29"/>
      <c r="G129" s="27"/>
      <c r="H129" s="29"/>
      <c r="I129" s="27"/>
      <c r="J129" s="35"/>
      <c r="K129" s="44"/>
      <c r="L129" s="35"/>
      <c r="M129" s="35"/>
      <c r="N129" s="35"/>
      <c r="O129" s="5"/>
      <c r="P129" s="5"/>
      <c r="Q129" s="5"/>
      <c r="R129" s="27"/>
      <c r="S129" s="27"/>
      <c r="T129" s="27"/>
      <c r="U129" s="27"/>
      <c r="V129" s="27"/>
      <c r="W129" s="27">
        <v>50</v>
      </c>
      <c r="X129" s="19"/>
      <c r="Y129" s="19">
        <v>50</v>
      </c>
    </row>
    <row r="130" ht="15.6" spans="1:25">
      <c r="A130" s="27">
        <v>304</v>
      </c>
      <c r="B130" s="27">
        <v>7</v>
      </c>
      <c r="C130" s="27" t="s">
        <v>154</v>
      </c>
      <c r="D130" s="27" t="s">
        <v>12</v>
      </c>
      <c r="E130" s="27">
        <v>16</v>
      </c>
      <c r="F130" s="29">
        <f>LOOKUP(E130,{0,-1.8,-0.8,0.2,1.2,2.2,3.2,4.6,6,7.4,8.8,10.2,11.6,13,14.4,15.8,17.2,19.1,21,22.8,24.6},{0,10,20,30,40,50,60,62,64,66,68,70,72,74,76,78,80,85,90,95,100})</f>
        <v>78</v>
      </c>
      <c r="G130" s="27">
        <v>240</v>
      </c>
      <c r="H130" s="29">
        <f>LOOKUP(G130,{0,180,185,190,195,200,205,209,213,217,221,225,229,233,237,241,245,253,260,265,270},{0,10,20,30,40,50,60,62,64,66,68,70,72,74,76,78,80,85,90,95,100})</f>
        <v>76</v>
      </c>
      <c r="I130" s="27">
        <v>4</v>
      </c>
      <c r="J130" s="29">
        <f>LOOKUP(I130,{0,4,5,6,7,8,9,10,11,12,13,14,15,16,17,18},{0,10,20,30,40,50,60,64,68,72,76,80,85,90,95,100})</f>
        <v>10</v>
      </c>
      <c r="K130" s="44"/>
      <c r="L130" s="35"/>
      <c r="M130" s="35">
        <f>J130+L130</f>
        <v>10</v>
      </c>
      <c r="N130" s="35">
        <v>7.2</v>
      </c>
      <c r="O130" s="36">
        <f>18-N130</f>
        <v>10.8</v>
      </c>
      <c r="P130" s="29">
        <f>LOOKUP(O130,{0,7.8,8,8.2,8.4,8.6,8.8,9,9.2,9.4,9.6,9.8,10,10.2,10.4,10.6,10.8,10.9,11,11.1,11.2},{0,10,20,30,40,50,60,62,64,66,68,70,72,74,76,78,80,85,90,95,100})</f>
        <v>80</v>
      </c>
      <c r="Q130" s="5">
        <v>3.56</v>
      </c>
      <c r="R130" s="36">
        <f>10-Q130</f>
        <v>6.44</v>
      </c>
      <c r="S130" s="29">
        <f>LOOKUP(R130,{0,3.85,4.45,4.65,4.85,5.45,5.65,5.7,5.75,5.8,5.85,5.9,5.95,6,6.45,6.5,6.55,6.63,6.7,6.75,6.8},{0,10,20,30,40,50,60,62,64,66,68,70,72,74,76,78,80,85,90,95,100})</f>
        <v>74</v>
      </c>
      <c r="T130" s="27"/>
      <c r="U130" s="27"/>
      <c r="V130" s="27">
        <f>S130+U130</f>
        <v>74</v>
      </c>
      <c r="W130" s="27"/>
      <c r="X130" s="19">
        <f>F130*0.1+H130*0.1+J130*0.1+P130*0.2+S130*0.2</f>
        <v>47.2</v>
      </c>
      <c r="Y130" s="13">
        <f>X130/0.7+L130+U130</f>
        <v>67.4285714285714</v>
      </c>
    </row>
    <row r="131" ht="15.6" spans="1:25">
      <c r="A131" s="27">
        <v>304</v>
      </c>
      <c r="B131" s="27">
        <v>8</v>
      </c>
      <c r="C131" s="27" t="s">
        <v>155</v>
      </c>
      <c r="D131" s="27" t="s">
        <v>12</v>
      </c>
      <c r="E131" s="27"/>
      <c r="F131" s="29"/>
      <c r="G131" s="27"/>
      <c r="H131" s="29"/>
      <c r="I131" s="27"/>
      <c r="J131" s="35"/>
      <c r="K131" s="44"/>
      <c r="L131" s="35"/>
      <c r="M131" s="35"/>
      <c r="N131" s="35"/>
      <c r="O131" s="5"/>
      <c r="P131" s="5"/>
      <c r="Q131" s="5"/>
      <c r="R131" s="27"/>
      <c r="S131" s="27"/>
      <c r="T131" s="27"/>
      <c r="U131" s="27"/>
      <c r="V131" s="27"/>
      <c r="W131" s="27">
        <v>50</v>
      </c>
      <c r="X131" s="19"/>
      <c r="Y131" s="19">
        <v>50</v>
      </c>
    </row>
    <row r="132" ht="15.6" spans="1:25">
      <c r="A132" s="27">
        <v>304</v>
      </c>
      <c r="B132" s="27">
        <v>9</v>
      </c>
      <c r="C132" s="27" t="s">
        <v>156</v>
      </c>
      <c r="D132" s="27" t="s">
        <v>12</v>
      </c>
      <c r="E132" s="27">
        <v>5</v>
      </c>
      <c r="F132" s="29">
        <f>LOOKUP(E132,{0,-1.8,-0.8,0.2,1.2,2.2,3.2,4.6,6,7.4,8.8,10.2,11.6,13,14.4,15.8,17.2,19.1,21,22.8,24.6},{0,10,20,30,40,50,60,62,64,66,68,70,72,74,76,78,80,85,90,95,100})</f>
        <v>62</v>
      </c>
      <c r="G132" s="27">
        <v>283</v>
      </c>
      <c r="H132" s="29">
        <f>LOOKUP(G132,{0,180,185,190,195,200,205,209,213,217,221,225,229,233,237,241,245,253,260,265,270},{0,10,20,30,40,50,60,62,64,66,68,70,72,74,76,78,80,85,90,95,100})</f>
        <v>100</v>
      </c>
      <c r="I132" s="27">
        <v>20</v>
      </c>
      <c r="J132" s="29">
        <f>LOOKUP(I132,{0,4,5,6,7,8,9,10,11,12,13,14,15,16,17,18},{0,10,20,30,40,50,60,64,68,72,76,80,85,90,95,100})</f>
        <v>100</v>
      </c>
      <c r="K132" s="44">
        <f>I132-18</f>
        <v>2</v>
      </c>
      <c r="L132" s="29">
        <f>LOOKUP(K132,{0,1,2,3,4,5,6,7,8,9,10},{0,1,2,3,4,5,6,7,8,9,10})</f>
        <v>2</v>
      </c>
      <c r="M132" s="35">
        <f>J132+L132</f>
        <v>102</v>
      </c>
      <c r="N132" s="35">
        <v>6.9</v>
      </c>
      <c r="O132" s="36">
        <f>18-N132</f>
        <v>11.1</v>
      </c>
      <c r="P132" s="29">
        <f>LOOKUP(O132,{0,7.8,8,8.2,8.4,8.6,8.8,9,9.2,9.4,9.6,9.8,10,10.2,10.4,10.6,10.8,10.9,11,11.1,11.2},{0,10,20,30,40,50,60,62,64,66,68,70,72,74,76,78,80,85,90,95,100})</f>
        <v>95</v>
      </c>
      <c r="Q132" s="5">
        <v>3.18</v>
      </c>
      <c r="R132" s="36">
        <f>10-Q132</f>
        <v>6.82</v>
      </c>
      <c r="S132" s="29">
        <f>LOOKUP(R132,{0,3.85,4.45,4.65,4.85,5.45,5.65,5.7,5.75,5.8,5.85,5.9,5.95,6,6.45,6.5,6.55,6.63,6.7,6.75,6.8},{0,10,20,30,40,50,60,62,64,66,68,70,72,74,76,78,80,85,90,95,100})</f>
        <v>100</v>
      </c>
      <c r="T132" s="27">
        <f>3.2-Q132</f>
        <v>0.02</v>
      </c>
      <c r="U132" s="29">
        <f>LOOKUP(T132,{0,0.04,0.08,0.12,0.16,0.2,0.23,0.26,0.29,0.32,0.35},{0,1,2,3,4,5,6,7,8,9,10})</f>
        <v>0</v>
      </c>
      <c r="V132" s="27">
        <f>S132+U132</f>
        <v>100</v>
      </c>
      <c r="W132" s="27"/>
      <c r="X132" s="19">
        <f>F132*0.1+H132*0.1+J132*0.1+P132*0.2+S132*0.2</f>
        <v>65.2</v>
      </c>
      <c r="Y132" s="13">
        <f>X132/0.7+L132+U132</f>
        <v>95.1428571428572</v>
      </c>
    </row>
    <row r="133" ht="15.6" spans="1:25">
      <c r="A133" s="27">
        <v>304</v>
      </c>
      <c r="B133" s="27">
        <v>10</v>
      </c>
      <c r="C133" s="27" t="s">
        <v>157</v>
      </c>
      <c r="D133" s="27" t="s">
        <v>12</v>
      </c>
      <c r="E133" s="27"/>
      <c r="F133" s="29"/>
      <c r="G133" s="27"/>
      <c r="H133" s="29"/>
      <c r="I133" s="27"/>
      <c r="J133" s="35"/>
      <c r="K133" s="44"/>
      <c r="L133" s="35"/>
      <c r="M133" s="35"/>
      <c r="N133" s="35"/>
      <c r="O133" s="5"/>
      <c r="P133" s="5"/>
      <c r="Q133" s="5"/>
      <c r="R133" s="27"/>
      <c r="S133" s="27"/>
      <c r="T133" s="27"/>
      <c r="U133" s="27"/>
      <c r="V133" s="27"/>
      <c r="W133" s="27">
        <v>50</v>
      </c>
      <c r="X133" s="19"/>
      <c r="Y133" s="19">
        <v>50</v>
      </c>
    </row>
    <row r="134" ht="15.6" spans="1:25">
      <c r="A134" s="27">
        <v>304</v>
      </c>
      <c r="B134" s="27">
        <v>11</v>
      </c>
      <c r="C134" s="27" t="s">
        <v>158</v>
      </c>
      <c r="D134" s="27" t="s">
        <v>12</v>
      </c>
      <c r="E134" s="27"/>
      <c r="F134" s="29"/>
      <c r="G134" s="27"/>
      <c r="H134" s="29"/>
      <c r="I134" s="27"/>
      <c r="J134" s="35"/>
      <c r="K134" s="44"/>
      <c r="L134" s="35"/>
      <c r="M134" s="35"/>
      <c r="N134" s="35"/>
      <c r="O134" s="5"/>
      <c r="P134" s="5"/>
      <c r="Q134" s="5"/>
      <c r="R134" s="27"/>
      <c r="S134" s="27"/>
      <c r="T134" s="27"/>
      <c r="U134" s="27"/>
      <c r="V134" s="27"/>
      <c r="W134" s="27">
        <v>50</v>
      </c>
      <c r="X134" s="19"/>
      <c r="Y134" s="19">
        <v>50</v>
      </c>
    </row>
    <row r="135" ht="15.6" spans="1:25">
      <c r="A135" s="27">
        <v>304</v>
      </c>
      <c r="B135" s="27">
        <v>12</v>
      </c>
      <c r="C135" s="31" t="s">
        <v>160</v>
      </c>
      <c r="D135" s="27" t="s">
        <v>12</v>
      </c>
      <c r="E135" s="27">
        <v>7.5</v>
      </c>
      <c r="F135" s="29">
        <f>LOOKUP(E135,{0,-1.8,-0.8,0.2,1.2,2.2,3.2,4.6,6,7.4,8.8,10.2,11.6,13,14.4,15.8,17.2,19.1,21,22.8,24.6},{0,10,20,30,40,50,60,62,64,66,68,70,72,74,76,78,80,85,90,95,100})</f>
        <v>66</v>
      </c>
      <c r="G135" s="27">
        <v>238</v>
      </c>
      <c r="H135" s="29">
        <f>LOOKUP(G135,{0,180,185,190,195,200,205,209,213,217,221,225,229,233,237,241,245,253,260,265,270},{0,10,20,30,40,50,60,62,64,66,68,70,72,74,76,78,80,85,90,95,100})</f>
        <v>76</v>
      </c>
      <c r="I135" s="27">
        <v>17</v>
      </c>
      <c r="J135" s="29">
        <f>LOOKUP(I135,{0,4,5,6,7,8,9,10,11,12,13,14,15,16,17,18},{0,10,20,30,40,50,60,64,68,72,76,80,85,90,95,100})</f>
        <v>95</v>
      </c>
      <c r="K135" s="44"/>
      <c r="L135" s="35"/>
      <c r="M135" s="35">
        <f>J135+L135</f>
        <v>95</v>
      </c>
      <c r="N135" s="35">
        <v>7.4</v>
      </c>
      <c r="O135" s="36">
        <f>18-N135</f>
        <v>10.6</v>
      </c>
      <c r="P135" s="29">
        <f>LOOKUP(O135,{0,7.8,8,8.2,8.4,8.6,8.8,9,9.2,9.4,9.6,9.8,10,10.2,10.4,10.6,10.8,10.9,11,11.1,11.2},{0,10,20,30,40,50,60,62,64,66,68,70,72,74,76,78,80,85,90,95,100})</f>
        <v>78</v>
      </c>
      <c r="Q135" s="5">
        <v>4.5</v>
      </c>
      <c r="R135" s="36">
        <f>10-Q135</f>
        <v>5.5</v>
      </c>
      <c r="S135" s="29">
        <f>LOOKUP(R135,{0,3.85,4.45,4.65,4.85,5.45,5.65,5.7,5.75,5.8,5.85,5.9,5.95,6,6.45,6.5,6.55,6.63,6.7,6.75,6.8},{0,10,20,30,40,50,60,62,64,66,68,70,72,74,76,78,80,85,90,95,100})</f>
        <v>50</v>
      </c>
      <c r="T135" s="27"/>
      <c r="U135" s="27"/>
      <c r="V135" s="27">
        <f>S135+U135</f>
        <v>50</v>
      </c>
      <c r="W135" s="27"/>
      <c r="X135" s="19">
        <f>F135*0.1+H135*0.1+J135*0.1+P135*0.2+S135*0.2</f>
        <v>49.3</v>
      </c>
      <c r="Y135" s="13">
        <f>X135/0.7+L135+U135</f>
        <v>70.4285714285714</v>
      </c>
    </row>
    <row r="136" ht="15.6" spans="1:25">
      <c r="A136" s="27">
        <v>304</v>
      </c>
      <c r="B136" s="27">
        <v>13</v>
      </c>
      <c r="C136" s="27" t="s">
        <v>161</v>
      </c>
      <c r="D136" s="27" t="s">
        <v>12</v>
      </c>
      <c r="E136" s="27"/>
      <c r="F136" s="29"/>
      <c r="G136" s="27"/>
      <c r="H136" s="29"/>
      <c r="I136" s="27"/>
      <c r="J136" s="35"/>
      <c r="K136" s="44"/>
      <c r="L136" s="35"/>
      <c r="M136" s="35"/>
      <c r="N136" s="35"/>
      <c r="O136" s="5"/>
      <c r="P136" s="5"/>
      <c r="Q136" s="5"/>
      <c r="R136" s="27"/>
      <c r="S136" s="27"/>
      <c r="T136" s="27"/>
      <c r="U136" s="27"/>
      <c r="V136" s="27"/>
      <c r="W136" s="27">
        <v>50</v>
      </c>
      <c r="X136" s="19"/>
      <c r="Y136" s="19">
        <v>50</v>
      </c>
    </row>
    <row r="137" ht="15.6" spans="1:25">
      <c r="A137" s="27">
        <v>304</v>
      </c>
      <c r="B137" s="27">
        <v>14</v>
      </c>
      <c r="C137" s="27" t="s">
        <v>162</v>
      </c>
      <c r="D137" s="27" t="s">
        <v>12</v>
      </c>
      <c r="E137" s="27">
        <v>-2</v>
      </c>
      <c r="F137" s="29">
        <v>0</v>
      </c>
      <c r="G137" s="27">
        <v>190</v>
      </c>
      <c r="H137" s="29">
        <f>LOOKUP(G137,{0,180,185,190,195,200,205,209,213,217,221,225,229,233,237,241,245,253,260,265,270},{0,10,20,30,40,50,60,62,64,66,68,70,72,74,76,78,80,85,90,95,100})</f>
        <v>30</v>
      </c>
      <c r="I137" s="27">
        <v>1</v>
      </c>
      <c r="J137" s="29">
        <f>LOOKUP(I137,{0,4,5,6,7,8,9,10,11,12,13,14,15,16,17,18},{0,10,20,30,40,50,60,64,68,72,76,80,85,90,95,100})</f>
        <v>0</v>
      </c>
      <c r="K137" s="44"/>
      <c r="L137" s="35"/>
      <c r="M137" s="35">
        <f>J137+L137</f>
        <v>0</v>
      </c>
      <c r="N137" s="35">
        <v>8.1</v>
      </c>
      <c r="O137" s="36">
        <f>18-N137</f>
        <v>9.9</v>
      </c>
      <c r="P137" s="29">
        <f>LOOKUP(O137,{0,7.8,8,8.2,8.4,8.6,8.8,9,9.2,9.4,9.6,9.8,10,10.2,10.4,10.6,10.8,10.9,11,11.1,11.2},{0,10,20,30,40,50,60,62,64,66,68,70,72,74,76,78,80,85,90,95,100})</f>
        <v>70</v>
      </c>
      <c r="Q137" s="5">
        <v>5</v>
      </c>
      <c r="R137" s="36">
        <f>10-Q137</f>
        <v>5</v>
      </c>
      <c r="S137" s="29">
        <f>LOOKUP(R137,{0,3.85,4.45,4.65,4.85,5.45,5.65,5.7,5.75,5.8,5.85,5.9,5.95,6,6.45,6.5,6.55,6.63,6.7,6.75,6.8},{0,10,20,30,40,50,60,62,64,66,68,70,72,74,76,78,80,85,90,95,100})</f>
        <v>40</v>
      </c>
      <c r="T137" s="27"/>
      <c r="U137" s="27"/>
      <c r="V137" s="27">
        <f>S137+U137</f>
        <v>40</v>
      </c>
      <c r="W137" s="27"/>
      <c r="X137" s="19">
        <f>F137*0.1+H137*0.1+J137*0.1+P137*0.2+S137*0.2</f>
        <v>25</v>
      </c>
      <c r="Y137" s="13">
        <f>X137/0.7+L137+U137</f>
        <v>35.7142857142857</v>
      </c>
    </row>
    <row r="138" ht="15.6" spans="1:25">
      <c r="A138" s="27">
        <v>304</v>
      </c>
      <c r="B138" s="27">
        <v>15</v>
      </c>
      <c r="C138" s="27" t="s">
        <v>163</v>
      </c>
      <c r="D138" s="27" t="s">
        <v>12</v>
      </c>
      <c r="E138" s="27">
        <v>6</v>
      </c>
      <c r="F138" s="29">
        <f>LOOKUP(E138,{0,-1.8,-0.8,0.2,1.2,2.2,3.2,4.6,6,7.4,8.8,10.2,11.6,13,14.4,15.8,17.2,19.1,21,22.8,24.6},{0,10,20,30,40,50,60,62,64,66,68,70,72,74,76,78,80,85,90,95,100})</f>
        <v>64</v>
      </c>
      <c r="G138" s="27">
        <v>240</v>
      </c>
      <c r="H138" s="29">
        <f>LOOKUP(G138,{0,180,185,190,195,200,205,209,213,217,221,225,229,233,237,241,245,253,260,265,270},{0,10,20,30,40,50,60,62,64,66,68,70,72,74,76,78,80,85,90,95,100})</f>
        <v>76</v>
      </c>
      <c r="I138" s="27">
        <v>2</v>
      </c>
      <c r="J138" s="29">
        <f>LOOKUP(I138,{0,4,5,6,7,8,9,10,11,12,13,14,15,16,17,18},{0,10,20,30,40,50,60,64,68,72,76,80,85,90,95,100})</f>
        <v>0</v>
      </c>
      <c r="K138" s="44"/>
      <c r="L138" s="35"/>
      <c r="M138" s="35">
        <f>J138+L138</f>
        <v>0</v>
      </c>
      <c r="N138" s="35">
        <v>7.5</v>
      </c>
      <c r="O138" s="36">
        <f>18-N138</f>
        <v>10.5</v>
      </c>
      <c r="P138" s="29">
        <f>LOOKUP(O138,{0,7.8,8,8.2,8.4,8.6,8.8,9,9.2,9.4,9.6,9.8,10,10.2,10.4,10.6,10.8,10.9,11,11.1,11.2},{0,10,20,30,40,50,60,62,64,66,68,70,72,74,76,78,80,85,90,95,100})</f>
        <v>76</v>
      </c>
      <c r="Q138" s="5">
        <v>4.5</v>
      </c>
      <c r="R138" s="36">
        <f>10-Q138</f>
        <v>5.5</v>
      </c>
      <c r="S138" s="29">
        <f>LOOKUP(R138,{0,3.85,4.45,4.65,4.85,5.45,5.65,5.7,5.75,5.8,5.85,5.9,5.95,6,6.45,6.5,6.55,6.63,6.7,6.75,6.8},{0,10,20,30,40,50,60,62,64,66,68,70,72,74,76,78,80,85,90,95,100})</f>
        <v>50</v>
      </c>
      <c r="T138" s="27"/>
      <c r="U138" s="27"/>
      <c r="V138" s="27">
        <f>S138+U138</f>
        <v>50</v>
      </c>
      <c r="W138" s="27"/>
      <c r="X138" s="19">
        <f>F138*0.1+H138*0.1+J138*0.1+P138*0.2+S138*0.2</f>
        <v>39.2</v>
      </c>
      <c r="Y138" s="13">
        <f>X138/0.7+L138+U138</f>
        <v>56</v>
      </c>
    </row>
    <row r="139" ht="15.6" spans="1:25">
      <c r="A139" s="27">
        <v>304</v>
      </c>
      <c r="B139" s="27">
        <v>16</v>
      </c>
      <c r="C139" s="27" t="s">
        <v>164</v>
      </c>
      <c r="D139" s="27" t="s">
        <v>12</v>
      </c>
      <c r="E139" s="27">
        <v>10</v>
      </c>
      <c r="F139" s="29">
        <f>LOOKUP(E139,{0,-1.8,-0.8,0.2,1.2,2.2,3.2,4.6,6,7.4,8.8,10.2,11.6,13,14.4,15.8,17.2,19.1,21,22.8,24.6},{0,10,20,30,40,50,60,62,64,66,68,70,72,74,76,78,80,85,90,95,100})</f>
        <v>68</v>
      </c>
      <c r="G139" s="27">
        <v>275</v>
      </c>
      <c r="H139" s="29">
        <f>LOOKUP(G139,{0,180,185,190,195,200,205,209,213,217,221,225,229,233,237,241,245,253,260,265,270},{0,10,20,30,40,50,60,62,64,66,68,70,72,74,76,78,80,85,90,95,100})</f>
        <v>100</v>
      </c>
      <c r="I139" s="27">
        <v>13</v>
      </c>
      <c r="J139" s="29">
        <f>LOOKUP(I139,{0,4,5,6,7,8,9,10,11,12,13,14,15,16,17,18},{0,10,20,30,40,50,60,64,68,72,76,80,85,90,95,100})</f>
        <v>76</v>
      </c>
      <c r="K139" s="44"/>
      <c r="L139" s="35"/>
      <c r="M139" s="35">
        <f>J139+L139</f>
        <v>76</v>
      </c>
      <c r="N139" s="35">
        <v>7.1</v>
      </c>
      <c r="O139" s="36">
        <f>18-N139</f>
        <v>10.9</v>
      </c>
      <c r="P139" s="29">
        <f>LOOKUP(O139,{0,7.8,8,8.2,8.4,8.6,8.8,9,9.2,9.4,9.6,9.8,10,10.2,10.4,10.6,10.8,10.9,11,11.1,11.2},{0,10,20,30,40,50,60,62,64,66,68,70,72,74,76,78,80,85,90,95,100})</f>
        <v>85</v>
      </c>
      <c r="Q139" s="5">
        <v>4.5</v>
      </c>
      <c r="R139" s="36">
        <f>10-Q139</f>
        <v>5.5</v>
      </c>
      <c r="S139" s="29">
        <f>LOOKUP(R139,{0,3.85,4.45,4.65,4.85,5.45,5.65,5.7,5.75,5.8,5.85,5.9,5.95,6,6.45,6.5,6.55,6.63,6.7,6.75,6.8},{0,10,20,30,40,50,60,62,64,66,68,70,72,74,76,78,80,85,90,95,100})</f>
        <v>50</v>
      </c>
      <c r="T139" s="27"/>
      <c r="U139" s="27"/>
      <c r="V139" s="27">
        <f>S139+U139</f>
        <v>50</v>
      </c>
      <c r="W139" s="27"/>
      <c r="X139" s="19">
        <f>F139*0.1+H139*0.1+J139*0.1+P139*0.2+S139*0.2</f>
        <v>51.4</v>
      </c>
      <c r="Y139" s="13">
        <f>X139/0.7+L139+U139</f>
        <v>73.4285714285714</v>
      </c>
    </row>
    <row r="140" ht="15.6" spans="1:25">
      <c r="A140" s="27">
        <v>304</v>
      </c>
      <c r="B140" s="27">
        <v>17</v>
      </c>
      <c r="C140" s="27" t="s">
        <v>165</v>
      </c>
      <c r="D140" s="27" t="s">
        <v>12</v>
      </c>
      <c r="E140" s="27"/>
      <c r="F140" s="29"/>
      <c r="G140" s="27"/>
      <c r="H140" s="29"/>
      <c r="I140" s="27"/>
      <c r="J140" s="35"/>
      <c r="K140" s="44"/>
      <c r="L140" s="35"/>
      <c r="M140" s="35"/>
      <c r="N140" s="35"/>
      <c r="O140" s="5"/>
      <c r="P140" s="5"/>
      <c r="Q140" s="5"/>
      <c r="R140" s="27"/>
      <c r="S140" s="27"/>
      <c r="T140" s="27"/>
      <c r="U140" s="27"/>
      <c r="V140" s="27"/>
      <c r="W140" s="27">
        <v>50</v>
      </c>
      <c r="X140" s="19"/>
      <c r="Y140" s="19">
        <v>50</v>
      </c>
    </row>
    <row r="141" ht="15.6" spans="1:25">
      <c r="A141" s="27">
        <v>304</v>
      </c>
      <c r="B141" s="27">
        <v>18</v>
      </c>
      <c r="C141" s="27" t="s">
        <v>166</v>
      </c>
      <c r="D141" s="27" t="s">
        <v>12</v>
      </c>
      <c r="E141" s="27">
        <v>9</v>
      </c>
      <c r="F141" s="29">
        <f>LOOKUP(E141,{0,-1.8,-0.8,0.2,1.2,2.2,3.2,4.6,6,7.4,8.8,10.2,11.6,13,14.4,15.8,17.2,19.1,21,22.8,24.6},{0,10,20,30,40,50,60,62,64,66,68,70,72,74,76,78,80,85,90,95,100})</f>
        <v>68</v>
      </c>
      <c r="G141" s="27">
        <v>240</v>
      </c>
      <c r="H141" s="29">
        <f>LOOKUP(G141,{0,180,185,190,195,200,205,209,213,217,221,225,229,233,237,241,245,253,260,265,270},{0,10,20,30,40,50,60,62,64,66,68,70,72,74,76,78,80,85,90,95,100})</f>
        <v>76</v>
      </c>
      <c r="I141" s="27">
        <v>2</v>
      </c>
      <c r="J141" s="29">
        <f>LOOKUP(I141,{0,4,5,6,7,8,9,10,11,12,13,14,15,16,17,18},{0,10,20,30,40,50,60,64,68,72,76,80,85,90,95,100})</f>
        <v>0</v>
      </c>
      <c r="K141" s="44"/>
      <c r="L141" s="35"/>
      <c r="M141" s="35">
        <f>J141+L141</f>
        <v>0</v>
      </c>
      <c r="N141" s="35">
        <v>7.1</v>
      </c>
      <c r="O141" s="36">
        <f>18-N141</f>
        <v>10.9</v>
      </c>
      <c r="P141" s="29">
        <f>LOOKUP(O141,{0,7.8,8,8.2,8.4,8.6,8.8,9,9.2,9.4,9.6,9.8,10,10.2,10.4,10.6,10.8,10.9,11,11.1,11.2},{0,10,20,30,40,50,60,62,64,66,68,70,72,74,76,78,80,85,90,95,100})</f>
        <v>85</v>
      </c>
      <c r="Q141" s="5">
        <v>4.5</v>
      </c>
      <c r="R141" s="36">
        <f>10-Q141</f>
        <v>5.5</v>
      </c>
      <c r="S141" s="29">
        <f>LOOKUP(R141,{0,3.85,4.45,4.65,4.85,5.45,5.65,5.7,5.75,5.8,5.85,5.9,5.95,6,6.45,6.5,6.55,6.63,6.7,6.75,6.8},{0,10,20,30,40,50,60,62,64,66,68,70,72,74,76,78,80,85,90,95,100})</f>
        <v>50</v>
      </c>
      <c r="T141" s="27"/>
      <c r="U141" s="27"/>
      <c r="V141" s="27">
        <f>S141+U141</f>
        <v>50</v>
      </c>
      <c r="W141" s="27"/>
      <c r="X141" s="19">
        <f>F141*0.1+H141*0.1+J141*0.1+P141*0.2+S141*0.2</f>
        <v>41.4</v>
      </c>
      <c r="Y141" s="13">
        <f>X141/0.7+L141+U141</f>
        <v>59.1428571428572</v>
      </c>
    </row>
    <row r="142" ht="15.6" spans="1:25">
      <c r="A142" s="27">
        <v>304</v>
      </c>
      <c r="B142" s="27">
        <v>19</v>
      </c>
      <c r="C142" s="27" t="s">
        <v>167</v>
      </c>
      <c r="D142" s="27" t="s">
        <v>12</v>
      </c>
      <c r="E142" s="27">
        <v>14</v>
      </c>
      <c r="F142" s="29">
        <f>LOOKUP(E142,{0,-1.8,-0.8,0.2,1.2,2.2,3.2,4.6,6,7.4,8.8,10.2,11.6,13,14.4,15.8,17.2,19.1,21,22.8,24.6},{0,10,20,30,40,50,60,62,64,66,68,70,72,74,76,78,80,85,90,95,100})</f>
        <v>74</v>
      </c>
      <c r="G142" s="27">
        <v>240</v>
      </c>
      <c r="H142" s="29">
        <f>LOOKUP(G142,{0,180,185,190,195,200,205,209,213,217,221,225,229,233,237,241,245,253,260,265,270},{0,10,20,30,40,50,60,62,64,66,68,70,72,74,76,78,80,85,90,95,100})</f>
        <v>76</v>
      </c>
      <c r="I142" s="27">
        <v>13</v>
      </c>
      <c r="J142" s="29">
        <f>LOOKUP(I142,{0,4,5,6,7,8,9,10,11,12,13,14,15,16,17,18},{0,10,20,30,40,50,60,64,68,72,76,80,85,90,95,100})</f>
        <v>76</v>
      </c>
      <c r="K142" s="44"/>
      <c r="L142" s="35"/>
      <c r="M142" s="35">
        <f>J142+L142</f>
        <v>76</v>
      </c>
      <c r="N142" s="35">
        <v>7.3</v>
      </c>
      <c r="O142" s="36">
        <f>18-N142</f>
        <v>10.7</v>
      </c>
      <c r="P142" s="29">
        <f>LOOKUP(O142,{0,7.8,8,8.2,8.4,8.6,8.8,9,9.2,9.4,9.6,9.8,10,10.2,10.4,10.6,10.8,10.9,11,11.1,11.2},{0,10,20,30,40,50,60,62,64,66,68,70,72,74,76,78,80,85,90,95,100})</f>
        <v>78</v>
      </c>
      <c r="Q142" s="5">
        <v>3.19</v>
      </c>
      <c r="R142" s="36">
        <f>10-Q142</f>
        <v>6.81</v>
      </c>
      <c r="S142" s="29">
        <f>LOOKUP(R142,{0,3.85,4.45,4.65,4.85,5.45,5.65,5.7,5.75,5.8,5.85,5.9,5.95,6,6.45,6.5,6.55,6.63,6.7,6.75,6.8},{0,10,20,30,40,50,60,62,64,66,68,70,72,74,76,78,80,85,90,95,100})</f>
        <v>100</v>
      </c>
      <c r="T142" s="27">
        <f>3.2-Q142</f>
        <v>0.0100000000000002</v>
      </c>
      <c r="U142" s="29">
        <f>LOOKUP(T142,{0,0.04,0.08,0.12,0.16,0.2,0.23,0.26,0.29,0.32,0.35},{0,1,2,3,4,5,6,7,8,9,10})</f>
        <v>0</v>
      </c>
      <c r="V142" s="27">
        <f>S142+U142</f>
        <v>100</v>
      </c>
      <c r="W142" s="27"/>
      <c r="X142" s="19">
        <f>F142*0.1+H142*0.1+J142*0.1+P142*0.2+S142*0.2</f>
        <v>58.2</v>
      </c>
      <c r="Y142" s="13">
        <f>X142/0.7+L142+U142</f>
        <v>83.1428571428572</v>
      </c>
    </row>
    <row r="143" ht="15.6" spans="1:25">
      <c r="A143" s="27">
        <v>304</v>
      </c>
      <c r="B143" s="27">
        <v>20</v>
      </c>
      <c r="C143" s="27" t="s">
        <v>168</v>
      </c>
      <c r="D143" s="27" t="s">
        <v>12</v>
      </c>
      <c r="E143" s="27"/>
      <c r="F143" s="29"/>
      <c r="G143" s="27"/>
      <c r="H143" s="29"/>
      <c r="I143" s="27"/>
      <c r="J143" s="35"/>
      <c r="K143" s="44"/>
      <c r="L143" s="35"/>
      <c r="M143" s="35"/>
      <c r="N143" s="35"/>
      <c r="O143" s="5"/>
      <c r="P143" s="5"/>
      <c r="Q143" s="5"/>
      <c r="R143" s="27"/>
      <c r="S143" s="27"/>
      <c r="T143" s="27"/>
      <c r="U143" s="27"/>
      <c r="V143" s="27"/>
      <c r="W143" s="27">
        <v>50</v>
      </c>
      <c r="X143" s="19"/>
      <c r="Y143" s="19">
        <v>50</v>
      </c>
    </row>
    <row r="144" ht="15.6" spans="1:25">
      <c r="A144" s="27">
        <v>304</v>
      </c>
      <c r="B144" s="27">
        <v>21</v>
      </c>
      <c r="C144" s="27" t="s">
        <v>169</v>
      </c>
      <c r="D144" s="27" t="s">
        <v>12</v>
      </c>
      <c r="E144" s="27">
        <v>12.5</v>
      </c>
      <c r="F144" s="29">
        <f>LOOKUP(E144,{0,-1.8,-0.8,0.2,1.2,2.2,3.2,4.6,6,7.4,8.8,10.2,11.6,13,14.4,15.8,17.2,19.1,21,22.8,24.6},{0,10,20,30,40,50,60,62,64,66,68,70,72,74,76,78,80,85,90,95,100})</f>
        <v>72</v>
      </c>
      <c r="G144" s="27">
        <v>195</v>
      </c>
      <c r="H144" s="29">
        <f>LOOKUP(G144,{0,180,185,190,195,200,205,209,213,217,221,225,229,233,237,241,245,253,260,265,270},{0,10,20,30,40,50,60,62,64,66,68,70,72,74,76,78,80,85,90,95,100})</f>
        <v>40</v>
      </c>
      <c r="I144" s="27">
        <v>0</v>
      </c>
      <c r="J144" s="29">
        <f>LOOKUP(I144,{0,4,5,6,7,8,9,10,11,12,13,14,15,16,17,18},{0,10,20,30,40,50,60,64,68,72,76,80,85,90,95,100})</f>
        <v>0</v>
      </c>
      <c r="K144" s="44"/>
      <c r="L144" s="35"/>
      <c r="M144" s="35">
        <f>J144+L144</f>
        <v>0</v>
      </c>
      <c r="N144" s="35">
        <v>7.5</v>
      </c>
      <c r="O144" s="36">
        <f>18-N144</f>
        <v>10.5</v>
      </c>
      <c r="P144" s="29">
        <f>LOOKUP(O144,{0,7.8,8,8.2,8.4,8.6,8.8,9,9.2,9.4,9.6,9.8,10,10.2,10.4,10.6,10.8,10.9,11,11.1,11.2},{0,10,20,30,40,50,60,62,64,66,68,70,72,74,76,78,80,85,90,95,100})</f>
        <v>76</v>
      </c>
      <c r="Q144" s="5">
        <v>4.19</v>
      </c>
      <c r="R144" s="36">
        <f>10-Q144</f>
        <v>5.81</v>
      </c>
      <c r="S144" s="29">
        <f>LOOKUP(R144,{0,3.85,4.45,4.65,4.85,5.45,5.65,5.7,5.75,5.8,5.85,5.9,5.95,6,6.45,6.5,6.55,6.63,6.7,6.75,6.8},{0,10,20,30,40,50,60,62,64,66,68,70,72,74,76,78,80,85,90,95,100})</f>
        <v>66</v>
      </c>
      <c r="T144" s="27"/>
      <c r="U144" s="27"/>
      <c r="V144" s="27">
        <f>S144+U144</f>
        <v>66</v>
      </c>
      <c r="W144" s="27"/>
      <c r="X144" s="19">
        <f>F144*0.1+H144*0.1+J144*0.1+P144*0.2+S144*0.2</f>
        <v>39.6</v>
      </c>
      <c r="Y144" s="13">
        <f>X144/0.7+L144+U144</f>
        <v>56.5714285714286</v>
      </c>
    </row>
    <row r="145" ht="15.6" spans="1:25">
      <c r="A145" s="27">
        <v>304</v>
      </c>
      <c r="B145" s="27">
        <v>22</v>
      </c>
      <c r="C145" s="27" t="s">
        <v>170</v>
      </c>
      <c r="D145" s="27" t="s">
        <v>12</v>
      </c>
      <c r="E145" s="27">
        <v>-5.5</v>
      </c>
      <c r="F145" s="29">
        <v>0</v>
      </c>
      <c r="G145" s="27">
        <v>235</v>
      </c>
      <c r="H145" s="29">
        <f>LOOKUP(G145,{0,180,185,190,195,200,205,209,213,217,221,225,229,233,237,241,245,253,260,265,270},{0,10,20,30,40,50,60,62,64,66,68,70,72,74,76,78,80,85,90,95,100})</f>
        <v>74</v>
      </c>
      <c r="I145" s="27">
        <v>0</v>
      </c>
      <c r="J145" s="29">
        <f>LOOKUP(I145,{0,4,5,6,7,8,9,10,11,12,13,14,15,16,17,18},{0,10,20,30,40,50,60,64,68,72,76,80,85,90,95,100})</f>
        <v>0</v>
      </c>
      <c r="K145" s="44"/>
      <c r="L145" s="35"/>
      <c r="M145" s="35">
        <f>J145+L145</f>
        <v>0</v>
      </c>
      <c r="N145" s="35">
        <v>7.5</v>
      </c>
      <c r="O145" s="36">
        <f>18-N145</f>
        <v>10.5</v>
      </c>
      <c r="P145" s="29">
        <f>LOOKUP(O145,{0,7.8,8,8.2,8.4,8.6,8.8,9,9.2,9.4,9.6,9.8,10,10.2,10.4,10.6,10.8,10.9,11,11.1,11.2},{0,10,20,30,40,50,60,62,64,66,68,70,72,74,76,78,80,85,90,95,100})</f>
        <v>76</v>
      </c>
      <c r="Q145" s="5">
        <v>4.5</v>
      </c>
      <c r="R145" s="36">
        <f>10-Q145</f>
        <v>5.5</v>
      </c>
      <c r="S145" s="29">
        <f>LOOKUP(R145,{0,3.85,4.45,4.65,4.85,5.45,5.65,5.7,5.75,5.8,5.85,5.9,5.95,6,6.45,6.5,6.55,6.63,6.7,6.75,6.8},{0,10,20,30,40,50,60,62,64,66,68,70,72,74,76,78,80,85,90,95,100})</f>
        <v>50</v>
      </c>
      <c r="T145" s="27"/>
      <c r="U145" s="27"/>
      <c r="V145" s="27">
        <f>S145+U145</f>
        <v>50</v>
      </c>
      <c r="W145" s="27"/>
      <c r="X145" s="19">
        <f>F145*0.1+H145*0.1+J145*0.1+P145*0.2+S145*0.2</f>
        <v>32.6</v>
      </c>
      <c r="Y145" s="13">
        <f>X145/0.7+L145+U145</f>
        <v>46.5714285714286</v>
      </c>
    </row>
    <row r="146" ht="15.6" spans="1:25">
      <c r="A146" s="27">
        <v>304</v>
      </c>
      <c r="B146" s="27">
        <v>23</v>
      </c>
      <c r="C146" s="27" t="s">
        <v>171</v>
      </c>
      <c r="D146" s="27" t="s">
        <v>12</v>
      </c>
      <c r="E146" s="27"/>
      <c r="F146" s="29"/>
      <c r="G146" s="27"/>
      <c r="H146" s="29"/>
      <c r="I146" s="27"/>
      <c r="J146" s="35"/>
      <c r="K146" s="44"/>
      <c r="L146" s="35"/>
      <c r="M146" s="35"/>
      <c r="N146" s="35"/>
      <c r="O146" s="5"/>
      <c r="P146" s="5"/>
      <c r="Q146" s="5"/>
      <c r="R146" s="27"/>
      <c r="S146" s="27"/>
      <c r="T146" s="27"/>
      <c r="U146" s="27"/>
      <c r="V146" s="27"/>
      <c r="W146" s="27">
        <v>50</v>
      </c>
      <c r="X146" s="19"/>
      <c r="Y146" s="19">
        <v>50</v>
      </c>
    </row>
    <row r="147" ht="15.6" spans="1:25">
      <c r="A147" s="27">
        <v>304</v>
      </c>
      <c r="B147" s="27">
        <v>24</v>
      </c>
      <c r="C147" s="31" t="s">
        <v>173</v>
      </c>
      <c r="D147" s="27" t="s">
        <v>12</v>
      </c>
      <c r="E147" s="27">
        <v>15</v>
      </c>
      <c r="F147" s="29">
        <f>LOOKUP(E147,{0,-1.8,-0.8,0.2,1.2,2.2,3.2,4.6,6,7.4,8.8,10.2,11.6,13,14.4,15.8,17.2,19.1,21,22.8,24.6},{0,10,20,30,40,50,60,62,64,66,68,70,72,74,76,78,80,85,90,95,100})</f>
        <v>76</v>
      </c>
      <c r="G147" s="27">
        <v>230</v>
      </c>
      <c r="H147" s="29">
        <f>LOOKUP(G147,{0,180,185,190,195,200,205,209,213,217,221,225,229,233,237,241,245,253,260,265,270},{0,10,20,30,40,50,60,62,64,66,68,70,72,74,76,78,80,85,90,95,100})</f>
        <v>72</v>
      </c>
      <c r="I147" s="27">
        <v>3</v>
      </c>
      <c r="J147" s="29">
        <f>LOOKUP(I147,{0,4,5,6,7,8,9,10,11,12,13,14,15,16,17,18},{0,10,20,30,40,50,60,64,68,72,76,80,85,90,95,100})</f>
        <v>0</v>
      </c>
      <c r="K147" s="44"/>
      <c r="L147" s="35"/>
      <c r="M147" s="35">
        <f>J147+L147</f>
        <v>0</v>
      </c>
      <c r="N147" s="35">
        <v>7.3</v>
      </c>
      <c r="O147" s="36">
        <f>18-N147</f>
        <v>10.7</v>
      </c>
      <c r="P147" s="29">
        <f>LOOKUP(O147,{0,7.8,8,8.2,8.4,8.6,8.8,9,9.2,9.4,9.6,9.8,10,10.2,10.4,10.6,10.8,10.9,11,11.1,11.2},{0,10,20,30,40,50,60,62,64,66,68,70,72,74,76,78,80,85,90,95,100})</f>
        <v>78</v>
      </c>
      <c r="Q147" s="5">
        <v>3.55</v>
      </c>
      <c r="R147" s="36">
        <f>10-Q147</f>
        <v>6.45</v>
      </c>
      <c r="S147" s="29">
        <f>LOOKUP(R147,{0,3.85,4.45,4.65,4.85,5.45,5.65,5.7,5.75,5.8,5.85,5.9,5.95,6,6.45,6.5,6.55,6.63,6.7,6.75,6.8},{0,10,20,30,40,50,60,62,64,66,68,70,72,74,76,78,80,85,90,95,100})</f>
        <v>76</v>
      </c>
      <c r="T147" s="27"/>
      <c r="U147" s="27"/>
      <c r="V147" s="27">
        <f>S147+U147</f>
        <v>76</v>
      </c>
      <c r="W147" s="27"/>
      <c r="X147" s="19">
        <f>F147*0.1+H147*0.1+J147*0.1+P147*0.2+S147*0.2</f>
        <v>45.6</v>
      </c>
      <c r="Y147" s="13">
        <f>X147/0.7+L147+U147</f>
        <v>65.1428571428572</v>
      </c>
    </row>
    <row r="148" ht="15.6" spans="1:25">
      <c r="A148" s="27">
        <v>304</v>
      </c>
      <c r="B148" s="27">
        <v>25</v>
      </c>
      <c r="C148" s="27" t="s">
        <v>174</v>
      </c>
      <c r="D148" s="27" t="s">
        <v>12</v>
      </c>
      <c r="E148" s="27">
        <v>12</v>
      </c>
      <c r="F148" s="29">
        <f>LOOKUP(E148,{0,-1.8,-0.8,0.2,1.2,2.2,3.2,4.6,6,7.4,8.8,10.2,11.6,13,14.4,15.8,17.2,19.1,21,22.8,24.6},{0,10,20,30,40,50,60,62,64,66,68,70,72,74,76,78,80,85,90,95,100})</f>
        <v>72</v>
      </c>
      <c r="G148" s="27">
        <v>225</v>
      </c>
      <c r="H148" s="29">
        <f>LOOKUP(G148,{0,180,185,190,195,200,205,209,213,217,221,225,229,233,237,241,245,253,260,265,270},{0,10,20,30,40,50,60,62,64,66,68,70,72,74,76,78,80,85,90,95,100})</f>
        <v>70</v>
      </c>
      <c r="I148" s="27">
        <v>1</v>
      </c>
      <c r="J148" s="29">
        <f>LOOKUP(I148,{0,4,5,6,7,8,9,10,11,12,13,14,15,16,17,18},{0,10,20,30,40,50,60,64,68,72,76,80,85,90,95,100})</f>
        <v>0</v>
      </c>
      <c r="K148" s="44"/>
      <c r="L148" s="35"/>
      <c r="M148" s="35">
        <f>J148+L148</f>
        <v>0</v>
      </c>
      <c r="N148" s="35">
        <v>7.9</v>
      </c>
      <c r="O148" s="36">
        <f>18-N148</f>
        <v>10.1</v>
      </c>
      <c r="P148" s="29">
        <f>LOOKUP(O148,{0,7.8,8,8.2,8.4,8.6,8.8,9,9.2,9.4,9.6,9.8,10,10.2,10.4,10.6,10.8,10.9,11,11.1,11.2},{0,10,20,30,40,50,60,62,64,66,68,70,72,74,76,78,80,85,90,95,100})</f>
        <v>72</v>
      </c>
      <c r="Q148" s="5">
        <v>5.47</v>
      </c>
      <c r="R148" s="36">
        <f>10-Q148</f>
        <v>4.53</v>
      </c>
      <c r="S148" s="29">
        <f>LOOKUP(R148,{0,3.85,4.45,4.65,4.85,5.45,5.65,5.7,5.75,5.8,5.85,5.9,5.95,6,6.45,6.5,6.55,6.63,6.7,6.75,6.8},{0,10,20,30,40,50,60,62,64,66,68,70,72,74,76,78,80,85,90,95,100})</f>
        <v>20</v>
      </c>
      <c r="T148" s="27"/>
      <c r="U148" s="27"/>
      <c r="V148" s="27">
        <f>S148+U148</f>
        <v>20</v>
      </c>
      <c r="W148" s="27"/>
      <c r="X148" s="19">
        <f>F148*0.1+H148*0.1+J148*0.1+P148*0.2+S148*0.2</f>
        <v>32.6</v>
      </c>
      <c r="Y148" s="13">
        <f>X148/0.7+L148+U148</f>
        <v>46.5714285714286</v>
      </c>
    </row>
    <row r="149" ht="15.6" spans="1:25">
      <c r="A149" s="27">
        <v>304</v>
      </c>
      <c r="B149" s="27">
        <v>26</v>
      </c>
      <c r="C149" s="27" t="s">
        <v>175</v>
      </c>
      <c r="D149" s="27" t="s">
        <v>12</v>
      </c>
      <c r="E149" s="27">
        <v>7.5</v>
      </c>
      <c r="F149" s="29">
        <f>LOOKUP(E149,{0,-1.8,-0.8,0.2,1.2,2.2,3.2,4.6,6,7.4,8.8,10.2,11.6,13,14.4,15.8,17.2,19.1,21,22.8,24.6},{0,10,20,30,40,50,60,62,64,66,68,70,72,74,76,78,80,85,90,95,100})</f>
        <v>66</v>
      </c>
      <c r="G149" s="27">
        <v>220</v>
      </c>
      <c r="H149" s="29">
        <f>LOOKUP(G149,{0,180,185,190,195,200,205,209,213,217,221,225,229,233,237,241,245,253,260,265,270},{0,10,20,30,40,50,60,62,64,66,68,70,72,74,76,78,80,85,90,95,100})</f>
        <v>66</v>
      </c>
      <c r="I149" s="27">
        <v>1</v>
      </c>
      <c r="J149" s="29">
        <f>LOOKUP(I149,{0,4,5,6,7,8,9,10,11,12,13,14,15,16,17,18},{0,10,20,30,40,50,60,64,68,72,76,80,85,90,95,100})</f>
        <v>0</v>
      </c>
      <c r="K149" s="44"/>
      <c r="L149" s="35"/>
      <c r="M149" s="35">
        <f>J149+L149</f>
        <v>0</v>
      </c>
      <c r="N149" s="35">
        <v>7.7</v>
      </c>
      <c r="O149" s="36">
        <f>18-N149</f>
        <v>10.3</v>
      </c>
      <c r="P149" s="29">
        <f>LOOKUP(O149,{0,7.8,8,8.2,8.4,8.6,8.8,9,9.2,9.4,9.6,9.8,10,10.2,10.4,10.6,10.8,10.9,11,11.1,11.2},{0,10,20,30,40,50,60,62,64,66,68,70,72,74,76,78,80,85,90,95,100})</f>
        <v>74</v>
      </c>
      <c r="Q149" s="5">
        <v>5.06</v>
      </c>
      <c r="R149" s="36">
        <f>10-Q149</f>
        <v>4.94</v>
      </c>
      <c r="S149" s="29">
        <f>LOOKUP(R149,{0,3.85,4.45,4.65,4.85,5.45,5.65,5.7,5.75,5.8,5.85,5.9,5.95,6,6.45,6.5,6.55,6.63,6.7,6.75,6.8},{0,10,20,30,40,50,60,62,64,66,68,70,72,74,76,78,80,85,90,95,100})</f>
        <v>40</v>
      </c>
      <c r="T149" s="27"/>
      <c r="U149" s="27"/>
      <c r="V149" s="27">
        <f>S149+U149</f>
        <v>40</v>
      </c>
      <c r="W149" s="27"/>
      <c r="X149" s="19">
        <f>F149*0.1+H149*0.1+J149*0.1+P149*0.2+S149*0.2</f>
        <v>36</v>
      </c>
      <c r="Y149" s="13">
        <f>X149/0.7+L149+U149</f>
        <v>51.4285714285714</v>
      </c>
    </row>
    <row r="150" ht="15.6" spans="1:25">
      <c r="A150" s="27">
        <v>304</v>
      </c>
      <c r="B150" s="27">
        <v>27</v>
      </c>
      <c r="C150" s="27" t="s">
        <v>176</v>
      </c>
      <c r="D150" s="27" t="s">
        <v>12</v>
      </c>
      <c r="E150" s="27">
        <v>9</v>
      </c>
      <c r="F150" s="29">
        <f>LOOKUP(E150,{0,-1.8,-0.8,0.2,1.2,2.2,3.2,4.6,6,7.4,8.8,10.2,11.6,13,14.4,15.8,17.2,19.1,21,22.8,24.6},{0,10,20,30,40,50,60,62,64,66,68,70,72,74,76,78,80,85,90,95,100})</f>
        <v>68</v>
      </c>
      <c r="G150" s="27">
        <v>245</v>
      </c>
      <c r="H150" s="29">
        <f>LOOKUP(G150,{0,180,185,190,195,200,205,209,213,217,221,225,229,233,237,241,245,253,260,265,270},{0,10,20,30,40,50,60,62,64,66,68,70,72,74,76,78,80,85,90,95,100})</f>
        <v>80</v>
      </c>
      <c r="I150" s="27">
        <v>16</v>
      </c>
      <c r="J150" s="29">
        <f>LOOKUP(I150,{0,4,5,6,7,8,9,10,11,12,13,14,15,16,17,18},{0,10,20,30,40,50,60,64,68,72,76,80,85,90,95,100})</f>
        <v>90</v>
      </c>
      <c r="K150" s="44"/>
      <c r="L150" s="35"/>
      <c r="M150" s="35">
        <f>J150+L150</f>
        <v>90</v>
      </c>
      <c r="N150" s="35">
        <v>7.2</v>
      </c>
      <c r="O150" s="36">
        <f>18-N150</f>
        <v>10.8</v>
      </c>
      <c r="P150" s="29">
        <f>LOOKUP(O150,{0,7.8,8,8.2,8.4,8.6,8.8,9,9.2,9.4,9.6,9.8,10,10.2,10.4,10.6,10.8,10.9,11,11.1,11.2},{0,10,20,30,40,50,60,62,64,66,68,70,72,74,76,78,80,85,90,95,100})</f>
        <v>80</v>
      </c>
      <c r="Q150" s="5">
        <v>5.1</v>
      </c>
      <c r="R150" s="36">
        <f>10-Q150</f>
        <v>4.9</v>
      </c>
      <c r="S150" s="29">
        <f>LOOKUP(R150,{0,3.85,4.45,4.65,4.85,5.45,5.65,5.7,5.75,5.8,5.85,5.9,5.95,6,6.45,6.5,6.55,6.63,6.7,6.75,6.8},{0,10,20,30,40,50,60,62,64,66,68,70,72,74,76,78,80,85,90,95,100})</f>
        <v>40</v>
      </c>
      <c r="T150" s="27"/>
      <c r="U150" s="27"/>
      <c r="V150" s="27">
        <f>S150+U150</f>
        <v>40</v>
      </c>
      <c r="W150" s="27"/>
      <c r="X150" s="19">
        <f>F150*0.1+H150*0.1+J150*0.1+P150*0.2+S150*0.2</f>
        <v>47.8</v>
      </c>
      <c r="Y150" s="13">
        <f>X150/0.7+L150+U150</f>
        <v>68.2857142857143</v>
      </c>
    </row>
    <row r="151" ht="15.6" spans="1:25">
      <c r="A151" s="27">
        <v>304</v>
      </c>
      <c r="B151" s="27">
        <v>28</v>
      </c>
      <c r="C151" s="27" t="s">
        <v>177</v>
      </c>
      <c r="D151" s="27" t="s">
        <v>12</v>
      </c>
      <c r="E151" s="27"/>
      <c r="F151" s="29"/>
      <c r="G151" s="27"/>
      <c r="H151" s="29"/>
      <c r="I151" s="27"/>
      <c r="J151" s="35"/>
      <c r="K151" s="44"/>
      <c r="L151" s="35"/>
      <c r="M151" s="35"/>
      <c r="N151" s="35"/>
      <c r="O151" s="5"/>
      <c r="P151" s="5"/>
      <c r="Q151" s="5"/>
      <c r="R151" s="27"/>
      <c r="S151" s="27"/>
      <c r="T151" s="27"/>
      <c r="U151" s="27"/>
      <c r="V151" s="27"/>
      <c r="W151" s="27">
        <v>50</v>
      </c>
      <c r="X151" s="19"/>
      <c r="Y151" s="19">
        <v>50</v>
      </c>
    </row>
    <row r="152" ht="15.6" spans="1:25">
      <c r="A152" s="27">
        <v>304</v>
      </c>
      <c r="B152" s="27">
        <v>29</v>
      </c>
      <c r="C152" s="27" t="s">
        <v>178</v>
      </c>
      <c r="D152" s="27" t="s">
        <v>12</v>
      </c>
      <c r="E152" s="27">
        <v>16.5</v>
      </c>
      <c r="F152" s="29">
        <f>LOOKUP(E152,{0,-1.8,-0.8,0.2,1.2,2.2,3.2,4.6,6,7.4,8.8,10.2,11.6,13,14.4,15.8,17.2,19.1,21,22.8,24.6},{0,10,20,30,40,50,60,62,64,66,68,70,72,74,76,78,80,85,90,95,100})</f>
        <v>78</v>
      </c>
      <c r="G152" s="27">
        <v>250</v>
      </c>
      <c r="H152" s="29">
        <f>LOOKUP(G152,{0,180,185,190,195,200,205,209,213,217,221,225,229,233,237,241,245,253,260,265,270},{0,10,20,30,40,50,60,62,64,66,68,70,72,74,76,78,80,85,90,95,100})</f>
        <v>80</v>
      </c>
      <c r="I152" s="27">
        <v>2</v>
      </c>
      <c r="J152" s="29">
        <f>LOOKUP(I152,{0,4,5,6,7,8,9,10,11,12,13,14,15,16,17,18},{0,10,20,30,40,50,60,64,68,72,76,80,85,90,95,100})</f>
        <v>0</v>
      </c>
      <c r="K152" s="44"/>
      <c r="L152" s="35"/>
      <c r="M152" s="35">
        <f>J152+L152</f>
        <v>0</v>
      </c>
      <c r="N152" s="35">
        <v>7.1</v>
      </c>
      <c r="O152" s="36">
        <f>18-N152</f>
        <v>10.9</v>
      </c>
      <c r="P152" s="29">
        <f>LOOKUP(O152,{0,7.8,8,8.2,8.4,8.6,8.8,9,9.2,9.4,9.6,9.8,10,10.2,10.4,10.6,10.8,10.9,11,11.1,11.2},{0,10,20,30,40,50,60,62,64,66,68,70,72,74,76,78,80,85,90,95,100})</f>
        <v>85</v>
      </c>
      <c r="Q152" s="5">
        <v>4.5</v>
      </c>
      <c r="R152" s="36">
        <f>10-Q152</f>
        <v>5.5</v>
      </c>
      <c r="S152" s="29">
        <f>LOOKUP(R152,{0,3.85,4.45,4.65,4.85,5.45,5.65,5.7,5.75,5.8,5.85,5.9,5.95,6,6.45,6.5,6.55,6.63,6.7,6.75,6.8},{0,10,20,30,40,50,60,62,64,66,68,70,72,74,76,78,80,85,90,95,100})</f>
        <v>50</v>
      </c>
      <c r="T152" s="27"/>
      <c r="U152" s="27"/>
      <c r="V152" s="27">
        <f>S152+U152</f>
        <v>50</v>
      </c>
      <c r="W152" s="27"/>
      <c r="X152" s="19">
        <f>F152*0.1+H152*0.1+J152*0.1+P152*0.2+S152*0.2</f>
        <v>42.8</v>
      </c>
      <c r="Y152" s="13">
        <f>X152/0.7+L152+U152</f>
        <v>61.1428571428571</v>
      </c>
    </row>
    <row r="153" ht="15.6" spans="1:25">
      <c r="A153" s="27">
        <v>304</v>
      </c>
      <c r="B153" s="27">
        <v>30</v>
      </c>
      <c r="C153" s="27" t="s">
        <v>179</v>
      </c>
      <c r="D153" s="27" t="s">
        <v>12</v>
      </c>
      <c r="E153" s="27">
        <v>13</v>
      </c>
      <c r="F153" s="29">
        <f>LOOKUP(E153,{0,-1.8,-0.8,0.2,1.2,2.2,3.2,4.6,6,7.4,8.8,10.2,11.6,13,14.4,15.8,17.2,19.1,21,22.8,24.6},{0,10,20,30,40,50,60,62,64,66,68,70,72,74,76,78,80,85,90,95,100})</f>
        <v>74</v>
      </c>
      <c r="G153" s="27">
        <v>230</v>
      </c>
      <c r="H153" s="29">
        <f>LOOKUP(G153,{0,180,185,190,195,200,205,209,213,217,221,225,229,233,237,241,245,253,260,265,270},{0,10,20,30,40,50,60,62,64,66,68,70,72,74,76,78,80,85,90,95,100})</f>
        <v>72</v>
      </c>
      <c r="I153" s="27">
        <v>2</v>
      </c>
      <c r="J153" s="29">
        <f>LOOKUP(I153,{0,4,5,6,7,8,9,10,11,12,13,14,15,16,17,18},{0,10,20,30,40,50,60,64,68,72,76,80,85,90,95,100})</f>
        <v>0</v>
      </c>
      <c r="K153" s="44"/>
      <c r="L153" s="35"/>
      <c r="M153" s="35">
        <f>J153+L153</f>
        <v>0</v>
      </c>
      <c r="N153" s="35">
        <v>7.7</v>
      </c>
      <c r="O153" s="36">
        <f>18-N153</f>
        <v>10.3</v>
      </c>
      <c r="P153" s="29">
        <f>LOOKUP(O153,{0,7.8,8,8.2,8.4,8.6,8.8,9,9.2,9.4,9.6,9.8,10,10.2,10.4,10.6,10.8,10.9,11,11.1,11.2},{0,10,20,30,40,50,60,62,64,66,68,70,72,74,76,78,80,85,90,95,100})</f>
        <v>74</v>
      </c>
      <c r="Q153" s="5">
        <v>4.5</v>
      </c>
      <c r="R153" s="36">
        <f>10-Q153</f>
        <v>5.5</v>
      </c>
      <c r="S153" s="29">
        <f>LOOKUP(R153,{0,3.85,4.45,4.65,4.85,5.45,5.65,5.7,5.75,5.8,5.85,5.9,5.95,6,6.45,6.5,6.55,6.63,6.7,6.75,6.8},{0,10,20,30,40,50,60,62,64,66,68,70,72,74,76,78,80,85,90,95,100})</f>
        <v>50</v>
      </c>
      <c r="T153" s="27"/>
      <c r="U153" s="27"/>
      <c r="V153" s="27">
        <f>S153+U153</f>
        <v>50</v>
      </c>
      <c r="W153" s="27"/>
      <c r="X153" s="19">
        <f>F153*0.1+H153*0.1+J153*0.1+P153*0.2+S153*0.2</f>
        <v>39.4</v>
      </c>
      <c r="Y153" s="13">
        <f>X153/0.7+L153+U153</f>
        <v>56.2857142857143</v>
      </c>
    </row>
    <row r="154" ht="15.6" spans="1:25">
      <c r="A154" s="27">
        <v>304</v>
      </c>
      <c r="B154" s="27">
        <v>31</v>
      </c>
      <c r="C154" s="27" t="s">
        <v>180</v>
      </c>
      <c r="D154" s="27" t="s">
        <v>12</v>
      </c>
      <c r="E154" s="27">
        <v>0</v>
      </c>
      <c r="F154" s="29">
        <f>LOOKUP(E154,{0,-1.8,-0.8,0.2,1.2,2.2,3.2,4.6,6,7.4,8.8,10.2,11.6,13,14.4,15.8,17.2,19.1,21,22.8,24.6},{0,10,20,30,40,50,60,62,64,66,68,70,72,74,76,78,80,85,90,95,100})</f>
        <v>20</v>
      </c>
      <c r="G154" s="27">
        <v>247</v>
      </c>
      <c r="H154" s="29">
        <f>LOOKUP(G154,{0,180,185,190,195,200,205,209,213,217,221,225,229,233,237,241,245,253,260,265,270},{0,10,20,30,40,50,60,62,64,66,68,70,72,74,76,78,80,85,90,95,100})</f>
        <v>80</v>
      </c>
      <c r="I154" s="27">
        <v>10</v>
      </c>
      <c r="J154" s="29">
        <f>LOOKUP(I154,{0,4,5,6,7,8,9,10,11,12,13,14,15,16,17,18},{0,10,20,30,40,50,60,64,68,72,76,80,85,90,95,100})</f>
        <v>64</v>
      </c>
      <c r="K154" s="44"/>
      <c r="L154" s="35"/>
      <c r="M154" s="35">
        <f>J154+L154</f>
        <v>64</v>
      </c>
      <c r="N154" s="35">
        <v>7.6</v>
      </c>
      <c r="O154" s="36">
        <f>18-N154</f>
        <v>10.4</v>
      </c>
      <c r="P154" s="29">
        <f>LOOKUP(O154,{0,7.8,8,8.2,8.4,8.6,8.8,9,9.2,9.4,9.6,9.8,10,10.2,10.4,10.6,10.8,10.9,11,11.1,11.2},{0,10,20,30,40,50,60,62,64,66,68,70,72,74,76,78,80,85,90,95,100})</f>
        <v>76</v>
      </c>
      <c r="Q154" s="5">
        <v>5.42</v>
      </c>
      <c r="R154" s="36">
        <f>10-Q154</f>
        <v>4.58</v>
      </c>
      <c r="S154" s="29">
        <f>LOOKUP(R154,{0,3.85,4.45,4.65,4.85,5.45,5.65,5.7,5.75,5.8,5.85,5.9,5.95,6,6.45,6.5,6.55,6.63,6.7,6.75,6.8},{0,10,20,30,40,50,60,62,64,66,68,70,72,74,76,78,80,85,90,95,100})</f>
        <v>20</v>
      </c>
      <c r="T154" s="27"/>
      <c r="U154" s="27"/>
      <c r="V154" s="27">
        <f>S154+U154</f>
        <v>20</v>
      </c>
      <c r="W154" s="27"/>
      <c r="X154" s="19">
        <f>F154*0.1+H154*0.1+J154*0.1+P154*0.2+S154*0.2</f>
        <v>35.6</v>
      </c>
      <c r="Y154" s="13">
        <f>X154/0.7+L154+U154</f>
        <v>50.8571428571429</v>
      </c>
    </row>
    <row r="155" ht="15.6" spans="1:25">
      <c r="A155" s="27">
        <v>304</v>
      </c>
      <c r="B155" s="27">
        <v>32</v>
      </c>
      <c r="C155" s="27" t="s">
        <v>181</v>
      </c>
      <c r="D155" s="27" t="s">
        <v>12</v>
      </c>
      <c r="E155" s="27"/>
      <c r="F155" s="29"/>
      <c r="G155" s="27"/>
      <c r="H155" s="29"/>
      <c r="I155" s="27"/>
      <c r="J155" s="35"/>
      <c r="K155" s="44"/>
      <c r="L155" s="35"/>
      <c r="M155" s="35"/>
      <c r="N155" s="35"/>
      <c r="O155" s="5"/>
      <c r="P155" s="5"/>
      <c r="Q155" s="5"/>
      <c r="R155" s="27"/>
      <c r="S155" s="27"/>
      <c r="T155" s="27"/>
      <c r="U155" s="27"/>
      <c r="V155" s="27"/>
      <c r="W155" s="27">
        <v>50</v>
      </c>
      <c r="X155" s="19"/>
      <c r="Y155" s="19">
        <v>50</v>
      </c>
    </row>
    <row r="156" ht="15.6" spans="1:25">
      <c r="A156" s="27">
        <v>304</v>
      </c>
      <c r="B156" s="27">
        <v>33</v>
      </c>
      <c r="C156" s="27" t="s">
        <v>182</v>
      </c>
      <c r="D156" s="27" t="s">
        <v>12</v>
      </c>
      <c r="E156" s="27">
        <v>3</v>
      </c>
      <c r="F156" s="29">
        <f>LOOKUP(E156,{0,-1.8,-0.8,0.2,1.2,2.2,3.2,4.6,6,7.4,8.8,10.2,11.6,13,14.4,15.8,17.2,19.1,21,22.8,24.6},{0,10,20,30,40,50,60,62,64,66,68,70,72,74,76,78,80,85,90,95,100})</f>
        <v>50</v>
      </c>
      <c r="G156" s="27">
        <v>195</v>
      </c>
      <c r="H156" s="29">
        <f>LOOKUP(G156,{0,180,185,190,195,200,205,209,213,217,221,225,229,233,237,241,245,253,260,265,270},{0,10,20,30,40,50,60,62,64,66,68,70,72,74,76,78,80,85,90,95,100})</f>
        <v>40</v>
      </c>
      <c r="I156" s="27">
        <v>2</v>
      </c>
      <c r="J156" s="29">
        <f>LOOKUP(I156,{0,4,5,6,7,8,9,10,11,12,13,14,15,16,17,18},{0,10,20,30,40,50,60,64,68,72,76,80,85,90,95,100})</f>
        <v>0</v>
      </c>
      <c r="K156" s="44"/>
      <c r="L156" s="35"/>
      <c r="M156" s="35">
        <f>J156+L156</f>
        <v>0</v>
      </c>
      <c r="N156" s="35">
        <v>8</v>
      </c>
      <c r="O156" s="36">
        <f>18-N156</f>
        <v>10</v>
      </c>
      <c r="P156" s="29">
        <f>LOOKUP(O156,{0,7.8,8,8.2,8.4,8.6,8.8,9,9.2,9.4,9.6,9.8,10,10.2,10.4,10.6,10.8,10.9,11,11.1,11.2},{0,10,20,30,40,50,60,62,64,66,68,70,72,74,76,78,80,85,90,95,100})</f>
        <v>72</v>
      </c>
      <c r="Q156" s="5">
        <v>4.57</v>
      </c>
      <c r="R156" s="36">
        <f>10-Q156</f>
        <v>5.43</v>
      </c>
      <c r="S156" s="29">
        <f>LOOKUP(R156,{0,3.85,4.45,4.65,4.85,5.45,5.65,5.7,5.75,5.8,5.85,5.9,5.95,6,6.45,6.5,6.55,6.63,6.7,6.75,6.8},{0,10,20,30,40,50,60,62,64,66,68,70,72,74,76,78,80,85,90,95,100})</f>
        <v>40</v>
      </c>
      <c r="T156" s="27"/>
      <c r="U156" s="27"/>
      <c r="V156" s="27">
        <f>S156+U156</f>
        <v>40</v>
      </c>
      <c r="W156" s="27"/>
      <c r="X156" s="19">
        <f>F156*0.1+H156*0.1+J156*0.1+P156*0.2+S156*0.2</f>
        <v>31.4</v>
      </c>
      <c r="Y156" s="13">
        <f>X156/0.7+L156+U156</f>
        <v>44.8571428571429</v>
      </c>
    </row>
    <row r="157" ht="15.6" spans="1:25">
      <c r="A157" s="27">
        <v>304</v>
      </c>
      <c r="B157" s="27">
        <v>34</v>
      </c>
      <c r="C157" s="27" t="s">
        <v>183</v>
      </c>
      <c r="D157" s="27" t="s">
        <v>12</v>
      </c>
      <c r="E157" s="27"/>
      <c r="F157" s="29"/>
      <c r="G157" s="27"/>
      <c r="H157" s="29"/>
      <c r="I157" s="27"/>
      <c r="J157" s="35"/>
      <c r="K157" s="44"/>
      <c r="L157" s="35"/>
      <c r="M157" s="35"/>
      <c r="N157" s="35"/>
      <c r="O157" s="5"/>
      <c r="P157" s="5"/>
      <c r="Q157" s="5"/>
      <c r="R157" s="27"/>
      <c r="S157" s="27"/>
      <c r="T157" s="27"/>
      <c r="U157" s="27"/>
      <c r="V157" s="27"/>
      <c r="W157" s="27">
        <v>50</v>
      </c>
      <c r="X157" s="19"/>
      <c r="Y157" s="19">
        <v>50</v>
      </c>
    </row>
    <row r="158" ht="15.6" spans="1:25">
      <c r="A158" s="27">
        <v>305</v>
      </c>
      <c r="B158" s="27">
        <v>1</v>
      </c>
      <c r="C158" s="30" t="s">
        <v>185</v>
      </c>
      <c r="D158" s="28" t="s">
        <v>12</v>
      </c>
      <c r="E158" s="27">
        <v>14.8</v>
      </c>
      <c r="F158" s="29">
        <f>LOOKUP(E158,{0,-1.8,-0.8,0.2,1.2,2.2,3.2,4.6,6,7.4,8.8,10.2,11.6,13,14.4,15.8,17.2,19.1,21,22.8,24.6},{0,10,20,30,40,50,60,62,64,66,68,70,72,74,76,78,80,85,90,95,100})</f>
        <v>76</v>
      </c>
      <c r="G158" s="27">
        <v>260</v>
      </c>
      <c r="H158" s="29">
        <f>LOOKUP(G158,{0,180,185,190,195,200,205,209,213,217,221,225,229,233,237,241,245,253,260,265,270},{0,10,20,30,40,50,60,62,64,66,68,70,72,74,76,78,80,85,90,95,100})</f>
        <v>90</v>
      </c>
      <c r="I158" s="27">
        <v>30</v>
      </c>
      <c r="J158" s="29">
        <f>LOOKUP(I158,{0,4,5,6,7,8,9,10,11,12,13,14,15,16,17,18},{0,10,20,30,40,50,60,64,68,72,76,80,85,90,95,100})</f>
        <v>100</v>
      </c>
      <c r="K158" s="44">
        <f>I158-18</f>
        <v>12</v>
      </c>
      <c r="L158" s="29">
        <f>LOOKUP(K158,{0,1,2,3,4,5,6,7,8,9,10},{0,1,2,3,4,5,6,7,8,9,10})</f>
        <v>10</v>
      </c>
      <c r="M158" s="35">
        <f t="shared" ref="M158:M181" si="32">J158+L158</f>
        <v>110</v>
      </c>
      <c r="N158" s="35">
        <v>6.8</v>
      </c>
      <c r="O158" s="36">
        <f t="shared" ref="O158:O181" si="33">18-N158</f>
        <v>11.2</v>
      </c>
      <c r="P158" s="29">
        <f>LOOKUP(O158,{0,7.8,8,8.2,8.4,8.6,8.8,9,9.2,9.4,9.6,9.8,10,10.2,10.4,10.6,10.8,10.9,11,11.1,11.2},{0,10,20,30,40,50,60,62,64,66,68,70,72,74,76,78,80,85,90,95,100})</f>
        <v>100</v>
      </c>
      <c r="Q158" s="5">
        <v>4.27</v>
      </c>
      <c r="R158" s="36">
        <f t="shared" ref="R158:R181" si="34">10-Q158</f>
        <v>5.73</v>
      </c>
      <c r="S158" s="29">
        <f>LOOKUP(R158,{0,3.85,4.45,4.65,4.85,5.45,5.65,5.7,5.75,5.8,5.85,5.9,5.95,6,6.45,6.5,6.55,6.63,6.7,6.75,6.8},{0,10,20,30,40,50,60,62,64,66,68,70,72,74,76,78,80,85,90,95,100})</f>
        <v>62</v>
      </c>
      <c r="T158" s="27"/>
      <c r="U158" s="27"/>
      <c r="V158" s="27">
        <f t="shared" ref="V158:V181" si="35">S158+U158</f>
        <v>62</v>
      </c>
      <c r="W158" s="27"/>
      <c r="X158" s="19">
        <f t="shared" ref="X158:X181" si="36">F158*0.1+H158*0.1+J158*0.1+P158*0.2+S158*0.2</f>
        <v>59</v>
      </c>
      <c r="Y158" s="13">
        <f t="shared" ref="Y158:Y181" si="37">X158/0.7+L158+U158</f>
        <v>94.2857142857143</v>
      </c>
    </row>
    <row r="159" ht="15.6" spans="1:25">
      <c r="A159" s="27">
        <v>305</v>
      </c>
      <c r="B159" s="27">
        <v>2</v>
      </c>
      <c r="C159" s="28" t="s">
        <v>186</v>
      </c>
      <c r="D159" s="28" t="s">
        <v>12</v>
      </c>
      <c r="E159" s="27">
        <v>7</v>
      </c>
      <c r="F159" s="29">
        <f>LOOKUP(E159,{0,-1.8,-0.8,0.2,1.2,2.2,3.2,4.6,6,7.4,8.8,10.2,11.6,13,14.4,15.8,17.2,19.1,21,22.8,24.6},{0,10,20,30,40,50,60,62,64,66,68,70,72,74,76,78,80,85,90,95,100})</f>
        <v>64</v>
      </c>
      <c r="G159" s="27">
        <v>250</v>
      </c>
      <c r="H159" s="29">
        <f>LOOKUP(G159,{0,180,185,190,195,200,205,209,213,217,221,225,229,233,237,241,245,253,260,265,270},{0,10,20,30,40,50,60,62,64,66,68,70,72,74,76,78,80,85,90,95,100})</f>
        <v>80</v>
      </c>
      <c r="I159" s="27">
        <v>1</v>
      </c>
      <c r="J159" s="29">
        <f>LOOKUP(I159,{0,4,5,6,7,8,9,10,11,12,13,14,15,16,17,18},{0,10,20,30,40,50,60,64,68,72,76,80,85,90,95,100})</f>
        <v>0</v>
      </c>
      <c r="K159" s="44"/>
      <c r="L159" s="35"/>
      <c r="M159" s="35">
        <f t="shared" si="32"/>
        <v>0</v>
      </c>
      <c r="N159" s="35">
        <v>7.3</v>
      </c>
      <c r="O159" s="36">
        <f t="shared" si="33"/>
        <v>10.7</v>
      </c>
      <c r="P159" s="29">
        <f>LOOKUP(O159,{0,7.8,8,8.2,8.4,8.6,8.8,9,9.2,9.4,9.6,9.8,10,10.2,10.4,10.6,10.8,10.9,11,11.1,11.2},{0,10,20,30,40,50,60,62,64,66,68,70,72,74,76,78,80,85,90,95,100})</f>
        <v>78</v>
      </c>
      <c r="Q159" s="5">
        <v>4.52</v>
      </c>
      <c r="R159" s="36">
        <f t="shared" si="34"/>
        <v>5.48</v>
      </c>
      <c r="S159" s="29">
        <f>LOOKUP(R159,{0,3.85,4.45,4.65,4.85,5.45,5.65,5.7,5.75,5.8,5.85,5.9,5.95,6,6.45,6.5,6.55,6.63,6.7,6.75,6.8},{0,10,20,30,40,50,60,62,64,66,68,70,72,74,76,78,80,85,90,95,100})</f>
        <v>50</v>
      </c>
      <c r="T159" s="27"/>
      <c r="U159" s="27"/>
      <c r="V159" s="27">
        <f t="shared" si="35"/>
        <v>50</v>
      </c>
      <c r="W159" s="27"/>
      <c r="X159" s="19">
        <f t="shared" si="36"/>
        <v>40</v>
      </c>
      <c r="Y159" s="13">
        <f t="shared" si="37"/>
        <v>57.1428571428571</v>
      </c>
    </row>
    <row r="160" ht="15.6" spans="1:25">
      <c r="A160" s="27">
        <v>305</v>
      </c>
      <c r="B160" s="27">
        <v>3</v>
      </c>
      <c r="C160" s="28" t="s">
        <v>187</v>
      </c>
      <c r="D160" s="28" t="s">
        <v>12</v>
      </c>
      <c r="E160" s="27">
        <v>16.4</v>
      </c>
      <c r="F160" s="29">
        <f>LOOKUP(E160,{0,-1.8,-0.8,0.2,1.2,2.2,3.2,4.6,6,7.4,8.8,10.2,11.6,13,14.4,15.8,17.2,19.1,21,22.8,24.6},{0,10,20,30,40,50,60,62,64,66,68,70,72,74,76,78,80,85,90,95,100})</f>
        <v>78</v>
      </c>
      <c r="G160" s="27">
        <v>245</v>
      </c>
      <c r="H160" s="29">
        <f>LOOKUP(G160,{0,180,185,190,195,200,205,209,213,217,221,225,229,233,237,241,245,253,260,265,270},{0,10,20,30,40,50,60,62,64,66,68,70,72,74,76,78,80,85,90,95,100})</f>
        <v>80</v>
      </c>
      <c r="I160" s="27">
        <v>25</v>
      </c>
      <c r="J160" s="29">
        <f>LOOKUP(I160,{0,4,5,6,7,8,9,10,11,12,13,14,15,16,17,18},{0,10,20,30,40,50,60,64,68,72,76,80,85,90,95,100})</f>
        <v>100</v>
      </c>
      <c r="K160" s="44">
        <f>I160-18</f>
        <v>7</v>
      </c>
      <c r="L160" s="29">
        <f>LOOKUP(K160,{0,1,2,3,4,5,6,7,8,9,10},{0,1,2,3,4,5,6,7,8,9,10})</f>
        <v>7</v>
      </c>
      <c r="M160" s="35">
        <f t="shared" si="32"/>
        <v>107</v>
      </c>
      <c r="N160" s="35">
        <v>7</v>
      </c>
      <c r="O160" s="36">
        <f t="shared" si="33"/>
        <v>11</v>
      </c>
      <c r="P160" s="29">
        <f>LOOKUP(O160,{0,7.8,8,8.2,8.4,8.6,8.8,9,9.2,9.4,9.6,9.8,10,10.2,10.4,10.6,10.8,10.9,11,11.1,11.2},{0,10,20,30,40,50,60,62,64,66,68,70,72,74,76,78,80,85,90,95,100})</f>
        <v>90</v>
      </c>
      <c r="Q160" s="5">
        <v>3.41</v>
      </c>
      <c r="R160" s="36">
        <f t="shared" si="34"/>
        <v>6.59</v>
      </c>
      <c r="S160" s="29">
        <f>LOOKUP(R160,{0,3.85,4.45,4.65,4.85,5.45,5.65,5.7,5.75,5.8,5.85,5.9,5.95,6,6.45,6.5,6.55,6.63,6.7,6.75,6.8},{0,10,20,30,40,50,60,62,64,66,68,70,72,74,76,78,80,85,90,95,100})</f>
        <v>80</v>
      </c>
      <c r="T160" s="27"/>
      <c r="U160" s="27"/>
      <c r="V160" s="27">
        <f t="shared" si="35"/>
        <v>80</v>
      </c>
      <c r="W160" s="27"/>
      <c r="X160" s="19">
        <f t="shared" si="36"/>
        <v>59.8</v>
      </c>
      <c r="Y160" s="13">
        <f t="shared" si="37"/>
        <v>92.4285714285714</v>
      </c>
    </row>
    <row r="161" ht="15.6" spans="1:25">
      <c r="A161" s="27">
        <v>305</v>
      </c>
      <c r="B161" s="27">
        <v>4</v>
      </c>
      <c r="C161" s="28" t="s">
        <v>188</v>
      </c>
      <c r="D161" s="28" t="s">
        <v>12</v>
      </c>
      <c r="E161" s="27">
        <v>14</v>
      </c>
      <c r="F161" s="29">
        <f>LOOKUP(E161,{0,-1.8,-0.8,0.2,1.2,2.2,3.2,4.6,6,7.4,8.8,10.2,11.6,13,14.4,15.8,17.2,19.1,21,22.8,24.6},{0,10,20,30,40,50,60,62,64,66,68,70,72,74,76,78,80,85,90,95,100})</f>
        <v>74</v>
      </c>
      <c r="G161" s="27">
        <v>210</v>
      </c>
      <c r="H161" s="29">
        <f>LOOKUP(G161,{0,180,185,190,195,200,205,209,213,217,221,225,229,233,237,241,245,253,260,265,270},{0,10,20,30,40,50,60,62,64,66,68,70,72,74,76,78,80,85,90,95,100})</f>
        <v>62</v>
      </c>
      <c r="I161" s="27">
        <v>10</v>
      </c>
      <c r="J161" s="29">
        <f>LOOKUP(I161,{0,4,5,6,7,8,9,10,11,12,13,14,15,16,17,18},{0,10,20,30,40,50,60,64,68,72,76,80,85,90,95,100})</f>
        <v>64</v>
      </c>
      <c r="K161" s="44"/>
      <c r="L161" s="35"/>
      <c r="M161" s="35">
        <f t="shared" si="32"/>
        <v>64</v>
      </c>
      <c r="N161" s="35">
        <v>7.3</v>
      </c>
      <c r="O161" s="36">
        <f t="shared" si="33"/>
        <v>10.7</v>
      </c>
      <c r="P161" s="29">
        <f>LOOKUP(O161,{0,7.8,8,8.2,8.4,8.6,8.8,9,9.2,9.4,9.6,9.8,10,10.2,10.4,10.6,10.8,10.9,11,11.1,11.2},{0,10,20,30,40,50,60,62,64,66,68,70,72,74,76,78,80,85,90,95,100})</f>
        <v>78</v>
      </c>
      <c r="Q161" s="5">
        <v>4.3</v>
      </c>
      <c r="R161" s="36">
        <f t="shared" si="34"/>
        <v>5.7</v>
      </c>
      <c r="S161" s="29">
        <f>LOOKUP(R161,{0,3.85,4.45,4.65,4.85,5.45,5.65,5.7,5.75,5.8,5.85,5.9,5.95,6,6.45,6.5,6.55,6.63,6.7,6.75,6.8},{0,10,20,30,40,50,60,62,64,66,68,70,72,74,76,78,80,85,90,95,100})</f>
        <v>62</v>
      </c>
      <c r="T161" s="27"/>
      <c r="U161" s="27"/>
      <c r="V161" s="27">
        <f t="shared" si="35"/>
        <v>62</v>
      </c>
      <c r="W161" s="27"/>
      <c r="X161" s="19">
        <f t="shared" si="36"/>
        <v>48</v>
      </c>
      <c r="Y161" s="13">
        <f t="shared" si="37"/>
        <v>68.5714285714286</v>
      </c>
    </row>
    <row r="162" ht="15.6" spans="1:25">
      <c r="A162" s="27">
        <v>305</v>
      </c>
      <c r="B162" s="27">
        <v>5</v>
      </c>
      <c r="C162" s="28" t="s">
        <v>189</v>
      </c>
      <c r="D162" s="28" t="s">
        <v>12</v>
      </c>
      <c r="E162" s="27">
        <v>14</v>
      </c>
      <c r="F162" s="29">
        <f>LOOKUP(E162,{0,-1.8,-0.8,0.2,1.2,2.2,3.2,4.6,6,7.4,8.8,10.2,11.6,13,14.4,15.8,17.2,19.1,21,22.8,24.6},{0,10,20,30,40,50,60,62,64,66,68,70,72,74,76,78,80,85,90,95,100})</f>
        <v>74</v>
      </c>
      <c r="G162" s="27">
        <v>220</v>
      </c>
      <c r="H162" s="29">
        <f>LOOKUP(G162,{0,180,185,190,195,200,205,209,213,217,221,225,229,233,237,241,245,253,260,265,270},{0,10,20,30,40,50,60,62,64,66,68,70,72,74,76,78,80,85,90,95,100})</f>
        <v>66</v>
      </c>
      <c r="I162" s="27">
        <v>2</v>
      </c>
      <c r="J162" s="29">
        <f>LOOKUP(I162,{0,4,5,6,7,8,9,10,11,12,13,14,15,16,17,18},{0,10,20,30,40,50,60,64,68,72,76,80,85,90,95,100})</f>
        <v>0</v>
      </c>
      <c r="K162" s="44"/>
      <c r="L162" s="35"/>
      <c r="M162" s="35">
        <f t="shared" si="32"/>
        <v>0</v>
      </c>
      <c r="N162" s="35">
        <v>7.6</v>
      </c>
      <c r="O162" s="36">
        <f t="shared" si="33"/>
        <v>10.4</v>
      </c>
      <c r="P162" s="29">
        <f>LOOKUP(O162,{0,7.8,8,8.2,8.4,8.6,8.8,9,9.2,9.4,9.6,9.8,10,10.2,10.4,10.6,10.8,10.9,11,11.1,11.2},{0,10,20,30,40,50,60,62,64,66,68,70,72,74,76,78,80,85,90,95,100})</f>
        <v>76</v>
      </c>
      <c r="Q162" s="5">
        <v>4.42</v>
      </c>
      <c r="R162" s="36">
        <f t="shared" si="34"/>
        <v>5.58</v>
      </c>
      <c r="S162" s="29">
        <f>LOOKUP(R162,{0,3.85,4.45,4.65,4.85,5.45,5.65,5.7,5.75,5.8,5.85,5.9,5.95,6,6.45,6.5,6.55,6.63,6.7,6.75,6.8},{0,10,20,30,40,50,60,62,64,66,68,70,72,74,76,78,80,85,90,95,100})</f>
        <v>50</v>
      </c>
      <c r="T162" s="27"/>
      <c r="U162" s="27"/>
      <c r="V162" s="27">
        <f t="shared" si="35"/>
        <v>50</v>
      </c>
      <c r="W162" s="27"/>
      <c r="X162" s="19">
        <f t="shared" si="36"/>
        <v>39.2</v>
      </c>
      <c r="Y162" s="13">
        <f t="shared" si="37"/>
        <v>56</v>
      </c>
    </row>
    <row r="163" ht="15.6" spans="1:25">
      <c r="A163" s="27">
        <v>305</v>
      </c>
      <c r="B163" s="27">
        <v>6</v>
      </c>
      <c r="C163" s="28" t="s">
        <v>190</v>
      </c>
      <c r="D163" s="28" t="s">
        <v>12</v>
      </c>
      <c r="E163" s="27">
        <v>12</v>
      </c>
      <c r="F163" s="29">
        <f>LOOKUP(E163,{0,-1.8,-0.8,0.2,1.2,2.2,3.2,4.6,6,7.4,8.8,10.2,11.6,13,14.4,15.8,17.2,19.1,21,22.8,24.6},{0,10,20,30,40,50,60,62,64,66,68,70,72,74,76,78,80,85,90,95,100})</f>
        <v>72</v>
      </c>
      <c r="G163" s="27">
        <v>249</v>
      </c>
      <c r="H163" s="29">
        <f>LOOKUP(G163,{0,180,185,190,195,200,205,209,213,217,221,225,229,233,237,241,245,253,260,265,270},{0,10,20,30,40,50,60,62,64,66,68,70,72,74,76,78,80,85,90,95,100})</f>
        <v>80</v>
      </c>
      <c r="I163" s="27">
        <v>5</v>
      </c>
      <c r="J163" s="29">
        <f>LOOKUP(I163,{0,4,5,6,7,8,9,10,11,12,13,14,15,16,17,18},{0,10,20,30,40,50,60,64,68,72,76,80,85,90,95,100})</f>
        <v>20</v>
      </c>
      <c r="K163" s="44"/>
      <c r="L163" s="35"/>
      <c r="M163" s="35">
        <f t="shared" si="32"/>
        <v>20</v>
      </c>
      <c r="N163" s="35">
        <v>7.1</v>
      </c>
      <c r="O163" s="36">
        <f t="shared" si="33"/>
        <v>10.9</v>
      </c>
      <c r="P163" s="29">
        <f>LOOKUP(O163,{0,7.8,8,8.2,8.4,8.6,8.8,9,9.2,9.4,9.6,9.8,10,10.2,10.4,10.6,10.8,10.9,11,11.1,11.2},{0,10,20,30,40,50,60,62,64,66,68,70,72,74,76,78,80,85,90,95,100})</f>
        <v>85</v>
      </c>
      <c r="Q163" s="5">
        <v>4.55</v>
      </c>
      <c r="R163" s="36">
        <f t="shared" si="34"/>
        <v>5.45</v>
      </c>
      <c r="S163" s="29">
        <f>LOOKUP(R163,{0,3.85,4.45,4.65,4.85,5.45,5.65,5.7,5.75,5.8,5.85,5.9,5.95,6,6.45,6.5,6.55,6.63,6.7,6.75,6.8},{0,10,20,30,40,50,60,62,64,66,68,70,72,74,76,78,80,85,90,95,100})</f>
        <v>50</v>
      </c>
      <c r="T163" s="27"/>
      <c r="U163" s="27"/>
      <c r="V163" s="27">
        <f t="shared" si="35"/>
        <v>50</v>
      </c>
      <c r="W163" s="27"/>
      <c r="X163" s="19">
        <f t="shared" si="36"/>
        <v>44.2</v>
      </c>
      <c r="Y163" s="13">
        <f t="shared" si="37"/>
        <v>63.1428571428572</v>
      </c>
    </row>
    <row r="164" ht="15.6" spans="1:25">
      <c r="A164" s="27">
        <v>305</v>
      </c>
      <c r="B164" s="27">
        <v>7</v>
      </c>
      <c r="C164" s="28" t="s">
        <v>191</v>
      </c>
      <c r="D164" s="28" t="s">
        <v>12</v>
      </c>
      <c r="E164" s="27">
        <v>7.5</v>
      </c>
      <c r="F164" s="29">
        <f>LOOKUP(E164,{0,-1.8,-0.8,0.2,1.2,2.2,3.2,4.6,6,7.4,8.8,10.2,11.6,13,14.4,15.8,17.2,19.1,21,22.8,24.6},{0,10,20,30,40,50,60,62,64,66,68,70,72,74,76,78,80,85,90,95,100})</f>
        <v>66</v>
      </c>
      <c r="G164" s="27">
        <v>205</v>
      </c>
      <c r="H164" s="29">
        <f>LOOKUP(G164,{0,180,185,190,195,200,205,209,213,217,221,225,229,233,237,241,245,253,260,265,270},{0,10,20,30,40,50,60,62,64,66,68,70,72,74,76,78,80,85,90,95,100})</f>
        <v>60</v>
      </c>
      <c r="I164" s="27">
        <v>0</v>
      </c>
      <c r="J164" s="29">
        <f>LOOKUP(I164,{0,4,5,6,7,8,9,10,11,12,13,14,15,16,17,18},{0,10,20,30,40,50,60,64,68,72,76,80,85,90,95,100})</f>
        <v>0</v>
      </c>
      <c r="K164" s="44"/>
      <c r="L164" s="35"/>
      <c r="M164" s="35">
        <f t="shared" si="32"/>
        <v>0</v>
      </c>
      <c r="N164" s="35">
        <v>7.8</v>
      </c>
      <c r="O164" s="36">
        <f t="shared" si="33"/>
        <v>10.2</v>
      </c>
      <c r="P164" s="29">
        <f>LOOKUP(O164,{0,7.8,8,8.2,8.4,8.6,8.8,9,9.2,9.4,9.6,9.8,10,10.2,10.4,10.6,10.8,10.9,11,11.1,11.2},{0,10,20,30,40,50,60,62,64,66,68,70,72,74,76,78,80,85,90,95,100})</f>
        <v>74</v>
      </c>
      <c r="Q164" s="5">
        <v>4.5</v>
      </c>
      <c r="R164" s="36">
        <f t="shared" si="34"/>
        <v>5.5</v>
      </c>
      <c r="S164" s="29">
        <f>LOOKUP(R164,{0,3.85,4.45,4.65,4.85,5.45,5.65,5.7,5.75,5.8,5.85,5.9,5.95,6,6.45,6.5,6.55,6.63,6.7,6.75,6.8},{0,10,20,30,40,50,60,62,64,66,68,70,72,74,76,78,80,85,90,95,100})</f>
        <v>50</v>
      </c>
      <c r="T164" s="27"/>
      <c r="U164" s="27"/>
      <c r="V164" s="27">
        <f t="shared" si="35"/>
        <v>50</v>
      </c>
      <c r="W164" s="27"/>
      <c r="X164" s="19">
        <f t="shared" si="36"/>
        <v>37.4</v>
      </c>
      <c r="Y164" s="13">
        <f t="shared" si="37"/>
        <v>53.4285714285714</v>
      </c>
    </row>
    <row r="165" ht="15.6" spans="1:25">
      <c r="A165" s="27">
        <v>305</v>
      </c>
      <c r="B165" s="27">
        <v>8</v>
      </c>
      <c r="C165" s="28" t="s">
        <v>192</v>
      </c>
      <c r="D165" s="28" t="s">
        <v>12</v>
      </c>
      <c r="E165" s="27">
        <v>13.5</v>
      </c>
      <c r="F165" s="29">
        <f>LOOKUP(E165,{0,-1.8,-0.8,0.2,1.2,2.2,3.2,4.6,6,7.4,8.8,10.2,11.6,13,14.4,15.8,17.2,19.1,21,22.8,24.6},{0,10,20,30,40,50,60,62,64,66,68,70,72,74,76,78,80,85,90,95,100})</f>
        <v>74</v>
      </c>
      <c r="G165" s="27">
        <v>207</v>
      </c>
      <c r="H165" s="29">
        <f>LOOKUP(G165,{0,180,185,190,195,200,205,209,213,217,221,225,229,233,237,241,245,253,260,265,270},{0,10,20,30,40,50,60,62,64,66,68,70,72,74,76,78,80,85,90,95,100})</f>
        <v>60</v>
      </c>
      <c r="I165" s="27">
        <v>1</v>
      </c>
      <c r="J165" s="29">
        <f>LOOKUP(I165,{0,4,5,6,7,8,9,10,11,12,13,14,15,16,17,18},{0,10,20,30,40,50,60,64,68,72,76,80,85,90,95,100})</f>
        <v>0</v>
      </c>
      <c r="K165" s="44"/>
      <c r="L165" s="35"/>
      <c r="M165" s="35">
        <f t="shared" si="32"/>
        <v>0</v>
      </c>
      <c r="N165" s="35">
        <v>8.1</v>
      </c>
      <c r="O165" s="36">
        <f t="shared" si="33"/>
        <v>9.9</v>
      </c>
      <c r="P165" s="29">
        <f>LOOKUP(O165,{0,7.8,8,8.2,8.4,8.6,8.8,9,9.2,9.4,9.6,9.8,10,10.2,10.4,10.6,10.8,10.9,11,11.1,11.2},{0,10,20,30,40,50,60,62,64,66,68,70,72,74,76,78,80,85,90,95,100})</f>
        <v>70</v>
      </c>
      <c r="Q165" s="5">
        <v>5.02</v>
      </c>
      <c r="R165" s="36">
        <f t="shared" si="34"/>
        <v>4.98</v>
      </c>
      <c r="S165" s="29">
        <f>LOOKUP(R165,{0,3.85,4.45,4.65,4.85,5.45,5.65,5.7,5.75,5.8,5.85,5.9,5.95,6,6.45,6.5,6.55,6.63,6.7,6.75,6.8},{0,10,20,30,40,50,60,62,64,66,68,70,72,74,76,78,80,85,90,95,100})</f>
        <v>40</v>
      </c>
      <c r="T165" s="27"/>
      <c r="U165" s="27"/>
      <c r="V165" s="27">
        <f t="shared" si="35"/>
        <v>40</v>
      </c>
      <c r="W165" s="27"/>
      <c r="X165" s="19">
        <f t="shared" si="36"/>
        <v>35.4</v>
      </c>
      <c r="Y165" s="13">
        <f t="shared" si="37"/>
        <v>50.5714285714286</v>
      </c>
    </row>
    <row r="166" ht="15.6" spans="1:25">
      <c r="A166" s="27">
        <v>305</v>
      </c>
      <c r="B166" s="27">
        <v>9</v>
      </c>
      <c r="C166" s="28" t="s">
        <v>193</v>
      </c>
      <c r="D166" s="28" t="s">
        <v>12</v>
      </c>
      <c r="E166" s="27">
        <v>20</v>
      </c>
      <c r="F166" s="29">
        <f>LOOKUP(E166,{0,-1.8,-0.8,0.2,1.2,2.2,3.2,4.6,6,7.4,8.8,10.2,11.6,13,14.4,15.8,17.2,19.1,21,22.8,24.6},{0,10,20,30,40,50,60,62,64,66,68,70,72,74,76,78,80,85,90,95,100})</f>
        <v>85</v>
      </c>
      <c r="G166" s="27">
        <v>240</v>
      </c>
      <c r="H166" s="29">
        <f>LOOKUP(G166,{0,180,185,190,195,200,205,209,213,217,221,225,229,233,237,241,245,253,260,265,270},{0,10,20,30,40,50,60,62,64,66,68,70,72,74,76,78,80,85,90,95,100})</f>
        <v>76</v>
      </c>
      <c r="I166" s="27">
        <v>3</v>
      </c>
      <c r="J166" s="29">
        <f>LOOKUP(I166,{0,4,5,6,7,8,9,10,11,12,13,14,15,16,17,18},{0,10,20,30,40,50,60,64,68,72,76,80,85,90,95,100})</f>
        <v>0</v>
      </c>
      <c r="K166" s="44"/>
      <c r="L166" s="35"/>
      <c r="M166" s="35">
        <f t="shared" si="32"/>
        <v>0</v>
      </c>
      <c r="N166" s="35">
        <v>7.1</v>
      </c>
      <c r="O166" s="36">
        <f t="shared" si="33"/>
        <v>10.9</v>
      </c>
      <c r="P166" s="29">
        <f>LOOKUP(O166,{0,7.8,8,8.2,8.4,8.6,8.8,9,9.2,9.4,9.6,9.8,10,10.2,10.4,10.6,10.8,10.9,11,11.1,11.2},{0,10,20,30,40,50,60,62,64,66,68,70,72,74,76,78,80,85,90,95,100})</f>
        <v>85</v>
      </c>
      <c r="Q166" s="5">
        <v>4.2</v>
      </c>
      <c r="R166" s="36">
        <f t="shared" si="34"/>
        <v>5.8</v>
      </c>
      <c r="S166" s="29">
        <f>LOOKUP(R166,{0,3.85,4.45,4.65,4.85,5.45,5.65,5.7,5.75,5.8,5.85,5.9,5.95,6,6.45,6.5,6.55,6.63,6.7,6.75,6.8},{0,10,20,30,40,50,60,62,64,66,68,70,72,74,76,78,80,85,90,95,100})</f>
        <v>66</v>
      </c>
      <c r="T166" s="27"/>
      <c r="U166" s="27"/>
      <c r="V166" s="27">
        <f t="shared" si="35"/>
        <v>66</v>
      </c>
      <c r="W166" s="27"/>
      <c r="X166" s="19">
        <f t="shared" si="36"/>
        <v>46.3</v>
      </c>
      <c r="Y166" s="13">
        <f t="shared" si="37"/>
        <v>66.1428571428572</v>
      </c>
    </row>
    <row r="167" ht="15.6" spans="1:25">
      <c r="A167" s="27">
        <v>305</v>
      </c>
      <c r="B167" s="27">
        <v>10</v>
      </c>
      <c r="C167" s="28" t="s">
        <v>194</v>
      </c>
      <c r="D167" s="28" t="s">
        <v>12</v>
      </c>
      <c r="E167" s="27">
        <v>4.4</v>
      </c>
      <c r="F167" s="29">
        <f>LOOKUP(E167,{0,-1.8,-0.8,0.2,1.2,2.2,3.2,4.6,6,7.4,8.8,10.2,11.6,13,14.4,15.8,17.2,19.1,21,22.8,24.6},{0,10,20,30,40,50,60,62,64,66,68,70,72,74,76,78,80,85,90,95,100})</f>
        <v>60</v>
      </c>
      <c r="G167" s="27">
        <v>240</v>
      </c>
      <c r="H167" s="29">
        <f>LOOKUP(G167,{0,180,185,190,195,200,205,209,213,217,221,225,229,233,237,241,245,253,260,265,270},{0,10,20,30,40,50,60,62,64,66,68,70,72,74,76,78,80,85,90,95,100})</f>
        <v>76</v>
      </c>
      <c r="I167" s="27">
        <v>18</v>
      </c>
      <c r="J167" s="29">
        <f>LOOKUP(I167,{0,4,5,6,7,8,9,10,11,12,13,14,15,16,17,18},{0,10,20,30,40,50,60,64,68,72,76,80,85,90,95,100})</f>
        <v>100</v>
      </c>
      <c r="K167" s="44"/>
      <c r="L167" s="35"/>
      <c r="M167" s="35">
        <f t="shared" si="32"/>
        <v>100</v>
      </c>
      <c r="N167" s="35">
        <v>7.1</v>
      </c>
      <c r="O167" s="36">
        <f t="shared" si="33"/>
        <v>10.9</v>
      </c>
      <c r="P167" s="29">
        <f>LOOKUP(O167,{0,7.8,8,8.2,8.4,8.6,8.8,9,9.2,9.4,9.6,9.8,10,10.2,10.4,10.6,10.8,10.9,11,11.1,11.2},{0,10,20,30,40,50,60,62,64,66,68,70,72,74,76,78,80,85,90,95,100})</f>
        <v>85</v>
      </c>
      <c r="Q167" s="5">
        <v>4.37</v>
      </c>
      <c r="R167" s="36">
        <f t="shared" si="34"/>
        <v>5.63</v>
      </c>
      <c r="S167" s="29">
        <f>LOOKUP(R167,{0,3.85,4.45,4.65,4.85,5.45,5.65,5.7,5.75,5.8,5.85,5.9,5.95,6,6.45,6.5,6.55,6.63,6.7,6.75,6.8},{0,10,20,30,40,50,60,62,64,66,68,70,72,74,76,78,80,85,90,95,100})</f>
        <v>50</v>
      </c>
      <c r="T167" s="27"/>
      <c r="U167" s="27"/>
      <c r="V167" s="27">
        <f t="shared" si="35"/>
        <v>50</v>
      </c>
      <c r="W167" s="27"/>
      <c r="X167" s="19">
        <f t="shared" si="36"/>
        <v>50.6</v>
      </c>
      <c r="Y167" s="13">
        <f t="shared" si="37"/>
        <v>72.2857142857143</v>
      </c>
    </row>
    <row r="168" ht="15.6" spans="1:25">
      <c r="A168" s="27">
        <v>305</v>
      </c>
      <c r="B168" s="27">
        <v>11</v>
      </c>
      <c r="C168" s="30" t="s">
        <v>196</v>
      </c>
      <c r="D168" s="28" t="s">
        <v>12</v>
      </c>
      <c r="E168" s="27">
        <v>21</v>
      </c>
      <c r="F168" s="29">
        <f>LOOKUP(E168,{0,-1.8,-0.8,0.2,1.2,2.2,3.2,4.6,6,7.4,8.8,10.2,11.6,13,14.4,15.8,17.2,19.1,21,22.8,24.6},{0,10,20,30,40,50,60,62,64,66,68,70,72,74,76,78,80,85,90,95,100})</f>
        <v>90</v>
      </c>
      <c r="G168" s="27">
        <v>186</v>
      </c>
      <c r="H168" s="29">
        <f>LOOKUP(G168,{0,180,185,190,195,200,205,209,213,217,221,225,229,233,237,241,245,253,260,265,270},{0,10,20,30,40,50,60,62,64,66,68,70,72,74,76,78,80,85,90,95,100})</f>
        <v>20</v>
      </c>
      <c r="I168" s="27">
        <v>4</v>
      </c>
      <c r="J168" s="29">
        <f>LOOKUP(I168,{0,4,5,6,7,8,9,10,11,12,13,14,15,16,17,18},{0,10,20,30,40,50,60,64,68,72,76,80,85,90,95,100})</f>
        <v>10</v>
      </c>
      <c r="K168" s="44"/>
      <c r="L168" s="35"/>
      <c r="M168" s="35">
        <f t="shared" si="32"/>
        <v>10</v>
      </c>
      <c r="N168" s="35">
        <v>9</v>
      </c>
      <c r="O168" s="36">
        <f t="shared" si="33"/>
        <v>9</v>
      </c>
      <c r="P168" s="29">
        <f>LOOKUP(O168,{0,7.8,8,8.2,8.4,8.6,8.8,9,9.2,9.4,9.6,9.8,10,10.2,10.4,10.6,10.8,10.9,11,11.1,11.2},{0,10,20,30,40,50,60,62,64,66,68,70,72,74,76,78,80,85,90,95,100})</f>
        <v>62</v>
      </c>
      <c r="Q168" s="5">
        <v>4.53</v>
      </c>
      <c r="R168" s="36">
        <f t="shared" si="34"/>
        <v>5.47</v>
      </c>
      <c r="S168" s="29">
        <f>LOOKUP(R168,{0,3.85,4.45,4.65,4.85,5.45,5.65,5.7,5.75,5.8,5.85,5.9,5.95,6,6.45,6.5,6.55,6.63,6.7,6.75,6.8},{0,10,20,30,40,50,60,62,64,66,68,70,72,74,76,78,80,85,90,95,100})</f>
        <v>50</v>
      </c>
      <c r="T168" s="27"/>
      <c r="U168" s="27"/>
      <c r="V168" s="27">
        <f t="shared" si="35"/>
        <v>50</v>
      </c>
      <c r="W168" s="27"/>
      <c r="X168" s="19">
        <f t="shared" si="36"/>
        <v>34.4</v>
      </c>
      <c r="Y168" s="13">
        <f t="shared" si="37"/>
        <v>49.1428571428571</v>
      </c>
    </row>
    <row r="169" ht="15.6" spans="1:25">
      <c r="A169" s="27">
        <v>305</v>
      </c>
      <c r="B169" s="27">
        <v>12</v>
      </c>
      <c r="C169" s="28" t="s">
        <v>197</v>
      </c>
      <c r="D169" s="28" t="s">
        <v>12</v>
      </c>
      <c r="E169" s="27">
        <v>11</v>
      </c>
      <c r="F169" s="29">
        <f>LOOKUP(E169,{0,-1.8,-0.8,0.2,1.2,2.2,3.2,4.6,6,7.4,8.8,10.2,11.6,13,14.4,15.8,17.2,19.1,21,22.8,24.6},{0,10,20,30,40,50,60,62,64,66,68,70,72,74,76,78,80,85,90,95,100})</f>
        <v>70</v>
      </c>
      <c r="G169" s="27">
        <v>206</v>
      </c>
      <c r="H169" s="29">
        <f>LOOKUP(G169,{0,180,185,190,195,200,205,209,213,217,221,225,229,233,237,241,245,253,260,265,270},{0,10,20,30,40,50,60,62,64,66,68,70,72,74,76,78,80,85,90,95,100})</f>
        <v>60</v>
      </c>
      <c r="I169" s="27">
        <v>8</v>
      </c>
      <c r="J169" s="29">
        <f>LOOKUP(I169,{0,4,5,6,7,8,9,10,11,12,13,14,15,16,17,18},{0,10,20,30,40,50,60,64,68,72,76,80,85,90,95,100})</f>
        <v>50</v>
      </c>
      <c r="K169" s="44"/>
      <c r="L169" s="35"/>
      <c r="M169" s="35">
        <f t="shared" si="32"/>
        <v>50</v>
      </c>
      <c r="N169" s="35">
        <v>8.3</v>
      </c>
      <c r="O169" s="36">
        <f t="shared" si="33"/>
        <v>9.7</v>
      </c>
      <c r="P169" s="29">
        <f>LOOKUP(O169,{0,7.8,8,8.2,8.4,8.6,8.8,9,9.2,9.4,9.6,9.8,10,10.2,10.4,10.6,10.8,10.9,11,11.1,11.2},{0,10,20,30,40,50,60,62,64,66,68,70,72,74,76,78,80,85,90,95,100})</f>
        <v>68</v>
      </c>
      <c r="Q169" s="5">
        <v>4.05</v>
      </c>
      <c r="R169" s="36">
        <f t="shared" si="34"/>
        <v>5.95</v>
      </c>
      <c r="S169" s="29">
        <f>LOOKUP(R169,{0,3.85,4.45,4.65,4.85,5.45,5.65,5.7,5.75,5.8,5.85,5.9,5.95,6,6.45,6.5,6.55,6.63,6.7,6.75,6.8},{0,10,20,30,40,50,60,62,64,66,68,70,72,74,76,78,80,85,90,95,100})</f>
        <v>72</v>
      </c>
      <c r="T169" s="27"/>
      <c r="U169" s="27"/>
      <c r="V169" s="27">
        <f t="shared" si="35"/>
        <v>72</v>
      </c>
      <c r="W169" s="27"/>
      <c r="X169" s="19">
        <f t="shared" si="36"/>
        <v>46</v>
      </c>
      <c r="Y169" s="13">
        <f t="shared" si="37"/>
        <v>65.7142857142857</v>
      </c>
    </row>
    <row r="170" ht="15.6" spans="1:25">
      <c r="A170" s="27">
        <v>305</v>
      </c>
      <c r="B170" s="27">
        <v>13</v>
      </c>
      <c r="C170" s="28" t="s">
        <v>198</v>
      </c>
      <c r="D170" s="28" t="s">
        <v>12</v>
      </c>
      <c r="E170" s="27">
        <v>16</v>
      </c>
      <c r="F170" s="29">
        <f>LOOKUP(E170,{0,-1.8,-0.8,0.2,1.2,2.2,3.2,4.6,6,7.4,8.8,10.2,11.6,13,14.4,15.8,17.2,19.1,21,22.8,24.6},{0,10,20,30,40,50,60,62,64,66,68,70,72,74,76,78,80,85,90,95,100})</f>
        <v>78</v>
      </c>
      <c r="G170" s="27">
        <v>227</v>
      </c>
      <c r="H170" s="29">
        <f>LOOKUP(G170,{0,180,185,190,195,200,205,209,213,217,221,225,229,233,237,241,245,253,260,265,270},{0,10,20,30,40,50,60,62,64,66,68,70,72,74,76,78,80,85,90,95,100})</f>
        <v>70</v>
      </c>
      <c r="I170" s="27">
        <v>8</v>
      </c>
      <c r="J170" s="29">
        <f>LOOKUP(I170,{0,4,5,6,7,8,9,10,11,12,13,14,15,16,17,18},{0,10,20,30,40,50,60,64,68,72,76,80,85,90,95,100})</f>
        <v>50</v>
      </c>
      <c r="K170" s="44"/>
      <c r="L170" s="35"/>
      <c r="M170" s="35">
        <f t="shared" si="32"/>
        <v>50</v>
      </c>
      <c r="N170" s="35">
        <v>8.2</v>
      </c>
      <c r="O170" s="36">
        <f t="shared" si="33"/>
        <v>9.8</v>
      </c>
      <c r="P170" s="29">
        <f>LOOKUP(O170,{0,7.8,8,8.2,8.4,8.6,8.8,9,9.2,9.4,9.6,9.8,10,10.2,10.4,10.6,10.8,10.9,11,11.1,11.2},{0,10,20,30,40,50,60,62,64,66,68,70,72,74,76,78,80,85,90,95,100})</f>
        <v>70</v>
      </c>
      <c r="Q170" s="5">
        <v>4.54</v>
      </c>
      <c r="R170" s="36">
        <f t="shared" si="34"/>
        <v>5.46</v>
      </c>
      <c r="S170" s="29">
        <f>LOOKUP(R170,{0,3.85,4.45,4.65,4.85,5.45,5.65,5.7,5.75,5.8,5.85,5.9,5.95,6,6.45,6.5,6.55,6.63,6.7,6.75,6.8},{0,10,20,30,40,50,60,62,64,66,68,70,72,74,76,78,80,85,90,95,100})</f>
        <v>50</v>
      </c>
      <c r="T170" s="27"/>
      <c r="U170" s="27"/>
      <c r="V170" s="27">
        <f t="shared" si="35"/>
        <v>50</v>
      </c>
      <c r="W170" s="27"/>
      <c r="X170" s="19">
        <f t="shared" si="36"/>
        <v>43.8</v>
      </c>
      <c r="Y170" s="13">
        <f t="shared" si="37"/>
        <v>62.5714285714286</v>
      </c>
    </row>
    <row r="171" ht="15.6" spans="1:25">
      <c r="A171" s="27">
        <v>305</v>
      </c>
      <c r="B171" s="27">
        <v>14</v>
      </c>
      <c r="C171" s="28" t="s">
        <v>199</v>
      </c>
      <c r="D171" s="28" t="s">
        <v>12</v>
      </c>
      <c r="E171" s="27">
        <v>9</v>
      </c>
      <c r="F171" s="29">
        <f>LOOKUP(E171,{0,-1.8,-0.8,0.2,1.2,2.2,3.2,4.6,6,7.4,8.8,10.2,11.6,13,14.4,15.8,17.2,19.1,21,22.8,24.6},{0,10,20,30,40,50,60,62,64,66,68,70,72,74,76,78,80,85,90,95,100})</f>
        <v>68</v>
      </c>
      <c r="G171" s="27">
        <v>225</v>
      </c>
      <c r="H171" s="29">
        <f>LOOKUP(G171,{0,180,185,190,195,200,205,209,213,217,221,225,229,233,237,241,245,253,260,265,270},{0,10,20,30,40,50,60,62,64,66,68,70,72,74,76,78,80,85,90,95,100})</f>
        <v>70</v>
      </c>
      <c r="I171" s="27">
        <v>2</v>
      </c>
      <c r="J171" s="29">
        <f>LOOKUP(I171,{0,4,5,6,7,8,9,10,11,12,13,14,15,16,17,18},{0,10,20,30,40,50,60,64,68,72,76,80,85,90,95,100})</f>
        <v>0</v>
      </c>
      <c r="K171" s="44"/>
      <c r="L171" s="35"/>
      <c r="M171" s="35">
        <f t="shared" si="32"/>
        <v>0</v>
      </c>
      <c r="N171" s="35">
        <v>9.1</v>
      </c>
      <c r="O171" s="36">
        <f t="shared" si="33"/>
        <v>8.9</v>
      </c>
      <c r="P171" s="29">
        <f>LOOKUP(O171,{0,7.8,8,8.2,8.4,8.6,8.8,9,9.2,9.4,9.6,9.8,10,10.2,10.4,10.6,10.8,10.9,11,11.1,11.2},{0,10,20,30,40,50,60,62,64,66,68,70,72,74,76,78,80,85,90,95,100})</f>
        <v>60</v>
      </c>
      <c r="Q171" s="5">
        <v>5.01</v>
      </c>
      <c r="R171" s="36">
        <f t="shared" si="34"/>
        <v>4.99</v>
      </c>
      <c r="S171" s="29">
        <f>LOOKUP(R171,{0,3.85,4.45,4.65,4.85,5.45,5.65,5.7,5.75,5.8,5.85,5.9,5.95,6,6.45,6.5,6.55,6.63,6.7,6.75,6.8},{0,10,20,30,40,50,60,62,64,66,68,70,72,74,76,78,80,85,90,95,100})</f>
        <v>40</v>
      </c>
      <c r="T171" s="27"/>
      <c r="U171" s="27"/>
      <c r="V171" s="27">
        <f t="shared" si="35"/>
        <v>40</v>
      </c>
      <c r="W171" s="27"/>
      <c r="X171" s="19">
        <f t="shared" si="36"/>
        <v>33.8</v>
      </c>
      <c r="Y171" s="13">
        <f t="shared" si="37"/>
        <v>48.2857142857143</v>
      </c>
    </row>
    <row r="172" ht="15.6" spans="1:25">
      <c r="A172" s="27">
        <v>305</v>
      </c>
      <c r="B172" s="27">
        <v>15</v>
      </c>
      <c r="C172" s="28" t="s">
        <v>200</v>
      </c>
      <c r="D172" s="28" t="s">
        <v>12</v>
      </c>
      <c r="E172" s="27">
        <v>6</v>
      </c>
      <c r="F172" s="29">
        <f>LOOKUP(E172,{0,-1.8,-0.8,0.2,1.2,2.2,3.2,4.6,6,7.4,8.8,10.2,11.6,13,14.4,15.8,17.2,19.1,21,22.8,24.6},{0,10,20,30,40,50,60,62,64,66,68,70,72,74,76,78,80,85,90,95,100})</f>
        <v>64</v>
      </c>
      <c r="G172" s="27">
        <v>228</v>
      </c>
      <c r="H172" s="29">
        <f>LOOKUP(G172,{0,180,185,190,195,200,205,209,213,217,221,225,229,233,237,241,245,253,260,265,270},{0,10,20,30,40,50,60,62,64,66,68,70,72,74,76,78,80,85,90,95,100})</f>
        <v>70</v>
      </c>
      <c r="I172" s="27">
        <v>22</v>
      </c>
      <c r="J172" s="29">
        <f>LOOKUP(I172,{0,4,5,6,7,8,9,10,11,12,13,14,15,16,17,18},{0,10,20,30,40,50,60,64,68,72,76,80,85,90,95,100})</f>
        <v>100</v>
      </c>
      <c r="K172" s="44">
        <f>I172-18</f>
        <v>4</v>
      </c>
      <c r="L172" s="29">
        <f>LOOKUP(K172,{0,1,2,3,4,5,6,7,8,9,10},{0,1,2,3,4,5,6,7,8,9,10})</f>
        <v>4</v>
      </c>
      <c r="M172" s="35">
        <f t="shared" si="32"/>
        <v>104</v>
      </c>
      <c r="N172" s="35">
        <v>7.7</v>
      </c>
      <c r="O172" s="36">
        <f t="shared" si="33"/>
        <v>10.3</v>
      </c>
      <c r="P172" s="29">
        <f>LOOKUP(O172,{0,7.8,8,8.2,8.4,8.6,8.8,9,9.2,9.4,9.6,9.8,10,10.2,10.4,10.6,10.8,10.9,11,11.1,11.2},{0,10,20,30,40,50,60,62,64,66,68,70,72,74,76,78,80,85,90,95,100})</f>
        <v>74</v>
      </c>
      <c r="Q172" s="5">
        <v>4.26</v>
      </c>
      <c r="R172" s="36">
        <f t="shared" si="34"/>
        <v>5.74</v>
      </c>
      <c r="S172" s="29">
        <f>LOOKUP(R172,{0,3.85,4.45,4.65,4.85,5.45,5.65,5.7,5.75,5.8,5.85,5.9,5.95,6,6.45,6.5,6.55,6.63,6.7,6.75,6.8},{0,10,20,30,40,50,60,62,64,66,68,70,72,74,76,78,80,85,90,95,100})</f>
        <v>62</v>
      </c>
      <c r="T172" s="27"/>
      <c r="U172" s="27"/>
      <c r="V172" s="27">
        <f t="shared" si="35"/>
        <v>62</v>
      </c>
      <c r="W172" s="27"/>
      <c r="X172" s="19">
        <f t="shared" si="36"/>
        <v>50.6</v>
      </c>
      <c r="Y172" s="13">
        <f t="shared" si="37"/>
        <v>76.2857142857143</v>
      </c>
    </row>
    <row r="173" ht="15.6" spans="1:25">
      <c r="A173" s="27">
        <v>305</v>
      </c>
      <c r="B173" s="27">
        <v>16</v>
      </c>
      <c r="C173" s="28" t="s">
        <v>201</v>
      </c>
      <c r="D173" s="28" t="s">
        <v>12</v>
      </c>
      <c r="E173" s="27">
        <v>8.6</v>
      </c>
      <c r="F173" s="29">
        <f>LOOKUP(E173,{0,-1.8,-0.8,0.2,1.2,2.2,3.2,4.6,6,7.4,8.8,10.2,11.6,13,14.4,15.8,17.2,19.1,21,22.8,24.6},{0,10,20,30,40,50,60,62,64,66,68,70,72,74,76,78,80,85,90,95,100})</f>
        <v>66</v>
      </c>
      <c r="G173" s="27">
        <v>250</v>
      </c>
      <c r="H173" s="29">
        <f>LOOKUP(G173,{0,180,185,190,195,200,205,209,213,217,221,225,229,233,237,241,245,253,260,265,270},{0,10,20,30,40,50,60,62,64,66,68,70,72,74,76,78,80,85,90,95,100})</f>
        <v>80</v>
      </c>
      <c r="I173" s="27">
        <v>4</v>
      </c>
      <c r="J173" s="29">
        <f>LOOKUP(I173,{0,4,5,6,7,8,9,10,11,12,13,14,15,16,17,18},{0,10,20,30,40,50,60,64,68,72,76,80,85,90,95,100})</f>
        <v>10</v>
      </c>
      <c r="K173" s="44"/>
      <c r="L173" s="35"/>
      <c r="M173" s="35">
        <f t="shared" si="32"/>
        <v>10</v>
      </c>
      <c r="N173" s="35">
        <v>7.2</v>
      </c>
      <c r="O173" s="36">
        <f t="shared" si="33"/>
        <v>10.8</v>
      </c>
      <c r="P173" s="29">
        <f>LOOKUP(O173,{0,7.8,8,8.2,8.4,8.6,8.8,9,9.2,9.4,9.6,9.8,10,10.2,10.4,10.6,10.8,10.9,11,11.1,11.2},{0,10,20,30,40,50,60,62,64,66,68,70,72,74,76,78,80,85,90,95,100})</f>
        <v>80</v>
      </c>
      <c r="Q173" s="5">
        <v>4.53</v>
      </c>
      <c r="R173" s="36">
        <f t="shared" si="34"/>
        <v>5.47</v>
      </c>
      <c r="S173" s="29">
        <f>LOOKUP(R173,{0,3.85,4.45,4.65,4.85,5.45,5.65,5.7,5.75,5.8,5.85,5.9,5.95,6,6.45,6.5,6.55,6.63,6.7,6.75,6.8},{0,10,20,30,40,50,60,62,64,66,68,70,72,74,76,78,80,85,90,95,100})</f>
        <v>50</v>
      </c>
      <c r="T173" s="27"/>
      <c r="U173" s="27"/>
      <c r="V173" s="27">
        <f t="shared" si="35"/>
        <v>50</v>
      </c>
      <c r="W173" s="27"/>
      <c r="X173" s="19">
        <f t="shared" si="36"/>
        <v>41.6</v>
      </c>
      <c r="Y173" s="13">
        <f t="shared" si="37"/>
        <v>59.4285714285714</v>
      </c>
    </row>
    <row r="174" ht="15.6" spans="1:25">
      <c r="A174" s="27">
        <v>305</v>
      </c>
      <c r="B174" s="27">
        <v>17</v>
      </c>
      <c r="C174" s="28" t="s">
        <v>202</v>
      </c>
      <c r="D174" s="28" t="s">
        <v>12</v>
      </c>
      <c r="E174" s="27">
        <v>5.5</v>
      </c>
      <c r="F174" s="29">
        <f>LOOKUP(E174,{0,-1.8,-0.8,0.2,1.2,2.2,3.2,4.6,6,7.4,8.8,10.2,11.6,13,14.4,15.8,17.2,19.1,21,22.8,24.6},{0,10,20,30,40,50,60,62,64,66,68,70,72,74,76,78,80,85,90,95,100})</f>
        <v>62</v>
      </c>
      <c r="G174" s="27">
        <v>219</v>
      </c>
      <c r="H174" s="29">
        <f>LOOKUP(G174,{0,180,185,190,195,200,205,209,213,217,221,225,229,233,237,241,245,253,260,265,270},{0,10,20,30,40,50,60,62,64,66,68,70,72,74,76,78,80,85,90,95,100})</f>
        <v>66</v>
      </c>
      <c r="I174" s="27">
        <v>7</v>
      </c>
      <c r="J174" s="29">
        <f>LOOKUP(I174,{0,4,5,6,7,8,9,10,11,12,13,14,15,16,17,18},{0,10,20,30,40,50,60,64,68,72,76,80,85,90,95,100})</f>
        <v>40</v>
      </c>
      <c r="K174" s="44"/>
      <c r="L174" s="35"/>
      <c r="M174" s="35">
        <f t="shared" si="32"/>
        <v>40</v>
      </c>
      <c r="N174" s="35">
        <v>7.6</v>
      </c>
      <c r="O174" s="36">
        <f t="shared" si="33"/>
        <v>10.4</v>
      </c>
      <c r="P174" s="29">
        <f>LOOKUP(O174,{0,7.8,8,8.2,8.4,8.6,8.8,9,9.2,9.4,9.6,9.8,10,10.2,10.4,10.6,10.8,10.9,11,11.1,11.2},{0,10,20,30,40,50,60,62,64,66,68,70,72,74,76,78,80,85,90,95,100})</f>
        <v>76</v>
      </c>
      <c r="Q174" s="5">
        <v>4.16</v>
      </c>
      <c r="R174" s="36">
        <f t="shared" si="34"/>
        <v>5.84</v>
      </c>
      <c r="S174" s="29">
        <f>LOOKUP(R174,{0,3.85,4.45,4.65,4.85,5.45,5.65,5.7,5.75,5.8,5.85,5.9,5.95,6,6.45,6.5,6.55,6.63,6.7,6.75,6.8},{0,10,20,30,40,50,60,62,64,66,68,70,72,74,76,78,80,85,90,95,100})</f>
        <v>66</v>
      </c>
      <c r="T174" s="27"/>
      <c r="U174" s="27"/>
      <c r="V174" s="27">
        <f t="shared" si="35"/>
        <v>66</v>
      </c>
      <c r="W174" s="27"/>
      <c r="X174" s="19">
        <f t="shared" si="36"/>
        <v>45.2</v>
      </c>
      <c r="Y174" s="13">
        <f t="shared" si="37"/>
        <v>64.5714285714286</v>
      </c>
    </row>
    <row r="175" ht="15.6" spans="1:25">
      <c r="A175" s="27">
        <v>305</v>
      </c>
      <c r="B175" s="27">
        <v>18</v>
      </c>
      <c r="C175" s="28" t="s">
        <v>203</v>
      </c>
      <c r="D175" s="28" t="s">
        <v>12</v>
      </c>
      <c r="E175" s="27">
        <v>11</v>
      </c>
      <c r="F175" s="29">
        <f>LOOKUP(E175,{0,-1.8,-0.8,0.2,1.2,2.2,3.2,4.6,6,7.4,8.8,10.2,11.6,13,14.4,15.8,17.2,19.1,21,22.8,24.6},{0,10,20,30,40,50,60,62,64,66,68,70,72,74,76,78,80,85,90,95,100})</f>
        <v>70</v>
      </c>
      <c r="G175" s="27">
        <v>251</v>
      </c>
      <c r="H175" s="29">
        <f>LOOKUP(G175,{0,180,185,190,195,200,205,209,213,217,221,225,229,233,237,241,245,253,260,265,270},{0,10,20,30,40,50,60,62,64,66,68,70,72,74,76,78,80,85,90,95,100})</f>
        <v>80</v>
      </c>
      <c r="I175" s="27">
        <v>4</v>
      </c>
      <c r="J175" s="29">
        <f>LOOKUP(I175,{0,4,5,6,7,8,9,10,11,12,13,14,15,16,17,18},{0,10,20,30,40,50,60,64,68,72,76,80,85,90,95,100})</f>
        <v>10</v>
      </c>
      <c r="K175" s="44"/>
      <c r="L175" s="35"/>
      <c r="M175" s="35">
        <f t="shared" si="32"/>
        <v>10</v>
      </c>
      <c r="N175" s="35">
        <v>8.6</v>
      </c>
      <c r="O175" s="36">
        <f t="shared" si="33"/>
        <v>9.4</v>
      </c>
      <c r="P175" s="29">
        <f>LOOKUP(O175,{0,7.8,8,8.2,8.4,8.6,8.8,9,9.2,9.4,9.6,9.8,10,10.2,10.4,10.6,10.8,10.9,11,11.1,11.2},{0,10,20,30,40,50,60,62,64,66,68,70,72,74,76,78,80,85,90,95,100})</f>
        <v>66</v>
      </c>
      <c r="Q175" s="5">
        <v>5.01</v>
      </c>
      <c r="R175" s="36">
        <f t="shared" si="34"/>
        <v>4.99</v>
      </c>
      <c r="S175" s="29">
        <f>LOOKUP(R175,{0,3.85,4.45,4.65,4.85,5.45,5.65,5.7,5.75,5.8,5.85,5.9,5.95,6,6.45,6.5,6.55,6.63,6.7,6.75,6.8},{0,10,20,30,40,50,60,62,64,66,68,70,72,74,76,78,80,85,90,95,100})</f>
        <v>40</v>
      </c>
      <c r="T175" s="27"/>
      <c r="U175" s="27"/>
      <c r="V175" s="27">
        <f t="shared" si="35"/>
        <v>40</v>
      </c>
      <c r="W175" s="27"/>
      <c r="X175" s="19">
        <f t="shared" si="36"/>
        <v>37.2</v>
      </c>
      <c r="Y175" s="13">
        <f t="shared" si="37"/>
        <v>53.1428571428572</v>
      </c>
    </row>
    <row r="176" ht="15.6" spans="1:25">
      <c r="A176" s="27">
        <v>305</v>
      </c>
      <c r="B176" s="27">
        <v>19</v>
      </c>
      <c r="C176" s="28" t="s">
        <v>204</v>
      </c>
      <c r="D176" s="28" t="s">
        <v>12</v>
      </c>
      <c r="E176" s="27">
        <v>11.5</v>
      </c>
      <c r="F176" s="29">
        <f>LOOKUP(E176,{0,-1.8,-0.8,0.2,1.2,2.2,3.2,4.6,6,7.4,8.8,10.2,11.6,13,14.4,15.8,17.2,19.1,21,22.8,24.6},{0,10,20,30,40,50,60,62,64,66,68,70,72,74,76,78,80,85,90,95,100})</f>
        <v>70</v>
      </c>
      <c r="G176" s="27">
        <v>270</v>
      </c>
      <c r="H176" s="29">
        <f>LOOKUP(G176,{0,180,185,190,195,200,205,209,213,217,221,225,229,233,237,241,245,253,260,265,270},{0,10,20,30,40,50,60,62,64,66,68,70,72,74,76,78,80,85,90,95,100})</f>
        <v>100</v>
      </c>
      <c r="I176" s="27">
        <v>10</v>
      </c>
      <c r="J176" s="29">
        <f>LOOKUP(I176,{0,4,5,6,7,8,9,10,11,12,13,14,15,16,17,18},{0,10,20,30,40,50,60,64,68,72,76,80,85,90,95,100})</f>
        <v>64</v>
      </c>
      <c r="K176" s="44"/>
      <c r="L176" s="35"/>
      <c r="M176" s="35">
        <f t="shared" si="32"/>
        <v>64</v>
      </c>
      <c r="N176" s="35">
        <v>7.7</v>
      </c>
      <c r="O176" s="36">
        <f t="shared" si="33"/>
        <v>10.3</v>
      </c>
      <c r="P176" s="29">
        <f>LOOKUP(O176,{0,7.8,8,8.2,8.4,8.6,8.8,9,9.2,9.4,9.6,9.8,10,10.2,10.4,10.6,10.8,10.9,11,11.1,11.2},{0,10,20,30,40,50,60,62,64,66,68,70,72,74,76,78,80,85,90,95,100})</f>
        <v>74</v>
      </c>
      <c r="Q176" s="5">
        <v>5.01</v>
      </c>
      <c r="R176" s="36">
        <f t="shared" si="34"/>
        <v>4.99</v>
      </c>
      <c r="S176" s="29">
        <f>LOOKUP(R176,{0,3.85,4.45,4.65,4.85,5.45,5.65,5.7,5.75,5.8,5.85,5.9,5.95,6,6.45,6.5,6.55,6.63,6.7,6.75,6.8},{0,10,20,30,40,50,60,62,64,66,68,70,72,74,76,78,80,85,90,95,100})</f>
        <v>40</v>
      </c>
      <c r="T176" s="27"/>
      <c r="U176" s="27"/>
      <c r="V176" s="27">
        <f t="shared" si="35"/>
        <v>40</v>
      </c>
      <c r="W176" s="27"/>
      <c r="X176" s="19">
        <f t="shared" si="36"/>
        <v>46.2</v>
      </c>
      <c r="Y176" s="13">
        <f t="shared" si="37"/>
        <v>66</v>
      </c>
    </row>
    <row r="177" ht="15.6" spans="1:25">
      <c r="A177" s="27">
        <v>305</v>
      </c>
      <c r="B177" s="27">
        <v>20</v>
      </c>
      <c r="C177" s="28" t="s">
        <v>205</v>
      </c>
      <c r="D177" s="28" t="s">
        <v>12</v>
      </c>
      <c r="E177" s="27">
        <v>14.1</v>
      </c>
      <c r="F177" s="29">
        <f>LOOKUP(E177,{0,-1.8,-0.8,0.2,1.2,2.2,3.2,4.6,6,7.4,8.8,10.2,11.6,13,14.4,15.8,17.2,19.1,21,22.8,24.6},{0,10,20,30,40,50,60,62,64,66,68,70,72,74,76,78,80,85,90,95,100})</f>
        <v>74</v>
      </c>
      <c r="G177" s="27">
        <v>222</v>
      </c>
      <c r="H177" s="29">
        <f>LOOKUP(G177,{0,180,185,190,195,200,205,209,213,217,221,225,229,233,237,241,245,253,260,265,270},{0,10,20,30,40,50,60,62,64,66,68,70,72,74,76,78,80,85,90,95,100})</f>
        <v>68</v>
      </c>
      <c r="I177" s="27">
        <v>20</v>
      </c>
      <c r="J177" s="29">
        <f>LOOKUP(I177,{0,4,5,6,7,8,9,10,11,12,13,14,15,16,17,18},{0,10,20,30,40,50,60,64,68,72,76,80,85,90,95,100})</f>
        <v>100</v>
      </c>
      <c r="K177" s="44">
        <f>I177-18</f>
        <v>2</v>
      </c>
      <c r="L177" s="29">
        <f>LOOKUP(K177,{0,1,2,3,4,5,6,7,8,9,10},{0,1,2,3,4,5,6,7,8,9,10})</f>
        <v>2</v>
      </c>
      <c r="M177" s="35">
        <f t="shared" si="32"/>
        <v>102</v>
      </c>
      <c r="N177" s="35">
        <v>7.7</v>
      </c>
      <c r="O177" s="36">
        <f t="shared" si="33"/>
        <v>10.3</v>
      </c>
      <c r="P177" s="29">
        <f>LOOKUP(O177,{0,7.8,8,8.2,8.4,8.6,8.8,9,9.2,9.4,9.6,9.8,10,10.2,10.4,10.6,10.8,10.9,11,11.1,11.2},{0,10,20,30,40,50,60,62,64,66,68,70,72,74,76,78,80,85,90,95,100})</f>
        <v>74</v>
      </c>
      <c r="Q177" s="5">
        <v>3.53</v>
      </c>
      <c r="R177" s="36">
        <f t="shared" si="34"/>
        <v>6.47</v>
      </c>
      <c r="S177" s="29">
        <f>LOOKUP(R177,{0,3.85,4.45,4.65,4.85,5.45,5.65,5.7,5.75,5.8,5.85,5.9,5.95,6,6.45,6.5,6.55,6.63,6.7,6.75,6.8},{0,10,20,30,40,50,60,62,64,66,68,70,72,74,76,78,80,85,90,95,100})</f>
        <v>76</v>
      </c>
      <c r="T177" s="27"/>
      <c r="U177" s="27"/>
      <c r="V177" s="27">
        <f t="shared" si="35"/>
        <v>76</v>
      </c>
      <c r="W177" s="27"/>
      <c r="X177" s="19">
        <f t="shared" si="36"/>
        <v>54.2</v>
      </c>
      <c r="Y177" s="13">
        <f t="shared" si="37"/>
        <v>79.4285714285714</v>
      </c>
    </row>
    <row r="178" ht="15.6" spans="1:25">
      <c r="A178" s="27">
        <v>305</v>
      </c>
      <c r="B178" s="27">
        <v>21</v>
      </c>
      <c r="C178" s="30" t="s">
        <v>207</v>
      </c>
      <c r="D178" s="28" t="s">
        <v>12</v>
      </c>
      <c r="E178" s="27">
        <v>22</v>
      </c>
      <c r="F178" s="29">
        <f>LOOKUP(E178,{0,-1.8,-0.8,0.2,1.2,2.2,3.2,4.6,6,7.4,8.8,10.2,11.6,13,14.4,15.8,17.2,19.1,21,22.8,24.6},{0,10,20,30,40,50,60,62,64,66,68,70,72,74,76,78,80,85,90,95,100})</f>
        <v>90</v>
      </c>
      <c r="G178" s="27">
        <v>240</v>
      </c>
      <c r="H178" s="29">
        <f>LOOKUP(G178,{0,180,185,190,195,200,205,209,213,217,221,225,229,233,237,241,245,253,260,265,270},{0,10,20,30,40,50,60,62,64,66,68,70,72,74,76,78,80,85,90,95,100})</f>
        <v>76</v>
      </c>
      <c r="I178" s="27">
        <v>3</v>
      </c>
      <c r="J178" s="29">
        <f>LOOKUP(I178,{0,4,5,6,7,8,9,10,11,12,13,14,15,16,17,18},{0,10,20,30,40,50,60,64,68,72,76,80,85,90,95,100})</f>
        <v>0</v>
      </c>
      <c r="K178" s="44"/>
      <c r="L178" s="35"/>
      <c r="M178" s="35">
        <f t="shared" si="32"/>
        <v>0</v>
      </c>
      <c r="N178" s="35">
        <v>7.5</v>
      </c>
      <c r="O178" s="36">
        <f t="shared" si="33"/>
        <v>10.5</v>
      </c>
      <c r="P178" s="29">
        <f>LOOKUP(O178,{0,7.8,8,8.2,8.4,8.6,8.8,9,9.2,9.4,9.6,9.8,10,10.2,10.4,10.6,10.8,10.9,11,11.1,11.2},{0,10,20,30,40,50,60,62,64,66,68,70,72,74,76,78,80,85,90,95,100})</f>
        <v>76</v>
      </c>
      <c r="Q178" s="5">
        <v>4.34</v>
      </c>
      <c r="R178" s="36">
        <f t="shared" si="34"/>
        <v>5.66</v>
      </c>
      <c r="S178" s="29">
        <f>LOOKUP(R178,{0,3.85,4.45,4.65,4.85,5.45,5.65,5.7,5.75,5.8,5.85,5.9,5.95,6,6.45,6.5,6.55,6.63,6.7,6.75,6.8},{0,10,20,30,40,50,60,62,64,66,68,70,72,74,76,78,80,85,90,95,100})</f>
        <v>60</v>
      </c>
      <c r="T178" s="27"/>
      <c r="U178" s="27"/>
      <c r="V178" s="27">
        <f t="shared" si="35"/>
        <v>60</v>
      </c>
      <c r="W178" s="27"/>
      <c r="X178" s="19">
        <f t="shared" si="36"/>
        <v>43.8</v>
      </c>
      <c r="Y178" s="13">
        <f t="shared" si="37"/>
        <v>62.5714285714286</v>
      </c>
    </row>
    <row r="179" ht="15.6" spans="1:25">
      <c r="A179" s="27">
        <v>305</v>
      </c>
      <c r="B179" s="27">
        <v>22</v>
      </c>
      <c r="C179" s="28" t="s">
        <v>208</v>
      </c>
      <c r="D179" s="28" t="s">
        <v>12</v>
      </c>
      <c r="E179" s="27">
        <v>25.5</v>
      </c>
      <c r="F179" s="29">
        <f>LOOKUP(E179,{0,-1.8,-0.8,0.2,1.2,2.2,3.2,4.6,6,7.4,8.8,10.2,11.6,13,14.4,15.8,17.2,19.1,21,22.8,24.6},{0,10,20,30,40,50,60,62,64,66,68,70,72,74,76,78,80,85,90,95,100})</f>
        <v>100</v>
      </c>
      <c r="G179" s="27">
        <v>280</v>
      </c>
      <c r="H179" s="29">
        <f>LOOKUP(G179,{0,180,185,190,195,200,205,209,213,217,221,225,229,233,237,241,245,253,260,265,270},{0,10,20,30,40,50,60,62,64,66,68,70,72,74,76,78,80,85,90,95,100})</f>
        <v>100</v>
      </c>
      <c r="I179" s="27">
        <v>8</v>
      </c>
      <c r="J179" s="29">
        <f>LOOKUP(I179,{0,4,5,6,7,8,9,10,11,12,13,14,15,16,17,18},{0,10,20,30,40,50,60,64,68,72,76,80,85,90,95,100})</f>
        <v>50</v>
      </c>
      <c r="K179" s="44"/>
      <c r="L179" s="35"/>
      <c r="M179" s="35">
        <f t="shared" si="32"/>
        <v>50</v>
      </c>
      <c r="N179" s="35">
        <v>6.8</v>
      </c>
      <c r="O179" s="36">
        <f t="shared" si="33"/>
        <v>11.2</v>
      </c>
      <c r="P179" s="29">
        <f>LOOKUP(O179,{0,7.8,8,8.2,8.4,8.6,8.8,9,9.2,9.4,9.6,9.8,10,10.2,10.4,10.6,10.8,10.9,11,11.1,11.2},{0,10,20,30,40,50,60,62,64,66,68,70,72,74,76,78,80,85,90,95,100})</f>
        <v>100</v>
      </c>
      <c r="Q179" s="5">
        <v>6.48</v>
      </c>
      <c r="R179" s="36">
        <f t="shared" si="34"/>
        <v>3.52</v>
      </c>
      <c r="S179" s="29">
        <f>LOOKUP(R179,{0,3.85,4.45,4.65,4.85,5.45,5.65,5.7,5.75,5.8,5.85,5.9,5.95,6,6.45,6.5,6.55,6.63,6.7,6.75,6.8},{0,10,20,30,40,50,60,62,64,66,68,70,72,74,76,78,80,85,90,95,100})</f>
        <v>0</v>
      </c>
      <c r="T179" s="27"/>
      <c r="U179" s="27"/>
      <c r="V179" s="27">
        <f t="shared" si="35"/>
        <v>0</v>
      </c>
      <c r="W179" s="27"/>
      <c r="X179" s="19">
        <f t="shared" si="36"/>
        <v>45</v>
      </c>
      <c r="Y179" s="13">
        <f t="shared" si="37"/>
        <v>64.2857142857143</v>
      </c>
    </row>
    <row r="180" ht="15.6" spans="1:25">
      <c r="A180" s="27">
        <v>305</v>
      </c>
      <c r="B180" s="27">
        <v>23</v>
      </c>
      <c r="C180" s="28" t="s">
        <v>209</v>
      </c>
      <c r="D180" s="28" t="s">
        <v>12</v>
      </c>
      <c r="E180" s="27">
        <v>-2</v>
      </c>
      <c r="F180" s="29">
        <v>0</v>
      </c>
      <c r="G180" s="27">
        <v>220</v>
      </c>
      <c r="H180" s="29">
        <f>LOOKUP(G180,{0,180,185,190,195,200,205,209,213,217,221,225,229,233,237,241,245,253,260,265,270},{0,10,20,30,40,50,60,62,64,66,68,70,72,74,76,78,80,85,90,95,100})</f>
        <v>66</v>
      </c>
      <c r="I180" s="27">
        <v>2</v>
      </c>
      <c r="J180" s="29">
        <f>LOOKUP(I180,{0,4,5,6,7,8,9,10,11,12,13,14,15,16,17,18},{0,10,20,30,40,50,60,64,68,72,76,80,85,90,95,100})</f>
        <v>0</v>
      </c>
      <c r="K180" s="44"/>
      <c r="L180" s="35"/>
      <c r="M180" s="35">
        <f t="shared" si="32"/>
        <v>0</v>
      </c>
      <c r="N180" s="35">
        <v>6.9</v>
      </c>
      <c r="O180" s="36">
        <f t="shared" si="33"/>
        <v>11.1</v>
      </c>
      <c r="P180" s="29">
        <f>LOOKUP(O180,{0,7.8,8,8.2,8.4,8.6,8.8,9,9.2,9.4,9.6,9.8,10,10.2,10.4,10.6,10.8,10.9,11,11.1,11.2},{0,10,20,30,40,50,60,62,64,66,68,70,72,74,76,78,80,85,90,95,100})</f>
        <v>95</v>
      </c>
      <c r="Q180" s="5">
        <v>6</v>
      </c>
      <c r="R180" s="36">
        <f t="shared" si="34"/>
        <v>4</v>
      </c>
      <c r="S180" s="29">
        <f>LOOKUP(R180,{0,3.85,4.45,4.65,4.85,5.45,5.65,5.7,5.75,5.8,5.85,5.9,5.95,6,6.45,6.5,6.55,6.63,6.7,6.75,6.8},{0,10,20,30,40,50,60,62,64,66,68,70,72,74,76,78,80,85,90,95,100})</f>
        <v>10</v>
      </c>
      <c r="T180" s="27"/>
      <c r="U180" s="27"/>
      <c r="V180" s="27">
        <f t="shared" si="35"/>
        <v>10</v>
      </c>
      <c r="W180" s="27"/>
      <c r="X180" s="19">
        <f t="shared" si="36"/>
        <v>27.6</v>
      </c>
      <c r="Y180" s="13">
        <f t="shared" si="37"/>
        <v>39.4285714285714</v>
      </c>
    </row>
    <row r="181" ht="15.6" spans="1:25">
      <c r="A181" s="27">
        <v>305</v>
      </c>
      <c r="B181" s="27">
        <v>24</v>
      </c>
      <c r="C181" s="28" t="s">
        <v>210</v>
      </c>
      <c r="D181" s="28" t="s">
        <v>12</v>
      </c>
      <c r="E181" s="27">
        <v>10</v>
      </c>
      <c r="F181" s="29">
        <f>LOOKUP(E181,{0,-1.8,-0.8,0.2,1.2,2.2,3.2,4.6,6,7.4,8.8,10.2,11.6,13,14.4,15.8,17.2,19.1,21,22.8,24.6},{0,10,20,30,40,50,60,62,64,66,68,70,72,74,76,78,80,85,90,95,100})</f>
        <v>68</v>
      </c>
      <c r="G181" s="27">
        <v>240</v>
      </c>
      <c r="H181" s="29">
        <f>LOOKUP(G181,{0,180,185,190,195,200,205,209,213,217,221,225,229,233,237,241,245,253,260,265,270},{0,10,20,30,40,50,60,62,64,66,68,70,72,74,76,78,80,85,90,95,100})</f>
        <v>76</v>
      </c>
      <c r="I181" s="27">
        <v>2</v>
      </c>
      <c r="J181" s="29">
        <f>LOOKUP(I181,{0,4,5,6,7,8,9,10,11,12,13,14,15,16,17,18},{0,10,20,30,40,50,60,64,68,72,76,80,85,90,95,100})</f>
        <v>0</v>
      </c>
      <c r="K181" s="44"/>
      <c r="L181" s="35"/>
      <c r="M181" s="35">
        <f t="shared" si="32"/>
        <v>0</v>
      </c>
      <c r="N181" s="35">
        <v>7.4</v>
      </c>
      <c r="O181" s="36">
        <f t="shared" si="33"/>
        <v>10.6</v>
      </c>
      <c r="P181" s="29">
        <f>LOOKUP(O181,{0,7.8,8,8.2,8.4,8.6,8.8,9,9.2,9.4,9.6,9.8,10,10.2,10.4,10.6,10.8,10.9,11,11.1,11.2},{0,10,20,30,40,50,60,62,64,66,68,70,72,74,76,78,80,85,90,95,100})</f>
        <v>78</v>
      </c>
      <c r="Q181" s="5">
        <v>4.17</v>
      </c>
      <c r="R181" s="36">
        <f t="shared" si="34"/>
        <v>5.83</v>
      </c>
      <c r="S181" s="29">
        <f>LOOKUP(R181,{0,3.85,4.45,4.65,4.85,5.45,5.65,5.7,5.75,5.8,5.85,5.9,5.95,6,6.45,6.5,6.55,6.63,6.7,6.75,6.8},{0,10,20,30,40,50,60,62,64,66,68,70,72,74,76,78,80,85,90,95,100})</f>
        <v>66</v>
      </c>
      <c r="T181" s="27"/>
      <c r="U181" s="27"/>
      <c r="V181" s="27">
        <f t="shared" si="35"/>
        <v>66</v>
      </c>
      <c r="W181" s="27"/>
      <c r="X181" s="19">
        <f t="shared" si="36"/>
        <v>43.2</v>
      </c>
      <c r="Y181" s="13">
        <f t="shared" si="37"/>
        <v>61.7142857142857</v>
      </c>
    </row>
    <row r="182" ht="15.6" spans="1:25">
      <c r="A182" s="27">
        <v>305</v>
      </c>
      <c r="B182" s="27">
        <v>25</v>
      </c>
      <c r="C182" s="28" t="s">
        <v>211</v>
      </c>
      <c r="D182" s="28" t="s">
        <v>12</v>
      </c>
      <c r="E182" s="27"/>
      <c r="F182" s="29"/>
      <c r="G182" s="27"/>
      <c r="H182" s="29"/>
      <c r="I182" s="27"/>
      <c r="J182" s="35"/>
      <c r="K182" s="44"/>
      <c r="L182" s="35"/>
      <c r="M182" s="35"/>
      <c r="N182" s="35"/>
      <c r="O182" s="5"/>
      <c r="P182" s="5"/>
      <c r="Q182" s="5"/>
      <c r="R182" s="27"/>
      <c r="S182" s="27"/>
      <c r="T182" s="27"/>
      <c r="U182" s="27"/>
      <c r="V182" s="27"/>
      <c r="W182" s="27">
        <v>50</v>
      </c>
      <c r="X182" s="19"/>
      <c r="Y182" s="19">
        <v>50</v>
      </c>
    </row>
    <row r="183" ht="15.6" spans="1:25">
      <c r="A183" s="27">
        <v>305</v>
      </c>
      <c r="B183" s="27">
        <v>26</v>
      </c>
      <c r="C183" s="28" t="s">
        <v>212</v>
      </c>
      <c r="D183" s="28" t="s">
        <v>12</v>
      </c>
      <c r="E183" s="27">
        <v>14.5</v>
      </c>
      <c r="F183" s="29">
        <f>LOOKUP(E183,{0,-1.8,-0.8,0.2,1.2,2.2,3.2,4.6,6,7.4,8.8,10.2,11.6,13,14.4,15.8,17.2,19.1,21,22.8,24.6},{0,10,20,30,40,50,60,62,64,66,68,70,72,74,76,78,80,85,90,95,100})</f>
        <v>76</v>
      </c>
      <c r="G183" s="27">
        <v>230</v>
      </c>
      <c r="H183" s="29">
        <f>LOOKUP(G183,{0,180,185,190,195,200,205,209,213,217,221,225,229,233,237,241,245,253,260,265,270},{0,10,20,30,40,50,60,62,64,66,68,70,72,74,76,78,80,85,90,95,100})</f>
        <v>72</v>
      </c>
      <c r="I183" s="27">
        <v>8</v>
      </c>
      <c r="J183" s="29">
        <f>LOOKUP(I183,{0,4,5,6,7,8,9,10,11,12,13,14,15,16,17,18},{0,10,20,30,40,50,60,64,68,72,76,80,85,90,95,100})</f>
        <v>50</v>
      </c>
      <c r="K183" s="44"/>
      <c r="L183" s="35"/>
      <c r="M183" s="35">
        <f t="shared" ref="M183:M203" si="38">J183+L183</f>
        <v>50</v>
      </c>
      <c r="N183" s="35">
        <v>7.5</v>
      </c>
      <c r="O183" s="36">
        <f t="shared" ref="O183:O196" si="39">18-N183</f>
        <v>10.5</v>
      </c>
      <c r="P183" s="29">
        <f>LOOKUP(O183,{0,7.8,8,8.2,8.4,8.6,8.8,9,9.2,9.4,9.6,9.8,10,10.2,10.4,10.6,10.8,10.9,11,11.1,11.2},{0,10,20,30,40,50,60,62,64,66,68,70,72,74,76,78,80,85,90,95,100})</f>
        <v>76</v>
      </c>
      <c r="Q183" s="5">
        <v>5.17</v>
      </c>
      <c r="R183" s="36">
        <f t="shared" ref="R183:R196" si="40">10-Q183</f>
        <v>4.83</v>
      </c>
      <c r="S183" s="29">
        <f>LOOKUP(R183,{0,3.85,4.45,4.65,4.85,5.45,5.65,5.7,5.75,5.8,5.85,5.9,5.95,6,6.45,6.5,6.55,6.63,6.7,6.75,6.8},{0,10,20,30,40,50,60,62,64,66,68,70,72,74,76,78,80,85,90,95,100})</f>
        <v>30</v>
      </c>
      <c r="T183" s="27"/>
      <c r="U183" s="27"/>
      <c r="V183" s="27">
        <f t="shared" ref="V183:V203" si="41">S183+U183</f>
        <v>30</v>
      </c>
      <c r="W183" s="27"/>
      <c r="X183" s="19">
        <f t="shared" ref="X183:X203" si="42">F183*0.1+H183*0.1+J183*0.1+P183*0.2+S183*0.2</f>
        <v>41</v>
      </c>
      <c r="Y183" s="13">
        <f t="shared" ref="Y183:Y203" si="43">X183/0.7+L183+U183</f>
        <v>58.5714285714286</v>
      </c>
    </row>
    <row r="184" ht="15.6" spans="1:25">
      <c r="A184" s="27">
        <v>305</v>
      </c>
      <c r="B184" s="27">
        <v>27</v>
      </c>
      <c r="C184" s="28" t="s">
        <v>213</v>
      </c>
      <c r="D184" s="28" t="s">
        <v>12</v>
      </c>
      <c r="E184" s="27">
        <v>15</v>
      </c>
      <c r="F184" s="29">
        <f>LOOKUP(E184,{0,-1.8,-0.8,0.2,1.2,2.2,3.2,4.6,6,7.4,8.8,10.2,11.6,13,14.4,15.8,17.2,19.1,21,22.8,24.6},{0,10,20,30,40,50,60,62,64,66,68,70,72,74,76,78,80,85,90,95,100})</f>
        <v>76</v>
      </c>
      <c r="G184" s="27">
        <v>220</v>
      </c>
      <c r="H184" s="29">
        <f>LOOKUP(G184,{0,180,185,190,195,200,205,209,213,217,221,225,229,233,237,241,245,253,260,265,270},{0,10,20,30,40,50,60,62,64,66,68,70,72,74,76,78,80,85,90,95,100})</f>
        <v>66</v>
      </c>
      <c r="I184" s="27">
        <v>8</v>
      </c>
      <c r="J184" s="29">
        <f>LOOKUP(I184,{0,4,5,6,7,8,9,10,11,12,13,14,15,16,17,18},{0,10,20,30,40,50,60,64,68,72,76,80,85,90,95,100})</f>
        <v>50</v>
      </c>
      <c r="K184" s="44"/>
      <c r="L184" s="35"/>
      <c r="M184" s="35">
        <f t="shared" si="38"/>
        <v>50</v>
      </c>
      <c r="N184" s="35">
        <v>7.2</v>
      </c>
      <c r="O184" s="36">
        <f t="shared" si="39"/>
        <v>10.8</v>
      </c>
      <c r="P184" s="29">
        <f>LOOKUP(O184,{0,7.8,8,8.2,8.4,8.6,8.8,9,9.2,9.4,9.6,9.8,10,10.2,10.4,10.6,10.8,10.9,11,11.1,11.2},{0,10,20,30,40,50,60,62,64,66,68,70,72,74,76,78,80,85,90,95,100})</f>
        <v>80</v>
      </c>
      <c r="Q184" s="5">
        <v>5.11</v>
      </c>
      <c r="R184" s="36">
        <f t="shared" si="40"/>
        <v>4.89</v>
      </c>
      <c r="S184" s="29">
        <f>LOOKUP(R184,{0,3.85,4.45,4.65,4.85,5.45,5.65,5.7,5.75,5.8,5.85,5.9,5.95,6,6.45,6.5,6.55,6.63,6.7,6.75,6.8},{0,10,20,30,40,50,60,62,64,66,68,70,72,74,76,78,80,85,90,95,100})</f>
        <v>40</v>
      </c>
      <c r="T184" s="27"/>
      <c r="U184" s="27"/>
      <c r="V184" s="27">
        <f t="shared" si="41"/>
        <v>40</v>
      </c>
      <c r="W184" s="27"/>
      <c r="X184" s="19">
        <f t="shared" si="42"/>
        <v>43.2</v>
      </c>
      <c r="Y184" s="13">
        <f t="shared" si="43"/>
        <v>61.7142857142857</v>
      </c>
    </row>
    <row r="185" ht="15.6" spans="1:25">
      <c r="A185" s="27">
        <v>305</v>
      </c>
      <c r="B185" s="27">
        <v>28</v>
      </c>
      <c r="C185" s="28" t="s">
        <v>214</v>
      </c>
      <c r="D185" s="28" t="s">
        <v>12</v>
      </c>
      <c r="E185" s="27">
        <v>7</v>
      </c>
      <c r="F185" s="29">
        <f>LOOKUP(E185,{0,-1.8,-0.8,0.2,1.2,2.2,3.2,4.6,6,7.4,8.8,10.2,11.6,13,14.4,15.8,17.2,19.1,21,22.8,24.6},{0,10,20,30,40,50,60,62,64,66,68,70,72,74,76,78,80,85,90,95,100})</f>
        <v>64</v>
      </c>
      <c r="G185" s="27">
        <v>215</v>
      </c>
      <c r="H185" s="29">
        <f>LOOKUP(G185,{0,180,185,190,195,200,205,209,213,217,221,225,229,233,237,241,245,253,260,265,270},{0,10,20,30,40,50,60,62,64,66,68,70,72,74,76,78,80,85,90,95,100})</f>
        <v>64</v>
      </c>
      <c r="I185" s="27">
        <v>0</v>
      </c>
      <c r="J185" s="29">
        <f>LOOKUP(I185,{0,4,5,6,7,8,9,10,11,12,13,14,15,16,17,18},{0,10,20,30,40,50,60,64,68,72,76,80,85,90,95,100})</f>
        <v>0</v>
      </c>
      <c r="K185" s="44"/>
      <c r="L185" s="35"/>
      <c r="M185" s="35">
        <f t="shared" si="38"/>
        <v>0</v>
      </c>
      <c r="N185" s="35">
        <v>8</v>
      </c>
      <c r="O185" s="36">
        <f t="shared" si="39"/>
        <v>10</v>
      </c>
      <c r="P185" s="29">
        <f>LOOKUP(O185,{0,7.8,8,8.2,8.4,8.6,8.8,9,9.2,9.4,9.6,9.8,10,10.2,10.4,10.6,10.8,10.9,11,11.1,11.2},{0,10,20,30,40,50,60,62,64,66,68,70,72,74,76,78,80,85,90,95,100})</f>
        <v>72</v>
      </c>
      <c r="Q185" s="5">
        <v>6.09</v>
      </c>
      <c r="R185" s="36">
        <f t="shared" si="40"/>
        <v>3.91</v>
      </c>
      <c r="S185" s="29">
        <f>LOOKUP(R185,{0,3.85,4.45,4.65,4.85,5.45,5.65,5.7,5.75,5.8,5.85,5.9,5.95,6,6.45,6.5,6.55,6.63,6.7,6.75,6.8},{0,10,20,30,40,50,60,62,64,66,68,70,72,74,76,78,80,85,90,95,100})</f>
        <v>10</v>
      </c>
      <c r="T185" s="27"/>
      <c r="U185" s="27"/>
      <c r="V185" s="27">
        <f t="shared" si="41"/>
        <v>10</v>
      </c>
      <c r="W185" s="27"/>
      <c r="X185" s="19">
        <f t="shared" si="42"/>
        <v>29.2</v>
      </c>
      <c r="Y185" s="13">
        <f t="shared" si="43"/>
        <v>41.7142857142857</v>
      </c>
    </row>
    <row r="186" ht="15.6" spans="1:25">
      <c r="A186" s="27">
        <v>305</v>
      </c>
      <c r="B186" s="27">
        <v>29</v>
      </c>
      <c r="C186" s="28" t="s">
        <v>215</v>
      </c>
      <c r="D186" s="28" t="s">
        <v>12</v>
      </c>
      <c r="E186" s="27">
        <v>2</v>
      </c>
      <c r="F186" s="29">
        <f>LOOKUP(E186,{0,-1.8,-0.8,0.2,1.2,2.2,3.2,4.6,6,7.4,8.8,10.2,11.6,13,14.4,15.8,17.2,19.1,21,22.8,24.6},{0,10,20,30,40,50,60,62,64,66,68,70,72,74,76,78,80,85,90,95,100})</f>
        <v>40</v>
      </c>
      <c r="G186" s="27">
        <v>270</v>
      </c>
      <c r="H186" s="29">
        <f>LOOKUP(G186,{0,180,185,190,195,200,205,209,213,217,221,225,229,233,237,241,245,253,260,265,270},{0,10,20,30,40,50,60,62,64,66,68,70,72,74,76,78,80,85,90,95,100})</f>
        <v>100</v>
      </c>
      <c r="I186" s="27">
        <v>8</v>
      </c>
      <c r="J186" s="29">
        <f>LOOKUP(I186,{0,4,5,6,7,8,9,10,11,12,13,14,15,16,17,18},{0,10,20,30,40,50,60,64,68,72,76,80,85,90,95,100})</f>
        <v>50</v>
      </c>
      <c r="K186" s="44"/>
      <c r="L186" s="35"/>
      <c r="M186" s="35">
        <f t="shared" si="38"/>
        <v>50</v>
      </c>
      <c r="N186" s="35">
        <v>6.9</v>
      </c>
      <c r="O186" s="36">
        <f t="shared" si="39"/>
        <v>11.1</v>
      </c>
      <c r="P186" s="29">
        <f>LOOKUP(O186,{0,7.8,8,8.2,8.4,8.6,8.8,9,9.2,9.4,9.6,9.8,10,10.2,10.4,10.6,10.8,10.9,11,11.1,11.2},{0,10,20,30,40,50,60,62,64,66,68,70,72,74,76,78,80,85,90,95,100})</f>
        <v>95</v>
      </c>
      <c r="Q186" s="5">
        <v>6.37</v>
      </c>
      <c r="R186" s="36">
        <f t="shared" si="40"/>
        <v>3.63</v>
      </c>
      <c r="S186" s="29">
        <f>LOOKUP(R186,{0,3.85,4.45,4.65,4.85,5.45,5.65,5.7,5.75,5.8,5.85,5.9,5.95,6,6.45,6.5,6.55,6.63,6.7,6.75,6.8},{0,10,20,30,40,50,60,62,64,66,68,70,72,74,76,78,80,85,90,95,100})</f>
        <v>0</v>
      </c>
      <c r="T186" s="27"/>
      <c r="U186" s="27"/>
      <c r="V186" s="27">
        <f t="shared" si="41"/>
        <v>0</v>
      </c>
      <c r="W186" s="27"/>
      <c r="X186" s="19">
        <f t="shared" si="42"/>
        <v>38</v>
      </c>
      <c r="Y186" s="13">
        <f t="shared" si="43"/>
        <v>54.2857142857143</v>
      </c>
    </row>
    <row r="187" ht="15.6" spans="1:25">
      <c r="A187" s="27">
        <v>305</v>
      </c>
      <c r="B187" s="27">
        <v>30</v>
      </c>
      <c r="C187" s="28" t="s">
        <v>216</v>
      </c>
      <c r="D187" s="28" t="s">
        <v>12</v>
      </c>
      <c r="E187" s="27">
        <v>5</v>
      </c>
      <c r="F187" s="29">
        <f>LOOKUP(E187,{0,-1.8,-0.8,0.2,1.2,2.2,3.2,4.6,6,7.4,8.8,10.2,11.6,13,14.4,15.8,17.2,19.1,21,22.8,24.6},{0,10,20,30,40,50,60,62,64,66,68,70,72,74,76,78,80,85,90,95,100})</f>
        <v>62</v>
      </c>
      <c r="G187" s="27">
        <v>230</v>
      </c>
      <c r="H187" s="29">
        <f>LOOKUP(G187,{0,180,185,190,195,200,205,209,213,217,221,225,229,233,237,241,245,253,260,265,270},{0,10,20,30,40,50,60,62,64,66,68,70,72,74,76,78,80,85,90,95,100})</f>
        <v>72</v>
      </c>
      <c r="I187" s="27">
        <v>11</v>
      </c>
      <c r="J187" s="29">
        <f>LOOKUP(I187,{0,4,5,6,7,8,9,10,11,12,13,14,15,16,17,18},{0,10,20,30,40,50,60,64,68,72,76,80,85,90,95,100})</f>
        <v>68</v>
      </c>
      <c r="K187" s="44"/>
      <c r="L187" s="35"/>
      <c r="M187" s="35">
        <f t="shared" si="38"/>
        <v>68</v>
      </c>
      <c r="N187" s="35">
        <v>7.2</v>
      </c>
      <c r="O187" s="36">
        <f t="shared" si="39"/>
        <v>10.8</v>
      </c>
      <c r="P187" s="29">
        <f>LOOKUP(O187,{0,7.8,8,8.2,8.4,8.6,8.8,9,9.2,9.4,9.6,9.8,10,10.2,10.4,10.6,10.8,10.9,11,11.1,11.2},{0,10,20,30,40,50,60,62,64,66,68,70,72,74,76,78,80,85,90,95,100})</f>
        <v>80</v>
      </c>
      <c r="Q187" s="5">
        <v>3.51</v>
      </c>
      <c r="R187" s="36">
        <f t="shared" si="40"/>
        <v>6.49</v>
      </c>
      <c r="S187" s="29">
        <f>LOOKUP(R187,{0,3.85,4.45,4.65,4.85,5.45,5.65,5.7,5.75,5.8,5.85,5.9,5.95,6,6.45,6.5,6.55,6.63,6.7,6.75,6.8},{0,10,20,30,40,50,60,62,64,66,68,70,72,74,76,78,80,85,90,95,100})</f>
        <v>76</v>
      </c>
      <c r="T187" s="27"/>
      <c r="U187" s="27"/>
      <c r="V187" s="27">
        <f t="shared" si="41"/>
        <v>76</v>
      </c>
      <c r="W187" s="27"/>
      <c r="X187" s="19">
        <f t="shared" si="42"/>
        <v>51.4</v>
      </c>
      <c r="Y187" s="13">
        <f t="shared" si="43"/>
        <v>73.4285714285714</v>
      </c>
    </row>
    <row r="188" ht="15.6" spans="1:25">
      <c r="A188" s="27">
        <v>305</v>
      </c>
      <c r="B188" s="27">
        <v>31</v>
      </c>
      <c r="C188" s="30" t="s">
        <v>218</v>
      </c>
      <c r="D188" s="28" t="s">
        <v>12</v>
      </c>
      <c r="E188" s="27">
        <v>8.8</v>
      </c>
      <c r="F188" s="29">
        <f>LOOKUP(E188,{0,-1.8,-0.8,0.2,1.2,2.2,3.2,4.6,6,7.4,8.8,10.2,11.6,13,14.4,15.8,17.2,19.1,21,22.8,24.6},{0,10,20,30,40,50,60,62,64,66,68,70,72,74,76,78,80,85,90,95,100})</f>
        <v>68</v>
      </c>
      <c r="G188" s="27">
        <v>235</v>
      </c>
      <c r="H188" s="29">
        <f>LOOKUP(G188,{0,180,185,190,195,200,205,209,213,217,221,225,229,233,237,241,245,253,260,265,270},{0,10,20,30,40,50,60,62,64,66,68,70,72,74,76,78,80,85,90,95,100})</f>
        <v>74</v>
      </c>
      <c r="I188" s="27">
        <v>7</v>
      </c>
      <c r="J188" s="29">
        <f>LOOKUP(I188,{0,4,5,6,7,8,9,10,11,12,13,14,15,16,17,18},{0,10,20,30,40,50,60,64,68,72,76,80,85,90,95,100})</f>
        <v>40</v>
      </c>
      <c r="K188" s="44"/>
      <c r="L188" s="35"/>
      <c r="M188" s="35">
        <f t="shared" si="38"/>
        <v>40</v>
      </c>
      <c r="N188" s="35">
        <v>7.4</v>
      </c>
      <c r="O188" s="36">
        <f t="shared" si="39"/>
        <v>10.6</v>
      </c>
      <c r="P188" s="29">
        <f>LOOKUP(O188,{0,7.8,8,8.2,8.4,8.6,8.8,9,9.2,9.4,9.6,9.8,10,10.2,10.4,10.6,10.8,10.9,11,11.1,11.2},{0,10,20,30,40,50,60,62,64,66,68,70,72,74,76,78,80,85,90,95,100})</f>
        <v>78</v>
      </c>
      <c r="Q188" s="5">
        <v>4.35</v>
      </c>
      <c r="R188" s="36">
        <f t="shared" si="40"/>
        <v>5.65</v>
      </c>
      <c r="S188" s="29">
        <f>LOOKUP(R188,{0,3.85,4.45,4.65,4.85,5.45,5.65,5.7,5.75,5.8,5.85,5.9,5.95,6,6.45,6.5,6.55,6.63,6.7,6.75,6.8},{0,10,20,30,40,50,60,62,64,66,68,70,72,74,76,78,80,85,90,95,100})</f>
        <v>60</v>
      </c>
      <c r="T188" s="27"/>
      <c r="U188" s="27"/>
      <c r="V188" s="27">
        <f t="shared" si="41"/>
        <v>60</v>
      </c>
      <c r="W188" s="27"/>
      <c r="X188" s="19">
        <f t="shared" si="42"/>
        <v>45.8</v>
      </c>
      <c r="Y188" s="13">
        <f t="shared" si="43"/>
        <v>65.4285714285714</v>
      </c>
    </row>
    <row r="189" ht="15.6" spans="1:25">
      <c r="A189" s="27">
        <v>305</v>
      </c>
      <c r="B189" s="27">
        <v>32</v>
      </c>
      <c r="C189" s="28" t="s">
        <v>219</v>
      </c>
      <c r="D189" s="28" t="s">
        <v>12</v>
      </c>
      <c r="E189" s="27">
        <v>24</v>
      </c>
      <c r="F189" s="29">
        <f>LOOKUP(E189,{0,-1.8,-0.8,0.2,1.2,2.2,3.2,4.6,6,7.4,8.8,10.2,11.6,13,14.4,15.8,17.2,19.1,21,22.8,24.6},{0,10,20,30,40,50,60,62,64,66,68,70,72,74,76,78,80,85,90,95,100})</f>
        <v>95</v>
      </c>
      <c r="G189" s="27">
        <v>265</v>
      </c>
      <c r="H189" s="29">
        <f>LOOKUP(G189,{0,180,185,190,195,200,205,209,213,217,221,225,229,233,237,241,245,253,260,265,270},{0,10,20,30,40,50,60,62,64,66,68,70,72,74,76,78,80,85,90,95,100})</f>
        <v>95</v>
      </c>
      <c r="I189" s="27">
        <v>8</v>
      </c>
      <c r="J189" s="29">
        <f>LOOKUP(I189,{0,4,5,6,7,8,9,10,11,12,13,14,15,16,17,18},{0,10,20,30,40,50,60,64,68,72,76,80,85,90,95,100})</f>
        <v>50</v>
      </c>
      <c r="K189" s="44"/>
      <c r="L189" s="35"/>
      <c r="M189" s="35">
        <f t="shared" si="38"/>
        <v>50</v>
      </c>
      <c r="N189" s="35">
        <v>7.1</v>
      </c>
      <c r="O189" s="36">
        <f t="shared" si="39"/>
        <v>10.9</v>
      </c>
      <c r="P189" s="29">
        <f>LOOKUP(O189,{0,7.8,8,8.2,8.4,8.6,8.8,9,9.2,9.4,9.6,9.8,10,10.2,10.4,10.6,10.8,10.9,11,11.1,11.2},{0,10,20,30,40,50,60,62,64,66,68,70,72,74,76,78,80,85,90,95,100})</f>
        <v>85</v>
      </c>
      <c r="Q189" s="5">
        <v>4.03</v>
      </c>
      <c r="R189" s="36">
        <f t="shared" si="40"/>
        <v>5.97</v>
      </c>
      <c r="S189" s="29">
        <f>LOOKUP(R189,{0,3.85,4.45,4.65,4.85,5.45,5.65,5.7,5.75,5.8,5.85,5.9,5.95,6,6.45,6.5,6.55,6.63,6.7,6.75,6.8},{0,10,20,30,40,50,60,62,64,66,68,70,72,74,76,78,80,85,90,95,100})</f>
        <v>72</v>
      </c>
      <c r="T189" s="27"/>
      <c r="U189" s="27"/>
      <c r="V189" s="27">
        <f t="shared" si="41"/>
        <v>72</v>
      </c>
      <c r="W189" s="27"/>
      <c r="X189" s="19">
        <f t="shared" si="42"/>
        <v>55.4</v>
      </c>
      <c r="Y189" s="13">
        <f t="shared" si="43"/>
        <v>79.1428571428571</v>
      </c>
    </row>
    <row r="190" ht="15.6" spans="1:25">
      <c r="A190" s="27">
        <v>305</v>
      </c>
      <c r="B190" s="27">
        <v>33</v>
      </c>
      <c r="C190" s="28" t="s">
        <v>220</v>
      </c>
      <c r="D190" s="28" t="s">
        <v>12</v>
      </c>
      <c r="E190" s="27">
        <v>3</v>
      </c>
      <c r="F190" s="29">
        <f>LOOKUP(E190,{0,-1.8,-0.8,0.2,1.2,2.2,3.2,4.6,6,7.4,8.8,10.2,11.6,13,14.4,15.8,17.2,19.1,21,22.8,24.6},{0,10,20,30,40,50,60,62,64,66,68,70,72,74,76,78,80,85,90,95,100})</f>
        <v>50</v>
      </c>
      <c r="G190" s="27">
        <v>170</v>
      </c>
      <c r="H190" s="29">
        <f>LOOKUP(G190,{0,180,185,190,195,200,205,209,213,217,221,225,229,233,237,241,245,253,260,265,270},{0,10,20,30,40,50,60,62,64,66,68,70,72,74,76,78,80,85,90,95,100})</f>
        <v>0</v>
      </c>
      <c r="I190" s="27">
        <v>1</v>
      </c>
      <c r="J190" s="29">
        <f>LOOKUP(I190,{0,4,5,6,7,8,9,10,11,12,13,14,15,16,17,18},{0,10,20,30,40,50,60,64,68,72,76,80,85,90,95,100})</f>
        <v>0</v>
      </c>
      <c r="K190" s="44"/>
      <c r="L190" s="35"/>
      <c r="M190" s="35">
        <f t="shared" si="38"/>
        <v>0</v>
      </c>
      <c r="N190" s="35">
        <v>8.5</v>
      </c>
      <c r="O190" s="36">
        <f t="shared" si="39"/>
        <v>9.5</v>
      </c>
      <c r="P190" s="29">
        <f>LOOKUP(O190,{0,7.8,8,8.2,8.4,8.6,8.8,9,9.2,9.4,9.6,9.8,10,10.2,10.4,10.6,10.8,10.9,11,11.1,11.2},{0,10,20,30,40,50,60,62,64,66,68,70,72,74,76,78,80,85,90,95,100})</f>
        <v>66</v>
      </c>
      <c r="Q190" s="5">
        <v>4.54</v>
      </c>
      <c r="R190" s="36">
        <f t="shared" si="40"/>
        <v>5.46</v>
      </c>
      <c r="S190" s="29">
        <f>LOOKUP(R190,{0,3.85,4.45,4.65,4.85,5.45,5.65,5.7,5.75,5.8,5.85,5.9,5.95,6,6.45,6.5,6.55,6.63,6.7,6.75,6.8},{0,10,20,30,40,50,60,62,64,66,68,70,72,74,76,78,80,85,90,95,100})</f>
        <v>50</v>
      </c>
      <c r="T190" s="27"/>
      <c r="U190" s="27"/>
      <c r="V190" s="27">
        <f t="shared" si="41"/>
        <v>50</v>
      </c>
      <c r="W190" s="27"/>
      <c r="X190" s="19">
        <f t="shared" si="42"/>
        <v>28.2</v>
      </c>
      <c r="Y190" s="13">
        <f t="shared" si="43"/>
        <v>40.2857142857143</v>
      </c>
    </row>
    <row r="191" ht="15.6" spans="1:25">
      <c r="A191" s="27">
        <v>305</v>
      </c>
      <c r="B191" s="27">
        <v>34</v>
      </c>
      <c r="C191" s="28" t="s">
        <v>221</v>
      </c>
      <c r="D191" s="28" t="s">
        <v>12</v>
      </c>
      <c r="E191" s="27">
        <v>15.5</v>
      </c>
      <c r="F191" s="29">
        <f>LOOKUP(E191,{0,-1.8,-0.8,0.2,1.2,2.2,3.2,4.6,6,7.4,8.8,10.2,11.6,13,14.4,15.8,17.2,19.1,21,22.8,24.6},{0,10,20,30,40,50,60,62,64,66,68,70,72,74,76,78,80,85,90,95,100})</f>
        <v>76</v>
      </c>
      <c r="G191" s="27">
        <v>250</v>
      </c>
      <c r="H191" s="29">
        <f>LOOKUP(G191,{0,180,185,190,195,200,205,209,213,217,221,225,229,233,237,241,245,253,260,265,270},{0,10,20,30,40,50,60,62,64,66,68,70,72,74,76,78,80,85,90,95,100})</f>
        <v>80</v>
      </c>
      <c r="I191" s="27">
        <v>8</v>
      </c>
      <c r="J191" s="29">
        <f>LOOKUP(I191,{0,4,5,6,7,8,9,10,11,12,13,14,15,16,17,18},{0,10,20,30,40,50,60,64,68,72,76,80,85,90,95,100})</f>
        <v>50</v>
      </c>
      <c r="K191" s="44"/>
      <c r="L191" s="35"/>
      <c r="M191" s="35">
        <f t="shared" si="38"/>
        <v>50</v>
      </c>
      <c r="N191" s="35">
        <v>7.4</v>
      </c>
      <c r="O191" s="36">
        <f t="shared" si="39"/>
        <v>10.6</v>
      </c>
      <c r="P191" s="29">
        <f>LOOKUP(O191,{0,7.8,8,8.2,8.4,8.6,8.8,9,9.2,9.4,9.6,9.8,10,10.2,10.4,10.6,10.8,10.9,11,11.1,11.2},{0,10,20,30,40,50,60,62,64,66,68,70,72,74,76,78,80,85,90,95,100})</f>
        <v>78</v>
      </c>
      <c r="Q191" s="5">
        <v>4.26</v>
      </c>
      <c r="R191" s="36">
        <f t="shared" si="40"/>
        <v>5.74</v>
      </c>
      <c r="S191" s="29">
        <f>LOOKUP(R191,{0,3.85,4.45,4.65,4.85,5.45,5.65,5.7,5.75,5.8,5.85,5.9,5.95,6,6.45,6.5,6.55,6.63,6.7,6.75,6.8},{0,10,20,30,40,50,60,62,64,66,68,70,72,74,76,78,80,85,90,95,100})</f>
        <v>62</v>
      </c>
      <c r="T191" s="27"/>
      <c r="U191" s="27"/>
      <c r="V191" s="27">
        <f t="shared" si="41"/>
        <v>62</v>
      </c>
      <c r="W191" s="27"/>
      <c r="X191" s="19">
        <f t="shared" si="42"/>
        <v>48.6</v>
      </c>
      <c r="Y191" s="13">
        <f t="shared" si="43"/>
        <v>69.4285714285714</v>
      </c>
    </row>
    <row r="192" ht="15.6" spans="1:25">
      <c r="A192" s="27">
        <v>305</v>
      </c>
      <c r="B192" s="27">
        <v>35</v>
      </c>
      <c r="C192" s="28" t="s">
        <v>222</v>
      </c>
      <c r="D192" s="28" t="s">
        <v>12</v>
      </c>
      <c r="E192" s="27">
        <v>14.5</v>
      </c>
      <c r="F192" s="29">
        <f>LOOKUP(E192,{0,-1.8,-0.8,0.2,1.2,2.2,3.2,4.6,6,7.4,8.8,10.2,11.6,13,14.4,15.8,17.2,19.1,21,22.8,24.6},{0,10,20,30,40,50,60,62,64,66,68,70,72,74,76,78,80,85,90,95,100})</f>
        <v>76</v>
      </c>
      <c r="G192" s="27">
        <v>210</v>
      </c>
      <c r="H192" s="29">
        <f>LOOKUP(G192,{0,180,185,190,195,200,205,209,213,217,221,225,229,233,237,241,245,253,260,265,270},{0,10,20,30,40,50,60,62,64,66,68,70,72,74,76,78,80,85,90,95,100})</f>
        <v>62</v>
      </c>
      <c r="I192" s="27">
        <v>8</v>
      </c>
      <c r="J192" s="29">
        <f>LOOKUP(I192,{0,4,5,6,7,8,9,10,11,12,13,14,15,16,17,18},{0,10,20,30,40,50,60,64,68,72,76,80,85,90,95,100})</f>
        <v>50</v>
      </c>
      <c r="K192" s="44"/>
      <c r="L192" s="35"/>
      <c r="M192" s="35">
        <f t="shared" si="38"/>
        <v>50</v>
      </c>
      <c r="N192" s="35">
        <v>7.8</v>
      </c>
      <c r="O192" s="36">
        <f t="shared" si="39"/>
        <v>10.2</v>
      </c>
      <c r="P192" s="29">
        <f>LOOKUP(O192,{0,7.8,8,8.2,8.4,8.6,8.8,9,9.2,9.4,9.6,9.8,10,10.2,10.4,10.6,10.8,10.9,11,11.1,11.2},{0,10,20,30,40,50,60,62,64,66,68,70,72,74,76,78,80,85,90,95,100})</f>
        <v>74</v>
      </c>
      <c r="Q192" s="5">
        <v>4.54</v>
      </c>
      <c r="R192" s="36">
        <f t="shared" si="40"/>
        <v>5.46</v>
      </c>
      <c r="S192" s="29">
        <f>LOOKUP(R192,{0,3.85,4.45,4.65,4.85,5.45,5.65,5.7,5.75,5.8,5.85,5.9,5.95,6,6.45,6.5,6.55,6.63,6.7,6.75,6.8},{0,10,20,30,40,50,60,62,64,66,68,70,72,74,76,78,80,85,90,95,100})</f>
        <v>50</v>
      </c>
      <c r="T192" s="27"/>
      <c r="U192" s="27"/>
      <c r="V192" s="27">
        <f t="shared" si="41"/>
        <v>50</v>
      </c>
      <c r="W192" s="27"/>
      <c r="X192" s="19">
        <f t="shared" si="42"/>
        <v>43.6</v>
      </c>
      <c r="Y192" s="13">
        <f t="shared" si="43"/>
        <v>62.2857142857143</v>
      </c>
    </row>
    <row r="193" ht="15.6" spans="1:25">
      <c r="A193" s="27">
        <v>305</v>
      </c>
      <c r="B193" s="27">
        <v>36</v>
      </c>
      <c r="C193" s="28" t="s">
        <v>223</v>
      </c>
      <c r="D193" s="28" t="s">
        <v>12</v>
      </c>
      <c r="E193" s="27">
        <v>16</v>
      </c>
      <c r="F193" s="29">
        <f>LOOKUP(E193,{0,-1.8,-0.8,0.2,1.2,2.2,3.2,4.6,6,7.4,8.8,10.2,11.6,13,14.4,15.8,17.2,19.1,21,22.8,24.6},{0,10,20,30,40,50,60,62,64,66,68,70,72,74,76,78,80,85,90,95,100})</f>
        <v>78</v>
      </c>
      <c r="G193" s="27">
        <v>232</v>
      </c>
      <c r="H193" s="29">
        <f>LOOKUP(G193,{0,180,185,190,195,200,205,209,213,217,221,225,229,233,237,241,245,253,260,265,270},{0,10,20,30,40,50,60,62,64,66,68,70,72,74,76,78,80,85,90,95,100})</f>
        <v>72</v>
      </c>
      <c r="I193" s="27">
        <v>8</v>
      </c>
      <c r="J193" s="29">
        <f>LOOKUP(I193,{0,4,5,6,7,8,9,10,11,12,13,14,15,16,17,18},{0,10,20,30,40,50,60,64,68,72,76,80,85,90,95,100})</f>
        <v>50</v>
      </c>
      <c r="K193" s="44"/>
      <c r="L193" s="35"/>
      <c r="M193" s="35">
        <f t="shared" si="38"/>
        <v>50</v>
      </c>
      <c r="N193" s="35">
        <v>7.3</v>
      </c>
      <c r="O193" s="36">
        <f t="shared" si="39"/>
        <v>10.7</v>
      </c>
      <c r="P193" s="29">
        <f>LOOKUP(O193,{0,7.8,8,8.2,8.4,8.6,8.8,9,9.2,9.4,9.6,9.8,10,10.2,10.4,10.6,10.8,10.9,11,11.1,11.2},{0,10,20,30,40,50,60,62,64,66,68,70,72,74,76,78,80,85,90,95,100})</f>
        <v>78</v>
      </c>
      <c r="Q193" s="5">
        <v>4.04</v>
      </c>
      <c r="R193" s="36">
        <f t="shared" si="40"/>
        <v>5.96</v>
      </c>
      <c r="S193" s="29">
        <f>LOOKUP(R193,{0,3.85,4.45,4.65,4.85,5.45,5.65,5.7,5.75,5.8,5.85,5.9,5.95,6,6.45,6.5,6.55,6.63,6.7,6.75,6.8},{0,10,20,30,40,50,60,62,64,66,68,70,72,74,76,78,80,85,90,95,100})</f>
        <v>72</v>
      </c>
      <c r="T193" s="27"/>
      <c r="U193" s="27"/>
      <c r="V193" s="27">
        <f t="shared" si="41"/>
        <v>72</v>
      </c>
      <c r="W193" s="27"/>
      <c r="X193" s="19">
        <f t="shared" si="42"/>
        <v>50</v>
      </c>
      <c r="Y193" s="13">
        <f t="shared" si="43"/>
        <v>71.4285714285714</v>
      </c>
    </row>
    <row r="194" ht="15.6" spans="1:25">
      <c r="A194" s="27">
        <v>305</v>
      </c>
      <c r="B194" s="27">
        <v>37</v>
      </c>
      <c r="C194" s="28" t="s">
        <v>224</v>
      </c>
      <c r="D194" s="28" t="s">
        <v>12</v>
      </c>
      <c r="E194" s="27">
        <v>21.5</v>
      </c>
      <c r="F194" s="29">
        <f>LOOKUP(E194,{0,-1.8,-0.8,0.2,1.2,2.2,3.2,4.6,6,7.4,8.8,10.2,11.6,13,14.4,15.8,17.2,19.1,21,22.8,24.6},{0,10,20,30,40,50,60,62,64,66,68,70,72,74,76,78,80,85,90,95,100})</f>
        <v>90</v>
      </c>
      <c r="G194" s="27">
        <v>228</v>
      </c>
      <c r="H194" s="29">
        <f>LOOKUP(G194,{0,180,185,190,195,200,205,209,213,217,221,225,229,233,237,241,245,253,260,265,270},{0,10,20,30,40,50,60,62,64,66,68,70,72,74,76,78,80,85,90,95,100})</f>
        <v>70</v>
      </c>
      <c r="I194" s="27">
        <v>10</v>
      </c>
      <c r="J194" s="29">
        <f>LOOKUP(I194,{0,4,5,6,7,8,9,10,11,12,13,14,15,16,17,18},{0,10,20,30,40,50,60,64,68,72,76,80,85,90,95,100})</f>
        <v>64</v>
      </c>
      <c r="K194" s="44"/>
      <c r="L194" s="35"/>
      <c r="M194" s="35">
        <f t="shared" si="38"/>
        <v>64</v>
      </c>
      <c r="N194" s="35">
        <v>7.6</v>
      </c>
      <c r="O194" s="36">
        <f t="shared" si="39"/>
        <v>10.4</v>
      </c>
      <c r="P194" s="29">
        <f>LOOKUP(O194,{0,7.8,8,8.2,8.4,8.6,8.8,9,9.2,9.4,9.6,9.8,10,10.2,10.4,10.6,10.8,10.9,11,11.1,11.2},{0,10,20,30,40,50,60,62,64,66,68,70,72,74,76,78,80,85,90,95,100})</f>
        <v>76</v>
      </c>
      <c r="Q194" s="5">
        <v>4.06</v>
      </c>
      <c r="R194" s="36">
        <f t="shared" si="40"/>
        <v>5.94</v>
      </c>
      <c r="S194" s="29">
        <f>LOOKUP(R194,{0,3.85,4.45,4.65,4.85,5.45,5.65,5.7,5.75,5.8,5.85,5.9,5.95,6,6.45,6.5,6.55,6.63,6.7,6.75,6.8},{0,10,20,30,40,50,60,62,64,66,68,70,72,74,76,78,80,85,90,95,100})</f>
        <v>70</v>
      </c>
      <c r="T194" s="27"/>
      <c r="U194" s="27"/>
      <c r="V194" s="27">
        <f t="shared" si="41"/>
        <v>70</v>
      </c>
      <c r="W194" s="27"/>
      <c r="X194" s="19">
        <f t="shared" si="42"/>
        <v>51.6</v>
      </c>
      <c r="Y194" s="13">
        <f t="shared" si="43"/>
        <v>73.7142857142857</v>
      </c>
    </row>
    <row r="195" ht="15.6" spans="1:25">
      <c r="A195" s="27">
        <v>305</v>
      </c>
      <c r="B195" s="27">
        <v>38</v>
      </c>
      <c r="C195" s="28" t="s">
        <v>225</v>
      </c>
      <c r="D195" s="28" t="s">
        <v>12</v>
      </c>
      <c r="E195" s="27">
        <v>7</v>
      </c>
      <c r="F195" s="29">
        <f>LOOKUP(E195,{0,-1.8,-0.8,0.2,1.2,2.2,3.2,4.6,6,7.4,8.8,10.2,11.6,13,14.4,15.8,17.2,19.1,21,22.8,24.6},{0,10,20,30,40,50,60,62,64,66,68,70,72,74,76,78,80,85,90,95,100})</f>
        <v>64</v>
      </c>
      <c r="G195" s="27">
        <v>212</v>
      </c>
      <c r="H195" s="29">
        <f>LOOKUP(G195,{0,180,185,190,195,200,205,209,213,217,221,225,229,233,237,241,245,253,260,265,270},{0,10,20,30,40,50,60,62,64,66,68,70,72,74,76,78,80,85,90,95,100})</f>
        <v>62</v>
      </c>
      <c r="I195" s="27">
        <v>1</v>
      </c>
      <c r="J195" s="29">
        <f>LOOKUP(I195,{0,4,5,6,7,8,9,10,11,12,13,14,15,16,17,18},{0,10,20,30,40,50,60,64,68,72,76,80,85,90,95,100})</f>
        <v>0</v>
      </c>
      <c r="K195" s="44"/>
      <c r="L195" s="35"/>
      <c r="M195" s="35">
        <f t="shared" si="38"/>
        <v>0</v>
      </c>
      <c r="N195" s="35">
        <v>7.9</v>
      </c>
      <c r="O195" s="36">
        <f t="shared" si="39"/>
        <v>10.1</v>
      </c>
      <c r="P195" s="29">
        <f>LOOKUP(O195,{0,7.8,8,8.2,8.4,8.6,8.8,9,9.2,9.4,9.6,9.8,10,10.2,10.4,10.6,10.8,10.9,11,11.1,11.2},{0,10,20,30,40,50,60,62,64,66,68,70,72,74,76,78,80,85,90,95,100})</f>
        <v>72</v>
      </c>
      <c r="Q195" s="5">
        <v>4.47</v>
      </c>
      <c r="R195" s="36">
        <f t="shared" si="40"/>
        <v>5.53</v>
      </c>
      <c r="S195" s="29">
        <f>LOOKUP(R195,{0,3.85,4.45,4.65,4.85,5.45,5.65,5.7,5.75,5.8,5.85,5.9,5.95,6,6.45,6.5,6.55,6.63,6.7,6.75,6.8},{0,10,20,30,40,50,60,62,64,66,68,70,72,74,76,78,80,85,90,95,100})</f>
        <v>50</v>
      </c>
      <c r="T195" s="27"/>
      <c r="U195" s="27"/>
      <c r="V195" s="27">
        <f t="shared" si="41"/>
        <v>50</v>
      </c>
      <c r="W195" s="27"/>
      <c r="X195" s="19">
        <f t="shared" si="42"/>
        <v>37</v>
      </c>
      <c r="Y195" s="13">
        <f t="shared" si="43"/>
        <v>52.8571428571429</v>
      </c>
    </row>
    <row r="196" ht="15.6" spans="1:25">
      <c r="A196" s="27">
        <v>305</v>
      </c>
      <c r="B196" s="27">
        <v>39</v>
      </c>
      <c r="C196" s="28" t="s">
        <v>226</v>
      </c>
      <c r="D196" s="28" t="s">
        <v>12</v>
      </c>
      <c r="E196" s="27">
        <v>20.5</v>
      </c>
      <c r="F196" s="29">
        <f>LOOKUP(E196,{0,-1.8,-0.8,0.2,1.2,2.2,3.2,4.6,6,7.4,8.8,10.2,11.6,13,14.4,15.8,17.2,19.1,21,22.8,24.6},{0,10,20,30,40,50,60,62,64,66,68,70,72,74,76,78,80,85,90,95,100})</f>
        <v>85</v>
      </c>
      <c r="G196" s="27">
        <v>230</v>
      </c>
      <c r="H196" s="29">
        <f>LOOKUP(G196,{0,180,185,190,195,200,205,209,213,217,221,225,229,233,237,241,245,253,260,265,270},{0,10,20,30,40,50,60,62,64,66,68,70,72,74,76,78,80,85,90,95,100})</f>
        <v>72</v>
      </c>
      <c r="I196" s="27">
        <v>9</v>
      </c>
      <c r="J196" s="29">
        <f>LOOKUP(I196,{0,4,5,6,7,8,9,10,11,12,13,14,15,16,17,18},{0,10,20,30,40,50,60,64,68,72,76,80,85,90,95,100})</f>
        <v>60</v>
      </c>
      <c r="K196" s="44"/>
      <c r="L196" s="35"/>
      <c r="M196" s="35">
        <f t="shared" si="38"/>
        <v>60</v>
      </c>
      <c r="N196" s="35">
        <v>7.5</v>
      </c>
      <c r="O196" s="36">
        <f t="shared" si="39"/>
        <v>10.5</v>
      </c>
      <c r="P196" s="29">
        <f>LOOKUP(O196,{0,7.8,8,8.2,8.4,8.6,8.8,9,9.2,9.4,9.6,9.8,10,10.2,10.4,10.6,10.8,10.9,11,11.1,11.2},{0,10,20,30,40,50,60,62,64,66,68,70,72,74,76,78,80,85,90,95,100})</f>
        <v>76</v>
      </c>
      <c r="Q196" s="5">
        <v>4.37</v>
      </c>
      <c r="R196" s="36">
        <f t="shared" si="40"/>
        <v>5.63</v>
      </c>
      <c r="S196" s="29">
        <f>LOOKUP(R196,{0,3.85,4.45,4.65,4.85,5.45,5.65,5.7,5.75,5.8,5.85,5.9,5.95,6,6.45,6.5,6.55,6.63,6.7,6.75,6.8},{0,10,20,30,40,50,60,62,64,66,68,70,72,74,76,78,80,85,90,95,100})</f>
        <v>50</v>
      </c>
      <c r="T196" s="27"/>
      <c r="U196" s="27"/>
      <c r="V196" s="27">
        <f t="shared" si="41"/>
        <v>50</v>
      </c>
      <c r="W196" s="27"/>
      <c r="X196" s="19">
        <f t="shared" si="42"/>
        <v>46.9</v>
      </c>
      <c r="Y196" s="13">
        <f t="shared" si="43"/>
        <v>67</v>
      </c>
    </row>
    <row r="197" ht="15.6" spans="1:25">
      <c r="A197" s="27">
        <v>305</v>
      </c>
      <c r="B197" s="27">
        <v>40</v>
      </c>
      <c r="C197" s="30" t="s">
        <v>228</v>
      </c>
      <c r="D197" s="28" t="s">
        <v>46</v>
      </c>
      <c r="E197" s="27">
        <v>9.5</v>
      </c>
      <c r="F197" s="29">
        <f>LOOKUP(E197,{0,1.5,2.3,3.1,3.9,4.7,5.5,6.8,8.1,9.4,10.7,12,13.3,14.6,15.9,17.2,18.5,20.2,21.9,23.6,25.3},{0,10,20,30,40,50,60,62,64,66,68,70,72,74,76,78,80,85,90,95,100})</f>
        <v>66</v>
      </c>
      <c r="G197" s="27">
        <v>215</v>
      </c>
      <c r="H197" s="29">
        <f>LOOKUP(G197,{0,125,130,135,140,145,150,153,156,159,162,165,168,171,174,177,180,187,194,200,206},{0,10,20,30,40,50,60,62,64,66,68,70,72,74,76,78,80,85,90,95,100})</f>
        <v>100</v>
      </c>
      <c r="I197" s="27">
        <v>54</v>
      </c>
      <c r="J197" s="29">
        <f>LOOKUP(I197,{0,15,17,19,21,23,25,27,29,31,33,35,37,39,41,43,45,48,51,53,55},{0,10,20,30,40,50,60,62,64,66,68,70,72,74,76,78,80,85,90,95,100})</f>
        <v>95</v>
      </c>
      <c r="K197" s="35"/>
      <c r="L197" s="35"/>
      <c r="M197" s="35">
        <f t="shared" si="38"/>
        <v>95</v>
      </c>
      <c r="N197" s="35" t="s">
        <v>77</v>
      </c>
      <c r="O197" s="5"/>
      <c r="P197" s="27"/>
      <c r="Q197" s="5" t="s">
        <v>77</v>
      </c>
      <c r="R197" s="27"/>
      <c r="S197" s="27"/>
      <c r="T197" s="27"/>
      <c r="U197" s="27"/>
      <c r="V197" s="27"/>
      <c r="W197" s="42">
        <v>50</v>
      </c>
      <c r="X197" s="19">
        <f t="shared" si="42"/>
        <v>26.1</v>
      </c>
      <c r="Y197" s="13">
        <v>50</v>
      </c>
    </row>
    <row r="198" ht="15.6" spans="1:25">
      <c r="A198" s="27">
        <v>305</v>
      </c>
      <c r="B198" s="27">
        <v>41</v>
      </c>
      <c r="C198" s="28" t="s">
        <v>229</v>
      </c>
      <c r="D198" s="28" t="s">
        <v>46</v>
      </c>
      <c r="E198" s="27">
        <v>17</v>
      </c>
      <c r="F198" s="29">
        <f>LOOKUP(E198,{0,1.5,2.3,3.1,3.9,4.7,5.5,6.8,8.1,9.4,10.7,12,13.3,14.6,15.9,17.2,18.5,20.2,21.9,23.6,25.3},{0,10,20,30,40,50,60,62,64,66,68,70,72,74,76,78,80,85,90,95,100})</f>
        <v>76</v>
      </c>
      <c r="G198" s="27">
        <v>160</v>
      </c>
      <c r="H198" s="29">
        <f>LOOKUP(G198,{0,125,130,135,140,145,150,153,156,159,162,165,168,171,174,177,180,187,194,200,206},{0,10,20,30,40,50,60,62,64,66,68,70,72,74,76,78,80,85,90,95,100})</f>
        <v>66</v>
      </c>
      <c r="I198" s="27">
        <v>48</v>
      </c>
      <c r="J198" s="29">
        <f>LOOKUP(I198,{0,15,17,19,21,23,25,27,29,31,33,35,37,39,41,43,45,48,51,53,55},{0,10,20,30,40,50,60,62,64,66,68,70,72,74,76,78,80,85,90,95,100})</f>
        <v>85</v>
      </c>
      <c r="K198" s="35"/>
      <c r="L198" s="35"/>
      <c r="M198" s="35">
        <f t="shared" si="38"/>
        <v>85</v>
      </c>
      <c r="N198" s="35">
        <v>9.6</v>
      </c>
      <c r="O198" s="36">
        <f t="shared" ref="O198:O203" si="44">18-N198</f>
        <v>8.4</v>
      </c>
      <c r="P198" s="29">
        <f>LOOKUP(O198,{0,6.6,6.8,7,7.2,7.4,7.6,7.8,8,8.2,8.4,8.6,8.8,9,9.2,9.4,9.6,9.9,10.2,10.3,10.4},{0,10,20,30,40,50,60,62,64,66,68,70,72,74,76,78,80,85,90,95,100})</f>
        <v>68</v>
      </c>
      <c r="Q198" s="5">
        <v>4.06</v>
      </c>
      <c r="R198" s="36">
        <f t="shared" ref="R198:R203" si="45">10-Q198</f>
        <v>5.94</v>
      </c>
      <c r="S198" s="29">
        <f>LOOKUP(R198,{0,4.74,4.84,4.94,5.44,5.54,5.64,5.69,5.74,5.79,5.84,5.89,5.94,5.99,6.44,6.49,6.54,6.61,6.68,6.74,6.8},{0,10,20,30,40,50,60,62,64,66,68,70,72,74,76,78,80,85,90,95,100})</f>
        <v>72</v>
      </c>
      <c r="T198" s="27"/>
      <c r="U198" s="27"/>
      <c r="V198" s="27">
        <f t="shared" si="41"/>
        <v>72</v>
      </c>
      <c r="W198" s="27"/>
      <c r="X198" s="19">
        <f t="shared" si="42"/>
        <v>50.7</v>
      </c>
      <c r="Y198" s="13">
        <f t="shared" si="43"/>
        <v>72.4285714285714</v>
      </c>
    </row>
    <row r="199" ht="15.6" spans="1:25">
      <c r="A199" s="27">
        <v>305</v>
      </c>
      <c r="B199" s="27">
        <v>42</v>
      </c>
      <c r="C199" s="28" t="s">
        <v>230</v>
      </c>
      <c r="D199" s="28" t="s">
        <v>46</v>
      </c>
      <c r="E199" s="27">
        <v>13</v>
      </c>
      <c r="F199" s="29">
        <f>LOOKUP(E199,{0,1.5,2.3,3.1,3.9,4.7,5.5,6.8,8.1,9.4,10.7,12,13.3,14.6,15.9,17.2,18.5,20.2,21.9,23.6,25.3},{0,10,20,30,40,50,60,62,64,66,68,70,72,74,76,78,80,85,90,95,100})</f>
        <v>70</v>
      </c>
      <c r="G199" s="27">
        <v>154</v>
      </c>
      <c r="H199" s="29">
        <f>LOOKUP(G199,{0,125,130,135,140,145,150,153,156,159,162,165,168,171,174,177,180,187,194,200,206},{0,10,20,30,40,50,60,62,64,66,68,70,72,74,76,78,80,85,90,95,100})</f>
        <v>62</v>
      </c>
      <c r="I199" s="27">
        <v>50</v>
      </c>
      <c r="J199" s="29">
        <f>LOOKUP(I199,{0,15,17,19,21,23,25,27,29,31,33,35,37,39,41,43,45,48,51,53,55},{0,10,20,30,40,50,60,62,64,66,68,70,72,74,76,78,80,85,90,95,100})</f>
        <v>85</v>
      </c>
      <c r="K199" s="35"/>
      <c r="L199" s="35"/>
      <c r="M199" s="35">
        <f t="shared" si="38"/>
        <v>85</v>
      </c>
      <c r="N199" s="35">
        <v>9.1</v>
      </c>
      <c r="O199" s="36">
        <f t="shared" si="44"/>
        <v>8.9</v>
      </c>
      <c r="P199" s="29">
        <f>LOOKUP(O199,{0,6.6,6.8,7,7.2,7.4,7.6,7.8,8,8.2,8.4,8.6,8.8,9,9.2,9.4,9.6,9.9,10.2,10.3,10.4},{0,10,20,30,40,50,60,62,64,66,68,70,72,74,76,78,80,85,90,95,100})</f>
        <v>72</v>
      </c>
      <c r="Q199" s="5">
        <v>3.56</v>
      </c>
      <c r="R199" s="36">
        <f t="shared" si="45"/>
        <v>6.44</v>
      </c>
      <c r="S199" s="29">
        <f>LOOKUP(R199,{0,4.74,4.84,4.94,5.44,5.54,5.64,5.69,5.74,5.79,5.84,5.89,5.94,5.99,6.44,6.49,6.54,6.61,6.68,6.74,6.8},{0,10,20,30,40,50,60,62,64,66,68,70,72,74,76,78,80,85,90,95,100})</f>
        <v>76</v>
      </c>
      <c r="T199" s="27"/>
      <c r="U199" s="27"/>
      <c r="V199" s="27">
        <f t="shared" si="41"/>
        <v>76</v>
      </c>
      <c r="W199" s="27"/>
      <c r="X199" s="19">
        <f t="shared" si="42"/>
        <v>51.3</v>
      </c>
      <c r="Y199" s="13">
        <f t="shared" si="43"/>
        <v>73.2857142857143</v>
      </c>
    </row>
    <row r="200" ht="15.6" spans="1:25">
      <c r="A200" s="27">
        <v>305</v>
      </c>
      <c r="B200" s="27">
        <v>43</v>
      </c>
      <c r="C200" s="28" t="s">
        <v>231</v>
      </c>
      <c r="D200" s="28" t="s">
        <v>46</v>
      </c>
      <c r="E200" s="27">
        <v>21.5</v>
      </c>
      <c r="F200" s="29">
        <f>LOOKUP(E200,{0,1.5,2.3,3.1,3.9,4.7,5.5,6.8,8.1,9.4,10.7,12,13.3,14.6,15.9,17.2,18.5,20.2,21.9,23.6,25.3},{0,10,20,30,40,50,60,62,64,66,68,70,72,74,76,78,80,85,90,95,100})</f>
        <v>85</v>
      </c>
      <c r="G200" s="27">
        <v>205</v>
      </c>
      <c r="H200" s="29">
        <f>LOOKUP(G200,{0,125,130,135,140,145,150,153,156,159,162,165,168,171,174,177,180,187,194,200,206},{0,10,20,30,40,50,60,62,64,66,68,70,72,74,76,78,80,85,90,95,100})</f>
        <v>95</v>
      </c>
      <c r="I200" s="27">
        <v>43</v>
      </c>
      <c r="J200" s="29">
        <f>LOOKUP(I200,{0,15,17,19,21,23,25,27,29,31,33,35,37,39,41,43,45,48,51,53,55},{0,10,20,30,40,50,60,62,64,66,68,70,72,74,76,78,80,85,90,95,100})</f>
        <v>78</v>
      </c>
      <c r="K200" s="35"/>
      <c r="L200" s="35"/>
      <c r="M200" s="35">
        <f t="shared" si="38"/>
        <v>78</v>
      </c>
      <c r="N200" s="35">
        <v>8.1</v>
      </c>
      <c r="O200" s="36">
        <f t="shared" si="44"/>
        <v>9.9</v>
      </c>
      <c r="P200" s="29">
        <f>LOOKUP(O200,{0,6.6,6.8,7,7.2,7.4,7.6,7.8,8,8.2,8.4,8.6,8.8,9,9.2,9.4,9.6,9.9,10.2,10.3,10.4},{0,10,20,30,40,50,60,62,64,66,68,70,72,74,76,78,80,85,90,95,100})</f>
        <v>85</v>
      </c>
      <c r="Q200" s="5">
        <v>3.36</v>
      </c>
      <c r="R200" s="36">
        <f t="shared" si="45"/>
        <v>6.64</v>
      </c>
      <c r="S200" s="29">
        <f>LOOKUP(R200,{0,4.74,4.84,4.94,5.44,5.54,5.64,5.69,5.74,5.79,5.84,5.89,5.94,5.99,6.44,6.49,6.54,6.61,6.68,6.74,6.8},{0,10,20,30,40,50,60,62,64,66,68,70,72,74,76,78,80,85,90,95,100})</f>
        <v>85</v>
      </c>
      <c r="T200" s="27"/>
      <c r="U200" s="27"/>
      <c r="V200" s="27">
        <f t="shared" si="41"/>
        <v>85</v>
      </c>
      <c r="W200" s="27"/>
      <c r="X200" s="19">
        <f t="shared" si="42"/>
        <v>59.8</v>
      </c>
      <c r="Y200" s="13">
        <f t="shared" si="43"/>
        <v>85.4285714285714</v>
      </c>
    </row>
    <row r="201" ht="15.6" spans="1:25">
      <c r="A201" s="27">
        <v>305</v>
      </c>
      <c r="B201" s="27">
        <v>44</v>
      </c>
      <c r="C201" s="28" t="s">
        <v>232</v>
      </c>
      <c r="D201" s="28" t="s">
        <v>46</v>
      </c>
      <c r="E201" s="27">
        <v>30.5</v>
      </c>
      <c r="F201" s="29">
        <f>LOOKUP(E201,{0,1.5,2.3,3.1,3.9,4.7,5.5,6.8,8.1,9.4,10.7,12,13.3,14.6,15.9,17.2,18.5,20.2,21.9,23.6,25.3},{0,10,20,30,40,50,60,62,64,66,68,70,72,74,76,78,80,85,90,95,100})</f>
        <v>100</v>
      </c>
      <c r="G201" s="27">
        <v>205</v>
      </c>
      <c r="H201" s="29">
        <f>LOOKUP(G201,{0,125,130,135,140,145,150,153,156,159,162,165,168,171,174,177,180,187,194,200,206},{0,10,20,30,40,50,60,62,64,66,68,70,72,74,76,78,80,85,90,95,100})</f>
        <v>95</v>
      </c>
      <c r="I201" s="27">
        <v>47</v>
      </c>
      <c r="J201" s="29">
        <f>LOOKUP(I201,{0,15,17,19,21,23,25,27,29,31,33,35,37,39,41,43,45,48,51,53,55},{0,10,20,30,40,50,60,62,64,66,68,70,72,74,76,78,80,85,90,95,100})</f>
        <v>80</v>
      </c>
      <c r="K201" s="35"/>
      <c r="L201" s="35"/>
      <c r="M201" s="35">
        <f t="shared" si="38"/>
        <v>80</v>
      </c>
      <c r="N201" s="35">
        <v>8.2</v>
      </c>
      <c r="O201" s="36">
        <f t="shared" si="44"/>
        <v>9.8</v>
      </c>
      <c r="P201" s="29">
        <f>LOOKUP(O201,{0,6.6,6.8,7,7.2,7.4,7.6,7.8,8,8.2,8.4,8.6,8.8,9,9.2,9.4,9.6,9.9,10.2,10.3,10.4},{0,10,20,30,40,50,60,62,64,66,68,70,72,74,76,78,80,85,90,95,100})</f>
        <v>80</v>
      </c>
      <c r="Q201" s="5">
        <v>4.35</v>
      </c>
      <c r="R201" s="36">
        <f t="shared" si="45"/>
        <v>5.65</v>
      </c>
      <c r="S201" s="29">
        <f>LOOKUP(R201,{0,4.74,4.84,4.94,5.44,5.54,5.64,5.69,5.74,5.79,5.84,5.89,5.94,5.99,6.44,6.49,6.54,6.61,6.68,6.74,6.8},{0,10,20,30,40,50,60,62,64,66,68,70,72,74,76,78,80,85,90,95,100})</f>
        <v>60</v>
      </c>
      <c r="T201" s="27"/>
      <c r="U201" s="27"/>
      <c r="V201" s="27">
        <f t="shared" si="41"/>
        <v>60</v>
      </c>
      <c r="W201" s="27"/>
      <c r="X201" s="19">
        <f t="shared" si="42"/>
        <v>55.5</v>
      </c>
      <c r="Y201" s="13">
        <f t="shared" si="43"/>
        <v>79.2857142857143</v>
      </c>
    </row>
    <row r="202" ht="15.6" spans="1:25">
      <c r="A202" s="27">
        <v>305</v>
      </c>
      <c r="B202" s="27">
        <v>45</v>
      </c>
      <c r="C202" s="28" t="s">
        <v>233</v>
      </c>
      <c r="D202" s="28" t="s">
        <v>46</v>
      </c>
      <c r="E202" s="27">
        <v>12.5</v>
      </c>
      <c r="F202" s="29">
        <f>LOOKUP(E202,{0,1.5,2.3,3.1,3.9,4.7,5.5,6.8,8.1,9.4,10.7,12,13.3,14.6,15.9,17.2,18.5,20.2,21.9,23.6,25.3},{0,10,20,30,40,50,60,62,64,66,68,70,72,74,76,78,80,85,90,95,100})</f>
        <v>70</v>
      </c>
      <c r="G202" s="27">
        <v>157</v>
      </c>
      <c r="H202" s="29">
        <f>LOOKUP(G202,{0,125,130,135,140,145,150,153,156,159,162,165,168,171,174,177,180,187,194,200,206},{0,10,20,30,40,50,60,62,64,66,68,70,72,74,76,78,80,85,90,95,100})</f>
        <v>64</v>
      </c>
      <c r="I202" s="27">
        <v>48</v>
      </c>
      <c r="J202" s="29">
        <f>LOOKUP(I202,{0,15,17,19,21,23,25,27,29,31,33,35,37,39,41,43,45,48,51,53,55},{0,10,20,30,40,50,60,62,64,66,68,70,72,74,76,78,80,85,90,95,100})</f>
        <v>85</v>
      </c>
      <c r="K202" s="35"/>
      <c r="L202" s="35"/>
      <c r="M202" s="35">
        <f t="shared" si="38"/>
        <v>85</v>
      </c>
      <c r="N202" s="35">
        <v>9.1</v>
      </c>
      <c r="O202" s="36">
        <f t="shared" si="44"/>
        <v>8.9</v>
      </c>
      <c r="P202" s="29">
        <f>LOOKUP(O202,{0,6.6,6.8,7,7.2,7.4,7.6,7.8,8,8.2,8.4,8.6,8.8,9,9.2,9.4,9.6,9.9,10.2,10.3,10.4},{0,10,20,30,40,50,60,62,64,66,68,70,72,74,76,78,80,85,90,95,100})</f>
        <v>72</v>
      </c>
      <c r="Q202" s="5">
        <v>3.51</v>
      </c>
      <c r="R202" s="36">
        <f t="shared" si="45"/>
        <v>6.49</v>
      </c>
      <c r="S202" s="29">
        <f>LOOKUP(R202,{0,4.74,4.84,4.94,5.44,5.54,5.64,5.69,5.74,5.79,5.84,5.89,5.94,5.99,6.44,6.49,6.54,6.61,6.68,6.74,6.8},{0,10,20,30,40,50,60,62,64,66,68,70,72,74,76,78,80,85,90,95,100})</f>
        <v>78</v>
      </c>
      <c r="T202" s="27"/>
      <c r="U202" s="27"/>
      <c r="V202" s="27">
        <f t="shared" si="41"/>
        <v>78</v>
      </c>
      <c r="W202" s="27"/>
      <c r="X202" s="19">
        <f t="shared" si="42"/>
        <v>51.9</v>
      </c>
      <c r="Y202" s="13">
        <f t="shared" si="43"/>
        <v>74.1428571428571</v>
      </c>
    </row>
    <row r="203" ht="15.6" spans="1:25">
      <c r="A203" s="27">
        <v>305</v>
      </c>
      <c r="B203" s="27">
        <v>46</v>
      </c>
      <c r="C203" s="28" t="s">
        <v>234</v>
      </c>
      <c r="D203" s="28" t="s">
        <v>46</v>
      </c>
      <c r="E203" s="27">
        <v>22.3</v>
      </c>
      <c r="F203" s="29">
        <f>LOOKUP(E203,{0,1.5,2.3,3.1,3.9,4.7,5.5,6.8,8.1,9.4,10.7,12,13.3,14.6,15.9,17.2,18.5,20.2,21.9,23.6,25.3},{0,10,20,30,40,50,60,62,64,66,68,70,72,74,76,78,80,85,90,95,100})</f>
        <v>90</v>
      </c>
      <c r="G203" s="27">
        <v>188</v>
      </c>
      <c r="H203" s="29">
        <f>LOOKUP(G203,{0,125,130,135,140,145,150,153,156,159,162,165,168,171,174,177,180,187,194,200,206},{0,10,20,30,40,50,60,62,64,66,68,70,72,74,76,78,80,85,90,95,100})</f>
        <v>85</v>
      </c>
      <c r="I203" s="27">
        <v>35</v>
      </c>
      <c r="J203" s="29">
        <f>LOOKUP(I203,{0,15,17,19,21,23,25,27,29,31,33,35,37,39,41,43,45,48,51,53,55},{0,10,20,30,40,50,60,62,64,66,68,70,72,74,76,78,80,85,90,95,100})</f>
        <v>70</v>
      </c>
      <c r="K203" s="35"/>
      <c r="L203" s="35"/>
      <c r="M203" s="35">
        <f t="shared" si="38"/>
        <v>70</v>
      </c>
      <c r="N203" s="35">
        <v>9.1</v>
      </c>
      <c r="O203" s="36">
        <f t="shared" si="44"/>
        <v>8.9</v>
      </c>
      <c r="P203" s="29">
        <f>LOOKUP(O203,{0,6.6,6.8,7,7.2,7.4,7.6,7.8,8,8.2,8.4,8.6,8.8,9,9.2,9.4,9.6,9.9,10.2,10.3,10.4},{0,10,20,30,40,50,60,62,64,66,68,70,72,74,76,78,80,85,90,95,100})</f>
        <v>72</v>
      </c>
      <c r="Q203" s="5">
        <v>4</v>
      </c>
      <c r="R203" s="36">
        <f t="shared" si="45"/>
        <v>6</v>
      </c>
      <c r="S203" s="29">
        <f>LOOKUP(R203,{0,4.74,4.84,4.94,5.44,5.54,5.64,5.69,5.74,5.79,5.84,5.89,5.94,5.99,6.44,6.49,6.54,6.61,6.68,6.74,6.8},{0,10,20,30,40,50,60,62,64,66,68,70,72,74,76,78,80,85,90,95,100})</f>
        <v>74</v>
      </c>
      <c r="T203" s="27"/>
      <c r="U203" s="27"/>
      <c r="V203" s="27">
        <f t="shared" si="41"/>
        <v>74</v>
      </c>
      <c r="W203" s="27"/>
      <c r="X203" s="19">
        <f t="shared" si="42"/>
        <v>53.7</v>
      </c>
      <c r="Y203" s="13">
        <f t="shared" si="43"/>
        <v>76.7142857142857</v>
      </c>
    </row>
    <row r="204" spans="1:25">
      <c r="A204" s="27">
        <v>305</v>
      </c>
      <c r="B204" s="27">
        <v>47</v>
      </c>
      <c r="C204" s="28" t="s">
        <v>235</v>
      </c>
      <c r="D204" s="28" t="s">
        <v>46</v>
      </c>
      <c r="E204" s="27"/>
      <c r="F204" s="27"/>
      <c r="G204" s="27"/>
      <c r="H204" s="27"/>
      <c r="I204" s="27"/>
      <c r="J204" s="35"/>
      <c r="K204" s="35"/>
      <c r="L204" s="35"/>
      <c r="M204" s="35"/>
      <c r="N204" s="35"/>
      <c r="O204" s="5"/>
      <c r="P204" s="5"/>
      <c r="Q204" s="5"/>
      <c r="R204" s="27"/>
      <c r="S204" s="27"/>
      <c r="T204" s="27"/>
      <c r="U204" s="27"/>
      <c r="V204" s="27"/>
      <c r="W204" s="27">
        <v>50</v>
      </c>
      <c r="X204" s="19"/>
      <c r="Y204" s="19">
        <v>50</v>
      </c>
    </row>
    <row r="205" ht="15.6" spans="1:25">
      <c r="A205" s="27">
        <v>305</v>
      </c>
      <c r="B205" s="27">
        <v>48</v>
      </c>
      <c r="C205" s="28" t="s">
        <v>236</v>
      </c>
      <c r="D205" s="28" t="s">
        <v>46</v>
      </c>
      <c r="E205" s="27">
        <v>8.6</v>
      </c>
      <c r="F205" s="29">
        <f>LOOKUP(E205,{0,1.5,2.3,3.1,3.9,4.7,5.5,6.8,8.1,9.4,10.7,12,13.3,14.6,15.9,17.2,18.5,20.2,21.9,23.6,25.3},{0,10,20,30,40,50,60,62,64,66,68,70,72,74,76,78,80,85,90,95,100})</f>
        <v>64</v>
      </c>
      <c r="G205" s="27">
        <v>135</v>
      </c>
      <c r="H205" s="29">
        <f>LOOKUP(G205,{0,125,130,135,140,145,150,153,156,159,162,165,168,171,174,177,180,187,194,200,206},{0,10,20,30,40,50,60,62,64,66,68,70,72,74,76,78,80,85,90,95,100})</f>
        <v>30</v>
      </c>
      <c r="I205" s="27">
        <v>33</v>
      </c>
      <c r="J205" s="29">
        <f>LOOKUP(I205,{0,15,17,19,21,23,25,27,29,31,33,35,37,39,41,43,45,48,51,53,55},{0,10,20,30,40,50,60,62,64,66,68,70,72,74,76,78,80,85,90,95,100})</f>
        <v>68</v>
      </c>
      <c r="K205" s="35"/>
      <c r="L205" s="35"/>
      <c r="M205" s="35">
        <f t="shared" ref="M205:M212" si="46">J205+L205</f>
        <v>68</v>
      </c>
      <c r="N205" s="35">
        <v>11.9</v>
      </c>
      <c r="O205" s="36">
        <f>18-N205</f>
        <v>6.1</v>
      </c>
      <c r="P205" s="29">
        <f>LOOKUP(O205,{0,6.6,6.8,7,7.2,7.4,7.6,7.8,8,8.2,8.4,8.6,8.8,9,9.2,9.4,9.6,9.9,10.2,10.3,10.4},{0,10,20,30,40,50,60,62,64,66,68,70,72,74,76,78,80,85,90,95,100})</f>
        <v>0</v>
      </c>
      <c r="Q205" s="5">
        <v>5.16</v>
      </c>
      <c r="R205" s="36">
        <f>10-Q205</f>
        <v>4.84</v>
      </c>
      <c r="S205" s="29">
        <f>LOOKUP(R205,{0,4.74,4.84,4.94,5.44,5.54,5.64,5.69,5.74,5.79,5.84,5.89,5.94,5.99,6.44,6.49,6.54,6.61,6.68,6.74,6.8},{0,10,20,30,40,50,60,62,64,66,68,70,72,74,76,78,80,85,90,95,100})</f>
        <v>20</v>
      </c>
      <c r="T205" s="27"/>
      <c r="U205" s="27"/>
      <c r="V205" s="27">
        <f t="shared" ref="V205:V212" si="47">S205+U205</f>
        <v>20</v>
      </c>
      <c r="W205" s="27"/>
      <c r="X205" s="19">
        <f t="shared" ref="X205:X212" si="48">F205*0.1+H205*0.1+J205*0.1+P205*0.2+S205*0.2</f>
        <v>20.2</v>
      </c>
      <c r="Y205" s="13">
        <f t="shared" ref="Y205:Y212" si="49">X205/0.7+L205+U205</f>
        <v>28.8571428571429</v>
      </c>
    </row>
    <row r="206" ht="15.6" spans="1:25">
      <c r="A206" s="27">
        <v>305</v>
      </c>
      <c r="B206" s="27">
        <v>49</v>
      </c>
      <c r="C206" s="28" t="s">
        <v>237</v>
      </c>
      <c r="D206" s="28" t="s">
        <v>46</v>
      </c>
      <c r="E206" s="27">
        <v>16</v>
      </c>
      <c r="F206" s="29">
        <f>LOOKUP(E206,{0,1.5,2.3,3.1,3.9,4.7,5.5,6.8,8.1,9.4,10.7,12,13.3,14.6,15.9,17.2,18.5,20.2,21.9,23.6,25.3},{0,10,20,30,40,50,60,62,64,66,68,70,72,74,76,78,80,85,90,95,100})</f>
        <v>76</v>
      </c>
      <c r="G206" s="27">
        <v>165</v>
      </c>
      <c r="H206" s="29">
        <f>LOOKUP(G206,{0,125,130,135,140,145,150,153,156,159,162,165,168,171,174,177,180,187,194,200,206},{0,10,20,30,40,50,60,62,64,66,68,70,72,74,76,78,80,85,90,95,100})</f>
        <v>70</v>
      </c>
      <c r="I206" s="27">
        <v>51</v>
      </c>
      <c r="J206" s="29">
        <f>LOOKUP(I206,{0,15,17,19,21,23,25,27,29,31,33,35,37,39,41,43,45,48,51,53,55},{0,10,20,30,40,50,60,62,64,66,68,70,72,74,76,78,80,85,90,95,100})</f>
        <v>90</v>
      </c>
      <c r="K206" s="35"/>
      <c r="L206" s="35"/>
      <c r="M206" s="35">
        <f t="shared" si="46"/>
        <v>90</v>
      </c>
      <c r="N206" s="35">
        <v>9.1</v>
      </c>
      <c r="O206" s="36">
        <f>18-N206</f>
        <v>8.9</v>
      </c>
      <c r="P206" s="29">
        <f>LOOKUP(O206,{0,6.6,6.8,7,7.2,7.4,7.6,7.8,8,8.2,8.4,8.6,8.8,9,9.2,9.4,9.6,9.9,10.2,10.3,10.4},{0,10,20,30,40,50,60,62,64,66,68,70,72,74,76,78,80,85,90,95,100})</f>
        <v>72</v>
      </c>
      <c r="Q206" s="5">
        <v>3.34</v>
      </c>
      <c r="R206" s="36">
        <f>10-Q206</f>
        <v>6.66</v>
      </c>
      <c r="S206" s="29">
        <f>LOOKUP(R206,{0,4.74,4.84,4.94,5.44,5.54,5.64,5.69,5.74,5.79,5.84,5.89,5.94,5.99,6.44,6.49,6.54,6.61,6.68,6.74,6.8},{0,10,20,30,40,50,60,62,64,66,68,70,72,74,76,78,80,85,90,95,100})</f>
        <v>85</v>
      </c>
      <c r="T206" s="27"/>
      <c r="U206" s="27"/>
      <c r="V206" s="27">
        <f t="shared" si="47"/>
        <v>85</v>
      </c>
      <c r="W206" s="27"/>
      <c r="X206" s="19">
        <f t="shared" si="48"/>
        <v>55</v>
      </c>
      <c r="Y206" s="13">
        <f t="shared" si="49"/>
        <v>78.5714285714286</v>
      </c>
    </row>
    <row r="207" ht="15.6" spans="1:25">
      <c r="A207" s="27">
        <v>305</v>
      </c>
      <c r="B207" s="27">
        <v>50</v>
      </c>
      <c r="C207" s="27" t="s">
        <v>238</v>
      </c>
      <c r="D207" s="27" t="s">
        <v>46</v>
      </c>
      <c r="E207" s="27">
        <v>8</v>
      </c>
      <c r="F207" s="29">
        <f>LOOKUP(E207,{0,1.5,2.3,3.1,3.9,4.7,5.5,6.8,8.1,9.4,10.7,12,13.3,14.6,15.9,17.2,18.5,20.2,21.9,23.6,25.3},{0,10,20,30,40,50,60,62,64,66,68,70,72,74,76,78,80,85,90,95,100})</f>
        <v>62</v>
      </c>
      <c r="G207" s="27" t="s">
        <v>77</v>
      </c>
      <c r="H207" s="29"/>
      <c r="I207" s="27">
        <v>58</v>
      </c>
      <c r="J207" s="29">
        <f>LOOKUP(I207,{0,15,17,19,21,23,25,27,29,31,33,35,37,39,41,43,45,48,51,53,55},{0,10,20,30,40,50,60,62,64,66,68,70,72,74,76,78,80,85,90,95,100})</f>
        <v>100</v>
      </c>
      <c r="K207" s="34">
        <f>I207-55</f>
        <v>3</v>
      </c>
      <c r="L207" s="29">
        <f>LOOKUP(K207,{0,2,4,6,7,8,9,10,11,12,13},{0,1,2,3,4,5,6,7,8,9,10})</f>
        <v>1</v>
      </c>
      <c r="M207" s="35">
        <f t="shared" si="46"/>
        <v>101</v>
      </c>
      <c r="N207" s="35" t="s">
        <v>77</v>
      </c>
      <c r="O207" s="5"/>
      <c r="P207" s="27"/>
      <c r="Q207" s="5" t="s">
        <v>77</v>
      </c>
      <c r="R207" s="27"/>
      <c r="S207" s="27"/>
      <c r="T207" s="27"/>
      <c r="U207" s="27"/>
      <c r="V207" s="27"/>
      <c r="W207" s="42">
        <v>50</v>
      </c>
      <c r="X207" s="19">
        <f t="shared" si="48"/>
        <v>16.2</v>
      </c>
      <c r="Y207" s="13">
        <v>50</v>
      </c>
    </row>
    <row r="208" ht="15.6" spans="1:25">
      <c r="A208" s="27">
        <v>305</v>
      </c>
      <c r="B208" s="27">
        <v>51</v>
      </c>
      <c r="C208" s="28" t="s">
        <v>239</v>
      </c>
      <c r="D208" s="28" t="s">
        <v>46</v>
      </c>
      <c r="E208" s="27">
        <v>24</v>
      </c>
      <c r="F208" s="29">
        <f>LOOKUP(E208,{0,1.5,2.3,3.1,3.9,4.7,5.5,6.8,8.1,9.4,10.7,12,13.3,14.6,15.9,17.2,18.5,20.2,21.9,23.6,25.3},{0,10,20,30,40,50,60,62,64,66,68,70,72,74,76,78,80,85,90,95,100})</f>
        <v>95</v>
      </c>
      <c r="G208" s="27">
        <v>160</v>
      </c>
      <c r="H208" s="29">
        <f>LOOKUP(G208,{0,125,130,135,140,145,150,153,156,159,162,165,168,171,174,177,180,187,194,200,206},{0,10,20,30,40,50,60,62,64,66,68,70,72,74,76,78,80,85,90,95,100})</f>
        <v>66</v>
      </c>
      <c r="I208" s="27">
        <v>38</v>
      </c>
      <c r="J208" s="29">
        <f>LOOKUP(I208,{0,15,17,19,21,23,25,27,29,31,33,35,37,39,41,43,45,48,51,53,55},{0,10,20,30,40,50,60,62,64,66,68,70,72,74,76,78,80,85,90,95,100})</f>
        <v>72</v>
      </c>
      <c r="K208" s="35"/>
      <c r="L208" s="35"/>
      <c r="M208" s="35">
        <f t="shared" si="46"/>
        <v>72</v>
      </c>
      <c r="N208" s="35">
        <v>9.7</v>
      </c>
      <c r="O208" s="36">
        <f>18-N208</f>
        <v>8.3</v>
      </c>
      <c r="P208" s="29">
        <f>LOOKUP(O208,{0,6.6,6.8,7,7.2,7.4,7.6,7.8,8,8.2,8.4,8.6,8.8,9,9.2,9.4,9.6,9.9,10.2,10.3,10.4},{0,10,20,30,40,50,60,62,64,66,68,70,72,74,76,78,80,85,90,95,100})</f>
        <v>66</v>
      </c>
      <c r="Q208" s="5">
        <v>5.22</v>
      </c>
      <c r="R208" s="36">
        <f>10-Q208</f>
        <v>4.78</v>
      </c>
      <c r="S208" s="29">
        <f>LOOKUP(R208,{0,4.74,4.84,4.94,5.44,5.54,5.64,5.69,5.74,5.79,5.84,5.89,5.94,5.99,6.44,6.49,6.54,6.61,6.68,6.74,6.8},{0,10,20,30,40,50,60,62,64,66,68,70,72,74,76,78,80,85,90,95,100})</f>
        <v>10</v>
      </c>
      <c r="T208" s="27"/>
      <c r="U208" s="27"/>
      <c r="V208" s="27">
        <f t="shared" si="47"/>
        <v>10</v>
      </c>
      <c r="W208" s="27"/>
      <c r="X208" s="19">
        <f t="shared" si="48"/>
        <v>38.5</v>
      </c>
      <c r="Y208" s="13">
        <f t="shared" si="49"/>
        <v>55</v>
      </c>
    </row>
    <row r="209" ht="15.6" spans="1:25">
      <c r="A209" s="27">
        <v>305</v>
      </c>
      <c r="B209" s="27">
        <v>52</v>
      </c>
      <c r="C209" s="28" t="s">
        <v>240</v>
      </c>
      <c r="D209" s="28" t="s">
        <v>46</v>
      </c>
      <c r="E209" s="27">
        <v>10.5</v>
      </c>
      <c r="F209" s="29">
        <f>LOOKUP(E209,{0,1.5,2.3,3.1,3.9,4.7,5.5,6.8,8.1,9.4,10.7,12,13.3,14.6,15.9,17.2,18.5,20.2,21.9,23.6,25.3},{0,10,20,30,40,50,60,62,64,66,68,70,72,74,76,78,80,85,90,95,100})</f>
        <v>66</v>
      </c>
      <c r="G209" s="27">
        <v>172</v>
      </c>
      <c r="H209" s="29">
        <f>LOOKUP(G209,{0,125,130,135,140,145,150,153,156,159,162,165,168,171,174,177,180,187,194,200,206},{0,10,20,30,40,50,60,62,64,66,68,70,72,74,76,78,80,85,90,95,100})</f>
        <v>74</v>
      </c>
      <c r="I209" s="27">
        <v>51</v>
      </c>
      <c r="J209" s="29">
        <f>LOOKUP(I209,{0,15,17,19,21,23,25,27,29,31,33,35,37,39,41,43,45,48,51,53,55},{0,10,20,30,40,50,60,62,64,66,68,70,72,74,76,78,80,85,90,95,100})</f>
        <v>90</v>
      </c>
      <c r="K209" s="35"/>
      <c r="L209" s="35"/>
      <c r="M209" s="35">
        <f t="shared" si="46"/>
        <v>90</v>
      </c>
      <c r="N209" s="35">
        <v>9.2</v>
      </c>
      <c r="O209" s="36">
        <f>18-N209</f>
        <v>8.8</v>
      </c>
      <c r="P209" s="29">
        <f>LOOKUP(O209,{0,6.6,6.8,7,7.2,7.4,7.6,7.8,8,8.2,8.4,8.6,8.8,9,9.2,9.4,9.6,9.9,10.2,10.3,10.4},{0,10,20,30,40,50,60,62,64,66,68,70,72,74,76,78,80,85,90,95,100})</f>
        <v>72</v>
      </c>
      <c r="Q209" s="5">
        <v>4.01</v>
      </c>
      <c r="R209" s="36">
        <f>10-Q209</f>
        <v>5.99</v>
      </c>
      <c r="S209" s="29">
        <f>LOOKUP(R209,{0,4.74,4.84,4.94,5.44,5.54,5.64,5.69,5.74,5.79,5.84,5.89,5.94,5.99,6.44,6.49,6.54,6.61,6.68,6.74,6.8},{0,10,20,30,40,50,60,62,64,66,68,70,72,74,76,78,80,85,90,95,100})</f>
        <v>74</v>
      </c>
      <c r="T209" s="27"/>
      <c r="U209" s="27"/>
      <c r="V209" s="27">
        <f t="shared" si="47"/>
        <v>74</v>
      </c>
      <c r="W209" s="27"/>
      <c r="X209" s="19">
        <f t="shared" si="48"/>
        <v>52.2</v>
      </c>
      <c r="Y209" s="13">
        <f t="shared" si="49"/>
        <v>74.5714285714286</v>
      </c>
    </row>
    <row r="210" ht="15.6" spans="1:25">
      <c r="A210" s="27">
        <v>306</v>
      </c>
      <c r="B210" s="27">
        <v>1</v>
      </c>
      <c r="C210" s="30" t="s">
        <v>242</v>
      </c>
      <c r="D210" s="28" t="s">
        <v>12</v>
      </c>
      <c r="E210" s="27">
        <v>8</v>
      </c>
      <c r="F210" s="29">
        <f>LOOKUP(E210,{0,-1.8,-0.8,0.2,1.2,2.2,3.2,4.6,6,7.4,8.8,10.2,11.6,13,14.4,15.8,17.2,19.1,21,22.8,24.6},{0,10,20,30,40,50,60,62,64,66,68,70,72,74,76,78,80,85,90,95,100})</f>
        <v>66</v>
      </c>
      <c r="G210" s="27">
        <v>250</v>
      </c>
      <c r="H210" s="29">
        <f>LOOKUP(G210,{0,180,185,190,195,200,205,209,213,217,221,225,229,233,237,241,245,253,260,265,270},{0,10,20,30,40,50,60,62,64,66,68,70,72,74,76,78,80,85,90,95,100})</f>
        <v>80</v>
      </c>
      <c r="I210" s="27">
        <v>1</v>
      </c>
      <c r="J210" s="29">
        <f>LOOKUP(I210,{0,4,5,6,7,8,9,10,11,12,13,14,15,16,17,18},{0,10,20,30,40,50,60,64,68,72,76,80,85,90,95,100})</f>
        <v>0</v>
      </c>
      <c r="K210" s="44"/>
      <c r="L210" s="35"/>
      <c r="M210" s="35">
        <f t="shared" si="46"/>
        <v>0</v>
      </c>
      <c r="N210" s="35">
        <v>7.6</v>
      </c>
      <c r="O210" s="36">
        <f>18-N210</f>
        <v>10.4</v>
      </c>
      <c r="P210" s="29">
        <f>LOOKUP(O210,{0,7.8,8,8.2,8.4,8.6,8.8,9,9.2,9.4,9.6,9.8,10,10.2,10.4,10.6,10.8,10.9,11,11.1,11.2},{0,10,20,30,40,50,60,62,64,66,68,70,72,74,76,78,80,85,90,95,100})</f>
        <v>76</v>
      </c>
      <c r="Q210" s="5">
        <v>4.36</v>
      </c>
      <c r="R210" s="36">
        <f>10-Q210</f>
        <v>5.64</v>
      </c>
      <c r="S210" s="29">
        <f>LOOKUP(R210,{0,3.85,4.45,4.65,4.85,5.45,5.65,5.7,5.75,5.8,5.85,5.9,5.95,6,6.45,6.5,6.55,6.63,6.7,6.75,6.8},{0,10,20,30,40,50,60,62,64,66,68,70,72,74,76,78,80,85,90,95,100})</f>
        <v>50</v>
      </c>
      <c r="T210" s="27"/>
      <c r="U210" s="27"/>
      <c r="V210" s="27">
        <f t="shared" si="47"/>
        <v>50</v>
      </c>
      <c r="W210" s="27"/>
      <c r="X210" s="19">
        <f t="shared" si="48"/>
        <v>39.8</v>
      </c>
      <c r="Y210" s="13">
        <f t="shared" si="49"/>
        <v>56.8571428571429</v>
      </c>
    </row>
    <row r="211" ht="15.6" spans="1:25">
      <c r="A211" s="27">
        <v>306</v>
      </c>
      <c r="B211" s="27">
        <v>2</v>
      </c>
      <c r="C211" s="28" t="s">
        <v>243</v>
      </c>
      <c r="D211" s="28" t="s">
        <v>12</v>
      </c>
      <c r="E211" s="27">
        <v>-1</v>
      </c>
      <c r="F211" s="29">
        <f>LOOKUP(E211,{0,-1.8,-0.8,0.2,1.2,2.2,3.2,4.6,6,7.4,8.8,10.2,11.6,13,14.4,15.8,17.2,19.1,21,22.8,24.6},{0,10,20,30,40,50,60,62,64,66,68,70,72,74,76,78,80,85,90,95,100})</f>
        <v>10</v>
      </c>
      <c r="G211" s="27">
        <v>225</v>
      </c>
      <c r="H211" s="29">
        <f>LOOKUP(G211,{0,180,185,190,195,200,205,209,213,217,221,225,229,233,237,241,245,253,260,265,270},{0,10,20,30,40,50,60,62,64,66,68,70,72,74,76,78,80,85,90,95,100})</f>
        <v>70</v>
      </c>
      <c r="I211" s="27">
        <v>0</v>
      </c>
      <c r="J211" s="29">
        <f>LOOKUP(I211,{0,4,5,6,7,8,9,10,11,12,13,14,15,16,17,18},{0,10,20,30,40,50,60,64,68,72,76,80,85,90,95,100})</f>
        <v>0</v>
      </c>
      <c r="K211" s="44"/>
      <c r="L211" s="35"/>
      <c r="M211" s="35">
        <f t="shared" si="46"/>
        <v>0</v>
      </c>
      <c r="N211" s="35">
        <v>7.3</v>
      </c>
      <c r="O211" s="36">
        <f>18-N211</f>
        <v>10.7</v>
      </c>
      <c r="P211" s="29">
        <f>LOOKUP(O211,{0,7.8,8,8.2,8.4,8.6,8.8,9,9.2,9.4,9.6,9.8,10,10.2,10.4,10.6,10.8,10.9,11,11.1,11.2},{0,10,20,30,40,50,60,62,64,66,68,70,72,74,76,78,80,85,90,95,100})</f>
        <v>78</v>
      </c>
      <c r="Q211" s="5">
        <v>4.41</v>
      </c>
      <c r="R211" s="36">
        <f>10-Q211</f>
        <v>5.59</v>
      </c>
      <c r="S211" s="29">
        <f>LOOKUP(R211,{0,3.85,4.45,4.65,4.85,5.45,5.65,5.7,5.75,5.8,5.85,5.9,5.95,6,6.45,6.5,6.55,6.63,6.7,6.75,6.8},{0,10,20,30,40,50,60,62,64,66,68,70,72,74,76,78,80,85,90,95,100})</f>
        <v>50</v>
      </c>
      <c r="T211" s="27"/>
      <c r="U211" s="27"/>
      <c r="V211" s="27">
        <f t="shared" si="47"/>
        <v>50</v>
      </c>
      <c r="W211" s="27"/>
      <c r="X211" s="19">
        <f t="shared" si="48"/>
        <v>33.6</v>
      </c>
      <c r="Y211" s="13">
        <f t="shared" si="49"/>
        <v>48</v>
      </c>
    </row>
    <row r="212" ht="15.6" spans="1:25">
      <c r="A212" s="27">
        <v>306</v>
      </c>
      <c r="B212" s="27">
        <v>3</v>
      </c>
      <c r="C212" s="28" t="s">
        <v>244</v>
      </c>
      <c r="D212" s="28" t="s">
        <v>12</v>
      </c>
      <c r="E212" s="27">
        <v>12.5</v>
      </c>
      <c r="F212" s="29">
        <f>LOOKUP(E212,{0,-1.8,-0.8,0.2,1.2,2.2,3.2,4.6,6,7.4,8.8,10.2,11.6,13,14.4,15.8,17.2,19.1,21,22.8,24.6},{0,10,20,30,40,50,60,62,64,66,68,70,72,74,76,78,80,85,90,95,100})</f>
        <v>72</v>
      </c>
      <c r="G212" s="27">
        <v>227</v>
      </c>
      <c r="H212" s="29">
        <f>LOOKUP(G212,{0,180,185,190,195,200,205,209,213,217,221,225,229,233,237,241,245,253,260,265,270},{0,10,20,30,40,50,60,62,64,66,68,70,72,74,76,78,80,85,90,95,100})</f>
        <v>70</v>
      </c>
      <c r="I212" s="27">
        <v>1</v>
      </c>
      <c r="J212" s="29">
        <f>LOOKUP(I212,{0,4,5,6,7,8,9,10,11,12,13,14,15,16,17,18},{0,10,20,30,40,50,60,64,68,72,76,80,85,90,95,100})</f>
        <v>0</v>
      </c>
      <c r="K212" s="44"/>
      <c r="L212" s="35"/>
      <c r="M212" s="35">
        <f t="shared" si="46"/>
        <v>0</v>
      </c>
      <c r="N212" s="35">
        <v>7.1</v>
      </c>
      <c r="O212" s="36">
        <f>18-N212</f>
        <v>10.9</v>
      </c>
      <c r="P212" s="29">
        <f>LOOKUP(O212,{0,7.8,8,8.2,8.4,8.6,8.8,9,9.2,9.4,9.6,9.8,10,10.2,10.4,10.6,10.8,10.9,11,11.1,11.2},{0,10,20,30,40,50,60,62,64,66,68,70,72,74,76,78,80,85,90,95,100})</f>
        <v>85</v>
      </c>
      <c r="Q212" s="5">
        <v>4.36</v>
      </c>
      <c r="R212" s="36">
        <f>10-Q212</f>
        <v>5.64</v>
      </c>
      <c r="S212" s="29">
        <f>LOOKUP(R212,{0,3.85,4.45,4.65,4.85,5.45,5.65,5.7,5.75,5.8,5.85,5.9,5.95,6,6.45,6.5,6.55,6.63,6.7,6.75,6.8},{0,10,20,30,40,50,60,62,64,66,68,70,72,74,76,78,80,85,90,95,100})</f>
        <v>50</v>
      </c>
      <c r="T212" s="27"/>
      <c r="U212" s="27"/>
      <c r="V212" s="27">
        <f t="shared" si="47"/>
        <v>50</v>
      </c>
      <c r="W212" s="27"/>
      <c r="X212" s="19">
        <f t="shared" si="48"/>
        <v>41.2</v>
      </c>
      <c r="Y212" s="13">
        <f t="shared" si="49"/>
        <v>58.8571428571429</v>
      </c>
    </row>
    <row r="213" ht="15.6" spans="1:25">
      <c r="A213" s="27">
        <v>306</v>
      </c>
      <c r="B213" s="27">
        <v>4</v>
      </c>
      <c r="C213" s="28" t="s">
        <v>245</v>
      </c>
      <c r="D213" s="28" t="s">
        <v>12</v>
      </c>
      <c r="E213" s="27"/>
      <c r="F213" s="29"/>
      <c r="G213" s="27"/>
      <c r="H213" s="29"/>
      <c r="I213" s="27"/>
      <c r="J213" s="35"/>
      <c r="K213" s="44"/>
      <c r="L213" s="35"/>
      <c r="M213" s="35"/>
      <c r="N213" s="35"/>
      <c r="O213" s="5"/>
      <c r="P213" s="5"/>
      <c r="Q213" s="5"/>
      <c r="R213" s="27"/>
      <c r="S213" s="27"/>
      <c r="T213" s="27"/>
      <c r="U213" s="27"/>
      <c r="V213" s="27"/>
      <c r="W213" s="27">
        <v>50</v>
      </c>
      <c r="X213" s="19"/>
      <c r="Y213" s="19">
        <v>50</v>
      </c>
    </row>
    <row r="214" ht="15.6" spans="1:25">
      <c r="A214" s="27">
        <v>306</v>
      </c>
      <c r="B214" s="27">
        <v>5</v>
      </c>
      <c r="C214" s="28" t="s">
        <v>246</v>
      </c>
      <c r="D214" s="28" t="s">
        <v>12</v>
      </c>
      <c r="E214" s="27">
        <v>11</v>
      </c>
      <c r="F214" s="29">
        <f>LOOKUP(E214,{0,-1.8,-0.8,0.2,1.2,2.2,3.2,4.6,6,7.4,8.8,10.2,11.6,13,14.4,15.8,17.2,19.1,21,22.8,24.6},{0,10,20,30,40,50,60,62,64,66,68,70,72,74,76,78,80,85,90,95,100})</f>
        <v>70</v>
      </c>
      <c r="G214" s="27">
        <v>211</v>
      </c>
      <c r="H214" s="29">
        <f>LOOKUP(G214,{0,180,185,190,195,200,205,209,213,217,221,225,229,233,237,241,245,253,260,265,270},{0,10,20,30,40,50,60,62,64,66,68,70,72,74,76,78,80,85,90,95,100})</f>
        <v>62</v>
      </c>
      <c r="I214" s="27">
        <v>1</v>
      </c>
      <c r="J214" s="29">
        <f>LOOKUP(I214,{0,4,5,6,7,8,9,10,11,12,13,14,15,16,17,18},{0,10,20,30,40,50,60,64,68,72,76,80,85,90,95,100})</f>
        <v>0</v>
      </c>
      <c r="K214" s="44"/>
      <c r="L214" s="35"/>
      <c r="M214" s="35">
        <f t="shared" ref="M214:M221" si="50">J214+L214</f>
        <v>0</v>
      </c>
      <c r="N214" s="35">
        <v>7.8</v>
      </c>
      <c r="O214" s="36">
        <f t="shared" ref="O214:O221" si="51">18-N214</f>
        <v>10.2</v>
      </c>
      <c r="P214" s="29">
        <f>LOOKUP(O214,{0,7.8,8,8.2,8.4,8.6,8.8,9,9.2,9.4,9.6,9.8,10,10.2,10.4,10.6,10.8,10.9,11,11.1,11.2},{0,10,20,30,40,50,60,62,64,66,68,70,72,74,76,78,80,85,90,95,100})</f>
        <v>74</v>
      </c>
      <c r="Q214" s="5">
        <v>4.3</v>
      </c>
      <c r="R214" s="36">
        <f t="shared" ref="R214:R221" si="52">10-Q214</f>
        <v>5.7</v>
      </c>
      <c r="S214" s="29">
        <f>LOOKUP(R214,{0,3.85,4.45,4.65,4.85,5.45,5.65,5.7,5.75,5.8,5.85,5.9,5.95,6,6.45,6.5,6.55,6.63,6.7,6.75,6.8},{0,10,20,30,40,50,60,62,64,66,68,70,72,74,76,78,80,85,90,95,100})</f>
        <v>62</v>
      </c>
      <c r="T214" s="27"/>
      <c r="U214" s="27"/>
      <c r="V214" s="27">
        <f t="shared" ref="V214:V221" si="53">S214+U214</f>
        <v>62</v>
      </c>
      <c r="W214" s="27"/>
      <c r="X214" s="19">
        <f t="shared" ref="X214:X221" si="54">F214*0.1+H214*0.1+J214*0.1+P214*0.2+S214*0.2</f>
        <v>40.4</v>
      </c>
      <c r="Y214" s="13">
        <f t="shared" ref="Y214:Y221" si="55">X214/0.7+L214+U214</f>
        <v>57.7142857142857</v>
      </c>
    </row>
    <row r="215" ht="15.6" spans="1:25">
      <c r="A215" s="27">
        <v>306</v>
      </c>
      <c r="B215" s="27">
        <v>6</v>
      </c>
      <c r="C215" s="28" t="s">
        <v>247</v>
      </c>
      <c r="D215" s="28" t="s">
        <v>12</v>
      </c>
      <c r="E215" s="27">
        <v>-9</v>
      </c>
      <c r="F215" s="29">
        <v>0</v>
      </c>
      <c r="G215" s="27">
        <v>215</v>
      </c>
      <c r="H215" s="29">
        <f>LOOKUP(G215,{0,180,185,190,195,200,205,209,213,217,221,225,229,233,237,241,245,253,260,265,270},{0,10,20,30,40,50,60,62,64,66,68,70,72,74,76,78,80,85,90,95,100})</f>
        <v>64</v>
      </c>
      <c r="I215" s="27">
        <v>6</v>
      </c>
      <c r="J215" s="29">
        <f>LOOKUP(I215,{0,4,5,6,7,8,9,10,11,12,13,14,15,16,17,18},{0,10,20,30,40,50,60,64,68,72,76,80,85,90,95,100})</f>
        <v>30</v>
      </c>
      <c r="K215" s="44"/>
      <c r="L215" s="35"/>
      <c r="M215" s="35">
        <f t="shared" si="50"/>
        <v>30</v>
      </c>
      <c r="N215" s="35">
        <v>7.5</v>
      </c>
      <c r="O215" s="36">
        <f t="shared" si="51"/>
        <v>10.5</v>
      </c>
      <c r="P215" s="29">
        <f>LOOKUP(O215,{0,7.8,8,8.2,8.4,8.6,8.8,9,9.2,9.4,9.6,9.8,10,10.2,10.4,10.6,10.8,10.9,11,11.1,11.2},{0,10,20,30,40,50,60,62,64,66,68,70,72,74,76,78,80,85,90,95,100})</f>
        <v>76</v>
      </c>
      <c r="Q215" s="5">
        <v>3.56</v>
      </c>
      <c r="R215" s="36">
        <f t="shared" si="52"/>
        <v>6.44</v>
      </c>
      <c r="S215" s="29">
        <f>LOOKUP(R215,{0,3.85,4.45,4.65,4.85,5.45,5.65,5.7,5.75,5.8,5.85,5.9,5.95,6,6.45,6.5,6.55,6.63,6.7,6.75,6.8},{0,10,20,30,40,50,60,62,64,66,68,70,72,74,76,78,80,85,90,95,100})</f>
        <v>74</v>
      </c>
      <c r="T215" s="27"/>
      <c r="U215" s="27"/>
      <c r="V215" s="27">
        <f t="shared" si="53"/>
        <v>74</v>
      </c>
      <c r="W215" s="27"/>
      <c r="X215" s="19">
        <f t="shared" si="54"/>
        <v>39.4</v>
      </c>
      <c r="Y215" s="13">
        <f t="shared" si="55"/>
        <v>56.2857142857143</v>
      </c>
    </row>
    <row r="216" ht="15.6" spans="1:25">
      <c r="A216" s="27">
        <v>306</v>
      </c>
      <c r="B216" s="27">
        <v>7</v>
      </c>
      <c r="C216" s="28" t="s">
        <v>248</v>
      </c>
      <c r="D216" s="28" t="s">
        <v>12</v>
      </c>
      <c r="E216" s="27">
        <v>0.5</v>
      </c>
      <c r="F216" s="29">
        <f>LOOKUP(E216,{0,-1.8,-0.8,0.2,1.2,2.2,3.2,4.6,6,7.4,8.8,10.2,11.6,13,14.4,15.8,17.2,19.1,21,22.8,24.6},{0,10,20,30,40,50,60,62,64,66,68,70,72,74,76,78,80,85,90,95,100})</f>
        <v>30</v>
      </c>
      <c r="G216" s="27">
        <v>227</v>
      </c>
      <c r="H216" s="29">
        <f>LOOKUP(G216,{0,180,185,190,195,200,205,209,213,217,221,225,229,233,237,241,245,253,260,265,270},{0,10,20,30,40,50,60,62,64,66,68,70,72,74,76,78,80,85,90,95,100})</f>
        <v>70</v>
      </c>
      <c r="I216" s="27">
        <v>17</v>
      </c>
      <c r="J216" s="29">
        <f>LOOKUP(I216,{0,4,5,6,7,8,9,10,11,12,13,14,15,16,17,18},{0,10,20,30,40,50,60,64,68,72,76,80,85,90,95,100})</f>
        <v>95</v>
      </c>
      <c r="K216" s="44"/>
      <c r="L216" s="35"/>
      <c r="M216" s="35">
        <f t="shared" si="50"/>
        <v>95</v>
      </c>
      <c r="N216" s="35">
        <v>6.9</v>
      </c>
      <c r="O216" s="36">
        <f t="shared" si="51"/>
        <v>11.1</v>
      </c>
      <c r="P216" s="29">
        <f>LOOKUP(O216,{0,7.8,8,8.2,8.4,8.6,8.8,9,9.2,9.4,9.6,9.8,10,10.2,10.4,10.6,10.8,10.9,11,11.1,11.2},{0,10,20,30,40,50,60,62,64,66,68,70,72,74,76,78,80,85,90,95,100})</f>
        <v>95</v>
      </c>
      <c r="Q216" s="5">
        <v>4.36</v>
      </c>
      <c r="R216" s="36">
        <f t="shared" si="52"/>
        <v>5.64</v>
      </c>
      <c r="S216" s="29">
        <f>LOOKUP(R216,{0,3.85,4.45,4.65,4.85,5.45,5.65,5.7,5.75,5.8,5.85,5.9,5.95,6,6.45,6.5,6.55,6.63,6.7,6.75,6.8},{0,10,20,30,40,50,60,62,64,66,68,70,72,74,76,78,80,85,90,95,100})</f>
        <v>50</v>
      </c>
      <c r="T216" s="27"/>
      <c r="U216" s="27"/>
      <c r="V216" s="27">
        <f t="shared" si="53"/>
        <v>50</v>
      </c>
      <c r="W216" s="27"/>
      <c r="X216" s="19">
        <f t="shared" si="54"/>
        <v>48.5</v>
      </c>
      <c r="Y216" s="13">
        <f t="shared" si="55"/>
        <v>69.2857142857143</v>
      </c>
    </row>
    <row r="217" ht="15.6" spans="1:25">
      <c r="A217" s="27">
        <v>306</v>
      </c>
      <c r="B217" s="27">
        <v>8</v>
      </c>
      <c r="C217" s="28" t="s">
        <v>249</v>
      </c>
      <c r="D217" s="28" t="s">
        <v>12</v>
      </c>
      <c r="E217" s="27">
        <v>16</v>
      </c>
      <c r="F217" s="29">
        <f>LOOKUP(E217,{0,-1.8,-0.8,0.2,1.2,2.2,3.2,4.6,6,7.4,8.8,10.2,11.6,13,14.4,15.8,17.2,19.1,21,22.8,24.6},{0,10,20,30,40,50,60,62,64,66,68,70,72,74,76,78,80,85,90,95,100})</f>
        <v>78</v>
      </c>
      <c r="G217" s="27">
        <v>215</v>
      </c>
      <c r="H217" s="29">
        <f>LOOKUP(G217,{0,180,185,190,195,200,205,209,213,217,221,225,229,233,237,241,245,253,260,265,270},{0,10,20,30,40,50,60,62,64,66,68,70,72,74,76,78,80,85,90,95,100})</f>
        <v>64</v>
      </c>
      <c r="I217" s="27">
        <v>3</v>
      </c>
      <c r="J217" s="29">
        <f>LOOKUP(I217,{0,4,5,6,7,8,9,10,11,12,13,14,15,16,17,18},{0,10,20,30,40,50,60,64,68,72,76,80,85,90,95,100})</f>
        <v>0</v>
      </c>
      <c r="K217" s="44"/>
      <c r="L217" s="35"/>
      <c r="M217" s="35">
        <f t="shared" si="50"/>
        <v>0</v>
      </c>
      <c r="N217" s="35">
        <v>7</v>
      </c>
      <c r="O217" s="36">
        <f t="shared" si="51"/>
        <v>11</v>
      </c>
      <c r="P217" s="29">
        <f>LOOKUP(O217,{0,7.8,8,8.2,8.4,8.6,8.8,9,9.2,9.4,9.6,9.8,10,10.2,10.4,10.6,10.8,10.9,11,11.1,11.2},{0,10,20,30,40,50,60,62,64,66,68,70,72,74,76,78,80,85,90,95,100})</f>
        <v>90</v>
      </c>
      <c r="Q217" s="5">
        <v>4.36</v>
      </c>
      <c r="R217" s="36">
        <f t="shared" si="52"/>
        <v>5.64</v>
      </c>
      <c r="S217" s="29">
        <f>LOOKUP(R217,{0,3.85,4.45,4.65,4.85,5.45,5.65,5.7,5.75,5.8,5.85,5.9,5.95,6,6.45,6.5,6.55,6.63,6.7,6.75,6.8},{0,10,20,30,40,50,60,62,64,66,68,70,72,74,76,78,80,85,90,95,100})</f>
        <v>50</v>
      </c>
      <c r="T217" s="27"/>
      <c r="U217" s="27"/>
      <c r="V217" s="27">
        <f t="shared" si="53"/>
        <v>50</v>
      </c>
      <c r="W217" s="27"/>
      <c r="X217" s="19">
        <f t="shared" si="54"/>
        <v>42.2</v>
      </c>
      <c r="Y217" s="13">
        <f t="shared" si="55"/>
        <v>60.2857142857143</v>
      </c>
    </row>
    <row r="218" ht="15.6" spans="1:25">
      <c r="A218" s="27">
        <v>306</v>
      </c>
      <c r="B218" s="27">
        <v>9</v>
      </c>
      <c r="C218" s="28" t="s">
        <v>250</v>
      </c>
      <c r="D218" s="28" t="s">
        <v>12</v>
      </c>
      <c r="E218" s="27">
        <v>20.5</v>
      </c>
      <c r="F218" s="29">
        <f>LOOKUP(E218,{0,-1.8,-0.8,0.2,1.2,2.2,3.2,4.6,6,7.4,8.8,10.2,11.6,13,14.4,15.8,17.2,19.1,21,22.8,24.6},{0,10,20,30,40,50,60,62,64,66,68,70,72,74,76,78,80,85,90,95,100})</f>
        <v>85</v>
      </c>
      <c r="G218" s="27">
        <v>244</v>
      </c>
      <c r="H218" s="29">
        <f>LOOKUP(G218,{0,180,185,190,195,200,205,209,213,217,221,225,229,233,237,241,245,253,260,265,270},{0,10,20,30,40,50,60,62,64,66,68,70,72,74,76,78,80,85,90,95,100})</f>
        <v>78</v>
      </c>
      <c r="I218" s="27">
        <v>11</v>
      </c>
      <c r="J218" s="29">
        <f>LOOKUP(I218,{0,4,5,6,7,8,9,10,11,12,13,14,15,16,17,18},{0,10,20,30,40,50,60,64,68,72,76,80,85,90,95,100})</f>
        <v>68</v>
      </c>
      <c r="K218" s="44"/>
      <c r="L218" s="35"/>
      <c r="M218" s="35">
        <f t="shared" si="50"/>
        <v>68</v>
      </c>
      <c r="N218" s="35">
        <v>7.1</v>
      </c>
      <c r="O218" s="36">
        <f t="shared" si="51"/>
        <v>10.9</v>
      </c>
      <c r="P218" s="29">
        <f>LOOKUP(O218,{0,7.8,8,8.2,8.4,8.6,8.8,9,9.2,9.4,9.6,9.8,10,10.2,10.4,10.6,10.8,10.9,11,11.1,11.2},{0,10,20,30,40,50,60,62,64,66,68,70,72,74,76,78,80,85,90,95,100})</f>
        <v>85</v>
      </c>
      <c r="Q218" s="5">
        <v>3.41</v>
      </c>
      <c r="R218" s="36">
        <f t="shared" si="52"/>
        <v>6.59</v>
      </c>
      <c r="S218" s="29">
        <f>LOOKUP(R218,{0,3.85,4.45,4.65,4.85,5.45,5.65,5.7,5.75,5.8,5.85,5.9,5.95,6,6.45,6.5,6.55,6.63,6.7,6.75,6.8},{0,10,20,30,40,50,60,62,64,66,68,70,72,74,76,78,80,85,90,95,100})</f>
        <v>80</v>
      </c>
      <c r="T218" s="27"/>
      <c r="U218" s="27"/>
      <c r="V218" s="27">
        <f t="shared" si="53"/>
        <v>80</v>
      </c>
      <c r="W218" s="27"/>
      <c r="X218" s="19">
        <f t="shared" si="54"/>
        <v>56.1</v>
      </c>
      <c r="Y218" s="13">
        <f t="shared" si="55"/>
        <v>80.1428571428572</v>
      </c>
    </row>
    <row r="219" ht="15.6" spans="1:25">
      <c r="A219" s="27">
        <v>306</v>
      </c>
      <c r="B219" s="27">
        <v>10</v>
      </c>
      <c r="C219" s="28" t="s">
        <v>251</v>
      </c>
      <c r="D219" s="28" t="s">
        <v>12</v>
      </c>
      <c r="E219" s="27">
        <v>3.2</v>
      </c>
      <c r="F219" s="29">
        <f>LOOKUP(E219,{0,-1.8,-0.8,0.2,1.2,2.2,3.2,4.6,6,7.4,8.8,10.2,11.6,13,14.4,15.8,17.2,19.1,21,22.8,24.6},{0,10,20,30,40,50,60,62,64,66,68,70,72,74,76,78,80,85,90,95,100})</f>
        <v>60</v>
      </c>
      <c r="G219" s="27">
        <v>240</v>
      </c>
      <c r="H219" s="29">
        <f>LOOKUP(G219,{0,180,185,190,195,200,205,209,213,217,221,225,229,233,237,241,245,253,260,265,270},{0,10,20,30,40,50,60,62,64,66,68,70,72,74,76,78,80,85,90,95,100})</f>
        <v>76</v>
      </c>
      <c r="I219" s="27">
        <v>10</v>
      </c>
      <c r="J219" s="29">
        <f>LOOKUP(I219,{0,4,5,6,7,8,9,10,11,12,13,14,15,16,17,18},{0,10,20,30,40,50,60,64,68,72,76,80,85,90,95,100})</f>
        <v>64</v>
      </c>
      <c r="K219" s="44"/>
      <c r="L219" s="35"/>
      <c r="M219" s="35">
        <f t="shared" si="50"/>
        <v>64</v>
      </c>
      <c r="N219" s="35">
        <v>6.6</v>
      </c>
      <c r="O219" s="36">
        <f t="shared" si="51"/>
        <v>11.4</v>
      </c>
      <c r="P219" s="29">
        <f>LOOKUP(O219,{0,7.8,8,8.2,8.4,8.6,8.8,9,9.2,9.4,9.6,9.8,10,10.2,10.4,10.6,10.8,10.9,11,11.1,11.2},{0,10,20,30,40,50,60,62,64,66,68,70,72,74,76,78,80,85,90,95,100})</f>
        <v>100</v>
      </c>
      <c r="Q219" s="5">
        <v>5.42</v>
      </c>
      <c r="R219" s="36">
        <f t="shared" si="52"/>
        <v>4.58</v>
      </c>
      <c r="S219" s="29">
        <f>LOOKUP(R219,{0,3.85,4.45,4.65,4.85,5.45,5.65,5.7,5.75,5.8,5.85,5.9,5.95,6,6.45,6.5,6.55,6.63,6.7,6.75,6.8},{0,10,20,30,40,50,60,62,64,66,68,70,72,74,76,78,80,85,90,95,100})</f>
        <v>20</v>
      </c>
      <c r="T219" s="27"/>
      <c r="U219" s="27"/>
      <c r="V219" s="27">
        <f t="shared" si="53"/>
        <v>20</v>
      </c>
      <c r="W219" s="27"/>
      <c r="X219" s="19">
        <f t="shared" si="54"/>
        <v>44</v>
      </c>
      <c r="Y219" s="13">
        <f t="shared" si="55"/>
        <v>62.8571428571429</v>
      </c>
    </row>
    <row r="220" ht="15.6" spans="1:25">
      <c r="A220" s="27">
        <v>306</v>
      </c>
      <c r="B220" s="27">
        <v>11</v>
      </c>
      <c r="C220" s="30" t="s">
        <v>253</v>
      </c>
      <c r="D220" s="28" t="s">
        <v>12</v>
      </c>
      <c r="E220" s="27">
        <v>20</v>
      </c>
      <c r="F220" s="29">
        <f>LOOKUP(E220,{0,-1.8,-0.8,0.2,1.2,2.2,3.2,4.6,6,7.4,8.8,10.2,11.6,13,14.4,15.8,17.2,19.1,21,22.8,24.6},{0,10,20,30,40,50,60,62,64,66,68,70,72,74,76,78,80,85,90,95,100})</f>
        <v>85</v>
      </c>
      <c r="G220" s="27">
        <v>242</v>
      </c>
      <c r="H220" s="29">
        <f>LOOKUP(G220,{0,180,185,190,195,200,205,209,213,217,221,225,229,233,237,241,245,253,260,265,270},{0,10,20,30,40,50,60,62,64,66,68,70,72,74,76,78,80,85,90,95,100})</f>
        <v>78</v>
      </c>
      <c r="I220" s="27">
        <v>5</v>
      </c>
      <c r="J220" s="29">
        <f>LOOKUP(I220,{0,4,5,6,7,8,9,10,11,12,13,14,15,16,17,18},{0,10,20,30,40,50,60,64,68,72,76,80,85,90,95,100})</f>
        <v>20</v>
      </c>
      <c r="K220" s="44"/>
      <c r="L220" s="35"/>
      <c r="M220" s="35">
        <f t="shared" si="50"/>
        <v>20</v>
      </c>
      <c r="N220" s="35">
        <v>7.5</v>
      </c>
      <c r="O220" s="36">
        <f t="shared" si="51"/>
        <v>10.5</v>
      </c>
      <c r="P220" s="29">
        <f>LOOKUP(O220,{0,7.8,8,8.2,8.4,8.6,8.8,9,9.2,9.4,9.6,9.8,10,10.2,10.4,10.6,10.8,10.9,11,11.1,11.2},{0,10,20,30,40,50,60,62,64,66,68,70,72,74,76,78,80,85,90,95,100})</f>
        <v>76</v>
      </c>
      <c r="Q220" s="5">
        <v>4.05</v>
      </c>
      <c r="R220" s="36">
        <f t="shared" si="52"/>
        <v>5.95</v>
      </c>
      <c r="S220" s="29">
        <f>LOOKUP(R220,{0,3.85,4.45,4.65,4.85,5.45,5.65,5.7,5.75,5.8,5.85,5.9,5.95,6,6.45,6.5,6.55,6.63,6.7,6.75,6.8},{0,10,20,30,40,50,60,62,64,66,68,70,72,74,76,78,80,85,90,95,100})</f>
        <v>72</v>
      </c>
      <c r="T220" s="27"/>
      <c r="U220" s="27"/>
      <c r="V220" s="27">
        <f t="shared" si="53"/>
        <v>72</v>
      </c>
      <c r="W220" s="27"/>
      <c r="X220" s="19">
        <f t="shared" si="54"/>
        <v>47.9</v>
      </c>
      <c r="Y220" s="13">
        <f t="shared" si="55"/>
        <v>68.4285714285714</v>
      </c>
    </row>
    <row r="221" ht="15.6" spans="1:25">
      <c r="A221" s="27">
        <v>306</v>
      </c>
      <c r="B221" s="27">
        <v>12</v>
      </c>
      <c r="C221" s="28" t="s">
        <v>254</v>
      </c>
      <c r="D221" s="28" t="s">
        <v>12</v>
      </c>
      <c r="E221" s="27">
        <v>5.7</v>
      </c>
      <c r="F221" s="29">
        <f>LOOKUP(E221,{0,-1.8,-0.8,0.2,1.2,2.2,3.2,4.6,6,7.4,8.8,10.2,11.6,13,14.4,15.8,17.2,19.1,21,22.8,24.6},{0,10,20,30,40,50,60,62,64,66,68,70,72,74,76,78,80,85,90,95,100})</f>
        <v>62</v>
      </c>
      <c r="G221" s="27">
        <v>230</v>
      </c>
      <c r="H221" s="29">
        <f>LOOKUP(G221,{0,180,185,190,195,200,205,209,213,217,221,225,229,233,237,241,245,253,260,265,270},{0,10,20,30,40,50,60,62,64,66,68,70,72,74,76,78,80,85,90,95,100})</f>
        <v>72</v>
      </c>
      <c r="I221" s="27">
        <v>2</v>
      </c>
      <c r="J221" s="29">
        <f>LOOKUP(I221,{0,4,5,6,7,8,9,10,11,12,13,14,15,16,17,18},{0,10,20,30,40,50,60,64,68,72,76,80,85,90,95,100})</f>
        <v>0</v>
      </c>
      <c r="K221" s="44"/>
      <c r="L221" s="35"/>
      <c r="M221" s="35">
        <f t="shared" si="50"/>
        <v>0</v>
      </c>
      <c r="N221" s="35">
        <v>7.2</v>
      </c>
      <c r="O221" s="36">
        <f t="shared" si="51"/>
        <v>10.8</v>
      </c>
      <c r="P221" s="29">
        <f>LOOKUP(O221,{0,7.8,8,8.2,8.4,8.6,8.8,9,9.2,9.4,9.6,9.8,10,10.2,10.4,10.6,10.8,10.9,11,11.1,11.2},{0,10,20,30,40,50,60,62,64,66,68,70,72,74,76,78,80,85,90,95,100})</f>
        <v>80</v>
      </c>
      <c r="Q221" s="5">
        <v>4.19</v>
      </c>
      <c r="R221" s="36">
        <f t="shared" si="52"/>
        <v>5.81</v>
      </c>
      <c r="S221" s="29">
        <f>LOOKUP(R221,{0,3.85,4.45,4.65,4.85,5.45,5.65,5.7,5.75,5.8,5.85,5.9,5.95,6,6.45,6.5,6.55,6.63,6.7,6.75,6.8},{0,10,20,30,40,50,60,62,64,66,68,70,72,74,76,78,80,85,90,95,100})</f>
        <v>66</v>
      </c>
      <c r="T221" s="27"/>
      <c r="U221" s="27"/>
      <c r="V221" s="27">
        <f t="shared" si="53"/>
        <v>66</v>
      </c>
      <c r="W221" s="27"/>
      <c r="X221" s="19">
        <f t="shared" si="54"/>
        <v>42.6</v>
      </c>
      <c r="Y221" s="13">
        <f t="shared" si="55"/>
        <v>60.8571428571429</v>
      </c>
    </row>
    <row r="222" ht="15.6" spans="1:25">
      <c r="A222" s="27">
        <v>306</v>
      </c>
      <c r="B222" s="27">
        <v>13</v>
      </c>
      <c r="C222" s="28" t="s">
        <v>255</v>
      </c>
      <c r="D222" s="28" t="s">
        <v>12</v>
      </c>
      <c r="E222" s="27"/>
      <c r="F222" s="29"/>
      <c r="G222" s="27"/>
      <c r="H222" s="29"/>
      <c r="I222" s="27"/>
      <c r="J222" s="35"/>
      <c r="K222" s="44"/>
      <c r="L222" s="35"/>
      <c r="M222" s="35"/>
      <c r="N222" s="35"/>
      <c r="O222" s="5"/>
      <c r="P222" s="5"/>
      <c r="Q222" s="5"/>
      <c r="R222" s="27"/>
      <c r="S222" s="27"/>
      <c r="T222" s="27"/>
      <c r="U222" s="27"/>
      <c r="V222" s="27"/>
      <c r="W222" s="27">
        <v>50</v>
      </c>
      <c r="X222" s="19"/>
      <c r="Y222" s="19">
        <v>50</v>
      </c>
    </row>
    <row r="223" ht="15.6" spans="1:25">
      <c r="A223" s="27">
        <v>306</v>
      </c>
      <c r="B223" s="27">
        <v>14</v>
      </c>
      <c r="C223" s="28" t="s">
        <v>256</v>
      </c>
      <c r="D223" s="28" t="s">
        <v>12</v>
      </c>
      <c r="E223" s="27">
        <v>3.4</v>
      </c>
      <c r="F223" s="29">
        <f>LOOKUP(E223,{0,-1.8,-0.8,0.2,1.2,2.2,3.2,4.6,6,7.4,8.8,10.2,11.6,13,14.4,15.8,17.2,19.1,21,22.8,24.6},{0,10,20,30,40,50,60,62,64,66,68,70,72,74,76,78,80,85,90,95,100})</f>
        <v>60</v>
      </c>
      <c r="G223" s="27">
        <v>212</v>
      </c>
      <c r="H223" s="29">
        <f>LOOKUP(G223,{0,180,185,190,195,200,205,209,213,217,221,225,229,233,237,241,245,253,260,265,270},{0,10,20,30,40,50,60,62,64,66,68,70,72,74,76,78,80,85,90,95,100})</f>
        <v>62</v>
      </c>
      <c r="I223" s="27">
        <v>1</v>
      </c>
      <c r="J223" s="29">
        <f>LOOKUP(I223,{0,4,5,6,7,8,9,10,11,12,13,14,15,16,17,18},{0,10,20,30,40,50,60,64,68,72,76,80,85,90,95,100})</f>
        <v>0</v>
      </c>
      <c r="K223" s="44"/>
      <c r="L223" s="35"/>
      <c r="M223" s="35">
        <f t="shared" ref="M223:M242" si="56">J223+L223</f>
        <v>0</v>
      </c>
      <c r="N223" s="35">
        <v>7.2</v>
      </c>
      <c r="O223" s="36">
        <f t="shared" ref="O223:O242" si="57">18-N223</f>
        <v>10.8</v>
      </c>
      <c r="P223" s="29">
        <f>LOOKUP(O223,{0,7.8,8,8.2,8.4,8.6,8.8,9,9.2,9.4,9.6,9.8,10,10.2,10.4,10.6,10.8,10.9,11,11.1,11.2},{0,10,20,30,40,50,60,62,64,66,68,70,72,74,76,78,80,85,90,95,100})</f>
        <v>80</v>
      </c>
      <c r="Q223" s="5">
        <v>5.57</v>
      </c>
      <c r="R223" s="36">
        <f t="shared" ref="R223:R242" si="58">10-Q223</f>
        <v>4.43</v>
      </c>
      <c r="S223" s="29">
        <f>LOOKUP(R223,{0,3.85,4.45,4.65,4.85,5.45,5.65,5.7,5.75,5.8,5.85,5.9,5.95,6,6.45,6.5,6.55,6.63,6.7,6.75,6.8},{0,10,20,30,40,50,60,62,64,66,68,70,72,74,76,78,80,85,90,95,100})</f>
        <v>10</v>
      </c>
      <c r="T223" s="27"/>
      <c r="U223" s="27"/>
      <c r="V223" s="27">
        <f t="shared" ref="V223:V242" si="59">S223+U223</f>
        <v>10</v>
      </c>
      <c r="W223" s="27"/>
      <c r="X223" s="19">
        <f t="shared" ref="X223:X242" si="60">F223*0.1+H223*0.1+J223*0.1+P223*0.2+S223*0.2</f>
        <v>30.2</v>
      </c>
      <c r="Y223" s="13">
        <f t="shared" ref="Y223:Y242" si="61">X223/0.7+L223+U223</f>
        <v>43.1428571428571</v>
      </c>
    </row>
    <row r="224" ht="15.6" spans="1:25">
      <c r="A224" s="27">
        <v>306</v>
      </c>
      <c r="B224" s="27">
        <v>15</v>
      </c>
      <c r="C224" s="28" t="s">
        <v>257</v>
      </c>
      <c r="D224" s="28" t="s">
        <v>12</v>
      </c>
      <c r="E224" s="27">
        <v>10.3</v>
      </c>
      <c r="F224" s="29">
        <f>LOOKUP(E224,{0,-1.8,-0.8,0.2,1.2,2.2,3.2,4.6,6,7.4,8.8,10.2,11.6,13,14.4,15.8,17.2,19.1,21,22.8,24.6},{0,10,20,30,40,50,60,62,64,66,68,70,72,74,76,78,80,85,90,95,100})</f>
        <v>70</v>
      </c>
      <c r="G224" s="27">
        <v>265</v>
      </c>
      <c r="H224" s="29">
        <f>LOOKUP(G224,{0,180,185,190,195,200,205,209,213,217,221,225,229,233,237,241,245,253,260,265,270},{0,10,20,30,40,50,60,62,64,66,68,70,72,74,76,78,80,85,90,95,100})</f>
        <v>95</v>
      </c>
      <c r="I224" s="27">
        <v>20</v>
      </c>
      <c r="J224" s="29">
        <f>LOOKUP(I224,{0,4,5,6,7,8,9,10,11,12,13,14,15,16,17,18},{0,10,20,30,40,50,60,64,68,72,76,80,85,90,95,100})</f>
        <v>100</v>
      </c>
      <c r="K224" s="44">
        <f>I224-18</f>
        <v>2</v>
      </c>
      <c r="L224" s="29">
        <f>LOOKUP(K224,{0,1,2,3,4,5,6,7,8,9,10},{0,1,2,3,4,5,6,7,8,9,10})</f>
        <v>2</v>
      </c>
      <c r="M224" s="35">
        <f t="shared" si="56"/>
        <v>102</v>
      </c>
      <c r="N224" s="35">
        <v>7</v>
      </c>
      <c r="O224" s="36">
        <f t="shared" si="57"/>
        <v>11</v>
      </c>
      <c r="P224" s="29">
        <f>LOOKUP(O224,{0,7.8,8,8.2,8.4,8.6,8.8,9,9.2,9.4,9.6,9.8,10,10.2,10.4,10.6,10.8,10.9,11,11.1,11.2},{0,10,20,30,40,50,60,62,64,66,68,70,72,74,76,78,80,85,90,95,100})</f>
        <v>90</v>
      </c>
      <c r="Q224" s="5">
        <v>3.47</v>
      </c>
      <c r="R224" s="36">
        <f t="shared" si="58"/>
        <v>6.53</v>
      </c>
      <c r="S224" s="29">
        <f>LOOKUP(R224,{0,3.85,4.45,4.65,4.85,5.45,5.65,5.7,5.75,5.8,5.85,5.9,5.95,6,6.45,6.5,6.55,6.63,6.7,6.75,6.8},{0,10,20,30,40,50,60,62,64,66,68,70,72,74,76,78,80,85,90,95,100})</f>
        <v>78</v>
      </c>
      <c r="T224" s="27"/>
      <c r="U224" s="27"/>
      <c r="V224" s="27">
        <f t="shared" si="59"/>
        <v>78</v>
      </c>
      <c r="W224" s="27"/>
      <c r="X224" s="19">
        <f t="shared" si="60"/>
        <v>60.1</v>
      </c>
      <c r="Y224" s="13">
        <f t="shared" si="61"/>
        <v>87.8571428571429</v>
      </c>
    </row>
    <row r="225" ht="15.6" spans="1:25">
      <c r="A225" s="27">
        <v>306</v>
      </c>
      <c r="B225" s="27">
        <v>16</v>
      </c>
      <c r="C225" s="28" t="s">
        <v>258</v>
      </c>
      <c r="D225" s="28" t="s">
        <v>12</v>
      </c>
      <c r="E225" s="27">
        <v>12.7</v>
      </c>
      <c r="F225" s="29">
        <f>LOOKUP(E225,{0,-1.8,-0.8,0.2,1.2,2.2,3.2,4.6,6,7.4,8.8,10.2,11.6,13,14.4,15.8,17.2,19.1,21,22.8,24.6},{0,10,20,30,40,50,60,62,64,66,68,70,72,74,76,78,80,85,90,95,100})</f>
        <v>72</v>
      </c>
      <c r="G225" s="27">
        <v>240</v>
      </c>
      <c r="H225" s="29">
        <f>LOOKUP(G225,{0,180,185,190,195,200,205,209,213,217,221,225,229,233,237,241,245,253,260,265,270},{0,10,20,30,40,50,60,62,64,66,68,70,72,74,76,78,80,85,90,95,100})</f>
        <v>76</v>
      </c>
      <c r="I225" s="27">
        <v>9</v>
      </c>
      <c r="J225" s="29">
        <f>LOOKUP(I225,{0,4,5,6,7,8,9,10,11,12,13,14,15,16,17,18},{0,10,20,30,40,50,60,64,68,72,76,80,85,90,95,100})</f>
        <v>60</v>
      </c>
      <c r="K225" s="44"/>
      <c r="L225" s="35"/>
      <c r="M225" s="35">
        <f t="shared" si="56"/>
        <v>60</v>
      </c>
      <c r="N225" s="35">
        <v>7</v>
      </c>
      <c r="O225" s="36">
        <f t="shared" si="57"/>
        <v>11</v>
      </c>
      <c r="P225" s="29">
        <f>LOOKUP(O225,{0,7.8,8,8.2,8.4,8.6,8.8,9,9.2,9.4,9.6,9.8,10,10.2,10.4,10.6,10.8,10.9,11,11.1,11.2},{0,10,20,30,40,50,60,62,64,66,68,70,72,74,76,78,80,85,90,95,100})</f>
        <v>90</v>
      </c>
      <c r="Q225" s="5">
        <v>5.57</v>
      </c>
      <c r="R225" s="36">
        <f t="shared" si="58"/>
        <v>4.43</v>
      </c>
      <c r="S225" s="29">
        <f>LOOKUP(R225,{0,3.85,4.45,4.65,4.85,5.45,5.65,5.7,5.75,5.8,5.85,5.9,5.95,6,6.45,6.5,6.55,6.63,6.7,6.75,6.8},{0,10,20,30,40,50,60,62,64,66,68,70,72,74,76,78,80,85,90,95,100})</f>
        <v>10</v>
      </c>
      <c r="T225" s="27"/>
      <c r="U225" s="27"/>
      <c r="V225" s="27">
        <f t="shared" si="59"/>
        <v>10</v>
      </c>
      <c r="W225" s="27"/>
      <c r="X225" s="19">
        <f t="shared" si="60"/>
        <v>40.8</v>
      </c>
      <c r="Y225" s="13">
        <f t="shared" si="61"/>
        <v>58.2857142857143</v>
      </c>
    </row>
    <row r="226" ht="15.6" spans="1:25">
      <c r="A226" s="27">
        <v>306</v>
      </c>
      <c r="B226" s="27">
        <v>17</v>
      </c>
      <c r="C226" s="28" t="s">
        <v>259</v>
      </c>
      <c r="D226" s="28" t="s">
        <v>12</v>
      </c>
      <c r="E226" s="27">
        <v>13.3</v>
      </c>
      <c r="F226" s="29">
        <f>LOOKUP(E226,{0,-1.8,-0.8,0.2,1.2,2.2,3.2,4.6,6,7.4,8.8,10.2,11.6,13,14.4,15.8,17.2,19.1,21,22.8,24.6},{0,10,20,30,40,50,60,62,64,66,68,70,72,74,76,78,80,85,90,95,100})</f>
        <v>74</v>
      </c>
      <c r="G226" s="27">
        <v>255</v>
      </c>
      <c r="H226" s="29">
        <f>LOOKUP(G226,{0,180,185,190,195,200,205,209,213,217,221,225,229,233,237,241,245,253,260,265,270},{0,10,20,30,40,50,60,62,64,66,68,70,72,74,76,78,80,85,90,95,100})</f>
        <v>85</v>
      </c>
      <c r="I226" s="27">
        <v>19</v>
      </c>
      <c r="J226" s="29">
        <f>LOOKUP(I226,{0,4,5,6,7,8,9,10,11,12,13,14,15,16,17,18},{0,10,20,30,40,50,60,64,68,72,76,80,85,90,95,100})</f>
        <v>100</v>
      </c>
      <c r="K226" s="44">
        <f>I226-18</f>
        <v>1</v>
      </c>
      <c r="L226" s="29">
        <f>LOOKUP(K226,{0,1,2,3,4,5,6,7,8,9,10},{0,1,2,3,4,5,6,7,8,9,10})</f>
        <v>1</v>
      </c>
      <c r="M226" s="35">
        <f t="shared" si="56"/>
        <v>101</v>
      </c>
      <c r="N226" s="35">
        <v>6.7</v>
      </c>
      <c r="O226" s="36">
        <f t="shared" si="57"/>
        <v>11.3</v>
      </c>
      <c r="P226" s="29">
        <f>LOOKUP(O226,{0,7.8,8,8.2,8.4,8.6,8.8,9,9.2,9.4,9.6,9.8,10,10.2,10.4,10.6,10.8,10.9,11,11.1,11.2},{0,10,20,30,40,50,60,62,64,66,68,70,72,74,76,78,80,85,90,95,100})</f>
        <v>100</v>
      </c>
      <c r="Q226" s="5">
        <v>3.36</v>
      </c>
      <c r="R226" s="36">
        <f t="shared" si="58"/>
        <v>6.64</v>
      </c>
      <c r="S226" s="29">
        <f>LOOKUP(R226,{0,3.85,4.45,4.65,4.85,5.45,5.65,5.7,5.75,5.8,5.85,5.9,5.95,6,6.45,6.5,6.55,6.63,6.7,6.75,6.8},{0,10,20,30,40,50,60,62,64,66,68,70,72,74,76,78,80,85,90,95,100})</f>
        <v>85</v>
      </c>
      <c r="T226" s="27"/>
      <c r="U226" s="27"/>
      <c r="V226" s="27">
        <f t="shared" si="59"/>
        <v>85</v>
      </c>
      <c r="W226" s="27"/>
      <c r="X226" s="19">
        <f t="shared" si="60"/>
        <v>62.9</v>
      </c>
      <c r="Y226" s="13">
        <f t="shared" si="61"/>
        <v>90.8571428571429</v>
      </c>
    </row>
    <row r="227" ht="15.6" spans="1:25">
      <c r="A227" s="27">
        <v>306</v>
      </c>
      <c r="B227" s="27">
        <v>18</v>
      </c>
      <c r="C227" s="28" t="s">
        <v>260</v>
      </c>
      <c r="D227" s="28" t="s">
        <v>12</v>
      </c>
      <c r="E227" s="27">
        <v>6.1</v>
      </c>
      <c r="F227" s="29">
        <f>LOOKUP(E227,{0,-1.8,-0.8,0.2,1.2,2.2,3.2,4.6,6,7.4,8.8,10.2,11.6,13,14.4,15.8,17.2,19.1,21,22.8,24.6},{0,10,20,30,40,50,60,62,64,66,68,70,72,74,76,78,80,85,90,95,100})</f>
        <v>64</v>
      </c>
      <c r="G227" s="27">
        <v>225</v>
      </c>
      <c r="H227" s="29">
        <f>LOOKUP(G227,{0,180,185,190,195,200,205,209,213,217,221,225,229,233,237,241,245,253,260,265,270},{0,10,20,30,40,50,60,62,64,66,68,70,72,74,76,78,80,85,90,95,100})</f>
        <v>70</v>
      </c>
      <c r="I227" s="27">
        <v>3</v>
      </c>
      <c r="J227" s="29">
        <f>LOOKUP(I227,{0,4,5,6,7,8,9,10,11,12,13,14,15,16,17,18},{0,10,20,30,40,50,60,64,68,72,76,80,85,90,95,100})</f>
        <v>0</v>
      </c>
      <c r="K227" s="44"/>
      <c r="L227" s="35"/>
      <c r="M227" s="35">
        <f t="shared" si="56"/>
        <v>0</v>
      </c>
      <c r="N227" s="35">
        <v>7.2</v>
      </c>
      <c r="O227" s="36">
        <f t="shared" si="57"/>
        <v>10.8</v>
      </c>
      <c r="P227" s="29">
        <f>LOOKUP(O227,{0,7.8,8,8.2,8.4,8.6,8.8,9,9.2,9.4,9.6,9.8,10,10.2,10.4,10.6,10.8,10.9,11,11.1,11.2},{0,10,20,30,40,50,60,62,64,66,68,70,72,74,76,78,80,85,90,95,100})</f>
        <v>80</v>
      </c>
      <c r="Q227" s="5">
        <v>4.25</v>
      </c>
      <c r="R227" s="36">
        <f t="shared" si="58"/>
        <v>5.75</v>
      </c>
      <c r="S227" s="29">
        <f>LOOKUP(R227,{0,3.85,4.45,4.65,4.85,5.45,5.65,5.7,5.75,5.8,5.85,5.9,5.95,6,6.45,6.5,6.55,6.63,6.7,6.75,6.8},{0,10,20,30,40,50,60,62,64,66,68,70,72,74,76,78,80,85,90,95,100})</f>
        <v>64</v>
      </c>
      <c r="T227" s="27"/>
      <c r="U227" s="27"/>
      <c r="V227" s="27">
        <f t="shared" si="59"/>
        <v>64</v>
      </c>
      <c r="W227" s="27"/>
      <c r="X227" s="19">
        <f t="shared" si="60"/>
        <v>42.2</v>
      </c>
      <c r="Y227" s="13">
        <f t="shared" si="61"/>
        <v>60.2857142857143</v>
      </c>
    </row>
    <row r="228" ht="15.6" spans="1:25">
      <c r="A228" s="27">
        <v>306</v>
      </c>
      <c r="B228" s="27">
        <v>19</v>
      </c>
      <c r="C228" s="28" t="s">
        <v>261</v>
      </c>
      <c r="D228" s="28" t="s">
        <v>12</v>
      </c>
      <c r="E228" s="27">
        <v>3.5</v>
      </c>
      <c r="F228" s="29">
        <f>LOOKUP(E228,{0,-1.8,-0.8,0.2,1.2,2.2,3.2,4.6,6,7.4,8.8,10.2,11.6,13,14.4,15.8,17.2,19.1,21,22.8,24.6},{0,10,20,30,40,50,60,62,64,66,68,70,72,74,76,78,80,85,90,95,100})</f>
        <v>60</v>
      </c>
      <c r="G228" s="27">
        <v>253</v>
      </c>
      <c r="H228" s="29">
        <f>LOOKUP(G228,{0,180,185,190,195,200,205,209,213,217,221,225,229,233,237,241,245,253,260,265,270},{0,10,20,30,40,50,60,62,64,66,68,70,72,74,76,78,80,85,90,95,100})</f>
        <v>85</v>
      </c>
      <c r="I228" s="27">
        <v>3</v>
      </c>
      <c r="J228" s="29">
        <f>LOOKUP(I228,{0,4,5,6,7,8,9,10,11,12,13,14,15,16,17,18},{0,10,20,30,40,50,60,64,68,72,76,80,85,90,95,100})</f>
        <v>0</v>
      </c>
      <c r="K228" s="44"/>
      <c r="L228" s="35"/>
      <c r="M228" s="35">
        <f t="shared" si="56"/>
        <v>0</v>
      </c>
      <c r="N228" s="35">
        <v>6.9</v>
      </c>
      <c r="O228" s="36">
        <f t="shared" si="57"/>
        <v>11.1</v>
      </c>
      <c r="P228" s="29">
        <f>LOOKUP(O228,{0,7.8,8,8.2,8.4,8.6,8.8,9,9.2,9.4,9.6,9.8,10,10.2,10.4,10.6,10.8,10.9,11,11.1,11.2},{0,10,20,30,40,50,60,62,64,66,68,70,72,74,76,78,80,85,90,95,100})</f>
        <v>95</v>
      </c>
      <c r="Q228" s="5">
        <v>4.09</v>
      </c>
      <c r="R228" s="36">
        <f t="shared" si="58"/>
        <v>5.91</v>
      </c>
      <c r="S228" s="29">
        <f>LOOKUP(R228,{0,3.85,4.45,4.65,4.85,5.45,5.65,5.7,5.75,5.8,5.85,5.9,5.95,6,6.45,6.5,6.55,6.63,6.7,6.75,6.8},{0,10,20,30,40,50,60,62,64,66,68,70,72,74,76,78,80,85,90,95,100})</f>
        <v>70</v>
      </c>
      <c r="T228" s="27"/>
      <c r="U228" s="27"/>
      <c r="V228" s="27">
        <f t="shared" si="59"/>
        <v>70</v>
      </c>
      <c r="W228" s="27"/>
      <c r="X228" s="19">
        <f t="shared" si="60"/>
        <v>47.5</v>
      </c>
      <c r="Y228" s="13">
        <f t="shared" si="61"/>
        <v>67.8571428571429</v>
      </c>
    </row>
    <row r="229" ht="15.6" spans="1:25">
      <c r="A229" s="27">
        <v>306</v>
      </c>
      <c r="B229" s="27">
        <v>20</v>
      </c>
      <c r="C229" s="28" t="s">
        <v>262</v>
      </c>
      <c r="D229" s="28" t="s">
        <v>12</v>
      </c>
      <c r="E229" s="27">
        <v>8.2</v>
      </c>
      <c r="F229" s="29">
        <f>LOOKUP(E229,{0,-1.8,-0.8,0.2,1.2,2.2,3.2,4.6,6,7.4,8.8,10.2,11.6,13,14.4,15.8,17.2,19.1,21,22.8,24.6},{0,10,20,30,40,50,60,62,64,66,68,70,72,74,76,78,80,85,90,95,100})</f>
        <v>66</v>
      </c>
      <c r="G229" s="27">
        <v>230</v>
      </c>
      <c r="H229" s="29">
        <f>LOOKUP(G229,{0,180,185,190,195,200,205,209,213,217,221,225,229,233,237,241,245,253,260,265,270},{0,10,20,30,40,50,60,62,64,66,68,70,72,74,76,78,80,85,90,95,100})</f>
        <v>72</v>
      </c>
      <c r="I229" s="27">
        <v>10</v>
      </c>
      <c r="J229" s="29">
        <f>LOOKUP(I229,{0,4,5,6,7,8,9,10,11,12,13,14,15,16,17,18},{0,10,20,30,40,50,60,64,68,72,76,80,85,90,95,100})</f>
        <v>64</v>
      </c>
      <c r="K229" s="44"/>
      <c r="L229" s="35"/>
      <c r="M229" s="35">
        <f t="shared" si="56"/>
        <v>64</v>
      </c>
      <c r="N229" s="35">
        <v>7.5</v>
      </c>
      <c r="O229" s="36">
        <f t="shared" si="57"/>
        <v>10.5</v>
      </c>
      <c r="P229" s="29">
        <f>LOOKUP(O229,{0,7.8,8,8.2,8.4,8.6,8.8,9,9.2,9.4,9.6,9.8,10,10.2,10.4,10.6,10.8,10.9,11,11.1,11.2},{0,10,20,30,40,50,60,62,64,66,68,70,72,74,76,78,80,85,90,95,100})</f>
        <v>76</v>
      </c>
      <c r="Q229" s="5">
        <v>5.57</v>
      </c>
      <c r="R229" s="36">
        <f t="shared" si="58"/>
        <v>4.43</v>
      </c>
      <c r="S229" s="29">
        <f>LOOKUP(R229,{0,3.85,4.45,4.65,4.85,5.45,5.65,5.7,5.75,5.8,5.85,5.9,5.95,6,6.45,6.5,6.55,6.63,6.7,6.75,6.8},{0,10,20,30,40,50,60,62,64,66,68,70,72,74,76,78,80,85,90,95,100})</f>
        <v>10</v>
      </c>
      <c r="T229" s="27"/>
      <c r="U229" s="27"/>
      <c r="V229" s="27">
        <f t="shared" si="59"/>
        <v>10</v>
      </c>
      <c r="W229" s="27"/>
      <c r="X229" s="19">
        <f t="shared" si="60"/>
        <v>37.4</v>
      </c>
      <c r="Y229" s="13">
        <f t="shared" si="61"/>
        <v>53.4285714285714</v>
      </c>
    </row>
    <row r="230" ht="15.6" spans="1:25">
      <c r="A230" s="27">
        <v>306</v>
      </c>
      <c r="B230" s="27">
        <v>21</v>
      </c>
      <c r="C230" s="28" t="s">
        <v>263</v>
      </c>
      <c r="D230" s="28" t="s">
        <v>12</v>
      </c>
      <c r="E230" s="27">
        <v>17.7</v>
      </c>
      <c r="F230" s="29">
        <f>LOOKUP(E230,{0,-1.8,-0.8,0.2,1.2,2.2,3.2,4.6,6,7.4,8.8,10.2,11.6,13,14.4,15.8,17.2,19.1,21,22.8,24.6},{0,10,20,30,40,50,60,62,64,66,68,70,72,74,76,78,80,85,90,95,100})</f>
        <v>80</v>
      </c>
      <c r="G230" s="27">
        <v>270</v>
      </c>
      <c r="H230" s="29">
        <f>LOOKUP(G230,{0,180,185,190,195,200,205,209,213,217,221,225,229,233,237,241,245,253,260,265,270},{0,10,20,30,40,50,60,62,64,66,68,70,72,74,76,78,80,85,90,95,100})</f>
        <v>100</v>
      </c>
      <c r="I230" s="27">
        <v>7</v>
      </c>
      <c r="J230" s="29">
        <f>LOOKUP(I230,{0,4,5,6,7,8,9,10,11,12,13,14,15,16,17,18},{0,10,20,30,40,50,60,64,68,72,76,80,85,90,95,100})</f>
        <v>40</v>
      </c>
      <c r="K230" s="44"/>
      <c r="L230" s="35"/>
      <c r="M230" s="35">
        <f t="shared" si="56"/>
        <v>40</v>
      </c>
      <c r="N230" s="35">
        <v>6.9</v>
      </c>
      <c r="O230" s="36">
        <f t="shared" si="57"/>
        <v>11.1</v>
      </c>
      <c r="P230" s="29">
        <f>LOOKUP(O230,{0,7.8,8,8.2,8.4,8.6,8.8,9,9.2,9.4,9.6,9.8,10,10.2,10.4,10.6,10.8,10.9,11,11.1,11.2},{0,10,20,30,40,50,60,62,64,66,68,70,72,74,76,78,80,85,90,95,100})</f>
        <v>95</v>
      </c>
      <c r="Q230" s="5">
        <v>3.39</v>
      </c>
      <c r="R230" s="36">
        <f t="shared" si="58"/>
        <v>6.61</v>
      </c>
      <c r="S230" s="29">
        <f>LOOKUP(R230,{0,3.85,4.45,4.65,4.85,5.45,5.65,5.7,5.75,5.8,5.85,5.9,5.95,6,6.45,6.5,6.55,6.63,6.7,6.75,6.8},{0,10,20,30,40,50,60,62,64,66,68,70,72,74,76,78,80,85,90,95,100})</f>
        <v>80</v>
      </c>
      <c r="T230" s="27"/>
      <c r="U230" s="27"/>
      <c r="V230" s="27">
        <f t="shared" si="59"/>
        <v>80</v>
      </c>
      <c r="W230" s="27"/>
      <c r="X230" s="19">
        <f t="shared" si="60"/>
        <v>57</v>
      </c>
      <c r="Y230" s="13">
        <f t="shared" si="61"/>
        <v>81.4285714285714</v>
      </c>
    </row>
    <row r="231" ht="15.6" spans="1:25">
      <c r="A231" s="27">
        <v>306</v>
      </c>
      <c r="B231" s="27">
        <v>22</v>
      </c>
      <c r="C231" s="30" t="s">
        <v>265</v>
      </c>
      <c r="D231" s="28" t="s">
        <v>12</v>
      </c>
      <c r="E231" s="27">
        <v>3.7</v>
      </c>
      <c r="F231" s="29">
        <f>LOOKUP(E231,{0,-1.8,-0.8,0.2,1.2,2.2,3.2,4.6,6,7.4,8.8,10.2,11.6,13,14.4,15.8,17.2,19.1,21,22.8,24.6},{0,10,20,30,40,50,60,62,64,66,68,70,72,74,76,78,80,85,90,95,100})</f>
        <v>60</v>
      </c>
      <c r="G231" s="27">
        <v>219</v>
      </c>
      <c r="H231" s="29">
        <f>LOOKUP(G231,{0,180,185,190,195,200,205,209,213,217,221,225,229,233,237,241,245,253,260,265,270},{0,10,20,30,40,50,60,62,64,66,68,70,72,74,76,78,80,85,90,95,100})</f>
        <v>66</v>
      </c>
      <c r="I231" s="27">
        <v>0</v>
      </c>
      <c r="J231" s="29">
        <f>LOOKUP(I231,{0,4,5,6,7,8,9,10,11,12,13,14,15,16,17,18},{0,10,20,30,40,50,60,64,68,72,76,80,85,90,95,100})</f>
        <v>0</v>
      </c>
      <c r="K231" s="44"/>
      <c r="L231" s="35"/>
      <c r="M231" s="35">
        <f t="shared" si="56"/>
        <v>0</v>
      </c>
      <c r="N231" s="35">
        <v>8.2</v>
      </c>
      <c r="O231" s="36">
        <f t="shared" si="57"/>
        <v>9.8</v>
      </c>
      <c r="P231" s="29">
        <f>LOOKUP(O231,{0,7.8,8,8.2,8.4,8.6,8.8,9,9.2,9.4,9.6,9.8,10,10.2,10.4,10.6,10.8,10.9,11,11.1,11.2},{0,10,20,30,40,50,60,62,64,66,68,70,72,74,76,78,80,85,90,95,100})</f>
        <v>70</v>
      </c>
      <c r="Q231" s="5">
        <v>6.48</v>
      </c>
      <c r="R231" s="36">
        <f t="shared" si="58"/>
        <v>3.52</v>
      </c>
      <c r="S231" s="29">
        <f>LOOKUP(R231,{0,3.85,4.45,4.65,4.85,5.45,5.65,5.7,5.75,5.8,5.85,5.9,5.95,6,6.45,6.5,6.55,6.63,6.7,6.75,6.8},{0,10,20,30,40,50,60,62,64,66,68,70,72,74,76,78,80,85,90,95,100})</f>
        <v>0</v>
      </c>
      <c r="T231" s="27"/>
      <c r="U231" s="27"/>
      <c r="V231" s="27">
        <f t="shared" si="59"/>
        <v>0</v>
      </c>
      <c r="W231" s="27"/>
      <c r="X231" s="19">
        <f t="shared" si="60"/>
        <v>26.6</v>
      </c>
      <c r="Y231" s="13">
        <f t="shared" si="61"/>
        <v>38</v>
      </c>
    </row>
    <row r="232" ht="15.6" spans="1:25">
      <c r="A232" s="27">
        <v>306</v>
      </c>
      <c r="B232" s="27">
        <v>23</v>
      </c>
      <c r="C232" s="28" t="s">
        <v>266</v>
      </c>
      <c r="D232" s="28" t="s">
        <v>12</v>
      </c>
      <c r="E232" s="27">
        <v>13.7</v>
      </c>
      <c r="F232" s="29">
        <f>LOOKUP(E232,{0,-1.8,-0.8,0.2,1.2,2.2,3.2,4.6,6,7.4,8.8,10.2,11.6,13,14.4,15.8,17.2,19.1,21,22.8,24.6},{0,10,20,30,40,50,60,62,64,66,68,70,72,74,76,78,80,85,90,95,100})</f>
        <v>74</v>
      </c>
      <c r="G232" s="27">
        <v>216</v>
      </c>
      <c r="H232" s="29">
        <f>LOOKUP(G232,{0,180,185,190,195,200,205,209,213,217,221,225,229,233,237,241,245,253,260,265,270},{0,10,20,30,40,50,60,62,64,66,68,70,72,74,76,78,80,85,90,95,100})</f>
        <v>64</v>
      </c>
      <c r="I232" s="27">
        <v>1</v>
      </c>
      <c r="J232" s="29">
        <f>LOOKUP(I232,{0,4,5,6,7,8,9,10,11,12,13,14,15,16,17,18},{0,10,20,30,40,50,60,64,68,72,76,80,85,90,95,100})</f>
        <v>0</v>
      </c>
      <c r="K232" s="44"/>
      <c r="L232" s="35"/>
      <c r="M232" s="35">
        <f t="shared" si="56"/>
        <v>0</v>
      </c>
      <c r="N232" s="35">
        <v>8</v>
      </c>
      <c r="O232" s="36">
        <f t="shared" si="57"/>
        <v>10</v>
      </c>
      <c r="P232" s="29">
        <f>LOOKUP(O232,{0,7.8,8,8.2,8.4,8.6,8.8,9,9.2,9.4,9.6,9.8,10,10.2,10.4,10.6,10.8,10.9,11,11.1,11.2},{0,10,20,30,40,50,60,62,64,66,68,70,72,74,76,78,80,85,90,95,100})</f>
        <v>72</v>
      </c>
      <c r="Q232" s="5">
        <v>6.52</v>
      </c>
      <c r="R232" s="36">
        <f t="shared" si="58"/>
        <v>3.48</v>
      </c>
      <c r="S232" s="29">
        <f>LOOKUP(R232,{0,3.85,4.45,4.65,4.85,5.45,5.65,5.7,5.75,5.8,5.85,5.9,5.95,6,6.45,6.5,6.55,6.63,6.7,6.75,6.8},{0,10,20,30,40,50,60,62,64,66,68,70,72,74,76,78,80,85,90,95,100})</f>
        <v>0</v>
      </c>
      <c r="T232" s="27"/>
      <c r="U232" s="27"/>
      <c r="V232" s="27">
        <f t="shared" si="59"/>
        <v>0</v>
      </c>
      <c r="W232" s="27"/>
      <c r="X232" s="19">
        <f t="shared" si="60"/>
        <v>28.2</v>
      </c>
      <c r="Y232" s="13">
        <f t="shared" si="61"/>
        <v>40.2857142857143</v>
      </c>
    </row>
    <row r="233" ht="15.6" spans="1:25">
      <c r="A233" s="27">
        <v>306</v>
      </c>
      <c r="B233" s="27">
        <v>24</v>
      </c>
      <c r="C233" s="28" t="s">
        <v>267</v>
      </c>
      <c r="D233" s="28" t="s">
        <v>12</v>
      </c>
      <c r="E233" s="27">
        <v>14.4</v>
      </c>
      <c r="F233" s="29">
        <f>LOOKUP(E233,{0,-1.8,-0.8,0.2,1.2,2.2,3.2,4.6,6,7.4,8.8,10.2,11.6,13,14.4,15.8,17.2,19.1,21,22.8,24.6},{0,10,20,30,40,50,60,62,64,66,68,70,72,74,76,78,80,85,90,95,100})</f>
        <v>76</v>
      </c>
      <c r="G233" s="27">
        <v>241</v>
      </c>
      <c r="H233" s="29">
        <f>LOOKUP(G233,{0,180,185,190,195,200,205,209,213,217,221,225,229,233,237,241,245,253,260,265,270},{0,10,20,30,40,50,60,62,64,66,68,70,72,74,76,78,80,85,90,95,100})</f>
        <v>78</v>
      </c>
      <c r="I233" s="27">
        <v>5</v>
      </c>
      <c r="J233" s="29">
        <f>LOOKUP(I233,{0,4,5,6,7,8,9,10,11,12,13,14,15,16,17,18},{0,10,20,30,40,50,60,64,68,72,76,80,85,90,95,100})</f>
        <v>20</v>
      </c>
      <c r="K233" s="44"/>
      <c r="L233" s="35"/>
      <c r="M233" s="35">
        <f t="shared" si="56"/>
        <v>20</v>
      </c>
      <c r="N233" s="35">
        <v>8.7</v>
      </c>
      <c r="O233" s="36">
        <f t="shared" si="57"/>
        <v>9.3</v>
      </c>
      <c r="P233" s="29">
        <f>LOOKUP(O233,{0,7.8,8,8.2,8.4,8.6,8.8,9,9.2,9.4,9.6,9.8,10,10.2,10.4,10.6,10.8,10.9,11,11.1,11.2},{0,10,20,30,40,50,60,62,64,66,68,70,72,74,76,78,80,85,90,95,100})</f>
        <v>64</v>
      </c>
      <c r="Q233" s="5">
        <v>4.39</v>
      </c>
      <c r="R233" s="36">
        <f t="shared" si="58"/>
        <v>5.61</v>
      </c>
      <c r="S233" s="29">
        <f>LOOKUP(R233,{0,3.85,4.45,4.65,4.85,5.45,5.65,5.7,5.75,5.8,5.85,5.9,5.95,6,6.45,6.5,6.55,6.63,6.7,6.75,6.8},{0,10,20,30,40,50,60,62,64,66,68,70,72,74,76,78,80,85,90,95,100})</f>
        <v>50</v>
      </c>
      <c r="T233" s="27"/>
      <c r="U233" s="27"/>
      <c r="V233" s="27">
        <f t="shared" si="59"/>
        <v>50</v>
      </c>
      <c r="W233" s="27"/>
      <c r="X233" s="19">
        <f t="shared" si="60"/>
        <v>40.2</v>
      </c>
      <c r="Y233" s="13">
        <f t="shared" si="61"/>
        <v>57.4285714285714</v>
      </c>
    </row>
    <row r="234" ht="15.6" spans="1:25">
      <c r="A234" s="27">
        <v>306</v>
      </c>
      <c r="B234" s="27">
        <v>25</v>
      </c>
      <c r="C234" s="28" t="s">
        <v>268</v>
      </c>
      <c r="D234" s="28" t="s">
        <v>12</v>
      </c>
      <c r="E234" s="27">
        <v>12</v>
      </c>
      <c r="F234" s="29">
        <f>LOOKUP(E234,{0,-1.8,-0.8,0.2,1.2,2.2,3.2,4.6,6,7.4,8.8,10.2,11.6,13,14.4,15.8,17.2,19.1,21,22.8,24.6},{0,10,20,30,40,50,60,62,64,66,68,70,72,74,76,78,80,85,90,95,100})</f>
        <v>72</v>
      </c>
      <c r="G234" s="27">
        <v>244</v>
      </c>
      <c r="H234" s="29">
        <f>LOOKUP(G234,{0,180,185,190,195,200,205,209,213,217,221,225,229,233,237,241,245,253,260,265,270},{0,10,20,30,40,50,60,62,64,66,68,70,72,74,76,78,80,85,90,95,100})</f>
        <v>78</v>
      </c>
      <c r="I234" s="27">
        <v>5</v>
      </c>
      <c r="J234" s="29">
        <f>LOOKUP(I234,{0,4,5,6,7,8,9,10,11,12,13,14,15,16,17,18},{0,10,20,30,40,50,60,64,68,72,76,80,85,90,95,100})</f>
        <v>20</v>
      </c>
      <c r="K234" s="44"/>
      <c r="L234" s="35"/>
      <c r="M234" s="35">
        <f t="shared" si="56"/>
        <v>20</v>
      </c>
      <c r="N234" s="35">
        <v>8.7</v>
      </c>
      <c r="O234" s="36">
        <f t="shared" si="57"/>
        <v>9.3</v>
      </c>
      <c r="P234" s="29">
        <f>LOOKUP(O234,{0,7.8,8,8.2,8.4,8.6,8.8,9,9.2,9.4,9.6,9.8,10,10.2,10.4,10.6,10.8,10.9,11,11.1,11.2},{0,10,20,30,40,50,60,62,64,66,68,70,72,74,76,78,80,85,90,95,100})</f>
        <v>64</v>
      </c>
      <c r="Q234" s="5">
        <v>6.58</v>
      </c>
      <c r="R234" s="36">
        <f t="shared" si="58"/>
        <v>3.42</v>
      </c>
      <c r="S234" s="29">
        <f>LOOKUP(R234,{0,3.85,4.45,4.65,4.85,5.45,5.65,5.7,5.75,5.8,5.85,5.9,5.95,6,6.45,6.5,6.55,6.63,6.7,6.75,6.8},{0,10,20,30,40,50,60,62,64,66,68,70,72,74,76,78,80,85,90,95,100})</f>
        <v>0</v>
      </c>
      <c r="T234" s="27"/>
      <c r="U234" s="27"/>
      <c r="V234" s="27">
        <f t="shared" si="59"/>
        <v>0</v>
      </c>
      <c r="W234" s="27"/>
      <c r="X234" s="19">
        <f t="shared" si="60"/>
        <v>29.8</v>
      </c>
      <c r="Y234" s="13">
        <f t="shared" si="61"/>
        <v>42.5714285714286</v>
      </c>
    </row>
    <row r="235" ht="15.6" spans="1:25">
      <c r="A235" s="27">
        <v>306</v>
      </c>
      <c r="B235" s="27">
        <v>26</v>
      </c>
      <c r="C235" s="28" t="s">
        <v>269</v>
      </c>
      <c r="D235" s="28" t="s">
        <v>12</v>
      </c>
      <c r="E235" s="27">
        <v>9.2</v>
      </c>
      <c r="F235" s="29">
        <f>LOOKUP(E235,{0,-1.8,-0.8,0.2,1.2,2.2,3.2,4.6,6,7.4,8.8,10.2,11.6,13,14.4,15.8,17.2,19.1,21,22.8,24.6},{0,10,20,30,40,50,60,62,64,66,68,70,72,74,76,78,80,85,90,95,100})</f>
        <v>68</v>
      </c>
      <c r="G235" s="27">
        <v>229</v>
      </c>
      <c r="H235" s="29">
        <f>LOOKUP(G235,{0,180,185,190,195,200,205,209,213,217,221,225,229,233,237,241,245,253,260,265,270},{0,10,20,30,40,50,60,62,64,66,68,70,72,74,76,78,80,85,90,95,100})</f>
        <v>72</v>
      </c>
      <c r="I235" s="27">
        <v>1</v>
      </c>
      <c r="J235" s="29">
        <f>LOOKUP(I235,{0,4,5,6,7,8,9,10,11,12,13,14,15,16,17,18},{0,10,20,30,40,50,60,64,68,72,76,80,85,90,95,100})</f>
        <v>0</v>
      </c>
      <c r="K235" s="44"/>
      <c r="L235" s="35"/>
      <c r="M235" s="35">
        <f t="shared" si="56"/>
        <v>0</v>
      </c>
      <c r="N235" s="35">
        <v>15</v>
      </c>
      <c r="O235" s="36">
        <f t="shared" si="57"/>
        <v>3</v>
      </c>
      <c r="P235" s="29">
        <f>LOOKUP(O235,{0,7.8,8,8.2,8.4,8.6,8.8,9,9.2,9.4,9.6,9.8,10,10.2,10.4,10.6,10.8,10.9,11,11.1,11.2},{0,10,20,30,40,50,60,62,64,66,68,70,72,74,76,78,80,85,90,95,100})</f>
        <v>0</v>
      </c>
      <c r="Q235" s="5">
        <v>12.4</v>
      </c>
      <c r="R235" s="36">
        <f t="shared" si="58"/>
        <v>-2.4</v>
      </c>
      <c r="S235" s="29">
        <v>0</v>
      </c>
      <c r="T235" s="27"/>
      <c r="U235" s="27"/>
      <c r="V235" s="27">
        <f t="shared" si="59"/>
        <v>0</v>
      </c>
      <c r="W235" s="27"/>
      <c r="X235" s="19">
        <f t="shared" si="60"/>
        <v>14</v>
      </c>
      <c r="Y235" s="13">
        <f t="shared" si="61"/>
        <v>20</v>
      </c>
    </row>
    <row r="236" ht="15.6" spans="1:25">
      <c r="A236" s="27">
        <v>306</v>
      </c>
      <c r="B236" s="27">
        <v>27</v>
      </c>
      <c r="C236" s="28" t="s">
        <v>270</v>
      </c>
      <c r="D236" s="28" t="s">
        <v>12</v>
      </c>
      <c r="E236" s="27">
        <v>1</v>
      </c>
      <c r="F236" s="29">
        <f>LOOKUP(E236,{0,-1.8,-0.8,0.2,1.2,2.2,3.2,4.6,6,7.4,8.8,10.2,11.6,13,14.4,15.8,17.2,19.1,21,22.8,24.6},{0,10,20,30,40,50,60,62,64,66,68,70,72,74,76,78,80,85,90,95,100})</f>
        <v>30</v>
      </c>
      <c r="G236" s="27">
        <v>247</v>
      </c>
      <c r="H236" s="29">
        <f>LOOKUP(G236,{0,180,185,190,195,200,205,209,213,217,221,225,229,233,237,241,245,253,260,265,270},{0,10,20,30,40,50,60,62,64,66,68,70,72,74,76,78,80,85,90,95,100})</f>
        <v>80</v>
      </c>
      <c r="I236" s="27">
        <v>3</v>
      </c>
      <c r="J236" s="29">
        <f>LOOKUP(I236,{0,4,5,6,7,8,9,10,11,12,13,14,15,16,17,18},{0,10,20,30,40,50,60,64,68,72,76,80,85,90,95,100})</f>
        <v>0</v>
      </c>
      <c r="K236" s="44"/>
      <c r="L236" s="35"/>
      <c r="M236" s="35">
        <f t="shared" si="56"/>
        <v>0</v>
      </c>
      <c r="N236" s="35">
        <v>7.1</v>
      </c>
      <c r="O236" s="36">
        <f t="shared" si="57"/>
        <v>10.9</v>
      </c>
      <c r="P236" s="29">
        <f>LOOKUP(O236,{0,7.8,8,8.2,8.4,8.6,8.8,9,9.2,9.4,9.6,9.8,10,10.2,10.4,10.6,10.8,10.9,11,11.1,11.2},{0,10,20,30,40,50,60,62,64,66,68,70,72,74,76,78,80,85,90,95,100})</f>
        <v>85</v>
      </c>
      <c r="Q236" s="5">
        <v>4.24</v>
      </c>
      <c r="R236" s="36">
        <f t="shared" si="58"/>
        <v>5.76</v>
      </c>
      <c r="S236" s="29">
        <f>LOOKUP(R236,{0,3.85,4.45,4.65,4.85,5.45,5.65,5.7,5.75,5.8,5.85,5.9,5.95,6,6.45,6.5,6.55,6.63,6.7,6.75,6.8},{0,10,20,30,40,50,60,62,64,66,68,70,72,74,76,78,80,85,90,95,100})</f>
        <v>64</v>
      </c>
      <c r="T236" s="27"/>
      <c r="U236" s="27"/>
      <c r="V236" s="27">
        <f t="shared" si="59"/>
        <v>64</v>
      </c>
      <c r="W236" s="27"/>
      <c r="X236" s="19">
        <f t="shared" si="60"/>
        <v>40.8</v>
      </c>
      <c r="Y236" s="13">
        <f t="shared" si="61"/>
        <v>58.2857142857143</v>
      </c>
    </row>
    <row r="237" ht="15.6" spans="1:25">
      <c r="A237" s="27">
        <v>306</v>
      </c>
      <c r="B237" s="27">
        <v>28</v>
      </c>
      <c r="C237" s="28" t="s">
        <v>271</v>
      </c>
      <c r="D237" s="28" t="s">
        <v>12</v>
      </c>
      <c r="E237" s="27">
        <v>20</v>
      </c>
      <c r="F237" s="29">
        <f>LOOKUP(E237,{0,-1.8,-0.8,0.2,1.2,2.2,3.2,4.6,6,7.4,8.8,10.2,11.6,13,14.4,15.8,17.2,19.1,21,22.8,24.6},{0,10,20,30,40,50,60,62,64,66,68,70,72,74,76,78,80,85,90,95,100})</f>
        <v>85</v>
      </c>
      <c r="G237" s="27">
        <v>273</v>
      </c>
      <c r="H237" s="29">
        <f>LOOKUP(G237,{0,180,185,190,195,200,205,209,213,217,221,225,229,233,237,241,245,253,260,265,270},{0,10,20,30,40,50,60,62,64,66,68,70,72,74,76,78,80,85,90,95,100})</f>
        <v>100</v>
      </c>
      <c r="I237" s="27">
        <v>18</v>
      </c>
      <c r="J237" s="29">
        <f>LOOKUP(I237,{0,4,5,6,7,8,9,10,11,12,13,14,15,16,17,18},{0,10,20,30,40,50,60,64,68,72,76,80,85,90,95,100})</f>
        <v>100</v>
      </c>
      <c r="K237" s="44"/>
      <c r="L237" s="35"/>
      <c r="M237" s="35">
        <f t="shared" si="56"/>
        <v>100</v>
      </c>
      <c r="N237" s="35">
        <v>6.7</v>
      </c>
      <c r="O237" s="36">
        <f t="shared" si="57"/>
        <v>11.3</v>
      </c>
      <c r="P237" s="29">
        <f>LOOKUP(O237,{0,7.8,8,8.2,8.4,8.6,8.8,9,9.2,9.4,9.6,9.8,10,10.2,10.4,10.6,10.8,10.9,11,11.1,11.2},{0,10,20,30,40,50,60,62,64,66,68,70,72,74,76,78,80,85,90,95,100})</f>
        <v>100</v>
      </c>
      <c r="Q237" s="5">
        <v>4.49</v>
      </c>
      <c r="R237" s="36">
        <f t="shared" si="58"/>
        <v>5.51</v>
      </c>
      <c r="S237" s="29">
        <f>LOOKUP(R237,{0,3.85,4.45,4.65,4.85,5.45,5.65,5.7,5.75,5.8,5.85,5.9,5.95,6,6.45,6.5,6.55,6.63,6.7,6.75,6.8},{0,10,20,30,40,50,60,62,64,66,68,70,72,74,76,78,80,85,90,95,100})</f>
        <v>50</v>
      </c>
      <c r="T237" s="27"/>
      <c r="U237" s="27"/>
      <c r="V237" s="27">
        <f t="shared" si="59"/>
        <v>50</v>
      </c>
      <c r="W237" s="27"/>
      <c r="X237" s="19">
        <f t="shared" si="60"/>
        <v>58.5</v>
      </c>
      <c r="Y237" s="13">
        <f t="shared" si="61"/>
        <v>83.5714285714286</v>
      </c>
    </row>
    <row r="238" ht="15.6" spans="1:25">
      <c r="A238" s="27">
        <v>306</v>
      </c>
      <c r="B238" s="27">
        <v>29</v>
      </c>
      <c r="C238" s="28" t="s">
        <v>272</v>
      </c>
      <c r="D238" s="28" t="s">
        <v>12</v>
      </c>
      <c r="E238" s="27">
        <v>15</v>
      </c>
      <c r="F238" s="29">
        <f>LOOKUP(E238,{0,-1.8,-0.8,0.2,1.2,2.2,3.2,4.6,6,7.4,8.8,10.2,11.6,13,14.4,15.8,17.2,19.1,21,22.8,24.6},{0,10,20,30,40,50,60,62,64,66,68,70,72,74,76,78,80,85,90,95,100})</f>
        <v>76</v>
      </c>
      <c r="G238" s="27">
        <v>213</v>
      </c>
      <c r="H238" s="29">
        <f>LOOKUP(G238,{0,180,185,190,195,200,205,209,213,217,221,225,229,233,237,241,245,253,260,265,270},{0,10,20,30,40,50,60,62,64,66,68,70,72,74,76,78,80,85,90,95,100})</f>
        <v>64</v>
      </c>
      <c r="I238" s="27">
        <v>7</v>
      </c>
      <c r="J238" s="29">
        <f>LOOKUP(I238,{0,4,5,6,7,8,9,10,11,12,13,14,15,16,17,18},{0,10,20,30,40,50,60,64,68,72,76,80,85,90,95,100})</f>
        <v>40</v>
      </c>
      <c r="K238" s="44"/>
      <c r="L238" s="35"/>
      <c r="M238" s="35">
        <f t="shared" si="56"/>
        <v>40</v>
      </c>
      <c r="N238" s="35">
        <v>8.5</v>
      </c>
      <c r="O238" s="36">
        <f t="shared" si="57"/>
        <v>9.5</v>
      </c>
      <c r="P238" s="29">
        <f>LOOKUP(O238,{0,7.8,8,8.2,8.4,8.6,8.8,9,9.2,9.4,9.6,9.8,10,10.2,10.4,10.6,10.8,10.9,11,11.1,11.2},{0,10,20,30,40,50,60,62,64,66,68,70,72,74,76,78,80,85,90,95,100})</f>
        <v>66</v>
      </c>
      <c r="Q238" s="5">
        <v>4.56</v>
      </c>
      <c r="R238" s="36">
        <f t="shared" si="58"/>
        <v>5.44</v>
      </c>
      <c r="S238" s="29">
        <f>LOOKUP(R238,{0,3.85,4.45,4.65,4.85,5.45,5.65,5.7,5.75,5.8,5.85,5.9,5.95,6,6.45,6.5,6.55,6.63,6.7,6.75,6.8},{0,10,20,30,40,50,60,62,64,66,68,70,72,74,76,78,80,85,90,95,100})</f>
        <v>40</v>
      </c>
      <c r="T238" s="27"/>
      <c r="U238" s="27"/>
      <c r="V238" s="27">
        <f t="shared" si="59"/>
        <v>40</v>
      </c>
      <c r="W238" s="27"/>
      <c r="X238" s="19">
        <f t="shared" si="60"/>
        <v>39.2</v>
      </c>
      <c r="Y238" s="13">
        <f t="shared" si="61"/>
        <v>56</v>
      </c>
    </row>
    <row r="239" ht="15.6" spans="1:25">
      <c r="A239" s="27">
        <v>306</v>
      </c>
      <c r="B239" s="27">
        <v>30</v>
      </c>
      <c r="C239" s="28" t="s">
        <v>273</v>
      </c>
      <c r="D239" s="28" t="s">
        <v>12</v>
      </c>
      <c r="E239" s="27">
        <v>6</v>
      </c>
      <c r="F239" s="29">
        <f>LOOKUP(E239,{0,-1.8,-0.8,0.2,1.2,2.2,3.2,4.6,6,7.4,8.8,10.2,11.6,13,14.4,15.8,17.2,19.1,21,22.8,24.6},{0,10,20,30,40,50,60,62,64,66,68,70,72,74,76,78,80,85,90,95,100})</f>
        <v>64</v>
      </c>
      <c r="G239" s="27">
        <v>216</v>
      </c>
      <c r="H239" s="29">
        <f>LOOKUP(G239,{0,180,185,190,195,200,205,209,213,217,221,225,229,233,237,241,245,253,260,265,270},{0,10,20,30,40,50,60,62,64,66,68,70,72,74,76,78,80,85,90,95,100})</f>
        <v>64</v>
      </c>
      <c r="I239" s="27">
        <v>6</v>
      </c>
      <c r="J239" s="29">
        <f>LOOKUP(I239,{0,4,5,6,7,8,9,10,11,12,13,14,15,16,17,18},{0,10,20,30,40,50,60,64,68,72,76,80,85,90,95,100})</f>
        <v>30</v>
      </c>
      <c r="K239" s="44"/>
      <c r="L239" s="35"/>
      <c r="M239" s="35">
        <f t="shared" si="56"/>
        <v>30</v>
      </c>
      <c r="N239" s="35">
        <v>7.7</v>
      </c>
      <c r="O239" s="36">
        <f t="shared" si="57"/>
        <v>10.3</v>
      </c>
      <c r="P239" s="29">
        <f>LOOKUP(O239,{0,7.8,8,8.2,8.4,8.6,8.8,9,9.2,9.4,9.6,9.8,10,10.2,10.4,10.6,10.8,10.9,11,11.1,11.2},{0,10,20,30,40,50,60,62,64,66,68,70,72,74,76,78,80,85,90,95,100})</f>
        <v>74</v>
      </c>
      <c r="Q239" s="5">
        <v>4.4</v>
      </c>
      <c r="R239" s="36">
        <f t="shared" si="58"/>
        <v>5.6</v>
      </c>
      <c r="S239" s="29">
        <f>LOOKUP(R239,{0,3.85,4.45,4.65,4.85,5.45,5.65,5.7,5.75,5.8,5.85,5.9,5.95,6,6.45,6.5,6.55,6.63,6.7,6.75,6.8},{0,10,20,30,40,50,60,62,64,66,68,70,72,74,76,78,80,85,90,95,100})</f>
        <v>50</v>
      </c>
      <c r="T239" s="27"/>
      <c r="U239" s="27"/>
      <c r="V239" s="27">
        <f t="shared" si="59"/>
        <v>50</v>
      </c>
      <c r="W239" s="27"/>
      <c r="X239" s="19">
        <f t="shared" si="60"/>
        <v>40.6</v>
      </c>
      <c r="Y239" s="13">
        <f t="shared" si="61"/>
        <v>58</v>
      </c>
    </row>
    <row r="240" ht="15.6" spans="1:25">
      <c r="A240" s="27">
        <v>306</v>
      </c>
      <c r="B240" s="27">
        <v>31</v>
      </c>
      <c r="C240" s="28" t="s">
        <v>274</v>
      </c>
      <c r="D240" s="28" t="s">
        <v>12</v>
      </c>
      <c r="E240" s="27">
        <v>24.5</v>
      </c>
      <c r="F240" s="29">
        <f>LOOKUP(E240,{0,-1.8,-0.8,0.2,1.2,2.2,3.2,4.6,6,7.4,8.8,10.2,11.6,13,14.4,15.8,17.2,19.1,21,22.8,24.6},{0,10,20,30,40,50,60,62,64,66,68,70,72,74,76,78,80,85,90,95,100})</f>
        <v>95</v>
      </c>
      <c r="G240" s="27">
        <v>219</v>
      </c>
      <c r="H240" s="29">
        <f>LOOKUP(G240,{0,180,185,190,195,200,205,209,213,217,221,225,229,233,237,241,245,253,260,265,270},{0,10,20,30,40,50,60,62,64,66,68,70,72,74,76,78,80,85,90,95,100})</f>
        <v>66</v>
      </c>
      <c r="I240" s="27">
        <v>0</v>
      </c>
      <c r="J240" s="29">
        <f>LOOKUP(I240,{0,4,5,6,7,8,9,10,11,12,13,14,15,16,17,18},{0,10,20,30,40,50,60,64,68,72,76,80,85,90,95,100})</f>
        <v>0</v>
      </c>
      <c r="K240" s="44"/>
      <c r="L240" s="35"/>
      <c r="M240" s="35">
        <f t="shared" si="56"/>
        <v>0</v>
      </c>
      <c r="N240" s="35">
        <v>8.3</v>
      </c>
      <c r="O240" s="36">
        <f t="shared" si="57"/>
        <v>9.7</v>
      </c>
      <c r="P240" s="29">
        <f>LOOKUP(O240,{0,7.8,8,8.2,8.4,8.6,8.8,9,9.2,9.4,9.6,9.8,10,10.2,10.4,10.6,10.8,10.9,11,11.1,11.2},{0,10,20,30,40,50,60,62,64,66,68,70,72,74,76,78,80,85,90,95,100})</f>
        <v>68</v>
      </c>
      <c r="Q240" s="5">
        <v>4.58</v>
      </c>
      <c r="R240" s="36">
        <f t="shared" si="58"/>
        <v>5.42</v>
      </c>
      <c r="S240" s="29">
        <f>LOOKUP(R240,{0,3.85,4.45,4.65,4.85,5.45,5.65,5.7,5.75,5.8,5.85,5.9,5.95,6,6.45,6.5,6.55,6.63,6.7,6.75,6.8},{0,10,20,30,40,50,60,62,64,66,68,70,72,74,76,78,80,85,90,95,100})</f>
        <v>40</v>
      </c>
      <c r="T240" s="27"/>
      <c r="U240" s="27"/>
      <c r="V240" s="27">
        <f t="shared" si="59"/>
        <v>40</v>
      </c>
      <c r="W240" s="27"/>
      <c r="X240" s="19">
        <f t="shared" si="60"/>
        <v>37.7</v>
      </c>
      <c r="Y240" s="13">
        <f t="shared" si="61"/>
        <v>53.8571428571429</v>
      </c>
    </row>
    <row r="241" ht="15.6" spans="1:25">
      <c r="A241" s="27">
        <v>306</v>
      </c>
      <c r="B241" s="27">
        <v>32</v>
      </c>
      <c r="C241" s="28" t="s">
        <v>275</v>
      </c>
      <c r="D241" s="28" t="s">
        <v>12</v>
      </c>
      <c r="E241" s="27">
        <v>7.2</v>
      </c>
      <c r="F241" s="29">
        <f>LOOKUP(E241,{0,-1.8,-0.8,0.2,1.2,2.2,3.2,4.6,6,7.4,8.8,10.2,11.6,13,14.4,15.8,17.2,19.1,21,22.8,24.6},{0,10,20,30,40,50,60,62,64,66,68,70,72,74,76,78,80,85,90,95,100})</f>
        <v>64</v>
      </c>
      <c r="G241" s="27">
        <v>250</v>
      </c>
      <c r="H241" s="29">
        <f>LOOKUP(G241,{0,180,185,190,195,200,205,209,213,217,221,225,229,233,237,241,245,253,260,265,270},{0,10,20,30,40,50,60,62,64,66,68,70,72,74,76,78,80,85,90,95,100})</f>
        <v>80</v>
      </c>
      <c r="I241" s="27">
        <v>3</v>
      </c>
      <c r="J241" s="29">
        <f>LOOKUP(I241,{0,4,5,6,7,8,9,10,11,12,13,14,15,16,17,18},{0,10,20,30,40,50,60,64,68,72,76,80,85,90,95,100})</f>
        <v>0</v>
      </c>
      <c r="K241" s="44"/>
      <c r="L241" s="35"/>
      <c r="M241" s="35">
        <f t="shared" si="56"/>
        <v>0</v>
      </c>
      <c r="N241" s="35">
        <v>6.8</v>
      </c>
      <c r="O241" s="36">
        <f t="shared" si="57"/>
        <v>11.2</v>
      </c>
      <c r="P241" s="29">
        <f>LOOKUP(O241,{0,7.8,8,8.2,8.4,8.6,8.8,9,9.2,9.4,9.6,9.8,10,10.2,10.4,10.6,10.8,10.9,11,11.1,11.2},{0,10,20,30,40,50,60,62,64,66,68,70,72,74,76,78,80,85,90,95,100})</f>
        <v>100</v>
      </c>
      <c r="Q241" s="5">
        <v>4.22</v>
      </c>
      <c r="R241" s="36">
        <f t="shared" si="58"/>
        <v>5.78</v>
      </c>
      <c r="S241" s="29">
        <f>LOOKUP(R241,{0,3.85,4.45,4.65,4.85,5.45,5.65,5.7,5.75,5.8,5.85,5.9,5.95,6,6.45,6.5,6.55,6.63,6.7,6.75,6.8},{0,10,20,30,40,50,60,62,64,66,68,70,72,74,76,78,80,85,90,95,100})</f>
        <v>64</v>
      </c>
      <c r="T241" s="27"/>
      <c r="U241" s="27"/>
      <c r="V241" s="27">
        <f t="shared" si="59"/>
        <v>64</v>
      </c>
      <c r="W241" s="27"/>
      <c r="X241" s="19">
        <f t="shared" si="60"/>
        <v>47.2</v>
      </c>
      <c r="Y241" s="13">
        <f t="shared" si="61"/>
        <v>67.4285714285714</v>
      </c>
    </row>
    <row r="242" ht="15.6" spans="1:25">
      <c r="A242" s="27">
        <v>306</v>
      </c>
      <c r="B242" s="27">
        <v>33</v>
      </c>
      <c r="C242" s="30" t="s">
        <v>277</v>
      </c>
      <c r="D242" s="28" t="s">
        <v>46</v>
      </c>
      <c r="E242" s="27">
        <v>0.5</v>
      </c>
      <c r="F242" s="29">
        <f>LOOKUP(E242,{0,1.5,2.3,3.1,3.9,4.7,5.5,6.8,8.1,9.4,10.7,12,13.3,14.6,15.9,17.2,18.5,20.2,21.9,23.6,25.3},{0,10,20,30,40,50,60,62,64,66,68,70,72,74,76,78,80,85,90,95,100})</f>
        <v>0</v>
      </c>
      <c r="G242" s="27">
        <v>155</v>
      </c>
      <c r="H242" s="29">
        <f>LOOKUP(G242,{0,125,130,135,140,145,150,153,156,159,162,165,168,171,174,177,180,187,194,200,206},{0,10,20,30,40,50,60,62,64,66,68,70,72,74,76,78,80,85,90,95,100})</f>
        <v>62</v>
      </c>
      <c r="I242" s="27">
        <v>50</v>
      </c>
      <c r="J242" s="29">
        <f>LOOKUP(I242,{0,15,17,19,21,23,25,27,29,31,33,35,37,39,41,43,45,48,51,53,55},{0,10,20,30,40,50,60,62,64,66,68,70,72,74,76,78,80,85,90,95,100})</f>
        <v>85</v>
      </c>
      <c r="K242" s="35"/>
      <c r="L242" s="35"/>
      <c r="M242" s="35">
        <f t="shared" si="56"/>
        <v>85</v>
      </c>
      <c r="N242" s="35">
        <v>10.3</v>
      </c>
      <c r="O242" s="36">
        <f t="shared" si="57"/>
        <v>7.7</v>
      </c>
      <c r="P242" s="29">
        <f>LOOKUP(O242,{0,6.6,6.8,7,7.2,7.4,7.6,7.8,8,8.2,8.4,8.6,8.8,9,9.2,9.4,9.6,9.9,10.2,10.3,10.4},{0,10,20,30,40,50,60,62,64,66,68,70,72,74,76,78,80,85,90,95,100})</f>
        <v>60</v>
      </c>
      <c r="Q242" s="5">
        <v>4.28</v>
      </c>
      <c r="R242" s="36">
        <f t="shared" si="58"/>
        <v>5.72</v>
      </c>
      <c r="S242" s="29">
        <f>LOOKUP(R242,{0,4.74,4.84,4.94,5.44,5.54,5.64,5.69,5.74,5.79,5.84,5.89,5.94,5.99,6.44,6.49,6.54,6.61,6.68,6.74,6.8},{0,10,20,30,40,50,60,62,64,66,68,70,72,74,76,78,80,85,90,95,100})</f>
        <v>62</v>
      </c>
      <c r="T242" s="27"/>
      <c r="U242" s="27"/>
      <c r="V242" s="27">
        <f t="shared" si="59"/>
        <v>62</v>
      </c>
      <c r="W242" s="27"/>
      <c r="X242" s="19">
        <f t="shared" si="60"/>
        <v>39.1</v>
      </c>
      <c r="Y242" s="13">
        <f t="shared" si="61"/>
        <v>55.8571428571429</v>
      </c>
    </row>
    <row r="243" spans="1:25">
      <c r="A243" s="27">
        <v>306</v>
      </c>
      <c r="B243" s="27">
        <v>34</v>
      </c>
      <c r="C243" s="28" t="s">
        <v>278</v>
      </c>
      <c r="D243" s="28" t="s">
        <v>46</v>
      </c>
      <c r="E243" s="27"/>
      <c r="F243" s="27"/>
      <c r="G243" s="27"/>
      <c r="H243" s="27"/>
      <c r="I243" s="27"/>
      <c r="J243" s="35"/>
      <c r="K243" s="35"/>
      <c r="L243" s="35"/>
      <c r="M243" s="35"/>
      <c r="N243" s="35"/>
      <c r="O243" s="5"/>
      <c r="P243" s="5"/>
      <c r="Q243" s="5"/>
      <c r="R243" s="27"/>
      <c r="S243" s="27"/>
      <c r="T243" s="27"/>
      <c r="U243" s="27"/>
      <c r="V243" s="27"/>
      <c r="W243" s="27">
        <v>50</v>
      </c>
      <c r="X243" s="19"/>
      <c r="Y243" s="19">
        <v>50</v>
      </c>
    </row>
    <row r="244" ht="15.6" spans="1:25">
      <c r="A244" s="27">
        <v>306</v>
      </c>
      <c r="B244" s="27">
        <v>35</v>
      </c>
      <c r="C244" s="28" t="s">
        <v>279</v>
      </c>
      <c r="D244" s="28" t="s">
        <v>46</v>
      </c>
      <c r="E244" s="27">
        <v>28</v>
      </c>
      <c r="F244" s="29">
        <f>LOOKUP(E244,{0,1.5,2.3,3.1,3.9,4.7,5.5,6.8,8.1,9.4,10.7,12,13.3,14.6,15.9,17.2,18.5,20.2,21.9,23.6,25.3},{0,10,20,30,40,50,60,62,64,66,68,70,72,74,76,78,80,85,90,95,100})</f>
        <v>100</v>
      </c>
      <c r="G244" s="27">
        <v>190</v>
      </c>
      <c r="H244" s="29">
        <f>LOOKUP(G244,{0,125,130,135,140,145,150,153,156,159,162,165,168,171,174,177,180,187,194,200,206},{0,10,20,30,40,50,60,62,64,66,68,70,72,74,76,78,80,85,90,95,100})</f>
        <v>85</v>
      </c>
      <c r="I244" s="27">
        <v>62</v>
      </c>
      <c r="J244" s="29">
        <f>LOOKUP(I244,{0,15,17,19,21,23,25,27,29,31,33,35,37,39,41,43,45,48,51,53,55},{0,10,20,30,40,50,60,62,64,66,68,70,72,74,76,78,80,85,90,95,100})</f>
        <v>100</v>
      </c>
      <c r="K244" s="34">
        <f>I244-55</f>
        <v>7</v>
      </c>
      <c r="L244" s="29">
        <f>LOOKUP(K244,{0,2,4,6,7,8,9,10,11,12,13},{0,1,2,3,4,5,6,7,8,9,10})</f>
        <v>4</v>
      </c>
      <c r="M244" s="35">
        <f>J244+L244</f>
        <v>104</v>
      </c>
      <c r="N244" s="35">
        <v>8.2</v>
      </c>
      <c r="O244" s="36">
        <f>18-N244</f>
        <v>9.8</v>
      </c>
      <c r="P244" s="29">
        <f>LOOKUP(O244,{0,6.6,6.8,7,7.2,7.4,7.6,7.8,8,8.2,8.4,8.6,8.8,9,9.2,9.4,9.6,9.9,10.2,10.3,10.4},{0,10,20,30,40,50,60,62,64,66,68,70,72,74,76,78,80,85,90,95,100})</f>
        <v>80</v>
      </c>
      <c r="Q244" s="5">
        <v>3.328</v>
      </c>
      <c r="R244" s="36">
        <f>10-Q244</f>
        <v>6.672</v>
      </c>
      <c r="S244" s="29">
        <f>LOOKUP(R244,{0,4.74,4.84,4.94,5.44,5.54,5.64,5.69,5.74,5.79,5.84,5.89,5.94,5.99,6.44,6.49,6.54,6.61,6.68,6.74,6.8},{0,10,20,30,40,50,60,62,64,66,68,70,72,74,76,78,80,85,90,95,100})</f>
        <v>85</v>
      </c>
      <c r="T244" s="27"/>
      <c r="U244" s="27"/>
      <c r="V244" s="27">
        <f>S244+U244</f>
        <v>85</v>
      </c>
      <c r="W244" s="27"/>
      <c r="X244" s="19">
        <f>F244*0.1+H244*0.1+J244*0.1+P244*0.2+S244*0.2</f>
        <v>61.5</v>
      </c>
      <c r="Y244" s="13">
        <f>X244/0.7+L244+U244</f>
        <v>91.8571428571429</v>
      </c>
    </row>
    <row r="245" ht="15.6" spans="1:25">
      <c r="A245" s="27">
        <v>306</v>
      </c>
      <c r="B245" s="27">
        <v>36</v>
      </c>
      <c r="C245" s="28" t="s">
        <v>280</v>
      </c>
      <c r="D245" s="28" t="s">
        <v>46</v>
      </c>
      <c r="E245" s="27">
        <v>25.5</v>
      </c>
      <c r="F245" s="29">
        <f>LOOKUP(E245,{0,1.5,2.3,3.1,3.9,4.7,5.5,6.8,8.1,9.4,10.7,12,13.3,14.6,15.9,17.2,18.5,20.2,21.9,23.6,25.3},{0,10,20,30,40,50,60,62,64,66,68,70,72,74,76,78,80,85,90,95,100})</f>
        <v>100</v>
      </c>
      <c r="G245" s="27">
        <v>172</v>
      </c>
      <c r="H245" s="29">
        <f>LOOKUP(G245,{0,125,130,135,140,145,150,153,156,159,162,165,168,171,174,177,180,187,194,200,206},{0,10,20,30,40,50,60,62,64,66,68,70,72,74,76,78,80,85,90,95,100})</f>
        <v>74</v>
      </c>
      <c r="I245" s="27">
        <v>56</v>
      </c>
      <c r="J245" s="29">
        <f>LOOKUP(I245,{0,15,17,19,21,23,25,27,29,31,33,35,37,39,41,43,45,48,51,53,55},{0,10,20,30,40,50,60,62,64,66,68,70,72,74,76,78,80,85,90,95,100})</f>
        <v>100</v>
      </c>
      <c r="K245" s="34">
        <f>I245-55</f>
        <v>1</v>
      </c>
      <c r="L245" s="29">
        <f>LOOKUP(K245,{0,2,4,6,7,8,9,10,11,12,13},{0,1,2,3,4,5,6,7,8,9,10})</f>
        <v>0</v>
      </c>
      <c r="M245" s="35">
        <f>J245+L245</f>
        <v>100</v>
      </c>
      <c r="N245" s="35">
        <v>8.7</v>
      </c>
      <c r="O245" s="36">
        <f>18-N245</f>
        <v>9.3</v>
      </c>
      <c r="P245" s="29">
        <f>LOOKUP(O245,{0,6.6,6.8,7,7.2,7.4,7.6,7.8,8,8.2,8.4,8.6,8.8,9,9.2,9.4,9.6,9.9,10.2,10.3,10.4},{0,10,20,30,40,50,60,62,64,66,68,70,72,74,76,78,80,85,90,95,100})</f>
        <v>76</v>
      </c>
      <c r="Q245" s="5">
        <v>3.52</v>
      </c>
      <c r="R245" s="36">
        <f>10-Q245</f>
        <v>6.48</v>
      </c>
      <c r="S245" s="29">
        <f>LOOKUP(R245,{0,4.74,4.84,4.94,5.44,5.54,5.64,5.69,5.74,5.79,5.84,5.89,5.94,5.99,6.44,6.49,6.54,6.61,6.68,6.74,6.8},{0,10,20,30,40,50,60,62,64,66,68,70,72,74,76,78,80,85,90,95,100})</f>
        <v>76</v>
      </c>
      <c r="T245" s="27"/>
      <c r="U245" s="27"/>
      <c r="V245" s="27">
        <f>S245+U245</f>
        <v>76</v>
      </c>
      <c r="W245" s="27"/>
      <c r="X245" s="19">
        <f>F245*0.1+H245*0.1+J245*0.1+P245*0.2+S245*0.2</f>
        <v>57.8</v>
      </c>
      <c r="Y245" s="13">
        <f>X245/0.7+L245+U245</f>
        <v>82.5714285714286</v>
      </c>
    </row>
    <row r="246" ht="15.6" spans="1:25">
      <c r="A246" s="27">
        <v>306</v>
      </c>
      <c r="B246" s="27">
        <v>37</v>
      </c>
      <c r="C246" s="28" t="s">
        <v>281</v>
      </c>
      <c r="D246" s="28" t="s">
        <v>46</v>
      </c>
      <c r="E246" s="27">
        <v>7</v>
      </c>
      <c r="F246" s="29">
        <f>LOOKUP(E246,{0,1.5,2.3,3.1,3.9,4.7,5.5,6.8,8.1,9.4,10.7,12,13.3,14.6,15.9,17.2,18.5,20.2,21.9,23.6,25.3},{0,10,20,30,40,50,60,62,64,66,68,70,72,74,76,78,80,85,90,95,100})</f>
        <v>62</v>
      </c>
      <c r="G246" s="27">
        <v>174</v>
      </c>
      <c r="H246" s="29">
        <f>LOOKUP(G246,{0,125,130,135,140,145,150,153,156,159,162,165,168,171,174,177,180,187,194,200,206},{0,10,20,30,40,50,60,62,64,66,68,70,72,74,76,78,80,85,90,95,100})</f>
        <v>76</v>
      </c>
      <c r="I246" s="27">
        <v>41</v>
      </c>
      <c r="J246" s="29">
        <f>LOOKUP(I246,{0,15,17,19,21,23,25,27,29,31,33,35,37,39,41,43,45,48,51,53,55},{0,10,20,30,40,50,60,62,64,66,68,70,72,74,76,78,80,85,90,95,100})</f>
        <v>76</v>
      </c>
      <c r="K246" s="35"/>
      <c r="L246" s="35"/>
      <c r="M246" s="35">
        <f>J246+L246</f>
        <v>76</v>
      </c>
      <c r="N246" s="35">
        <v>9.7</v>
      </c>
      <c r="O246" s="36">
        <f>18-N246</f>
        <v>8.3</v>
      </c>
      <c r="P246" s="29">
        <f>LOOKUP(O246,{0,6.6,6.8,7,7.2,7.4,7.6,7.8,8,8.2,8.4,8.6,8.8,9,9.2,9.4,9.6,9.9,10.2,10.3,10.4},{0,10,20,30,40,50,60,62,64,66,68,70,72,74,76,78,80,85,90,95,100})</f>
        <v>66</v>
      </c>
      <c r="Q246" s="5">
        <v>4.11</v>
      </c>
      <c r="R246" s="36">
        <f>10-Q246</f>
        <v>5.89</v>
      </c>
      <c r="S246" s="29">
        <f>LOOKUP(R246,{0,4.74,4.84,4.94,5.44,5.54,5.64,5.69,5.74,5.79,5.84,5.89,5.94,5.99,6.44,6.49,6.54,6.61,6.68,6.74,6.8},{0,10,20,30,40,50,60,62,64,66,68,70,72,74,76,78,80,85,90,95,100})</f>
        <v>70</v>
      </c>
      <c r="T246" s="27"/>
      <c r="U246" s="27"/>
      <c r="V246" s="27">
        <f>S246+U246</f>
        <v>70</v>
      </c>
      <c r="W246" s="27"/>
      <c r="X246" s="19">
        <f>F246*0.1+H246*0.1+J246*0.1+P246*0.2+S246*0.2</f>
        <v>48.6</v>
      </c>
      <c r="Y246" s="13">
        <f>X246/0.7+L246+U246</f>
        <v>69.4285714285714</v>
      </c>
    </row>
    <row r="247" ht="15.6" spans="1:25">
      <c r="A247" s="27">
        <v>306</v>
      </c>
      <c r="B247" s="27">
        <v>38</v>
      </c>
      <c r="C247" s="28" t="s">
        <v>282</v>
      </c>
      <c r="D247" s="28" t="s">
        <v>46</v>
      </c>
      <c r="E247" s="27">
        <v>25.5</v>
      </c>
      <c r="F247" s="29">
        <f>LOOKUP(E247,{0,1.5,2.3,3.1,3.9,4.7,5.5,6.8,8.1,9.4,10.7,12,13.3,14.6,15.9,17.2,18.5,20.2,21.9,23.6,25.3},{0,10,20,30,40,50,60,62,64,66,68,70,72,74,76,78,80,85,90,95,100})</f>
        <v>100</v>
      </c>
      <c r="G247" s="27">
        <v>165</v>
      </c>
      <c r="H247" s="29">
        <f>LOOKUP(G247,{0,125,130,135,140,145,150,153,156,159,162,165,168,171,174,177,180,187,194,200,206},{0,10,20,30,40,50,60,62,64,66,68,70,72,74,76,78,80,85,90,95,100})</f>
        <v>70</v>
      </c>
      <c r="I247" s="27">
        <v>42</v>
      </c>
      <c r="J247" s="29">
        <f>LOOKUP(I247,{0,15,17,19,21,23,25,27,29,31,33,35,37,39,41,43,45,48,51,53,55},{0,10,20,30,40,50,60,62,64,66,68,70,72,74,76,78,80,85,90,95,100})</f>
        <v>76</v>
      </c>
      <c r="K247" s="35"/>
      <c r="L247" s="35"/>
      <c r="M247" s="35">
        <f>J247+L247</f>
        <v>76</v>
      </c>
      <c r="N247" s="35">
        <v>9.9</v>
      </c>
      <c r="O247" s="36">
        <f>18-N247</f>
        <v>8.1</v>
      </c>
      <c r="P247" s="29">
        <f>LOOKUP(O247,{0,6.6,6.8,7,7.2,7.4,7.6,7.8,8,8.2,8.4,8.6,8.8,9,9.2,9.4,9.6,9.9,10.2,10.3,10.4},{0,10,20,30,40,50,60,62,64,66,68,70,72,74,76,78,80,85,90,95,100})</f>
        <v>64</v>
      </c>
      <c r="Q247" s="5">
        <v>4.04</v>
      </c>
      <c r="R247" s="36">
        <f>10-Q247</f>
        <v>5.96</v>
      </c>
      <c r="S247" s="29">
        <f>LOOKUP(R247,{0,4.74,4.84,4.94,5.44,5.54,5.64,5.69,5.74,5.79,5.84,5.89,5.94,5.99,6.44,6.49,6.54,6.61,6.68,6.74,6.8},{0,10,20,30,40,50,60,62,64,66,68,70,72,74,76,78,80,85,90,95,100})</f>
        <v>72</v>
      </c>
      <c r="T247" s="27"/>
      <c r="U247" s="27"/>
      <c r="V247" s="27">
        <f>S247+U247</f>
        <v>72</v>
      </c>
      <c r="W247" s="27"/>
      <c r="X247" s="19">
        <f>F247*0.1+H247*0.1+J247*0.1+P247*0.2+S247*0.2</f>
        <v>51.8</v>
      </c>
      <c r="Y247" s="13">
        <f>X247/0.7+L247+U247</f>
        <v>74</v>
      </c>
    </row>
    <row r="248" spans="1:25">
      <c r="A248" s="27">
        <v>306</v>
      </c>
      <c r="B248" s="27">
        <v>39</v>
      </c>
      <c r="C248" s="28" t="s">
        <v>283</v>
      </c>
      <c r="D248" s="28" t="s">
        <v>46</v>
      </c>
      <c r="E248" s="27"/>
      <c r="F248" s="27"/>
      <c r="G248" s="27"/>
      <c r="H248" s="27"/>
      <c r="I248" s="27"/>
      <c r="J248" s="35"/>
      <c r="K248" s="35"/>
      <c r="L248" s="35"/>
      <c r="M248" s="35"/>
      <c r="N248" s="35"/>
      <c r="O248" s="5"/>
      <c r="P248" s="5"/>
      <c r="Q248" s="5"/>
      <c r="R248" s="27"/>
      <c r="S248" s="27"/>
      <c r="T248" s="27"/>
      <c r="U248" s="27"/>
      <c r="V248" s="27"/>
      <c r="W248" s="27">
        <v>50</v>
      </c>
      <c r="X248" s="19"/>
      <c r="Y248" s="19">
        <v>50</v>
      </c>
    </row>
    <row r="249" ht="15.6" spans="1:25">
      <c r="A249" s="27">
        <v>306</v>
      </c>
      <c r="B249" s="27">
        <v>40</v>
      </c>
      <c r="C249" s="28" t="s">
        <v>284</v>
      </c>
      <c r="D249" s="28" t="s">
        <v>46</v>
      </c>
      <c r="E249" s="27">
        <v>13</v>
      </c>
      <c r="F249" s="29">
        <f>LOOKUP(E249,{0,1.5,2.3,3.1,3.9,4.7,5.5,6.8,8.1,9.4,10.7,12,13.3,14.6,15.9,17.2,18.5,20.2,21.9,23.6,25.3},{0,10,20,30,40,50,60,62,64,66,68,70,72,74,76,78,80,85,90,95,100})</f>
        <v>70</v>
      </c>
      <c r="G249" s="27">
        <v>140</v>
      </c>
      <c r="H249" s="29">
        <f>LOOKUP(G249,{0,125,130,135,140,145,150,153,156,159,162,165,168,171,174,177,180,187,194,200,206},{0,10,20,30,40,50,60,62,64,66,68,70,72,74,76,78,80,85,90,95,100})</f>
        <v>40</v>
      </c>
      <c r="I249" s="27">
        <v>34</v>
      </c>
      <c r="J249" s="29">
        <f>LOOKUP(I249,{0,15,17,19,21,23,25,27,29,31,33,35,37,39,41,43,45,48,51,53,55},{0,10,20,30,40,50,60,62,64,66,68,70,72,74,76,78,80,85,90,95,100})</f>
        <v>68</v>
      </c>
      <c r="K249" s="35"/>
      <c r="L249" s="35"/>
      <c r="M249" s="35">
        <f>J249+L249</f>
        <v>68</v>
      </c>
      <c r="N249" s="35">
        <v>9.7</v>
      </c>
      <c r="O249" s="36">
        <f>18-N249</f>
        <v>8.3</v>
      </c>
      <c r="P249" s="29">
        <f>LOOKUP(O249,{0,6.6,6.8,7,7.2,7.4,7.6,7.8,8,8.2,8.4,8.6,8.8,9,9.2,9.4,9.6,9.9,10.2,10.3,10.4},{0,10,20,30,40,50,60,62,64,66,68,70,72,74,76,78,80,85,90,95,100})</f>
        <v>66</v>
      </c>
      <c r="Q249" s="5">
        <v>4.09</v>
      </c>
      <c r="R249" s="36">
        <f>10-Q249</f>
        <v>5.91</v>
      </c>
      <c r="S249" s="29">
        <f>LOOKUP(R249,{0,4.74,4.84,4.94,5.44,5.54,5.64,5.69,5.74,5.79,5.84,5.89,5.94,5.99,6.44,6.49,6.54,6.61,6.68,6.74,6.8},{0,10,20,30,40,50,60,62,64,66,68,70,72,74,76,78,80,85,90,95,100})</f>
        <v>70</v>
      </c>
      <c r="T249" s="27"/>
      <c r="U249" s="27"/>
      <c r="V249" s="27">
        <f>S249+U249</f>
        <v>70</v>
      </c>
      <c r="W249" s="27"/>
      <c r="X249" s="19">
        <f>F249*0.1+H249*0.1+J249*0.1+P249*0.2+S249*0.2</f>
        <v>45</v>
      </c>
      <c r="Y249" s="13">
        <f>X249/0.7+L249+U249</f>
        <v>64.2857142857143</v>
      </c>
    </row>
    <row r="250" spans="1:25">
      <c r="A250" s="27">
        <v>306</v>
      </c>
      <c r="B250" s="27">
        <v>41</v>
      </c>
      <c r="C250" s="28" t="s">
        <v>285</v>
      </c>
      <c r="D250" s="28" t="s">
        <v>46</v>
      </c>
      <c r="E250" s="27"/>
      <c r="F250" s="27"/>
      <c r="G250" s="27"/>
      <c r="H250" s="27"/>
      <c r="I250" s="27"/>
      <c r="J250" s="35"/>
      <c r="K250" s="35"/>
      <c r="L250" s="35"/>
      <c r="M250" s="35"/>
      <c r="N250" s="35"/>
      <c r="O250" s="5"/>
      <c r="P250" s="5"/>
      <c r="Q250" s="5"/>
      <c r="R250" s="27"/>
      <c r="S250" s="27"/>
      <c r="T250" s="27"/>
      <c r="U250" s="27"/>
      <c r="V250" s="27"/>
      <c r="W250" s="27">
        <v>50</v>
      </c>
      <c r="X250" s="19"/>
      <c r="Y250" s="19">
        <v>50</v>
      </c>
    </row>
    <row r="251" ht="15.6" spans="1:25">
      <c r="A251" s="27">
        <v>306</v>
      </c>
      <c r="B251" s="27">
        <v>42</v>
      </c>
      <c r="C251" s="28" t="s">
        <v>286</v>
      </c>
      <c r="D251" s="28" t="s">
        <v>46</v>
      </c>
      <c r="E251" s="27">
        <v>15.5</v>
      </c>
      <c r="F251" s="29">
        <f>LOOKUP(E251,{0,1.5,2.3,3.1,3.9,4.7,5.5,6.8,8.1,9.4,10.7,12,13.3,14.6,15.9,17.2,18.5,20.2,21.9,23.6,25.3},{0,10,20,30,40,50,60,62,64,66,68,70,72,74,76,78,80,85,90,95,100})</f>
        <v>74</v>
      </c>
      <c r="G251" s="27">
        <v>180</v>
      </c>
      <c r="H251" s="29">
        <f>LOOKUP(G251,{0,125,130,135,140,145,150,153,156,159,162,165,168,171,174,177,180,187,194,200,206},{0,10,20,30,40,50,60,62,64,66,68,70,72,74,76,78,80,85,90,95,100})</f>
        <v>80</v>
      </c>
      <c r="I251" s="27">
        <v>42</v>
      </c>
      <c r="J251" s="29">
        <f>LOOKUP(I251,{0,15,17,19,21,23,25,27,29,31,33,35,37,39,41,43,45,48,51,53,55},{0,10,20,30,40,50,60,62,64,66,68,70,72,74,76,78,80,85,90,95,100})</f>
        <v>76</v>
      </c>
      <c r="K251" s="35"/>
      <c r="L251" s="35"/>
      <c r="M251" s="35">
        <f t="shared" ref="M251:M262" si="62">J251+L251</f>
        <v>76</v>
      </c>
      <c r="N251" s="35">
        <v>9.3</v>
      </c>
      <c r="O251" s="36">
        <f t="shared" ref="O251:O262" si="63">18-N251</f>
        <v>8.7</v>
      </c>
      <c r="P251" s="29">
        <f>LOOKUP(O251,{0,6.6,6.8,7,7.2,7.4,7.6,7.8,8,8.2,8.4,8.6,8.8,9,9.2,9.4,9.6,9.9,10.2,10.3,10.4},{0,10,20,30,40,50,60,62,64,66,68,70,72,74,76,78,80,85,90,95,100})</f>
        <v>70</v>
      </c>
      <c r="Q251" s="5">
        <v>3.56</v>
      </c>
      <c r="R251" s="36">
        <f t="shared" ref="R251:R262" si="64">10-Q251</f>
        <v>6.44</v>
      </c>
      <c r="S251" s="29">
        <f>LOOKUP(R251,{0,4.74,4.84,4.94,5.44,5.54,5.64,5.69,5.74,5.79,5.84,5.89,5.94,5.99,6.44,6.49,6.54,6.61,6.68,6.74,6.8},{0,10,20,30,40,50,60,62,64,66,68,70,72,74,76,78,80,85,90,95,100})</f>
        <v>76</v>
      </c>
      <c r="T251" s="27"/>
      <c r="U251" s="27"/>
      <c r="V251" s="27">
        <f t="shared" ref="V251:V262" si="65">S251+U251</f>
        <v>76</v>
      </c>
      <c r="W251" s="27"/>
      <c r="X251" s="19">
        <f t="shared" ref="X251:X262" si="66">F251*0.1+H251*0.1+J251*0.1+P251*0.2+S251*0.2</f>
        <v>52.2</v>
      </c>
      <c r="Y251" s="13">
        <f t="shared" ref="Y251:Y262" si="67">X251/0.7+L251+U251</f>
        <v>74.5714285714286</v>
      </c>
    </row>
    <row r="252" ht="15.6" spans="1:25">
      <c r="A252" s="27">
        <v>306</v>
      </c>
      <c r="B252" s="27">
        <v>43</v>
      </c>
      <c r="C252" s="30" t="s">
        <v>288</v>
      </c>
      <c r="D252" s="28" t="s">
        <v>46</v>
      </c>
      <c r="E252" s="27">
        <v>10.5</v>
      </c>
      <c r="F252" s="29">
        <f>LOOKUP(E252,{0,1.5,2.3,3.1,3.9,4.7,5.5,6.8,8.1,9.4,10.7,12,13.3,14.6,15.9,17.2,18.5,20.2,21.9,23.6,25.3},{0,10,20,30,40,50,60,62,64,66,68,70,72,74,76,78,80,85,90,95,100})</f>
        <v>66</v>
      </c>
      <c r="G252" s="27">
        <v>179</v>
      </c>
      <c r="H252" s="29">
        <f>LOOKUP(G252,{0,125,130,135,140,145,150,153,156,159,162,165,168,171,174,177,180,187,194,200,206},{0,10,20,30,40,50,60,62,64,66,68,70,72,74,76,78,80,85,90,95,100})</f>
        <v>78</v>
      </c>
      <c r="I252" s="27">
        <v>46</v>
      </c>
      <c r="J252" s="29">
        <f>LOOKUP(I252,{0,15,17,19,21,23,25,27,29,31,33,35,37,39,41,43,45,48,51,53,55},{0,10,20,30,40,50,60,62,64,66,68,70,72,74,76,78,80,85,90,95,100})</f>
        <v>80</v>
      </c>
      <c r="K252" s="35"/>
      <c r="L252" s="35"/>
      <c r="M252" s="35">
        <f t="shared" si="62"/>
        <v>80</v>
      </c>
      <c r="N252" s="35">
        <v>9.1</v>
      </c>
      <c r="O252" s="36">
        <f t="shared" si="63"/>
        <v>8.9</v>
      </c>
      <c r="P252" s="29">
        <f>LOOKUP(O252,{0,6.6,6.8,7,7.2,7.4,7.6,7.8,8,8.2,8.4,8.6,8.8,9,9.2,9.4,9.6,9.9,10.2,10.3,10.4},{0,10,20,30,40,50,60,62,64,66,68,70,72,74,76,78,80,85,90,95,100})</f>
        <v>72</v>
      </c>
      <c r="Q252" s="5">
        <v>3.48</v>
      </c>
      <c r="R252" s="36">
        <f t="shared" si="64"/>
        <v>6.52</v>
      </c>
      <c r="S252" s="29">
        <f>LOOKUP(R252,{0,4.74,4.84,4.94,5.44,5.54,5.64,5.69,5.74,5.79,5.84,5.89,5.94,5.99,6.44,6.49,6.54,6.61,6.68,6.74,6.8},{0,10,20,30,40,50,60,62,64,66,68,70,72,74,76,78,80,85,90,95,100})</f>
        <v>78</v>
      </c>
      <c r="T252" s="27"/>
      <c r="U252" s="27"/>
      <c r="V252" s="27">
        <f t="shared" si="65"/>
        <v>78</v>
      </c>
      <c r="W252" s="27"/>
      <c r="X252" s="19">
        <f t="shared" si="66"/>
        <v>52.4</v>
      </c>
      <c r="Y252" s="13">
        <f t="shared" si="67"/>
        <v>74.8571428571429</v>
      </c>
    </row>
    <row r="253" ht="15.6" spans="1:25">
      <c r="A253" s="27">
        <v>306</v>
      </c>
      <c r="B253" s="27">
        <v>44</v>
      </c>
      <c r="C253" s="28" t="s">
        <v>289</v>
      </c>
      <c r="D253" s="28" t="s">
        <v>46</v>
      </c>
      <c r="E253" s="27">
        <v>19.5</v>
      </c>
      <c r="F253" s="29">
        <f>LOOKUP(E253,{0,1.5,2.3,3.1,3.9,4.7,5.5,6.8,8.1,9.4,10.7,12,13.3,14.6,15.9,17.2,18.5,20.2,21.9,23.6,25.3},{0,10,20,30,40,50,60,62,64,66,68,70,72,74,76,78,80,85,90,95,100})</f>
        <v>80</v>
      </c>
      <c r="G253" s="27">
        <v>182</v>
      </c>
      <c r="H253" s="29">
        <f>LOOKUP(G253,{0,125,130,135,140,145,150,153,156,159,162,165,168,171,174,177,180,187,194,200,206},{0,10,20,30,40,50,60,62,64,66,68,70,72,74,76,78,80,85,90,95,100})</f>
        <v>80</v>
      </c>
      <c r="I253" s="27">
        <v>42</v>
      </c>
      <c r="J253" s="29">
        <f>LOOKUP(I253,{0,15,17,19,21,23,25,27,29,31,33,35,37,39,41,43,45,48,51,53,55},{0,10,20,30,40,50,60,62,64,66,68,70,72,74,76,78,80,85,90,95,100})</f>
        <v>76</v>
      </c>
      <c r="K253" s="35"/>
      <c r="L253" s="35"/>
      <c r="M253" s="35">
        <f t="shared" si="62"/>
        <v>76</v>
      </c>
      <c r="N253" s="35">
        <v>8.6</v>
      </c>
      <c r="O253" s="36">
        <f t="shared" si="63"/>
        <v>9.4</v>
      </c>
      <c r="P253" s="29">
        <f>LOOKUP(O253,{0,6.6,6.8,7,7.2,7.4,7.6,7.8,8,8.2,8.4,8.6,8.8,9,9.2,9.4,9.6,9.9,10.2,10.3,10.4},{0,10,20,30,40,50,60,62,64,66,68,70,72,74,76,78,80,85,90,95,100})</f>
        <v>78</v>
      </c>
      <c r="Q253" s="5">
        <v>4.01</v>
      </c>
      <c r="R253" s="36">
        <f t="shared" si="64"/>
        <v>5.99</v>
      </c>
      <c r="S253" s="29">
        <f>LOOKUP(R253,{0,4.74,4.84,4.94,5.44,5.54,5.64,5.69,5.74,5.79,5.84,5.89,5.94,5.99,6.44,6.49,6.54,6.61,6.68,6.74,6.8},{0,10,20,30,40,50,60,62,64,66,68,70,72,74,76,78,80,85,90,95,100})</f>
        <v>74</v>
      </c>
      <c r="T253" s="27"/>
      <c r="U253" s="27"/>
      <c r="V253" s="27">
        <f t="shared" si="65"/>
        <v>74</v>
      </c>
      <c r="W253" s="27"/>
      <c r="X253" s="19">
        <f t="shared" si="66"/>
        <v>54</v>
      </c>
      <c r="Y253" s="13">
        <f t="shared" si="67"/>
        <v>77.1428571428572</v>
      </c>
    </row>
    <row r="254" ht="15.6" spans="1:25">
      <c r="A254" s="27">
        <v>306</v>
      </c>
      <c r="B254" s="27">
        <v>45</v>
      </c>
      <c r="C254" s="28" t="s">
        <v>290</v>
      </c>
      <c r="D254" s="28" t="s">
        <v>46</v>
      </c>
      <c r="E254" s="27">
        <v>25.6</v>
      </c>
      <c r="F254" s="29">
        <f>LOOKUP(E254,{0,1.5,2.3,3.1,3.9,4.7,5.5,6.8,8.1,9.4,10.7,12,13.3,14.6,15.9,17.2,18.5,20.2,21.9,23.6,25.3},{0,10,20,30,40,50,60,62,64,66,68,70,72,74,76,78,80,85,90,95,100})</f>
        <v>100</v>
      </c>
      <c r="G254" s="27">
        <v>205</v>
      </c>
      <c r="H254" s="29">
        <f>LOOKUP(G254,{0,125,130,135,140,145,150,153,156,159,162,165,168,171,174,177,180,187,194,200,206},{0,10,20,30,40,50,60,62,64,66,68,70,72,74,76,78,80,85,90,95,100})</f>
        <v>95</v>
      </c>
      <c r="I254" s="27">
        <v>49</v>
      </c>
      <c r="J254" s="29">
        <f>LOOKUP(I254,{0,15,17,19,21,23,25,27,29,31,33,35,37,39,41,43,45,48,51,53,55},{0,10,20,30,40,50,60,62,64,66,68,70,72,74,76,78,80,85,90,95,100})</f>
        <v>85</v>
      </c>
      <c r="K254" s="35"/>
      <c r="L254" s="35"/>
      <c r="M254" s="35">
        <f t="shared" si="62"/>
        <v>85</v>
      </c>
      <c r="N254" s="35">
        <v>8.1</v>
      </c>
      <c r="O254" s="36">
        <f t="shared" si="63"/>
        <v>9.9</v>
      </c>
      <c r="P254" s="29">
        <f>LOOKUP(O254,{0,6.6,6.8,7,7.2,7.4,7.6,7.8,8,8.2,8.4,8.6,8.8,9,9.2,9.4,9.6,9.9,10.2,10.3,10.4},{0,10,20,30,40,50,60,62,64,66,68,70,72,74,76,78,80,85,90,95,100})</f>
        <v>85</v>
      </c>
      <c r="Q254" s="5">
        <v>3.52</v>
      </c>
      <c r="R254" s="36">
        <f t="shared" si="64"/>
        <v>6.48</v>
      </c>
      <c r="S254" s="29">
        <f>LOOKUP(R254,{0,4.74,4.84,4.94,5.44,5.54,5.64,5.69,5.74,5.79,5.84,5.89,5.94,5.99,6.44,6.49,6.54,6.61,6.68,6.74,6.8},{0,10,20,30,40,50,60,62,64,66,68,70,72,74,76,78,80,85,90,95,100})</f>
        <v>76</v>
      </c>
      <c r="T254" s="27"/>
      <c r="U254" s="27"/>
      <c r="V254" s="27">
        <f t="shared" si="65"/>
        <v>76</v>
      </c>
      <c r="W254" s="27"/>
      <c r="X254" s="19">
        <f t="shared" si="66"/>
        <v>60.2</v>
      </c>
      <c r="Y254" s="13">
        <f t="shared" si="67"/>
        <v>86</v>
      </c>
    </row>
    <row r="255" ht="15.6" spans="1:25">
      <c r="A255" s="27">
        <v>306</v>
      </c>
      <c r="B255" s="27">
        <v>46</v>
      </c>
      <c r="C255" s="28" t="s">
        <v>291</v>
      </c>
      <c r="D255" s="28" t="s">
        <v>46</v>
      </c>
      <c r="E255" s="27">
        <v>12.5</v>
      </c>
      <c r="F255" s="29">
        <f>LOOKUP(E255,{0,1.5,2.3,3.1,3.9,4.7,5.5,6.8,8.1,9.4,10.7,12,13.3,14.6,15.9,17.2,18.5,20.2,21.9,23.6,25.3},{0,10,20,30,40,50,60,62,64,66,68,70,72,74,76,78,80,85,90,95,100})</f>
        <v>70</v>
      </c>
      <c r="G255" s="27">
        <v>173</v>
      </c>
      <c r="H255" s="29">
        <f>LOOKUP(G255,{0,125,130,135,140,145,150,153,156,159,162,165,168,171,174,177,180,187,194,200,206},{0,10,20,30,40,50,60,62,64,66,68,70,72,74,76,78,80,85,90,95,100})</f>
        <v>74</v>
      </c>
      <c r="I255" s="27">
        <v>43</v>
      </c>
      <c r="J255" s="29">
        <f>LOOKUP(I255,{0,15,17,19,21,23,25,27,29,31,33,35,37,39,41,43,45,48,51,53,55},{0,10,20,30,40,50,60,62,64,66,68,70,72,74,76,78,80,85,90,95,100})</f>
        <v>78</v>
      </c>
      <c r="K255" s="35"/>
      <c r="L255" s="35"/>
      <c r="M255" s="35">
        <f t="shared" si="62"/>
        <v>78</v>
      </c>
      <c r="N255" s="35">
        <v>9.1</v>
      </c>
      <c r="O255" s="36">
        <f t="shared" si="63"/>
        <v>8.9</v>
      </c>
      <c r="P255" s="29">
        <f>LOOKUP(O255,{0,6.6,6.8,7,7.2,7.4,7.6,7.8,8,8.2,8.4,8.6,8.8,9,9.2,9.4,9.6,9.9,10.2,10.3,10.4},{0,10,20,30,40,50,60,62,64,66,68,70,72,74,76,78,80,85,90,95,100})</f>
        <v>72</v>
      </c>
      <c r="Q255" s="5">
        <v>4.23</v>
      </c>
      <c r="R255" s="36">
        <f t="shared" si="64"/>
        <v>5.77</v>
      </c>
      <c r="S255" s="29">
        <f>LOOKUP(R255,{0,4.74,4.84,4.94,5.44,5.54,5.64,5.69,5.74,5.79,5.84,5.89,5.94,5.99,6.44,6.49,6.54,6.61,6.68,6.74,6.8},{0,10,20,30,40,50,60,62,64,66,68,70,72,74,76,78,80,85,90,95,100})</f>
        <v>64</v>
      </c>
      <c r="T255" s="27"/>
      <c r="U255" s="27"/>
      <c r="V255" s="27">
        <f t="shared" si="65"/>
        <v>64</v>
      </c>
      <c r="W255" s="27"/>
      <c r="X255" s="19">
        <f t="shared" si="66"/>
        <v>49.4</v>
      </c>
      <c r="Y255" s="13">
        <f t="shared" si="67"/>
        <v>70.5714285714286</v>
      </c>
    </row>
    <row r="256" ht="15.6" spans="1:25">
      <c r="A256" s="27">
        <v>306</v>
      </c>
      <c r="B256" s="27">
        <v>47</v>
      </c>
      <c r="C256" s="28" t="s">
        <v>292</v>
      </c>
      <c r="D256" s="28" t="s">
        <v>46</v>
      </c>
      <c r="E256" s="27">
        <v>10</v>
      </c>
      <c r="F256" s="29">
        <f>LOOKUP(E256,{0,1.5,2.3,3.1,3.9,4.7,5.5,6.8,8.1,9.4,10.7,12,13.3,14.6,15.9,17.2,18.5,20.2,21.9,23.6,25.3},{0,10,20,30,40,50,60,62,64,66,68,70,72,74,76,78,80,85,90,95,100})</f>
        <v>66</v>
      </c>
      <c r="G256" s="27">
        <v>163</v>
      </c>
      <c r="H256" s="29">
        <f>LOOKUP(G256,{0,125,130,135,140,145,150,153,156,159,162,165,168,171,174,177,180,187,194,200,206},{0,10,20,30,40,50,60,62,64,66,68,70,72,74,76,78,80,85,90,95,100})</f>
        <v>68</v>
      </c>
      <c r="I256" s="27">
        <v>41</v>
      </c>
      <c r="J256" s="29">
        <f>LOOKUP(I256,{0,15,17,19,21,23,25,27,29,31,33,35,37,39,41,43,45,48,51,53,55},{0,10,20,30,40,50,60,62,64,66,68,70,72,74,76,78,80,85,90,95,100})</f>
        <v>76</v>
      </c>
      <c r="K256" s="35"/>
      <c r="L256" s="35"/>
      <c r="M256" s="35">
        <f t="shared" si="62"/>
        <v>76</v>
      </c>
      <c r="N256" s="35">
        <v>9.6</v>
      </c>
      <c r="O256" s="36">
        <f t="shared" si="63"/>
        <v>8.4</v>
      </c>
      <c r="P256" s="29">
        <f>LOOKUP(O256,{0,6.6,6.8,7,7.2,7.4,7.6,7.8,8,8.2,8.4,8.6,8.8,9,9.2,9.4,9.6,9.9,10.2,10.3,10.4},{0,10,20,30,40,50,60,62,64,66,68,70,72,74,76,78,80,85,90,95,100})</f>
        <v>68</v>
      </c>
      <c r="Q256" s="5">
        <v>4.05</v>
      </c>
      <c r="R256" s="36">
        <f t="shared" si="64"/>
        <v>5.95</v>
      </c>
      <c r="S256" s="29">
        <f>LOOKUP(R256,{0,4.74,4.84,4.94,5.44,5.54,5.64,5.69,5.74,5.79,5.84,5.89,5.94,5.99,6.44,6.49,6.54,6.61,6.68,6.74,6.8},{0,10,20,30,40,50,60,62,64,66,68,70,72,74,76,78,80,85,90,95,100})</f>
        <v>72</v>
      </c>
      <c r="T256" s="27"/>
      <c r="U256" s="27"/>
      <c r="V256" s="27">
        <f t="shared" si="65"/>
        <v>72</v>
      </c>
      <c r="W256" s="27"/>
      <c r="X256" s="19">
        <f t="shared" si="66"/>
        <v>49</v>
      </c>
      <c r="Y256" s="13">
        <f t="shared" si="67"/>
        <v>70</v>
      </c>
    </row>
    <row r="257" ht="15.6" spans="1:25">
      <c r="A257" s="27">
        <v>306</v>
      </c>
      <c r="B257" s="27">
        <v>48</v>
      </c>
      <c r="C257" s="28" t="s">
        <v>293</v>
      </c>
      <c r="D257" s="28" t="s">
        <v>46</v>
      </c>
      <c r="E257" s="27">
        <v>12</v>
      </c>
      <c r="F257" s="29">
        <f>LOOKUP(E257,{0,1.5,2.3,3.1,3.9,4.7,5.5,6.8,8.1,9.4,10.7,12,13.3,14.6,15.9,17.2,18.5,20.2,21.9,23.6,25.3},{0,10,20,30,40,50,60,62,64,66,68,70,72,74,76,78,80,85,90,95,100})</f>
        <v>70</v>
      </c>
      <c r="G257" s="27">
        <v>195</v>
      </c>
      <c r="H257" s="29">
        <f>LOOKUP(G257,{0,125,130,135,140,145,150,153,156,159,162,165,168,171,174,177,180,187,194,200,206},{0,10,20,30,40,50,60,62,64,66,68,70,72,74,76,78,80,85,90,95,100})</f>
        <v>90</v>
      </c>
      <c r="I257" s="27">
        <v>46</v>
      </c>
      <c r="J257" s="29">
        <f>LOOKUP(I257,{0,15,17,19,21,23,25,27,29,31,33,35,37,39,41,43,45,48,51,53,55},{0,10,20,30,40,50,60,62,64,66,68,70,72,74,76,78,80,85,90,95,100})</f>
        <v>80</v>
      </c>
      <c r="K257" s="35"/>
      <c r="L257" s="35"/>
      <c r="M257" s="35">
        <f t="shared" si="62"/>
        <v>80</v>
      </c>
      <c r="N257" s="35">
        <v>8.9</v>
      </c>
      <c r="O257" s="36">
        <f t="shared" si="63"/>
        <v>9.1</v>
      </c>
      <c r="P257" s="29">
        <f>LOOKUP(O257,{0,6.6,6.8,7,7.2,7.4,7.6,7.8,8,8.2,8.4,8.6,8.8,9,9.2,9.4,9.6,9.9,10.2,10.3,10.4},{0,10,20,30,40,50,60,62,64,66,68,70,72,74,76,78,80,85,90,95,100})</f>
        <v>74</v>
      </c>
      <c r="Q257" s="5">
        <v>3.45</v>
      </c>
      <c r="R257" s="36">
        <f t="shared" si="64"/>
        <v>6.55</v>
      </c>
      <c r="S257" s="29">
        <f>LOOKUP(R257,{0,4.74,4.84,4.94,5.44,5.54,5.64,5.69,5.74,5.79,5.84,5.89,5.94,5.99,6.44,6.49,6.54,6.61,6.68,6.74,6.8},{0,10,20,30,40,50,60,62,64,66,68,70,72,74,76,78,80,85,90,95,100})</f>
        <v>80</v>
      </c>
      <c r="T257" s="27"/>
      <c r="U257" s="27"/>
      <c r="V257" s="27">
        <f t="shared" si="65"/>
        <v>80</v>
      </c>
      <c r="W257" s="27"/>
      <c r="X257" s="19">
        <f t="shared" si="66"/>
        <v>54.8</v>
      </c>
      <c r="Y257" s="13">
        <f t="shared" si="67"/>
        <v>78.2857142857143</v>
      </c>
    </row>
    <row r="258" ht="15.6" spans="1:25">
      <c r="A258" s="27">
        <v>306</v>
      </c>
      <c r="B258" s="27">
        <v>49</v>
      </c>
      <c r="C258" s="28" t="s">
        <v>294</v>
      </c>
      <c r="D258" s="28" t="s">
        <v>46</v>
      </c>
      <c r="E258" s="27">
        <v>25</v>
      </c>
      <c r="F258" s="29">
        <f>LOOKUP(E258,{0,1.5,2.3,3.1,3.9,4.7,5.5,6.8,8.1,9.4,10.7,12,13.3,14.6,15.9,17.2,18.5,20.2,21.9,23.6,25.3},{0,10,20,30,40,50,60,62,64,66,68,70,72,74,76,78,80,85,90,95,100})</f>
        <v>95</v>
      </c>
      <c r="G258" s="27">
        <v>173</v>
      </c>
      <c r="H258" s="29">
        <f>LOOKUP(G258,{0,125,130,135,140,145,150,153,156,159,162,165,168,171,174,177,180,187,194,200,206},{0,10,20,30,40,50,60,62,64,66,68,70,72,74,76,78,80,85,90,95,100})</f>
        <v>74</v>
      </c>
      <c r="I258" s="27">
        <v>50</v>
      </c>
      <c r="J258" s="29">
        <f>LOOKUP(I258,{0,15,17,19,21,23,25,27,29,31,33,35,37,39,41,43,45,48,51,53,55},{0,10,20,30,40,50,60,62,64,66,68,70,72,74,76,78,80,85,90,95,100})</f>
        <v>85</v>
      </c>
      <c r="K258" s="35"/>
      <c r="L258" s="35"/>
      <c r="M258" s="35">
        <f t="shared" si="62"/>
        <v>85</v>
      </c>
      <c r="N258" s="35">
        <v>9.2</v>
      </c>
      <c r="O258" s="36">
        <f t="shared" si="63"/>
        <v>8.8</v>
      </c>
      <c r="P258" s="29">
        <f>LOOKUP(O258,{0,6.6,6.8,7,7.2,7.4,7.6,7.8,8,8.2,8.4,8.6,8.8,9,9.2,9.4,9.6,9.9,10.2,10.3,10.4},{0,10,20,30,40,50,60,62,64,66,68,70,72,74,76,78,80,85,90,95,100})</f>
        <v>72</v>
      </c>
      <c r="Q258" s="5">
        <v>3.58</v>
      </c>
      <c r="R258" s="36">
        <f t="shared" si="64"/>
        <v>6.42</v>
      </c>
      <c r="S258" s="29">
        <f>LOOKUP(R258,{0,4.74,4.84,4.94,5.44,5.54,5.64,5.69,5.74,5.79,5.84,5.89,5.94,5.99,6.44,6.49,6.54,6.61,6.68,6.74,6.8},{0,10,20,30,40,50,60,62,64,66,68,70,72,74,76,78,80,85,90,95,100})</f>
        <v>74</v>
      </c>
      <c r="T258" s="27"/>
      <c r="U258" s="27"/>
      <c r="V258" s="27">
        <f t="shared" si="65"/>
        <v>74</v>
      </c>
      <c r="W258" s="27"/>
      <c r="X258" s="19">
        <f t="shared" si="66"/>
        <v>54.6</v>
      </c>
      <c r="Y258" s="13">
        <f t="shared" si="67"/>
        <v>78</v>
      </c>
    </row>
    <row r="259" ht="15.6" spans="1:25">
      <c r="A259" s="27">
        <v>306</v>
      </c>
      <c r="B259" s="27">
        <v>50</v>
      </c>
      <c r="C259" s="28" t="s">
        <v>295</v>
      </c>
      <c r="D259" s="28" t="s">
        <v>46</v>
      </c>
      <c r="E259" s="27">
        <v>17</v>
      </c>
      <c r="F259" s="29">
        <f>LOOKUP(E259,{0,1.5,2.3,3.1,3.9,4.7,5.5,6.8,8.1,9.4,10.7,12,13.3,14.6,15.9,17.2,18.5,20.2,21.9,23.6,25.3},{0,10,20,30,40,50,60,62,64,66,68,70,72,74,76,78,80,85,90,95,100})</f>
        <v>76</v>
      </c>
      <c r="G259" s="27">
        <v>130</v>
      </c>
      <c r="H259" s="29">
        <f>LOOKUP(G259,{0,125,130,135,140,145,150,153,156,159,162,165,168,171,174,177,180,187,194,200,206},{0,10,20,30,40,50,60,62,64,66,68,70,72,74,76,78,80,85,90,95,100})</f>
        <v>20</v>
      </c>
      <c r="I259" s="27">
        <v>45</v>
      </c>
      <c r="J259" s="29">
        <f>LOOKUP(I259,{0,15,17,19,21,23,25,27,29,31,33,35,37,39,41,43,45,48,51,53,55},{0,10,20,30,40,50,60,62,64,66,68,70,72,74,76,78,80,85,90,95,100})</f>
        <v>80</v>
      </c>
      <c r="K259" s="35"/>
      <c r="L259" s="35"/>
      <c r="M259" s="35">
        <f t="shared" si="62"/>
        <v>80</v>
      </c>
      <c r="N259" s="35">
        <v>9.8</v>
      </c>
      <c r="O259" s="36">
        <f t="shared" si="63"/>
        <v>8.2</v>
      </c>
      <c r="P259" s="29">
        <f>LOOKUP(O259,{0,6.6,6.8,7,7.2,7.4,7.6,7.8,8,8.2,8.4,8.6,8.8,9,9.2,9.4,9.6,9.9,10.2,10.3,10.4},{0,10,20,30,40,50,60,62,64,66,68,70,72,74,76,78,80,85,90,95,100})</f>
        <v>66</v>
      </c>
      <c r="Q259" s="5">
        <v>4.13</v>
      </c>
      <c r="R259" s="36">
        <f t="shared" si="64"/>
        <v>5.87</v>
      </c>
      <c r="S259" s="29">
        <f>LOOKUP(R259,{0,4.74,4.84,4.94,5.44,5.54,5.64,5.69,5.74,5.79,5.84,5.89,5.94,5.99,6.44,6.49,6.54,6.61,6.68,6.74,6.8},{0,10,20,30,40,50,60,62,64,66,68,70,72,74,76,78,80,85,90,95,100})</f>
        <v>68</v>
      </c>
      <c r="T259" s="27"/>
      <c r="U259" s="27"/>
      <c r="V259" s="27">
        <f t="shared" si="65"/>
        <v>68</v>
      </c>
      <c r="W259" s="27"/>
      <c r="X259" s="19">
        <f t="shared" si="66"/>
        <v>44.4</v>
      </c>
      <c r="Y259" s="13">
        <f t="shared" si="67"/>
        <v>63.4285714285714</v>
      </c>
    </row>
    <row r="260" ht="15.6" spans="1:25">
      <c r="A260" s="27">
        <v>306</v>
      </c>
      <c r="B260" s="27">
        <v>51</v>
      </c>
      <c r="C260" s="28" t="s">
        <v>296</v>
      </c>
      <c r="D260" s="28" t="s">
        <v>46</v>
      </c>
      <c r="E260" s="27">
        <v>15</v>
      </c>
      <c r="F260" s="29">
        <f>LOOKUP(E260,{0,1.5,2.3,3.1,3.9,4.7,5.5,6.8,8.1,9.4,10.7,12,13.3,14.6,15.9,17.2,18.5,20.2,21.9,23.6,25.3},{0,10,20,30,40,50,60,62,64,66,68,70,72,74,76,78,80,85,90,95,100})</f>
        <v>74</v>
      </c>
      <c r="G260" s="27">
        <v>163</v>
      </c>
      <c r="H260" s="29">
        <f>LOOKUP(G260,{0,125,130,135,140,145,150,153,156,159,162,165,168,171,174,177,180,187,194,200,206},{0,10,20,30,40,50,60,62,64,66,68,70,72,74,76,78,80,85,90,95,100})</f>
        <v>68</v>
      </c>
      <c r="I260" s="27">
        <v>38</v>
      </c>
      <c r="J260" s="29">
        <f>LOOKUP(I260,{0,15,17,19,21,23,25,27,29,31,33,35,37,39,41,43,45,48,51,53,55},{0,10,20,30,40,50,60,62,64,66,68,70,72,74,76,78,80,85,90,95,100})</f>
        <v>72</v>
      </c>
      <c r="K260" s="35"/>
      <c r="L260" s="35"/>
      <c r="M260" s="35">
        <f t="shared" si="62"/>
        <v>72</v>
      </c>
      <c r="N260" s="35">
        <v>9.8</v>
      </c>
      <c r="O260" s="36">
        <f t="shared" si="63"/>
        <v>8.2</v>
      </c>
      <c r="P260" s="29">
        <f>LOOKUP(O260,{0,6.6,6.8,7,7.2,7.4,7.6,7.8,8,8.2,8.4,8.6,8.8,9,9.2,9.4,9.6,9.9,10.2,10.3,10.4},{0,10,20,30,40,50,60,62,64,66,68,70,72,74,76,78,80,85,90,95,100})</f>
        <v>66</v>
      </c>
      <c r="Q260" s="5">
        <v>4.32</v>
      </c>
      <c r="R260" s="36">
        <f t="shared" si="64"/>
        <v>5.68</v>
      </c>
      <c r="S260" s="29">
        <f>LOOKUP(R260,{0,4.74,4.84,4.94,5.44,5.54,5.64,5.69,5.74,5.79,5.84,5.89,5.94,5.99,6.44,6.49,6.54,6.61,6.68,6.74,6.8},{0,10,20,30,40,50,60,62,64,66,68,70,72,74,76,78,80,85,90,95,100})</f>
        <v>60</v>
      </c>
      <c r="T260" s="27"/>
      <c r="U260" s="27"/>
      <c r="V260" s="27">
        <f t="shared" si="65"/>
        <v>60</v>
      </c>
      <c r="W260" s="27"/>
      <c r="X260" s="19">
        <f t="shared" si="66"/>
        <v>46.6</v>
      </c>
      <c r="Y260" s="13">
        <f t="shared" si="67"/>
        <v>66.5714285714286</v>
      </c>
    </row>
    <row r="261" ht="15.6" spans="1:25">
      <c r="A261" s="27">
        <v>306</v>
      </c>
      <c r="B261" s="27">
        <v>52</v>
      </c>
      <c r="C261" s="28" t="s">
        <v>297</v>
      </c>
      <c r="D261" s="28" t="s">
        <v>46</v>
      </c>
      <c r="E261" s="27">
        <v>14</v>
      </c>
      <c r="F261" s="29">
        <f>LOOKUP(E261,{0,1.5,2.3,3.1,3.9,4.7,5.5,6.8,8.1,9.4,10.7,12,13.3,14.6,15.9,17.2,18.5,20.2,21.9,23.6,25.3},{0,10,20,30,40,50,60,62,64,66,68,70,72,74,76,78,80,85,90,95,100})</f>
        <v>72</v>
      </c>
      <c r="G261" s="27">
        <v>205</v>
      </c>
      <c r="H261" s="29">
        <f>LOOKUP(G261,{0,125,130,135,140,145,150,153,156,159,162,165,168,171,174,177,180,187,194,200,206},{0,10,20,30,40,50,60,62,64,66,68,70,72,74,76,78,80,85,90,95,100})</f>
        <v>95</v>
      </c>
      <c r="I261" s="27">
        <v>35</v>
      </c>
      <c r="J261" s="29">
        <f>LOOKUP(I261,{0,15,17,19,21,23,25,27,29,31,33,35,37,39,41,43,45,48,51,53,55},{0,10,20,30,40,50,60,62,64,66,68,70,72,74,76,78,80,85,90,95,100})</f>
        <v>70</v>
      </c>
      <c r="K261" s="35"/>
      <c r="L261" s="35"/>
      <c r="M261" s="35">
        <f t="shared" si="62"/>
        <v>70</v>
      </c>
      <c r="N261" s="35">
        <v>8.1</v>
      </c>
      <c r="O261" s="36">
        <f t="shared" si="63"/>
        <v>9.9</v>
      </c>
      <c r="P261" s="29">
        <f>LOOKUP(O261,{0,6.6,6.8,7,7.2,7.4,7.6,7.8,8,8.2,8.4,8.6,8.8,9,9.2,9.4,9.6,9.9,10.2,10.3,10.4},{0,10,20,30,40,50,60,62,64,66,68,70,72,74,76,78,80,85,90,95,100})</f>
        <v>85</v>
      </c>
      <c r="Q261" s="5">
        <v>3.36</v>
      </c>
      <c r="R261" s="36">
        <f t="shared" si="64"/>
        <v>6.64</v>
      </c>
      <c r="S261" s="29">
        <f>LOOKUP(R261,{0,4.74,4.84,4.94,5.44,5.54,5.64,5.69,5.74,5.79,5.84,5.89,5.94,5.99,6.44,6.49,6.54,6.61,6.68,6.74,6.8},{0,10,20,30,40,50,60,62,64,66,68,70,72,74,76,78,80,85,90,95,100})</f>
        <v>85</v>
      </c>
      <c r="T261" s="27"/>
      <c r="U261" s="27"/>
      <c r="V261" s="27">
        <f t="shared" si="65"/>
        <v>85</v>
      </c>
      <c r="W261" s="27"/>
      <c r="X261" s="19">
        <f t="shared" si="66"/>
        <v>57.7</v>
      </c>
      <c r="Y261" s="13">
        <f t="shared" si="67"/>
        <v>82.4285714285714</v>
      </c>
    </row>
    <row r="262" ht="15.6" spans="1:25">
      <c r="A262" s="27">
        <v>307</v>
      </c>
      <c r="B262" s="27">
        <v>1</v>
      </c>
      <c r="C262" s="30" t="s">
        <v>299</v>
      </c>
      <c r="D262" s="28" t="s">
        <v>12</v>
      </c>
      <c r="E262" s="27">
        <v>17.5</v>
      </c>
      <c r="F262" s="29">
        <f>LOOKUP(E262,{0,-1.8,-0.8,0.2,1.2,2.2,3.2,4.6,6,7.4,8.8,10.2,11.6,13,14.4,15.8,17.2,19.1,21,22.8,24.6},{0,10,20,30,40,50,60,62,64,66,68,70,72,74,76,78,80,85,90,95,100})</f>
        <v>80</v>
      </c>
      <c r="G262" s="27">
        <v>245</v>
      </c>
      <c r="H262" s="29">
        <f>LOOKUP(G262,{0,180,185,190,195,200,205,209,213,217,221,225,229,233,237,241,245,253,260,265,270},{0,10,20,30,40,50,60,62,64,66,68,70,72,74,76,78,80,85,90,95,100})</f>
        <v>80</v>
      </c>
      <c r="I262" s="27">
        <v>4</v>
      </c>
      <c r="J262" s="29">
        <f>LOOKUP(I262,{0,4,5,6,7,8,9,10,11,12,13,14,15,16,17,18},{0,10,20,30,40,50,60,64,68,72,76,80,85,90,95,100})</f>
        <v>10</v>
      </c>
      <c r="K262" s="44"/>
      <c r="L262" s="35"/>
      <c r="M262" s="35">
        <f t="shared" si="62"/>
        <v>10</v>
      </c>
      <c r="N262" s="35">
        <v>6.7</v>
      </c>
      <c r="O262" s="36">
        <f t="shared" si="63"/>
        <v>11.3</v>
      </c>
      <c r="P262" s="29">
        <f>LOOKUP(O262,{0,7.8,8,8.2,8.4,8.6,8.8,9,9.2,9.4,9.6,9.8,10,10.2,10.4,10.6,10.8,10.9,11,11.1,11.2},{0,10,20,30,40,50,60,62,64,66,68,70,72,74,76,78,80,85,90,95,100})</f>
        <v>100</v>
      </c>
      <c r="Q262" s="5">
        <v>3.12</v>
      </c>
      <c r="R262" s="36">
        <f t="shared" si="64"/>
        <v>6.88</v>
      </c>
      <c r="S262" s="29">
        <f>LOOKUP(R262,{0,3.85,4.45,4.65,4.85,5.45,5.65,5.7,5.75,5.8,5.85,5.9,5.95,6,6.45,6.5,6.55,6.63,6.7,6.75,6.8},{0,10,20,30,40,50,60,62,64,66,68,70,72,74,76,78,80,85,90,95,100})</f>
        <v>100</v>
      </c>
      <c r="T262" s="27">
        <f>3.2-Q262</f>
        <v>0.0800000000000001</v>
      </c>
      <c r="U262" s="29">
        <f>LOOKUP(T262,{0,0.04,0.08,0.12,0.16,0.2,0.23,0.26,0.29,0.32,0.35},{0,1,2,3,4,5,6,7,8,9,10})</f>
        <v>2</v>
      </c>
      <c r="V262" s="27">
        <f t="shared" si="65"/>
        <v>102</v>
      </c>
      <c r="W262" s="27"/>
      <c r="X262" s="19">
        <f t="shared" si="66"/>
        <v>57</v>
      </c>
      <c r="Y262" s="13">
        <f t="shared" si="67"/>
        <v>83.4285714285714</v>
      </c>
    </row>
    <row r="263" ht="15.6" spans="1:25">
      <c r="A263" s="27">
        <v>307</v>
      </c>
      <c r="B263" s="27">
        <v>2</v>
      </c>
      <c r="C263" s="28" t="s">
        <v>300</v>
      </c>
      <c r="D263" s="28" t="s">
        <v>12</v>
      </c>
      <c r="E263" s="27"/>
      <c r="F263" s="29"/>
      <c r="G263" s="27"/>
      <c r="H263" s="29"/>
      <c r="I263" s="27"/>
      <c r="J263" s="35"/>
      <c r="K263" s="44"/>
      <c r="L263" s="35"/>
      <c r="M263" s="35"/>
      <c r="N263" s="35"/>
      <c r="O263" s="5"/>
      <c r="P263" s="5"/>
      <c r="Q263" s="5"/>
      <c r="R263" s="27"/>
      <c r="S263" s="27"/>
      <c r="T263" s="27"/>
      <c r="U263" s="27"/>
      <c r="V263" s="27"/>
      <c r="W263" s="27">
        <v>50</v>
      </c>
      <c r="X263" s="19"/>
      <c r="Y263" s="19">
        <v>50</v>
      </c>
    </row>
    <row r="264" ht="15.6" spans="1:25">
      <c r="A264" s="27">
        <v>307</v>
      </c>
      <c r="B264" s="27">
        <v>3</v>
      </c>
      <c r="C264" s="28" t="s">
        <v>301</v>
      </c>
      <c r="D264" s="28" t="s">
        <v>12</v>
      </c>
      <c r="E264" s="27">
        <v>14</v>
      </c>
      <c r="F264" s="29">
        <f>LOOKUP(E264,{0,-1.8,-0.8,0.2,1.2,2.2,3.2,4.6,6,7.4,8.8,10.2,11.6,13,14.4,15.8,17.2,19.1,21,22.8,24.6},{0,10,20,30,40,50,60,62,64,66,68,70,72,74,76,78,80,85,90,95,100})</f>
        <v>74</v>
      </c>
      <c r="G264" s="27">
        <v>282</v>
      </c>
      <c r="H264" s="29">
        <f>LOOKUP(G264,{0,180,185,190,195,200,205,209,213,217,221,225,229,233,237,241,245,253,260,265,270},{0,10,20,30,40,50,60,62,64,66,68,70,72,74,76,78,80,85,90,95,100})</f>
        <v>100</v>
      </c>
      <c r="I264" s="27">
        <v>9</v>
      </c>
      <c r="J264" s="29">
        <f>LOOKUP(I264,{0,4,5,6,7,8,9,10,11,12,13,14,15,16,17,18},{0,10,20,30,40,50,60,64,68,72,76,80,85,90,95,100})</f>
        <v>60</v>
      </c>
      <c r="K264" s="44"/>
      <c r="L264" s="35"/>
      <c r="M264" s="35">
        <f t="shared" ref="M264:M285" si="68">J264+L264</f>
        <v>60</v>
      </c>
      <c r="N264" s="35">
        <v>6.8</v>
      </c>
      <c r="O264" s="36">
        <f t="shared" ref="O264:O285" si="69">18-N264</f>
        <v>11.2</v>
      </c>
      <c r="P264" s="29">
        <f>LOOKUP(O264,{0,7.8,8,8.2,8.4,8.6,8.8,9,9.2,9.4,9.6,9.8,10,10.2,10.4,10.6,10.8,10.9,11,11.1,11.2},{0,10,20,30,40,50,60,62,64,66,68,70,72,74,76,78,80,85,90,95,100})</f>
        <v>100</v>
      </c>
      <c r="Q264" s="5">
        <v>4.26</v>
      </c>
      <c r="R264" s="36">
        <f t="shared" ref="R264:R285" si="70">10-Q264</f>
        <v>5.74</v>
      </c>
      <c r="S264" s="29">
        <f>LOOKUP(R264,{0,3.85,4.45,4.65,4.85,5.45,5.65,5.7,5.75,5.8,5.85,5.9,5.95,6,6.45,6.5,6.55,6.63,6.7,6.75,6.8},{0,10,20,30,40,50,60,62,64,66,68,70,72,74,76,78,80,85,90,95,100})</f>
        <v>62</v>
      </c>
      <c r="T264" s="27"/>
      <c r="U264" s="27"/>
      <c r="V264" s="27">
        <f t="shared" ref="V264:V285" si="71">S264+U264</f>
        <v>62</v>
      </c>
      <c r="W264" s="27"/>
      <c r="X264" s="19">
        <f t="shared" ref="X264:X285" si="72">F264*0.1+H264*0.1+J264*0.1+P264*0.2+S264*0.2</f>
        <v>55.8</v>
      </c>
      <c r="Y264" s="13">
        <f t="shared" ref="Y264:Y285" si="73">X264/0.7+L264+U264</f>
        <v>79.7142857142857</v>
      </c>
    </row>
    <row r="265" ht="15.6" spans="1:25">
      <c r="A265" s="27">
        <v>307</v>
      </c>
      <c r="B265" s="27">
        <v>4</v>
      </c>
      <c r="C265" s="28" t="s">
        <v>302</v>
      </c>
      <c r="D265" s="28" t="s">
        <v>12</v>
      </c>
      <c r="E265" s="27">
        <v>11.8</v>
      </c>
      <c r="F265" s="29">
        <f>LOOKUP(E265,{0,-1.8,-0.8,0.2,1.2,2.2,3.2,4.6,6,7.4,8.8,10.2,11.6,13,14.4,15.8,17.2,19.1,21,22.8,24.6},{0,10,20,30,40,50,60,62,64,66,68,70,72,74,76,78,80,85,90,95,100})</f>
        <v>72</v>
      </c>
      <c r="G265" s="27">
        <v>235</v>
      </c>
      <c r="H265" s="29">
        <f>LOOKUP(G265,{0,180,185,190,195,200,205,209,213,217,221,225,229,233,237,241,245,253,260,265,270},{0,10,20,30,40,50,60,62,64,66,68,70,72,74,76,78,80,85,90,95,100})</f>
        <v>74</v>
      </c>
      <c r="I265" s="27">
        <v>4</v>
      </c>
      <c r="J265" s="29">
        <f>LOOKUP(I265,{0,4,5,6,7,8,9,10,11,12,13,14,15,16,17,18},{0,10,20,30,40,50,60,64,68,72,76,80,85,90,95,100})</f>
        <v>10</v>
      </c>
      <c r="K265" s="44"/>
      <c r="L265" s="35"/>
      <c r="M265" s="35">
        <f t="shared" si="68"/>
        <v>10</v>
      </c>
      <c r="N265" s="35">
        <v>7.8</v>
      </c>
      <c r="O265" s="36">
        <f t="shared" si="69"/>
        <v>10.2</v>
      </c>
      <c r="P265" s="29">
        <f>LOOKUP(O265,{0,7.8,8,8.2,8.4,8.6,8.8,9,9.2,9.4,9.6,9.8,10,10.2,10.4,10.6,10.8,10.9,11,11.1,11.2},{0,10,20,30,40,50,60,62,64,66,68,70,72,74,76,78,80,85,90,95,100})</f>
        <v>74</v>
      </c>
      <c r="Q265" s="5">
        <v>4.36</v>
      </c>
      <c r="R265" s="36">
        <f t="shared" si="70"/>
        <v>5.64</v>
      </c>
      <c r="S265" s="29">
        <f>LOOKUP(R265,{0,3.85,4.45,4.65,4.85,5.45,5.65,5.7,5.75,5.8,5.85,5.9,5.95,6,6.45,6.5,6.55,6.63,6.7,6.75,6.8},{0,10,20,30,40,50,60,62,64,66,68,70,72,74,76,78,80,85,90,95,100})</f>
        <v>50</v>
      </c>
      <c r="T265" s="27"/>
      <c r="U265" s="27"/>
      <c r="V265" s="27">
        <f t="shared" si="71"/>
        <v>50</v>
      </c>
      <c r="W265" s="27"/>
      <c r="X265" s="19">
        <f t="shared" si="72"/>
        <v>40.4</v>
      </c>
      <c r="Y265" s="13">
        <f t="shared" si="73"/>
        <v>57.7142857142857</v>
      </c>
    </row>
    <row r="266" ht="15.6" spans="1:25">
      <c r="A266" s="27">
        <v>307</v>
      </c>
      <c r="B266" s="27">
        <v>5</v>
      </c>
      <c r="C266" s="28" t="s">
        <v>303</v>
      </c>
      <c r="D266" s="28" t="s">
        <v>12</v>
      </c>
      <c r="E266" s="27">
        <v>9.4</v>
      </c>
      <c r="F266" s="29">
        <f>LOOKUP(E266,{0,-1.8,-0.8,0.2,1.2,2.2,3.2,4.6,6,7.4,8.8,10.2,11.6,13,14.4,15.8,17.2,19.1,21,22.8,24.6},{0,10,20,30,40,50,60,62,64,66,68,70,72,74,76,78,80,85,90,95,100})</f>
        <v>68</v>
      </c>
      <c r="G266" s="27">
        <v>240</v>
      </c>
      <c r="H266" s="29">
        <f>LOOKUP(G266,{0,180,185,190,195,200,205,209,213,217,221,225,229,233,237,241,245,253,260,265,270},{0,10,20,30,40,50,60,62,64,66,68,70,72,74,76,78,80,85,90,95,100})</f>
        <v>76</v>
      </c>
      <c r="I266" s="27">
        <v>18</v>
      </c>
      <c r="J266" s="29">
        <f>LOOKUP(I266,{0,4,5,6,7,8,9,10,11,12,13,14,15,16,17,18},{0,10,20,30,40,50,60,64,68,72,76,80,85,90,95,100})</f>
        <v>100</v>
      </c>
      <c r="K266" s="44"/>
      <c r="L266" s="35"/>
      <c r="M266" s="35">
        <f t="shared" si="68"/>
        <v>100</v>
      </c>
      <c r="N266" s="35">
        <v>6.9</v>
      </c>
      <c r="O266" s="36">
        <f t="shared" si="69"/>
        <v>11.1</v>
      </c>
      <c r="P266" s="29">
        <f>LOOKUP(O266,{0,7.8,8,8.2,8.4,8.6,8.8,9,9.2,9.4,9.6,9.8,10,10.2,10.4,10.6,10.8,10.9,11,11.1,11.2},{0,10,20,30,40,50,60,62,64,66,68,70,72,74,76,78,80,85,90,95,100})</f>
        <v>95</v>
      </c>
      <c r="Q266" s="5">
        <v>3.56</v>
      </c>
      <c r="R266" s="36">
        <f t="shared" si="70"/>
        <v>6.44</v>
      </c>
      <c r="S266" s="29">
        <f>LOOKUP(R266,{0,3.85,4.45,4.65,4.85,5.45,5.65,5.7,5.75,5.8,5.85,5.9,5.95,6,6.45,6.5,6.55,6.63,6.7,6.75,6.8},{0,10,20,30,40,50,60,62,64,66,68,70,72,74,76,78,80,85,90,95,100})</f>
        <v>74</v>
      </c>
      <c r="T266" s="27"/>
      <c r="U266" s="27"/>
      <c r="V266" s="27">
        <f t="shared" si="71"/>
        <v>74</v>
      </c>
      <c r="W266" s="27"/>
      <c r="X266" s="19">
        <f t="shared" si="72"/>
        <v>58.2</v>
      </c>
      <c r="Y266" s="13">
        <f t="shared" si="73"/>
        <v>83.1428571428572</v>
      </c>
    </row>
    <row r="267" ht="15.6" spans="1:25">
      <c r="A267" s="27">
        <v>307</v>
      </c>
      <c r="B267" s="27">
        <v>6</v>
      </c>
      <c r="C267" s="28" t="s">
        <v>304</v>
      </c>
      <c r="D267" s="28" t="s">
        <v>12</v>
      </c>
      <c r="E267" s="27">
        <v>7</v>
      </c>
      <c r="F267" s="29">
        <f>LOOKUP(E267,{0,-1.8,-0.8,0.2,1.2,2.2,3.2,4.6,6,7.4,8.8,10.2,11.6,13,14.4,15.8,17.2,19.1,21,22.8,24.6},{0,10,20,30,40,50,60,62,64,66,68,70,72,74,76,78,80,85,90,95,100})</f>
        <v>64</v>
      </c>
      <c r="G267" s="27">
        <v>252</v>
      </c>
      <c r="H267" s="29">
        <f>LOOKUP(G267,{0,180,185,190,195,200,205,209,213,217,221,225,229,233,237,241,245,253,260,265,270},{0,10,20,30,40,50,60,62,64,66,68,70,72,74,76,78,80,85,90,95,100})</f>
        <v>80</v>
      </c>
      <c r="I267" s="27">
        <v>10</v>
      </c>
      <c r="J267" s="29">
        <f>LOOKUP(I267,{0,4,5,6,7,8,9,10,11,12,13,14,15,16,17,18},{0,10,20,30,40,50,60,64,68,72,76,80,85,90,95,100})</f>
        <v>64</v>
      </c>
      <c r="K267" s="44"/>
      <c r="L267" s="35"/>
      <c r="M267" s="35">
        <f t="shared" si="68"/>
        <v>64</v>
      </c>
      <c r="N267" s="35">
        <v>7.4</v>
      </c>
      <c r="O267" s="36">
        <f t="shared" si="69"/>
        <v>10.6</v>
      </c>
      <c r="P267" s="29">
        <f>LOOKUP(O267,{0,7.8,8,8.2,8.4,8.6,8.8,9,9.2,9.4,9.6,9.8,10,10.2,10.4,10.6,10.8,10.9,11,11.1,11.2},{0,10,20,30,40,50,60,62,64,66,68,70,72,74,76,78,80,85,90,95,100})</f>
        <v>78</v>
      </c>
      <c r="Q267" s="5">
        <v>4.34</v>
      </c>
      <c r="R267" s="36">
        <f t="shared" si="70"/>
        <v>5.66</v>
      </c>
      <c r="S267" s="29">
        <f>LOOKUP(R267,{0,3.85,4.45,4.65,4.85,5.45,5.65,5.7,5.75,5.8,5.85,5.9,5.95,6,6.45,6.5,6.55,6.63,6.7,6.75,6.8},{0,10,20,30,40,50,60,62,64,66,68,70,72,74,76,78,80,85,90,95,100})</f>
        <v>60</v>
      </c>
      <c r="T267" s="27"/>
      <c r="U267" s="27"/>
      <c r="V267" s="27">
        <f t="shared" si="71"/>
        <v>60</v>
      </c>
      <c r="W267" s="27"/>
      <c r="X267" s="19">
        <f t="shared" si="72"/>
        <v>48.4</v>
      </c>
      <c r="Y267" s="13">
        <f t="shared" si="73"/>
        <v>69.1428571428572</v>
      </c>
    </row>
    <row r="268" ht="15.6" spans="1:25">
      <c r="A268" s="27">
        <v>307</v>
      </c>
      <c r="B268" s="27">
        <v>7</v>
      </c>
      <c r="C268" s="28" t="s">
        <v>305</v>
      </c>
      <c r="D268" s="28" t="s">
        <v>12</v>
      </c>
      <c r="E268" s="27">
        <v>2</v>
      </c>
      <c r="F268" s="29">
        <f>LOOKUP(E268,{0,-1.8,-0.8,0.2,1.2,2.2,3.2,4.6,6,7.4,8.8,10.2,11.6,13,14.4,15.8,17.2,19.1,21,22.8,24.6},{0,10,20,30,40,50,60,62,64,66,68,70,72,74,76,78,80,85,90,95,100})</f>
        <v>40</v>
      </c>
      <c r="G268" s="27">
        <v>240</v>
      </c>
      <c r="H268" s="29">
        <f>LOOKUP(G268,{0,180,185,190,195,200,205,209,213,217,221,225,229,233,237,241,245,253,260,265,270},{0,10,20,30,40,50,60,62,64,66,68,70,72,74,76,78,80,85,90,95,100})</f>
        <v>76</v>
      </c>
      <c r="I268" s="27">
        <v>4</v>
      </c>
      <c r="J268" s="29">
        <f>LOOKUP(I268,{0,4,5,6,7,8,9,10,11,12,13,14,15,16,17,18},{0,10,20,30,40,50,60,64,68,72,76,80,85,90,95,100})</f>
        <v>10</v>
      </c>
      <c r="K268" s="44"/>
      <c r="L268" s="35"/>
      <c r="M268" s="35">
        <f t="shared" si="68"/>
        <v>10</v>
      </c>
      <c r="N268" s="35">
        <v>6.9</v>
      </c>
      <c r="O268" s="36">
        <f t="shared" si="69"/>
        <v>11.1</v>
      </c>
      <c r="P268" s="29">
        <f>LOOKUP(O268,{0,7.8,8,8.2,8.4,8.6,8.8,9,9.2,9.4,9.6,9.8,10,10.2,10.4,10.6,10.8,10.9,11,11.1,11.2},{0,10,20,30,40,50,60,62,64,66,68,70,72,74,76,78,80,85,90,95,100})</f>
        <v>95</v>
      </c>
      <c r="Q268" s="5">
        <v>3.56</v>
      </c>
      <c r="R268" s="36">
        <f t="shared" si="70"/>
        <v>6.44</v>
      </c>
      <c r="S268" s="29">
        <f>LOOKUP(R268,{0,3.85,4.45,4.65,4.85,5.45,5.65,5.7,5.75,5.8,5.85,5.9,5.95,6,6.45,6.5,6.55,6.63,6.7,6.75,6.8},{0,10,20,30,40,50,60,62,64,66,68,70,72,74,76,78,80,85,90,95,100})</f>
        <v>74</v>
      </c>
      <c r="T268" s="27"/>
      <c r="U268" s="27"/>
      <c r="V268" s="27">
        <f t="shared" si="71"/>
        <v>74</v>
      </c>
      <c r="W268" s="27"/>
      <c r="X268" s="19">
        <f t="shared" si="72"/>
        <v>46.4</v>
      </c>
      <c r="Y268" s="13">
        <f t="shared" si="73"/>
        <v>66.2857142857143</v>
      </c>
    </row>
    <row r="269" ht="15.6" spans="1:25">
      <c r="A269" s="27">
        <v>307</v>
      </c>
      <c r="B269" s="27">
        <v>8</v>
      </c>
      <c r="C269" s="28" t="s">
        <v>306</v>
      </c>
      <c r="D269" s="28" t="s">
        <v>12</v>
      </c>
      <c r="E269" s="27">
        <v>1</v>
      </c>
      <c r="F269" s="29">
        <f>LOOKUP(E269,{0,-1.8,-0.8,0.2,1.2,2.2,3.2,4.6,6,7.4,8.8,10.2,11.6,13,14.4,15.8,17.2,19.1,21,22.8,24.6},{0,10,20,30,40,50,60,62,64,66,68,70,72,74,76,78,80,85,90,95,100})</f>
        <v>30</v>
      </c>
      <c r="G269" s="27">
        <v>190</v>
      </c>
      <c r="H269" s="29">
        <f>LOOKUP(G269,{0,180,185,190,195,200,205,209,213,217,221,225,229,233,237,241,245,253,260,265,270},{0,10,20,30,40,50,60,62,64,66,68,70,72,74,76,78,80,85,90,95,100})</f>
        <v>30</v>
      </c>
      <c r="I269" s="27">
        <v>1</v>
      </c>
      <c r="J269" s="29">
        <f>LOOKUP(I269,{0,4,5,6,7,8,9,10,11,12,13,14,15,16,17,18},{0,10,20,30,40,50,60,64,68,72,76,80,85,90,95,100})</f>
        <v>0</v>
      </c>
      <c r="K269" s="44"/>
      <c r="L269" s="35"/>
      <c r="M269" s="35">
        <f t="shared" si="68"/>
        <v>0</v>
      </c>
      <c r="N269" s="35">
        <v>8</v>
      </c>
      <c r="O269" s="36">
        <f t="shared" si="69"/>
        <v>10</v>
      </c>
      <c r="P269" s="29">
        <f>LOOKUP(O269,{0,7.8,8,8.2,8.4,8.6,8.8,9,9.2,9.4,9.6,9.8,10,10.2,10.4,10.6,10.8,10.9,11,11.1,11.2},{0,10,20,30,40,50,60,62,64,66,68,70,72,74,76,78,80,85,90,95,100})</f>
        <v>72</v>
      </c>
      <c r="Q269" s="5">
        <v>5.11</v>
      </c>
      <c r="R269" s="36">
        <f t="shared" si="70"/>
        <v>4.89</v>
      </c>
      <c r="S269" s="29">
        <f>LOOKUP(R269,{0,3.85,4.45,4.65,4.85,5.45,5.65,5.7,5.75,5.8,5.85,5.9,5.95,6,6.45,6.5,6.55,6.63,6.7,6.75,6.8},{0,10,20,30,40,50,60,62,64,66,68,70,72,74,76,78,80,85,90,95,100})</f>
        <v>40</v>
      </c>
      <c r="T269" s="27"/>
      <c r="U269" s="27"/>
      <c r="V269" s="27">
        <f t="shared" si="71"/>
        <v>40</v>
      </c>
      <c r="W269" s="27"/>
      <c r="X269" s="19">
        <f t="shared" si="72"/>
        <v>28.4</v>
      </c>
      <c r="Y269" s="13">
        <f t="shared" si="73"/>
        <v>40.5714285714286</v>
      </c>
    </row>
    <row r="270" ht="15.6" spans="1:25">
      <c r="A270" s="27">
        <v>307</v>
      </c>
      <c r="B270" s="27">
        <v>9</v>
      </c>
      <c r="C270" s="28" t="s">
        <v>307</v>
      </c>
      <c r="D270" s="28" t="s">
        <v>12</v>
      </c>
      <c r="E270" s="27">
        <v>11</v>
      </c>
      <c r="F270" s="29">
        <f>LOOKUP(E270,{0,-1.8,-0.8,0.2,1.2,2.2,3.2,4.6,6,7.4,8.8,10.2,11.6,13,14.4,15.8,17.2,19.1,21,22.8,24.6},{0,10,20,30,40,50,60,62,64,66,68,70,72,74,76,78,80,85,90,95,100})</f>
        <v>70</v>
      </c>
      <c r="G270" s="27">
        <v>262</v>
      </c>
      <c r="H270" s="29">
        <f>LOOKUP(G270,{0,180,185,190,195,200,205,209,213,217,221,225,229,233,237,241,245,253,260,265,270},{0,10,20,30,40,50,60,62,64,66,68,70,72,74,76,78,80,85,90,95,100})</f>
        <v>90</v>
      </c>
      <c r="I270" s="27">
        <v>22</v>
      </c>
      <c r="J270" s="29">
        <f>LOOKUP(I270,{0,4,5,6,7,8,9,10,11,12,13,14,15,16,17,18},{0,10,20,30,40,50,60,64,68,72,76,80,85,90,95,100})</f>
        <v>100</v>
      </c>
      <c r="K270" s="44">
        <f>I270-18</f>
        <v>4</v>
      </c>
      <c r="L270" s="29">
        <f>LOOKUP(K270,{0,1,2,3,4,5,6,7,8,9,10},{0,1,2,3,4,5,6,7,8,9,10})</f>
        <v>4</v>
      </c>
      <c r="M270" s="35">
        <f t="shared" si="68"/>
        <v>104</v>
      </c>
      <c r="N270" s="35">
        <v>7</v>
      </c>
      <c r="O270" s="36">
        <f t="shared" si="69"/>
        <v>11</v>
      </c>
      <c r="P270" s="29">
        <f>LOOKUP(O270,{0,7.8,8,8.2,8.4,8.6,8.8,9,9.2,9.4,9.6,9.8,10,10.2,10.4,10.6,10.8,10.9,11,11.1,11.2},{0,10,20,30,40,50,60,62,64,66,68,70,72,74,76,78,80,85,90,95,100})</f>
        <v>90</v>
      </c>
      <c r="Q270" s="5">
        <v>3.47</v>
      </c>
      <c r="R270" s="36">
        <f t="shared" si="70"/>
        <v>6.53</v>
      </c>
      <c r="S270" s="29">
        <f>LOOKUP(R270,{0,3.85,4.45,4.65,4.85,5.45,5.65,5.7,5.75,5.8,5.85,5.9,5.95,6,6.45,6.5,6.55,6.63,6.7,6.75,6.8},{0,10,20,30,40,50,60,62,64,66,68,70,72,74,76,78,80,85,90,95,100})</f>
        <v>78</v>
      </c>
      <c r="T270" s="27"/>
      <c r="U270" s="27"/>
      <c r="V270" s="27">
        <f t="shared" si="71"/>
        <v>78</v>
      </c>
      <c r="W270" s="27"/>
      <c r="X270" s="19">
        <f t="shared" si="72"/>
        <v>59.6</v>
      </c>
      <c r="Y270" s="13">
        <f t="shared" si="73"/>
        <v>89.1428571428572</v>
      </c>
    </row>
    <row r="271" ht="15.6" spans="1:25">
      <c r="A271" s="27">
        <v>307</v>
      </c>
      <c r="B271" s="27">
        <v>10</v>
      </c>
      <c r="C271" s="30" t="s">
        <v>309</v>
      </c>
      <c r="D271" s="28" t="s">
        <v>12</v>
      </c>
      <c r="E271" s="27">
        <v>9.2</v>
      </c>
      <c r="F271" s="29">
        <f>LOOKUP(E271,{0,-1.8,-0.8,0.2,1.2,2.2,3.2,4.6,6,7.4,8.8,10.2,11.6,13,14.4,15.8,17.2,19.1,21,22.8,24.6},{0,10,20,30,40,50,60,62,64,66,68,70,72,74,76,78,80,85,90,95,100})</f>
        <v>68</v>
      </c>
      <c r="G271" s="27">
        <v>222</v>
      </c>
      <c r="H271" s="29">
        <f>LOOKUP(G271,{0,180,185,190,195,200,205,209,213,217,221,225,229,233,237,241,245,253,260,265,270},{0,10,20,30,40,50,60,62,64,66,68,70,72,74,76,78,80,85,90,95,100})</f>
        <v>68</v>
      </c>
      <c r="I271" s="27">
        <v>1</v>
      </c>
      <c r="J271" s="29">
        <f>LOOKUP(I271,{0,4,5,6,7,8,9,10,11,12,13,14,15,16,17,18},{0,10,20,30,40,50,60,64,68,72,76,80,85,90,95,100})</f>
        <v>0</v>
      </c>
      <c r="K271" s="44"/>
      <c r="L271" s="35"/>
      <c r="M271" s="35">
        <f t="shared" si="68"/>
        <v>0</v>
      </c>
      <c r="N271" s="35">
        <v>7.3</v>
      </c>
      <c r="O271" s="36">
        <f t="shared" si="69"/>
        <v>10.7</v>
      </c>
      <c r="P271" s="29">
        <f>LOOKUP(O271,{0,7.8,8,8.2,8.4,8.6,8.8,9,9.2,9.4,9.6,9.8,10,10.2,10.4,10.6,10.8,10.9,11,11.1,11.2},{0,10,20,30,40,50,60,62,64,66,68,70,72,74,76,78,80,85,90,95,100})</f>
        <v>78</v>
      </c>
      <c r="Q271" s="5">
        <v>4.44</v>
      </c>
      <c r="R271" s="36">
        <f t="shared" si="70"/>
        <v>5.56</v>
      </c>
      <c r="S271" s="29">
        <f>LOOKUP(R271,{0,3.85,4.45,4.65,4.85,5.45,5.65,5.7,5.75,5.8,5.85,5.9,5.95,6,6.45,6.5,6.55,6.63,6.7,6.75,6.8},{0,10,20,30,40,50,60,62,64,66,68,70,72,74,76,78,80,85,90,95,100})</f>
        <v>50</v>
      </c>
      <c r="T271" s="27"/>
      <c r="U271" s="27"/>
      <c r="V271" s="27">
        <f t="shared" si="71"/>
        <v>50</v>
      </c>
      <c r="W271" s="27"/>
      <c r="X271" s="19">
        <f t="shared" si="72"/>
        <v>39.2</v>
      </c>
      <c r="Y271" s="13">
        <f t="shared" si="73"/>
        <v>56</v>
      </c>
    </row>
    <row r="272" ht="15.6" spans="1:25">
      <c r="A272" s="27">
        <v>307</v>
      </c>
      <c r="B272" s="27">
        <v>11</v>
      </c>
      <c r="C272" s="28" t="s">
        <v>310</v>
      </c>
      <c r="D272" s="28" t="s">
        <v>12</v>
      </c>
      <c r="E272" s="27">
        <v>16</v>
      </c>
      <c r="F272" s="29">
        <f>LOOKUP(E272,{0,-1.8,-0.8,0.2,1.2,2.2,3.2,4.6,6,7.4,8.8,10.2,11.6,13,14.4,15.8,17.2,19.1,21,22.8,24.6},{0,10,20,30,40,50,60,62,64,66,68,70,72,74,76,78,80,85,90,95,100})</f>
        <v>78</v>
      </c>
      <c r="G272" s="27">
        <v>197</v>
      </c>
      <c r="H272" s="29">
        <f>LOOKUP(G272,{0,180,185,190,195,200,205,209,213,217,221,225,229,233,237,241,245,253,260,265,270},{0,10,20,30,40,50,60,62,64,66,68,70,72,74,76,78,80,85,90,95,100})</f>
        <v>40</v>
      </c>
      <c r="I272" s="27">
        <v>1</v>
      </c>
      <c r="J272" s="29">
        <f>LOOKUP(I272,{0,4,5,6,7,8,9,10,11,12,13,14,15,16,17,18},{0,10,20,30,40,50,60,64,68,72,76,80,85,90,95,100})</f>
        <v>0</v>
      </c>
      <c r="K272" s="44"/>
      <c r="L272" s="35"/>
      <c r="M272" s="35">
        <f t="shared" si="68"/>
        <v>0</v>
      </c>
      <c r="N272" s="35">
        <v>7.3</v>
      </c>
      <c r="O272" s="36">
        <f t="shared" si="69"/>
        <v>10.7</v>
      </c>
      <c r="P272" s="29">
        <f>LOOKUP(O272,{0,7.8,8,8.2,8.4,8.6,8.8,9,9.2,9.4,9.6,9.8,10,10.2,10.4,10.6,10.8,10.9,11,11.1,11.2},{0,10,20,30,40,50,60,62,64,66,68,70,72,74,76,78,80,85,90,95,100})</f>
        <v>78</v>
      </c>
      <c r="Q272" s="5">
        <v>5.08</v>
      </c>
      <c r="R272" s="36">
        <f t="shared" si="70"/>
        <v>4.92</v>
      </c>
      <c r="S272" s="29">
        <f>LOOKUP(R272,{0,3.85,4.45,4.65,4.85,5.45,5.65,5.7,5.75,5.8,5.85,5.9,5.95,6,6.45,6.5,6.55,6.63,6.7,6.75,6.8},{0,10,20,30,40,50,60,62,64,66,68,70,72,74,76,78,80,85,90,95,100})</f>
        <v>40</v>
      </c>
      <c r="T272" s="27"/>
      <c r="U272" s="27"/>
      <c r="V272" s="27">
        <f t="shared" si="71"/>
        <v>40</v>
      </c>
      <c r="W272" s="27"/>
      <c r="X272" s="19">
        <f t="shared" si="72"/>
        <v>35.4</v>
      </c>
      <c r="Y272" s="13">
        <f t="shared" si="73"/>
        <v>50.5714285714286</v>
      </c>
    </row>
    <row r="273" ht="15.6" spans="1:25">
      <c r="A273" s="27">
        <v>307</v>
      </c>
      <c r="B273" s="27">
        <v>12</v>
      </c>
      <c r="C273" s="28" t="s">
        <v>311</v>
      </c>
      <c r="D273" s="28" t="s">
        <v>12</v>
      </c>
      <c r="E273" s="27">
        <v>-0.5</v>
      </c>
      <c r="F273" s="29">
        <f>LOOKUP(E273,{0,-1.8,-0.8,0.2,1.2,2.2,3.2,4.6,6,7.4,8.8,10.2,11.6,13,14.4,15.8,17.2,19.1,21,22.8,24.6},{0,10,20,30,40,50,60,62,64,66,68,70,72,74,76,78,80,85,90,95,100})</f>
        <v>20</v>
      </c>
      <c r="G273" s="27">
        <v>285</v>
      </c>
      <c r="H273" s="29">
        <f>LOOKUP(G273,{0,180,185,190,195,200,205,209,213,217,221,225,229,233,237,241,245,253,260,265,270},{0,10,20,30,40,50,60,62,64,66,68,70,72,74,76,78,80,85,90,95,100})</f>
        <v>100</v>
      </c>
      <c r="I273" s="27">
        <v>1</v>
      </c>
      <c r="J273" s="29">
        <f>LOOKUP(I273,{0,4,5,6,7,8,9,10,11,12,13,14,15,16,17,18},{0,10,20,30,40,50,60,64,68,72,76,80,85,90,95,100})</f>
        <v>0</v>
      </c>
      <c r="K273" s="44"/>
      <c r="L273" s="35"/>
      <c r="M273" s="35">
        <f t="shared" si="68"/>
        <v>0</v>
      </c>
      <c r="N273" s="35">
        <v>6.6</v>
      </c>
      <c r="O273" s="36">
        <f t="shared" si="69"/>
        <v>11.4</v>
      </c>
      <c r="P273" s="29">
        <f>LOOKUP(O273,{0,7.8,8,8.2,8.4,8.6,8.8,9,9.2,9.4,9.6,9.8,10,10.2,10.4,10.6,10.8,10.9,11,11.1,11.2},{0,10,20,30,40,50,60,62,64,66,68,70,72,74,76,78,80,85,90,95,100})</f>
        <v>100</v>
      </c>
      <c r="Q273" s="5">
        <v>4.11</v>
      </c>
      <c r="R273" s="36">
        <f t="shared" si="70"/>
        <v>5.89</v>
      </c>
      <c r="S273" s="29">
        <f>LOOKUP(R273,{0,3.85,4.45,4.65,4.85,5.45,5.65,5.7,5.75,5.8,5.85,5.9,5.95,6,6.45,6.5,6.55,6.63,6.7,6.75,6.8},{0,10,20,30,40,50,60,62,64,66,68,70,72,74,76,78,80,85,90,95,100})</f>
        <v>68</v>
      </c>
      <c r="T273" s="27"/>
      <c r="U273" s="27"/>
      <c r="V273" s="27">
        <f t="shared" si="71"/>
        <v>68</v>
      </c>
      <c r="W273" s="27"/>
      <c r="X273" s="19">
        <f t="shared" si="72"/>
        <v>45.6</v>
      </c>
      <c r="Y273" s="13">
        <f t="shared" si="73"/>
        <v>65.1428571428572</v>
      </c>
    </row>
    <row r="274" ht="15.6" spans="1:25">
      <c r="A274" s="27">
        <v>307</v>
      </c>
      <c r="B274" s="27">
        <v>13</v>
      </c>
      <c r="C274" s="28" t="s">
        <v>312</v>
      </c>
      <c r="D274" s="28" t="s">
        <v>12</v>
      </c>
      <c r="E274" s="27">
        <v>20</v>
      </c>
      <c r="F274" s="29">
        <f>LOOKUP(E274,{0,-1.8,-0.8,0.2,1.2,2.2,3.2,4.6,6,7.4,8.8,10.2,11.6,13,14.4,15.8,17.2,19.1,21,22.8,24.6},{0,10,20,30,40,50,60,62,64,66,68,70,72,74,76,78,80,85,90,95,100})</f>
        <v>85</v>
      </c>
      <c r="G274" s="27">
        <v>230</v>
      </c>
      <c r="H274" s="29">
        <f>LOOKUP(G274,{0,180,185,190,195,200,205,209,213,217,221,225,229,233,237,241,245,253,260,265,270},{0,10,20,30,40,50,60,62,64,66,68,70,72,74,76,78,80,85,90,95,100})</f>
        <v>72</v>
      </c>
      <c r="I274" s="27">
        <v>10</v>
      </c>
      <c r="J274" s="29">
        <f>LOOKUP(I274,{0,4,5,6,7,8,9,10,11,12,13,14,15,16,17,18},{0,10,20,30,40,50,60,64,68,72,76,80,85,90,95,100})</f>
        <v>64</v>
      </c>
      <c r="K274" s="44"/>
      <c r="L274" s="35"/>
      <c r="M274" s="35">
        <f t="shared" si="68"/>
        <v>64</v>
      </c>
      <c r="N274" s="35">
        <v>7</v>
      </c>
      <c r="O274" s="36">
        <f t="shared" si="69"/>
        <v>11</v>
      </c>
      <c r="P274" s="29">
        <f>LOOKUP(O274,{0,7.8,8,8.2,8.4,8.6,8.8,9,9.2,9.4,9.6,9.8,10,10.2,10.4,10.6,10.8,10.9,11,11.1,11.2},{0,10,20,30,40,50,60,62,64,66,68,70,72,74,76,78,80,85,90,95,100})</f>
        <v>90</v>
      </c>
      <c r="Q274" s="5">
        <v>3.56</v>
      </c>
      <c r="R274" s="36">
        <f t="shared" si="70"/>
        <v>6.44</v>
      </c>
      <c r="S274" s="29">
        <f>LOOKUP(R274,{0,3.85,4.45,4.65,4.85,5.45,5.65,5.7,5.75,5.8,5.85,5.9,5.95,6,6.45,6.5,6.55,6.63,6.7,6.75,6.8},{0,10,20,30,40,50,60,62,64,66,68,70,72,74,76,78,80,85,90,95,100})</f>
        <v>74</v>
      </c>
      <c r="T274" s="27"/>
      <c r="U274" s="27"/>
      <c r="V274" s="27">
        <f t="shared" si="71"/>
        <v>74</v>
      </c>
      <c r="W274" s="27"/>
      <c r="X274" s="19">
        <f t="shared" si="72"/>
        <v>54.9</v>
      </c>
      <c r="Y274" s="13">
        <f t="shared" si="73"/>
        <v>78.4285714285714</v>
      </c>
    </row>
    <row r="275" ht="15.6" spans="1:25">
      <c r="A275" s="27">
        <v>307</v>
      </c>
      <c r="B275" s="27">
        <v>14</v>
      </c>
      <c r="C275" s="28" t="s">
        <v>313</v>
      </c>
      <c r="D275" s="28" t="s">
        <v>12</v>
      </c>
      <c r="E275" s="27">
        <v>2.6</v>
      </c>
      <c r="F275" s="29">
        <f>LOOKUP(E275,{0,-1.8,-0.8,0.2,1.2,2.2,3.2,4.6,6,7.4,8.8,10.2,11.6,13,14.4,15.8,17.2,19.1,21,22.8,24.6},{0,10,20,30,40,50,60,62,64,66,68,70,72,74,76,78,80,85,90,95,100})</f>
        <v>50</v>
      </c>
      <c r="G275" s="27">
        <v>230</v>
      </c>
      <c r="H275" s="29">
        <f>LOOKUP(G275,{0,180,185,190,195,200,205,209,213,217,221,225,229,233,237,241,245,253,260,265,270},{0,10,20,30,40,50,60,62,64,66,68,70,72,74,76,78,80,85,90,95,100})</f>
        <v>72</v>
      </c>
      <c r="I275" s="27">
        <v>12</v>
      </c>
      <c r="J275" s="29">
        <f>LOOKUP(I275,{0,4,5,6,7,8,9,10,11,12,13,14,15,16,17,18},{0,10,20,30,40,50,60,64,68,72,76,80,85,90,95,100})</f>
        <v>72</v>
      </c>
      <c r="K275" s="44"/>
      <c r="L275" s="35"/>
      <c r="M275" s="35">
        <f t="shared" si="68"/>
        <v>72</v>
      </c>
      <c r="N275" s="35">
        <v>7.2</v>
      </c>
      <c r="O275" s="36">
        <f t="shared" si="69"/>
        <v>10.8</v>
      </c>
      <c r="P275" s="29">
        <f>LOOKUP(O275,{0,7.8,8,8.2,8.4,8.6,8.8,9,9.2,9.4,9.6,9.8,10,10.2,10.4,10.6,10.8,10.9,11,11.1,11.2},{0,10,20,30,40,50,60,62,64,66,68,70,72,74,76,78,80,85,90,95,100})</f>
        <v>80</v>
      </c>
      <c r="Q275" s="5">
        <v>3.43</v>
      </c>
      <c r="R275" s="36">
        <f t="shared" si="70"/>
        <v>6.57</v>
      </c>
      <c r="S275" s="29">
        <f>LOOKUP(R275,{0,3.85,4.45,4.65,4.85,5.45,5.65,5.7,5.75,5.8,5.85,5.9,5.95,6,6.45,6.5,6.55,6.63,6.7,6.75,6.8},{0,10,20,30,40,50,60,62,64,66,68,70,72,74,76,78,80,85,90,95,100})</f>
        <v>80</v>
      </c>
      <c r="T275" s="27"/>
      <c r="U275" s="27"/>
      <c r="V275" s="27">
        <f t="shared" si="71"/>
        <v>80</v>
      </c>
      <c r="W275" s="27"/>
      <c r="X275" s="19">
        <f t="shared" si="72"/>
        <v>51.4</v>
      </c>
      <c r="Y275" s="13">
        <f t="shared" si="73"/>
        <v>73.4285714285714</v>
      </c>
    </row>
    <row r="276" ht="15.6" spans="1:25">
      <c r="A276" s="27">
        <v>307</v>
      </c>
      <c r="B276" s="27">
        <v>15</v>
      </c>
      <c r="C276" s="28" t="s">
        <v>314</v>
      </c>
      <c r="D276" s="28" t="s">
        <v>12</v>
      </c>
      <c r="E276" s="27">
        <v>0.5</v>
      </c>
      <c r="F276" s="29">
        <f>LOOKUP(E276,{0,-1.8,-0.8,0.2,1.2,2.2,3.2,4.6,6,7.4,8.8,10.2,11.6,13,14.4,15.8,17.2,19.1,21,22.8,24.6},{0,10,20,30,40,50,60,62,64,66,68,70,72,74,76,78,80,85,90,95,100})</f>
        <v>30</v>
      </c>
      <c r="G276" s="27">
        <v>210</v>
      </c>
      <c r="H276" s="29">
        <f>LOOKUP(G276,{0,180,185,190,195,200,205,209,213,217,221,225,229,233,237,241,245,253,260,265,270},{0,10,20,30,40,50,60,62,64,66,68,70,72,74,76,78,80,85,90,95,100})</f>
        <v>62</v>
      </c>
      <c r="I276" s="27">
        <v>0</v>
      </c>
      <c r="J276" s="29">
        <f>LOOKUP(I276,{0,4,5,6,7,8,9,10,11,12,13,14,15,16,17,18},{0,10,20,30,40,50,60,64,68,72,76,80,85,90,95,100})</f>
        <v>0</v>
      </c>
      <c r="K276" s="44"/>
      <c r="L276" s="35"/>
      <c r="M276" s="35">
        <f t="shared" si="68"/>
        <v>0</v>
      </c>
      <c r="N276" s="35">
        <v>7.8</v>
      </c>
      <c r="O276" s="36">
        <f t="shared" si="69"/>
        <v>10.2</v>
      </c>
      <c r="P276" s="29">
        <f>LOOKUP(O276,{0,7.8,8,8.2,8.4,8.6,8.8,9,9.2,9.4,9.6,9.8,10,10.2,10.4,10.6,10.8,10.9,11,11.1,11.2},{0,10,20,30,40,50,60,62,64,66,68,70,72,74,76,78,80,85,90,95,100})</f>
        <v>74</v>
      </c>
      <c r="Q276" s="5">
        <v>4.34</v>
      </c>
      <c r="R276" s="36">
        <f t="shared" si="70"/>
        <v>5.66</v>
      </c>
      <c r="S276" s="29">
        <f>LOOKUP(R276,{0,3.85,4.45,4.65,4.85,5.45,5.65,5.7,5.75,5.8,5.85,5.9,5.95,6,6.45,6.5,6.55,6.63,6.7,6.75,6.8},{0,10,20,30,40,50,60,62,64,66,68,70,72,74,76,78,80,85,90,95,100})</f>
        <v>60</v>
      </c>
      <c r="T276" s="27"/>
      <c r="U276" s="27"/>
      <c r="V276" s="27">
        <f t="shared" si="71"/>
        <v>60</v>
      </c>
      <c r="W276" s="27"/>
      <c r="X276" s="19">
        <f t="shared" si="72"/>
        <v>36</v>
      </c>
      <c r="Y276" s="13">
        <f t="shared" si="73"/>
        <v>51.4285714285714</v>
      </c>
    </row>
    <row r="277" ht="15.6" spans="1:25">
      <c r="A277" s="27">
        <v>307</v>
      </c>
      <c r="B277" s="27">
        <v>16</v>
      </c>
      <c r="C277" s="28" t="s">
        <v>315</v>
      </c>
      <c r="D277" s="28" t="s">
        <v>12</v>
      </c>
      <c r="E277" s="27">
        <v>15.6</v>
      </c>
      <c r="F277" s="29">
        <f>LOOKUP(E277,{0,-1.8,-0.8,0.2,1.2,2.2,3.2,4.6,6,7.4,8.8,10.2,11.6,13,14.4,15.8,17.2,19.1,21,22.8,24.6},{0,10,20,30,40,50,60,62,64,66,68,70,72,74,76,78,80,85,90,95,100})</f>
        <v>76</v>
      </c>
      <c r="G277" s="27">
        <v>230</v>
      </c>
      <c r="H277" s="29">
        <f>LOOKUP(G277,{0,180,185,190,195,200,205,209,213,217,221,225,229,233,237,241,245,253,260,265,270},{0,10,20,30,40,50,60,62,64,66,68,70,72,74,76,78,80,85,90,95,100})</f>
        <v>72</v>
      </c>
      <c r="I277" s="27">
        <v>14</v>
      </c>
      <c r="J277" s="29">
        <f>LOOKUP(I277,{0,4,5,6,7,8,9,10,11,12,13,14,15,16,17,18},{0,10,20,30,40,50,60,64,68,72,76,80,85,90,95,100})</f>
        <v>80</v>
      </c>
      <c r="K277" s="44"/>
      <c r="L277" s="35"/>
      <c r="M277" s="35">
        <f t="shared" si="68"/>
        <v>80</v>
      </c>
      <c r="N277" s="35">
        <v>7.3</v>
      </c>
      <c r="O277" s="36">
        <f t="shared" si="69"/>
        <v>10.7</v>
      </c>
      <c r="P277" s="29">
        <f>LOOKUP(O277,{0,7.8,8,8.2,8.4,8.6,8.8,9,9.2,9.4,9.6,9.8,10,10.2,10.4,10.6,10.8,10.9,11,11.1,11.2},{0,10,20,30,40,50,60,62,64,66,68,70,72,74,76,78,80,85,90,95,100})</f>
        <v>78</v>
      </c>
      <c r="Q277" s="5">
        <v>3.56</v>
      </c>
      <c r="R277" s="36">
        <f t="shared" si="70"/>
        <v>6.44</v>
      </c>
      <c r="S277" s="29">
        <f>LOOKUP(R277,{0,3.85,4.45,4.65,4.85,5.45,5.65,5.7,5.75,5.8,5.85,5.9,5.95,6,6.45,6.5,6.55,6.63,6.7,6.75,6.8},{0,10,20,30,40,50,60,62,64,66,68,70,72,74,76,78,80,85,90,95,100})</f>
        <v>74</v>
      </c>
      <c r="T277" s="27"/>
      <c r="U277" s="27"/>
      <c r="V277" s="27">
        <f t="shared" si="71"/>
        <v>74</v>
      </c>
      <c r="W277" s="27"/>
      <c r="X277" s="19">
        <f t="shared" si="72"/>
        <v>53.2</v>
      </c>
      <c r="Y277" s="13">
        <f t="shared" si="73"/>
        <v>76</v>
      </c>
    </row>
    <row r="278" ht="15.6" spans="1:25">
      <c r="A278" s="27">
        <v>307</v>
      </c>
      <c r="B278" s="27">
        <v>17</v>
      </c>
      <c r="C278" s="28" t="s">
        <v>316</v>
      </c>
      <c r="D278" s="28" t="s">
        <v>12</v>
      </c>
      <c r="E278" s="27">
        <v>13.4</v>
      </c>
      <c r="F278" s="29">
        <f>LOOKUP(E278,{0,-1.8,-0.8,0.2,1.2,2.2,3.2,4.6,6,7.4,8.8,10.2,11.6,13,14.4,15.8,17.2,19.1,21,22.8,24.6},{0,10,20,30,40,50,60,62,64,66,68,70,72,74,76,78,80,85,90,95,100})</f>
        <v>74</v>
      </c>
      <c r="G278" s="27">
        <v>260</v>
      </c>
      <c r="H278" s="29">
        <f>LOOKUP(G278,{0,180,185,190,195,200,205,209,213,217,221,225,229,233,237,241,245,253,260,265,270},{0,10,20,30,40,50,60,62,64,66,68,70,72,74,76,78,80,85,90,95,100})</f>
        <v>90</v>
      </c>
      <c r="I278" s="27">
        <v>5</v>
      </c>
      <c r="J278" s="29">
        <f>LOOKUP(I278,{0,4,5,6,7,8,9,10,11,12,13,14,15,16,17,18},{0,10,20,30,40,50,60,64,68,72,76,80,85,90,95,100})</f>
        <v>20</v>
      </c>
      <c r="K278" s="44"/>
      <c r="L278" s="35"/>
      <c r="M278" s="35">
        <f t="shared" si="68"/>
        <v>20</v>
      </c>
      <c r="N278" s="35">
        <v>6.8</v>
      </c>
      <c r="O278" s="36">
        <f t="shared" si="69"/>
        <v>11.2</v>
      </c>
      <c r="P278" s="29">
        <f>LOOKUP(O278,{0,7.8,8,8.2,8.4,8.6,8.8,9,9.2,9.4,9.6,9.8,10,10.2,10.4,10.6,10.8,10.9,11,11.1,11.2},{0,10,20,30,40,50,60,62,64,66,68,70,72,74,76,78,80,85,90,95,100})</f>
        <v>100</v>
      </c>
      <c r="Q278" s="5">
        <v>4.04</v>
      </c>
      <c r="R278" s="36">
        <f t="shared" si="70"/>
        <v>5.96</v>
      </c>
      <c r="S278" s="29">
        <f>LOOKUP(R278,{0,3.85,4.45,4.65,4.85,5.45,5.65,5.7,5.75,5.8,5.85,5.9,5.95,6,6.45,6.5,6.55,6.63,6.7,6.75,6.8},{0,10,20,30,40,50,60,62,64,66,68,70,72,74,76,78,80,85,90,95,100})</f>
        <v>72</v>
      </c>
      <c r="T278" s="27"/>
      <c r="U278" s="27"/>
      <c r="V278" s="27">
        <f t="shared" si="71"/>
        <v>72</v>
      </c>
      <c r="W278" s="27"/>
      <c r="X278" s="19">
        <f t="shared" si="72"/>
        <v>52.8</v>
      </c>
      <c r="Y278" s="13">
        <f t="shared" si="73"/>
        <v>75.4285714285714</v>
      </c>
    </row>
    <row r="279" ht="15.6" spans="1:25">
      <c r="A279" s="27">
        <v>307</v>
      </c>
      <c r="B279" s="27">
        <v>18</v>
      </c>
      <c r="C279" s="30" t="s">
        <v>318</v>
      </c>
      <c r="D279" s="28" t="s">
        <v>46</v>
      </c>
      <c r="E279" s="27">
        <v>10</v>
      </c>
      <c r="F279" s="29">
        <f>LOOKUP(E279,{0,1.5,2.3,3.1,3.9,4.7,5.5,6.8,8.1,9.4,10.7,12,13.3,14.6,15.9,17.2,18.5,20.2,21.9,23.6,25.3},{0,10,20,30,40,50,60,62,64,66,68,70,72,74,76,78,80,85,90,95,100})</f>
        <v>66</v>
      </c>
      <c r="G279" s="27">
        <v>170</v>
      </c>
      <c r="H279" s="29">
        <f>LOOKUP(G279,{0,125,130,135,140,145,150,153,156,159,162,165,168,171,174,177,180,187,194,200,206},{0,10,20,30,40,50,60,62,64,66,68,70,72,74,76,78,80,85,90,95,100})</f>
        <v>72</v>
      </c>
      <c r="I279" s="27">
        <v>37</v>
      </c>
      <c r="J279" s="29">
        <f>LOOKUP(I279,{0,15,17,19,21,23,25,27,29,31,33,35,37,39,41,43,45,48,51,53,55},{0,10,20,30,40,50,60,62,64,66,68,70,72,74,76,78,80,85,90,95,100})</f>
        <v>72</v>
      </c>
      <c r="K279" s="35"/>
      <c r="L279" s="35"/>
      <c r="M279" s="35">
        <f t="shared" si="68"/>
        <v>72</v>
      </c>
      <c r="N279" s="35">
        <v>10.1</v>
      </c>
      <c r="O279" s="36">
        <f t="shared" si="69"/>
        <v>7.9</v>
      </c>
      <c r="P279" s="29">
        <f>LOOKUP(O279,{0,6.6,6.8,7,7.2,7.4,7.6,7.8,8,8.2,8.4,8.6,8.8,9,9.2,9.4,9.6,9.9,10.2,10.3,10.4},{0,10,20,30,40,50,60,62,64,66,68,70,72,74,76,78,80,85,90,95,100})</f>
        <v>62</v>
      </c>
      <c r="Q279" s="5">
        <v>4.17</v>
      </c>
      <c r="R279" s="36">
        <f t="shared" si="70"/>
        <v>5.83</v>
      </c>
      <c r="S279" s="29">
        <f>LOOKUP(R279,{0,4.74,4.84,4.94,5.44,5.54,5.64,5.69,5.74,5.79,5.84,5.89,5.94,5.99,6.44,6.49,6.54,6.61,6.68,6.74,6.8},{0,10,20,30,40,50,60,62,64,66,68,70,72,74,76,78,80,85,90,95,100})</f>
        <v>66</v>
      </c>
      <c r="T279" s="27"/>
      <c r="U279" s="27"/>
      <c r="V279" s="27">
        <f t="shared" si="71"/>
        <v>66</v>
      </c>
      <c r="W279" s="27"/>
      <c r="X279" s="19">
        <f t="shared" si="72"/>
        <v>46.6</v>
      </c>
      <c r="Y279" s="13">
        <f t="shared" si="73"/>
        <v>66.5714285714286</v>
      </c>
    </row>
    <row r="280" ht="15.6" spans="1:25">
      <c r="A280" s="27">
        <v>307</v>
      </c>
      <c r="B280" s="27">
        <v>19</v>
      </c>
      <c r="C280" s="28" t="s">
        <v>319</v>
      </c>
      <c r="D280" s="28" t="s">
        <v>46</v>
      </c>
      <c r="E280" s="27">
        <v>8</v>
      </c>
      <c r="F280" s="29">
        <f>LOOKUP(E280,{0,1.5,2.3,3.1,3.9,4.7,5.5,6.8,8.1,9.4,10.7,12,13.3,14.6,15.9,17.2,18.5,20.2,21.9,23.6,25.3},{0,10,20,30,40,50,60,62,64,66,68,70,72,74,76,78,80,85,90,95,100})</f>
        <v>62</v>
      </c>
      <c r="G280" s="27">
        <v>180</v>
      </c>
      <c r="H280" s="29">
        <f>LOOKUP(G280,{0,125,130,135,140,145,150,153,156,159,162,165,168,171,174,177,180,187,194,200,206},{0,10,20,30,40,50,60,62,64,66,68,70,72,74,76,78,80,85,90,95,100})</f>
        <v>80</v>
      </c>
      <c r="I280" s="27">
        <v>45</v>
      </c>
      <c r="J280" s="29">
        <f>LOOKUP(I280,{0,15,17,19,21,23,25,27,29,31,33,35,37,39,41,43,45,48,51,53,55},{0,10,20,30,40,50,60,62,64,66,68,70,72,74,76,78,80,85,90,95,100})</f>
        <v>80</v>
      </c>
      <c r="K280" s="35"/>
      <c r="L280" s="35"/>
      <c r="M280" s="35">
        <f t="shared" si="68"/>
        <v>80</v>
      </c>
      <c r="N280" s="35">
        <v>9.1</v>
      </c>
      <c r="O280" s="36">
        <f t="shared" si="69"/>
        <v>8.9</v>
      </c>
      <c r="P280" s="29">
        <f>LOOKUP(O280,{0,6.6,6.8,7,7.2,7.4,7.6,7.8,8,8.2,8.4,8.6,8.8,9,9.2,9.4,9.6,9.9,10.2,10.3,10.4},{0,10,20,30,40,50,60,62,64,66,68,70,72,74,76,78,80,85,90,95,100})</f>
        <v>72</v>
      </c>
      <c r="Q280" s="5">
        <v>4.14</v>
      </c>
      <c r="R280" s="36">
        <f t="shared" si="70"/>
        <v>5.86</v>
      </c>
      <c r="S280" s="29">
        <f>LOOKUP(R280,{0,4.74,4.84,4.94,5.44,5.54,5.64,5.69,5.74,5.79,5.84,5.89,5.94,5.99,6.44,6.49,6.54,6.61,6.68,6.74,6.8},{0,10,20,30,40,50,60,62,64,66,68,70,72,74,76,78,80,85,90,95,100})</f>
        <v>68</v>
      </c>
      <c r="T280" s="27"/>
      <c r="U280" s="27"/>
      <c r="V280" s="27">
        <f t="shared" si="71"/>
        <v>68</v>
      </c>
      <c r="W280" s="27"/>
      <c r="X280" s="19">
        <f t="shared" si="72"/>
        <v>50.2</v>
      </c>
      <c r="Y280" s="13">
        <f t="shared" si="73"/>
        <v>71.7142857142857</v>
      </c>
    </row>
    <row r="281" ht="15.6" spans="1:25">
      <c r="A281" s="27">
        <v>307</v>
      </c>
      <c r="B281" s="27">
        <v>20</v>
      </c>
      <c r="C281" s="28" t="s">
        <v>320</v>
      </c>
      <c r="D281" s="28" t="s">
        <v>46</v>
      </c>
      <c r="E281" s="27">
        <v>13.5</v>
      </c>
      <c r="F281" s="29">
        <f>LOOKUP(E281,{0,1.5,2.3,3.1,3.9,4.7,5.5,6.8,8.1,9.4,10.7,12,13.3,14.6,15.9,17.2,18.5,20.2,21.9,23.6,25.3},{0,10,20,30,40,50,60,62,64,66,68,70,72,74,76,78,80,85,90,95,100})</f>
        <v>72</v>
      </c>
      <c r="G281" s="27">
        <v>175</v>
      </c>
      <c r="H281" s="29">
        <f>LOOKUP(G281,{0,125,130,135,140,145,150,153,156,159,162,165,168,171,174,177,180,187,194,200,206},{0,10,20,30,40,50,60,62,64,66,68,70,72,74,76,78,80,85,90,95,100})</f>
        <v>76</v>
      </c>
      <c r="I281" s="27">
        <v>39</v>
      </c>
      <c r="J281" s="29">
        <f>LOOKUP(I281,{0,15,17,19,21,23,25,27,29,31,33,35,37,39,41,43,45,48,51,53,55},{0,10,20,30,40,50,60,62,64,66,68,70,72,74,76,78,80,85,90,95,100})</f>
        <v>74</v>
      </c>
      <c r="K281" s="35"/>
      <c r="L281" s="35"/>
      <c r="M281" s="35">
        <f t="shared" si="68"/>
        <v>74</v>
      </c>
      <c r="N281" s="35">
        <v>8.3</v>
      </c>
      <c r="O281" s="36">
        <f t="shared" si="69"/>
        <v>9.7</v>
      </c>
      <c r="P281" s="29">
        <f>LOOKUP(O281,{0,6.6,6.8,7,7.2,7.4,7.6,7.8,8,8.2,8.4,8.6,8.8,9,9.2,9.4,9.6,9.9,10.2,10.3,10.4},{0,10,20,30,40,50,60,62,64,66,68,70,72,74,76,78,80,85,90,95,100})</f>
        <v>80</v>
      </c>
      <c r="Q281" s="5">
        <v>4.35</v>
      </c>
      <c r="R281" s="36">
        <f t="shared" si="70"/>
        <v>5.65</v>
      </c>
      <c r="S281" s="29">
        <f>LOOKUP(R281,{0,4.74,4.84,4.94,5.44,5.54,5.64,5.69,5.74,5.79,5.84,5.89,5.94,5.99,6.44,6.49,6.54,6.61,6.68,6.74,6.8},{0,10,20,30,40,50,60,62,64,66,68,70,72,74,76,78,80,85,90,95,100})</f>
        <v>60</v>
      </c>
      <c r="T281" s="27"/>
      <c r="U281" s="27"/>
      <c r="V281" s="27">
        <f t="shared" si="71"/>
        <v>60</v>
      </c>
      <c r="W281" s="27"/>
      <c r="X281" s="19">
        <f t="shared" si="72"/>
        <v>50.2</v>
      </c>
      <c r="Y281" s="13">
        <f t="shared" si="73"/>
        <v>71.7142857142857</v>
      </c>
    </row>
    <row r="282" ht="15.6" spans="1:25">
      <c r="A282" s="27">
        <v>307</v>
      </c>
      <c r="B282" s="27">
        <v>21</v>
      </c>
      <c r="C282" s="28" t="s">
        <v>321</v>
      </c>
      <c r="D282" s="28" t="s">
        <v>46</v>
      </c>
      <c r="E282" s="27">
        <v>12.5</v>
      </c>
      <c r="F282" s="29">
        <f>LOOKUP(E282,{0,1.5,2.3,3.1,3.9,4.7,5.5,6.8,8.1,9.4,10.7,12,13.3,14.6,15.9,17.2,18.5,20.2,21.9,23.6,25.3},{0,10,20,30,40,50,60,62,64,66,68,70,72,74,76,78,80,85,90,95,100})</f>
        <v>70</v>
      </c>
      <c r="G282" s="27">
        <v>168</v>
      </c>
      <c r="H282" s="29">
        <f>LOOKUP(G282,{0,125,130,135,140,145,150,153,156,159,162,165,168,171,174,177,180,187,194,200,206},{0,10,20,30,40,50,60,62,64,66,68,70,72,74,76,78,80,85,90,95,100})</f>
        <v>72</v>
      </c>
      <c r="I282" s="27">
        <v>45</v>
      </c>
      <c r="J282" s="29">
        <f>LOOKUP(I282,{0,15,17,19,21,23,25,27,29,31,33,35,37,39,41,43,45,48,51,53,55},{0,10,20,30,40,50,60,62,64,66,68,70,72,74,76,78,80,85,90,95,100})</f>
        <v>80</v>
      </c>
      <c r="K282" s="35"/>
      <c r="L282" s="35"/>
      <c r="M282" s="35">
        <f t="shared" si="68"/>
        <v>80</v>
      </c>
      <c r="N282" s="35">
        <v>9</v>
      </c>
      <c r="O282" s="36">
        <f t="shared" si="69"/>
        <v>9</v>
      </c>
      <c r="P282" s="29">
        <f>LOOKUP(O282,{0,6.6,6.8,7,7.2,7.4,7.6,7.8,8,8.2,8.4,8.6,8.8,9,9.2,9.4,9.6,9.9,10.2,10.3,10.4},{0,10,20,30,40,50,60,62,64,66,68,70,72,74,76,78,80,85,90,95,100})</f>
        <v>74</v>
      </c>
      <c r="Q282" s="5">
        <v>4.35</v>
      </c>
      <c r="R282" s="36">
        <f t="shared" si="70"/>
        <v>5.65</v>
      </c>
      <c r="S282" s="29">
        <f>LOOKUP(R282,{0,4.74,4.84,4.94,5.44,5.54,5.64,5.69,5.74,5.79,5.84,5.89,5.94,5.99,6.44,6.49,6.54,6.61,6.68,6.74,6.8},{0,10,20,30,40,50,60,62,64,66,68,70,72,74,76,78,80,85,90,95,100})</f>
        <v>60</v>
      </c>
      <c r="T282" s="27"/>
      <c r="U282" s="27"/>
      <c r="V282" s="27">
        <f t="shared" si="71"/>
        <v>60</v>
      </c>
      <c r="W282" s="27"/>
      <c r="X282" s="19">
        <f t="shared" si="72"/>
        <v>49</v>
      </c>
      <c r="Y282" s="13">
        <f t="shared" si="73"/>
        <v>70</v>
      </c>
    </row>
    <row r="283" ht="15.6" spans="1:25">
      <c r="A283" s="27">
        <v>307</v>
      </c>
      <c r="B283" s="27">
        <v>22</v>
      </c>
      <c r="C283" s="28" t="s">
        <v>322</v>
      </c>
      <c r="D283" s="28" t="s">
        <v>46</v>
      </c>
      <c r="E283" s="27">
        <v>23</v>
      </c>
      <c r="F283" s="29">
        <f>LOOKUP(E283,{0,1.5,2.3,3.1,3.9,4.7,5.5,6.8,8.1,9.4,10.7,12,13.3,14.6,15.9,17.2,18.5,20.2,21.9,23.6,25.3},{0,10,20,30,40,50,60,62,64,66,68,70,72,74,76,78,80,85,90,95,100})</f>
        <v>90</v>
      </c>
      <c r="G283" s="27">
        <v>205</v>
      </c>
      <c r="H283" s="29">
        <f>LOOKUP(G283,{0,125,130,135,140,145,150,153,156,159,162,165,168,171,174,177,180,187,194,200,206},{0,10,20,30,40,50,60,62,64,66,68,70,72,74,76,78,80,85,90,95,100})</f>
        <v>95</v>
      </c>
      <c r="I283" s="27">
        <v>47</v>
      </c>
      <c r="J283" s="29">
        <f>LOOKUP(I283,{0,15,17,19,21,23,25,27,29,31,33,35,37,39,41,43,45,48,51,53,55},{0,10,20,30,40,50,60,62,64,66,68,70,72,74,76,78,80,85,90,95,100})</f>
        <v>80</v>
      </c>
      <c r="K283" s="35"/>
      <c r="L283" s="35"/>
      <c r="M283" s="35">
        <f t="shared" si="68"/>
        <v>80</v>
      </c>
      <c r="N283" s="35">
        <v>8.2</v>
      </c>
      <c r="O283" s="36">
        <f t="shared" si="69"/>
        <v>9.8</v>
      </c>
      <c r="P283" s="29">
        <f>LOOKUP(O283,{0,6.6,6.8,7,7.2,7.4,7.6,7.8,8,8.2,8.4,8.6,8.8,9,9.2,9.4,9.6,9.9,10.2,10.3,10.4},{0,10,20,30,40,50,60,62,64,66,68,70,72,74,76,78,80,85,90,95,100})</f>
        <v>80</v>
      </c>
      <c r="Q283" s="5">
        <v>5.08</v>
      </c>
      <c r="R283" s="36">
        <f t="shared" si="70"/>
        <v>4.92</v>
      </c>
      <c r="S283" s="29">
        <f>LOOKUP(R283,{0,4.74,4.84,4.94,5.44,5.54,5.64,5.69,5.74,5.79,5.84,5.89,5.94,5.99,6.44,6.49,6.54,6.61,6.68,6.74,6.8},{0,10,20,30,40,50,60,62,64,66,68,70,72,74,76,78,80,85,90,95,100})</f>
        <v>20</v>
      </c>
      <c r="T283" s="27"/>
      <c r="U283" s="27"/>
      <c r="V283" s="27">
        <f t="shared" si="71"/>
        <v>20</v>
      </c>
      <c r="W283" s="27"/>
      <c r="X283" s="19">
        <f t="shared" si="72"/>
        <v>46.5</v>
      </c>
      <c r="Y283" s="13">
        <f t="shared" si="73"/>
        <v>66.4285714285714</v>
      </c>
    </row>
    <row r="284" ht="15.6" spans="1:25">
      <c r="A284" s="27">
        <v>307</v>
      </c>
      <c r="B284" s="27">
        <v>23</v>
      </c>
      <c r="C284" s="28" t="s">
        <v>323</v>
      </c>
      <c r="D284" s="28" t="s">
        <v>46</v>
      </c>
      <c r="E284" s="27">
        <v>32.5</v>
      </c>
      <c r="F284" s="29">
        <f>LOOKUP(E284,{0,1.5,2.3,3.1,3.9,4.7,5.5,6.8,8.1,9.4,10.7,12,13.3,14.6,15.9,17.2,18.5,20.2,21.9,23.6,25.3},{0,10,20,30,40,50,60,62,64,66,68,70,72,74,76,78,80,85,90,95,100})</f>
        <v>100</v>
      </c>
      <c r="G284" s="27">
        <v>159</v>
      </c>
      <c r="H284" s="29">
        <f>LOOKUP(G284,{0,125,130,135,140,145,150,153,156,159,162,165,168,171,174,177,180,187,194,200,206},{0,10,20,30,40,50,60,62,64,66,68,70,72,74,76,78,80,85,90,95,100})</f>
        <v>66</v>
      </c>
      <c r="I284" s="27">
        <v>42</v>
      </c>
      <c r="J284" s="29">
        <f>LOOKUP(I284,{0,15,17,19,21,23,25,27,29,31,33,35,37,39,41,43,45,48,51,53,55},{0,10,20,30,40,50,60,62,64,66,68,70,72,74,76,78,80,85,90,95,100})</f>
        <v>76</v>
      </c>
      <c r="K284" s="35"/>
      <c r="L284" s="35"/>
      <c r="M284" s="35">
        <f t="shared" si="68"/>
        <v>76</v>
      </c>
      <c r="N284" s="35">
        <v>9.4</v>
      </c>
      <c r="O284" s="36">
        <f t="shared" si="69"/>
        <v>8.6</v>
      </c>
      <c r="P284" s="29">
        <f>LOOKUP(O284,{0,6.6,6.8,7,7.2,7.4,7.6,7.8,8,8.2,8.4,8.6,8.8,9,9.2,9.4,9.6,9.9,10.2,10.3,10.4},{0,10,20,30,40,50,60,62,64,66,68,70,72,74,76,78,80,85,90,95,100})</f>
        <v>70</v>
      </c>
      <c r="Q284" s="5">
        <v>3.55</v>
      </c>
      <c r="R284" s="36">
        <f t="shared" si="70"/>
        <v>6.45</v>
      </c>
      <c r="S284" s="29">
        <f>LOOKUP(R284,{0,4.74,4.84,4.94,5.44,5.54,5.64,5.69,5.74,5.79,5.84,5.89,5.94,5.99,6.44,6.49,6.54,6.61,6.68,6.74,6.8},{0,10,20,30,40,50,60,62,64,66,68,70,72,74,76,78,80,85,90,95,100})</f>
        <v>76</v>
      </c>
      <c r="T284" s="27"/>
      <c r="U284" s="27"/>
      <c r="V284" s="27">
        <f t="shared" si="71"/>
        <v>76</v>
      </c>
      <c r="W284" s="27"/>
      <c r="X284" s="19">
        <f t="shared" si="72"/>
        <v>53.4</v>
      </c>
      <c r="Y284" s="13">
        <f t="shared" si="73"/>
        <v>76.2857142857143</v>
      </c>
    </row>
    <row r="285" ht="15.6" spans="1:25">
      <c r="A285" s="27">
        <v>307</v>
      </c>
      <c r="B285" s="27">
        <v>24</v>
      </c>
      <c r="C285" s="28" t="s">
        <v>324</v>
      </c>
      <c r="D285" s="28" t="s">
        <v>46</v>
      </c>
      <c r="E285" s="27">
        <v>17</v>
      </c>
      <c r="F285" s="29">
        <f>LOOKUP(E285,{0,1.5,2.3,3.1,3.9,4.7,5.5,6.8,8.1,9.4,10.7,12,13.3,14.6,15.9,17.2,18.5,20.2,21.9,23.6,25.3},{0,10,20,30,40,50,60,62,64,66,68,70,72,74,76,78,80,85,90,95,100})</f>
        <v>76</v>
      </c>
      <c r="G285" s="27">
        <v>175</v>
      </c>
      <c r="H285" s="29">
        <f>LOOKUP(G285,{0,125,130,135,140,145,150,153,156,159,162,165,168,171,174,177,180,187,194,200,206},{0,10,20,30,40,50,60,62,64,66,68,70,72,74,76,78,80,85,90,95,100})</f>
        <v>76</v>
      </c>
      <c r="I285" s="27">
        <v>39</v>
      </c>
      <c r="J285" s="29">
        <f>LOOKUP(I285,{0,15,17,19,21,23,25,27,29,31,33,35,37,39,41,43,45,48,51,53,55},{0,10,20,30,40,50,60,62,64,66,68,70,72,74,76,78,80,85,90,95,100})</f>
        <v>74</v>
      </c>
      <c r="K285" s="35"/>
      <c r="L285" s="35"/>
      <c r="M285" s="35">
        <f t="shared" si="68"/>
        <v>74</v>
      </c>
      <c r="N285" s="35">
        <v>8.7</v>
      </c>
      <c r="O285" s="36">
        <f t="shared" si="69"/>
        <v>9.3</v>
      </c>
      <c r="P285" s="29">
        <f>LOOKUP(O285,{0,6.6,6.8,7,7.2,7.4,7.6,7.8,8,8.2,8.4,8.6,8.8,9,9.2,9.4,9.6,9.9,10.2,10.3,10.4},{0,10,20,30,40,50,60,62,64,66,68,70,72,74,76,78,80,85,90,95,100})</f>
        <v>76</v>
      </c>
      <c r="Q285" s="5">
        <v>5.26</v>
      </c>
      <c r="R285" s="36">
        <f t="shared" si="70"/>
        <v>4.74</v>
      </c>
      <c r="S285" s="29">
        <f>LOOKUP(R285,{0,4.74,4.84,4.94,5.44,5.54,5.64,5.69,5.74,5.79,5.84,5.89,5.94,5.99,6.44,6.49,6.54,6.61,6.68,6.74,6.8},{0,10,20,30,40,50,60,62,64,66,68,70,72,74,76,78,80,85,90,95,100})</f>
        <v>10</v>
      </c>
      <c r="T285" s="27"/>
      <c r="U285" s="27"/>
      <c r="V285" s="27">
        <f t="shared" si="71"/>
        <v>10</v>
      </c>
      <c r="W285" s="27"/>
      <c r="X285" s="19">
        <f t="shared" si="72"/>
        <v>39.8</v>
      </c>
      <c r="Y285" s="13">
        <f t="shared" si="73"/>
        <v>56.8571428571429</v>
      </c>
    </row>
    <row r="286" spans="1:25">
      <c r="A286" s="27">
        <v>307</v>
      </c>
      <c r="B286" s="27">
        <v>25</v>
      </c>
      <c r="C286" s="28" t="s">
        <v>325</v>
      </c>
      <c r="D286" s="28" t="s">
        <v>46</v>
      </c>
      <c r="E286" s="27"/>
      <c r="F286" s="27"/>
      <c r="G286" s="27"/>
      <c r="H286" s="27"/>
      <c r="I286" s="27"/>
      <c r="J286" s="35"/>
      <c r="K286" s="35"/>
      <c r="L286" s="35"/>
      <c r="M286" s="35"/>
      <c r="N286" s="35"/>
      <c r="O286" s="5"/>
      <c r="P286" s="5"/>
      <c r="Q286" s="5"/>
      <c r="R286" s="27"/>
      <c r="S286" s="27"/>
      <c r="T286" s="27"/>
      <c r="U286" s="27"/>
      <c r="V286" s="27"/>
      <c r="W286" s="27">
        <v>50</v>
      </c>
      <c r="X286" s="19"/>
      <c r="Y286" s="19">
        <v>50</v>
      </c>
    </row>
    <row r="287" ht="15.6" spans="1:25">
      <c r="A287" s="27">
        <v>307</v>
      </c>
      <c r="B287" s="27">
        <v>26</v>
      </c>
      <c r="C287" s="28" t="s">
        <v>326</v>
      </c>
      <c r="D287" s="28" t="s">
        <v>46</v>
      </c>
      <c r="E287" s="27">
        <v>8.5</v>
      </c>
      <c r="F287" s="29">
        <f>LOOKUP(E287,{0,1.5,2.3,3.1,3.9,4.7,5.5,6.8,8.1,9.4,10.7,12,13.3,14.6,15.9,17.2,18.5,20.2,21.9,23.6,25.3},{0,10,20,30,40,50,60,62,64,66,68,70,72,74,76,78,80,85,90,95,100})</f>
        <v>64</v>
      </c>
      <c r="G287" s="27">
        <v>165</v>
      </c>
      <c r="H287" s="29">
        <f>LOOKUP(G287,{0,125,130,135,140,145,150,153,156,159,162,165,168,171,174,177,180,187,194,200,206},{0,10,20,30,40,50,60,62,64,66,68,70,72,74,76,78,80,85,90,95,100})</f>
        <v>70</v>
      </c>
      <c r="I287" s="27">
        <v>47</v>
      </c>
      <c r="J287" s="29">
        <f>LOOKUP(I287,{0,15,17,19,21,23,25,27,29,31,33,35,37,39,41,43,45,48,51,53,55},{0,10,20,30,40,50,60,62,64,66,68,70,72,74,76,78,80,85,90,95,100})</f>
        <v>80</v>
      </c>
      <c r="K287" s="35"/>
      <c r="L287" s="35"/>
      <c r="M287" s="35">
        <f>J287+L287</f>
        <v>80</v>
      </c>
      <c r="N287" s="35">
        <v>9.5</v>
      </c>
      <c r="O287" s="36">
        <f>18-N287</f>
        <v>8.5</v>
      </c>
      <c r="P287" s="29">
        <f>LOOKUP(O287,{0,6.6,6.8,7,7.2,7.4,7.6,7.8,8,8.2,8.4,8.6,8.8,9,9.2,9.4,9.6,9.9,10.2,10.3,10.4},{0,10,20,30,40,50,60,62,64,66,68,70,72,74,76,78,80,85,90,95,100})</f>
        <v>68</v>
      </c>
      <c r="Q287" s="5">
        <v>4.05</v>
      </c>
      <c r="R287" s="36">
        <f>10-Q287</f>
        <v>5.95</v>
      </c>
      <c r="S287" s="29">
        <f>LOOKUP(R287,{0,4.74,4.84,4.94,5.44,5.54,5.64,5.69,5.74,5.79,5.84,5.89,5.94,5.99,6.44,6.49,6.54,6.61,6.68,6.74,6.8},{0,10,20,30,40,50,60,62,64,66,68,70,72,74,76,78,80,85,90,95,100})</f>
        <v>72</v>
      </c>
      <c r="T287" s="27"/>
      <c r="U287" s="27"/>
      <c r="V287" s="27">
        <f>S287+U287</f>
        <v>72</v>
      </c>
      <c r="W287" s="27"/>
      <c r="X287" s="19">
        <f>F287*0.1+H287*0.1+J287*0.1+P287*0.2+S287*0.2</f>
        <v>49.4</v>
      </c>
      <c r="Y287" s="13">
        <f>X287/0.7+L287+U287</f>
        <v>70.5714285714286</v>
      </c>
    </row>
    <row r="288" spans="1:25">
      <c r="A288" s="27">
        <v>307</v>
      </c>
      <c r="B288" s="27">
        <v>27</v>
      </c>
      <c r="C288" s="28" t="s">
        <v>327</v>
      </c>
      <c r="D288" s="28" t="s">
        <v>46</v>
      </c>
      <c r="E288" s="27"/>
      <c r="F288" s="27"/>
      <c r="G288" s="27"/>
      <c r="H288" s="27"/>
      <c r="I288" s="27"/>
      <c r="J288" s="35"/>
      <c r="K288" s="35"/>
      <c r="L288" s="35"/>
      <c r="M288" s="35"/>
      <c r="N288" s="35"/>
      <c r="O288" s="5"/>
      <c r="P288" s="5"/>
      <c r="Q288" s="5"/>
      <c r="R288" s="27"/>
      <c r="S288" s="27"/>
      <c r="T288" s="27"/>
      <c r="U288" s="27"/>
      <c r="V288" s="27"/>
      <c r="W288" s="27">
        <v>50</v>
      </c>
      <c r="X288" s="19"/>
      <c r="Y288" s="19">
        <v>50</v>
      </c>
    </row>
    <row r="289" ht="15.6" spans="1:25">
      <c r="A289" s="27">
        <v>307</v>
      </c>
      <c r="B289" s="27">
        <v>28</v>
      </c>
      <c r="C289" s="30" t="s">
        <v>329</v>
      </c>
      <c r="D289" s="28" t="s">
        <v>46</v>
      </c>
      <c r="E289" s="27">
        <v>19</v>
      </c>
      <c r="F289" s="29">
        <f>LOOKUP(E289,{0,1.5,2.3,3.1,3.9,4.7,5.5,6.8,8.1,9.4,10.7,12,13.3,14.6,15.9,17.2,18.5,20.2,21.9,23.6,25.3},{0,10,20,30,40,50,60,62,64,66,68,70,72,74,76,78,80,85,90,95,100})</f>
        <v>80</v>
      </c>
      <c r="G289" s="27">
        <v>172</v>
      </c>
      <c r="H289" s="29">
        <f>LOOKUP(G289,{0,125,130,135,140,145,150,153,156,159,162,165,168,171,174,177,180,187,194,200,206},{0,10,20,30,40,50,60,62,64,66,68,70,72,74,76,78,80,85,90,95,100})</f>
        <v>74</v>
      </c>
      <c r="I289" s="27">
        <v>40</v>
      </c>
      <c r="J289" s="29">
        <f>LOOKUP(I289,{0,15,17,19,21,23,25,27,29,31,33,35,37,39,41,43,45,48,51,53,55},{0,10,20,30,40,50,60,62,64,66,68,70,72,74,76,78,80,85,90,95,100})</f>
        <v>74</v>
      </c>
      <c r="K289" s="35"/>
      <c r="L289" s="35"/>
      <c r="M289" s="35">
        <f>J289+L289</f>
        <v>74</v>
      </c>
      <c r="N289" s="35">
        <v>8.6</v>
      </c>
      <c r="O289" s="36">
        <f>18-N289</f>
        <v>9.4</v>
      </c>
      <c r="P289" s="29">
        <f>LOOKUP(O289,{0,6.6,6.8,7,7.2,7.4,7.6,7.8,8,8.2,8.4,8.6,8.8,9,9.2,9.4,9.6,9.9,10.2,10.3,10.4},{0,10,20,30,40,50,60,62,64,66,68,70,72,74,76,78,80,85,90,95,100})</f>
        <v>78</v>
      </c>
      <c r="Q289" s="5">
        <v>5.06</v>
      </c>
      <c r="R289" s="36">
        <f>10-Q289</f>
        <v>4.94</v>
      </c>
      <c r="S289" s="29">
        <f>LOOKUP(R289,{0,4.74,4.84,4.94,5.44,5.54,5.64,5.69,5.74,5.79,5.84,5.89,5.94,5.99,6.44,6.49,6.54,6.61,6.68,6.74,6.8},{0,10,20,30,40,50,60,62,64,66,68,70,72,74,76,78,80,85,90,95,100})</f>
        <v>30</v>
      </c>
      <c r="T289" s="27"/>
      <c r="U289" s="27"/>
      <c r="V289" s="27">
        <f>S289+U289</f>
        <v>30</v>
      </c>
      <c r="W289" s="27"/>
      <c r="X289" s="19">
        <f>F289*0.1+H289*0.1+J289*0.1+P289*0.2+S289*0.2</f>
        <v>44.4</v>
      </c>
      <c r="Y289" s="13">
        <f>X289/0.7+L289+U289</f>
        <v>63.4285714285714</v>
      </c>
    </row>
    <row r="290" ht="15.6" spans="1:25">
      <c r="A290" s="27">
        <v>307</v>
      </c>
      <c r="B290" s="27">
        <v>29</v>
      </c>
      <c r="C290" s="28" t="s">
        <v>330</v>
      </c>
      <c r="D290" s="28" t="s">
        <v>46</v>
      </c>
      <c r="E290" s="27">
        <v>12.2</v>
      </c>
      <c r="F290" s="29">
        <f>LOOKUP(E290,{0,1.5,2.3,3.1,3.9,4.7,5.5,6.8,8.1,9.4,10.7,12,13.3,14.6,15.9,17.2,18.5,20.2,21.9,23.6,25.3},{0,10,20,30,40,50,60,62,64,66,68,70,72,74,76,78,80,85,90,95,100})</f>
        <v>70</v>
      </c>
      <c r="G290" s="27">
        <v>160</v>
      </c>
      <c r="H290" s="29">
        <f>LOOKUP(G290,{0,125,130,135,140,145,150,153,156,159,162,165,168,171,174,177,180,187,194,200,206},{0,10,20,30,40,50,60,62,64,66,68,70,72,74,76,78,80,85,90,95,100})</f>
        <v>66</v>
      </c>
      <c r="I290" s="27">
        <v>42</v>
      </c>
      <c r="J290" s="29">
        <f>LOOKUP(I290,{0,15,17,19,21,23,25,27,29,31,33,35,37,39,41,43,45,48,51,53,55},{0,10,20,30,40,50,60,62,64,66,68,70,72,74,76,78,80,85,90,95,100})</f>
        <v>76</v>
      </c>
      <c r="K290" s="35"/>
      <c r="L290" s="35"/>
      <c r="M290" s="35">
        <f>J290+L290</f>
        <v>76</v>
      </c>
      <c r="N290" s="35">
        <v>10.1</v>
      </c>
      <c r="O290" s="36">
        <f>18-N290</f>
        <v>7.9</v>
      </c>
      <c r="P290" s="29">
        <f>LOOKUP(O290,{0,6.6,6.8,7,7.2,7.4,7.6,7.8,8,8.2,8.4,8.6,8.8,9,9.2,9.4,9.6,9.9,10.2,10.3,10.4},{0,10,20,30,40,50,60,62,64,66,68,70,72,74,76,78,80,85,90,95,100})</f>
        <v>62</v>
      </c>
      <c r="Q290" s="5">
        <v>4.37</v>
      </c>
      <c r="R290" s="36">
        <f>10-Q290</f>
        <v>5.63</v>
      </c>
      <c r="S290" s="29">
        <f>LOOKUP(R290,{0,4.74,4.84,4.94,5.44,5.54,5.64,5.69,5.74,5.79,5.84,5.89,5.94,5.99,6.44,6.49,6.54,6.61,6.68,6.74,6.8},{0,10,20,30,40,50,60,62,64,66,68,70,72,74,76,78,80,85,90,95,100})</f>
        <v>50</v>
      </c>
      <c r="T290" s="27"/>
      <c r="U290" s="27"/>
      <c r="V290" s="27">
        <f>S290+U290</f>
        <v>50</v>
      </c>
      <c r="W290" s="27"/>
      <c r="X290" s="19">
        <f>F290*0.1+H290*0.1+J290*0.1+P290*0.2+S290*0.2</f>
        <v>43.6</v>
      </c>
      <c r="Y290" s="13">
        <f>X290/0.7+L290+U290</f>
        <v>62.2857142857143</v>
      </c>
    </row>
    <row r="291" ht="15.6" spans="1:25">
      <c r="A291" s="27">
        <v>307</v>
      </c>
      <c r="B291" s="27">
        <v>30</v>
      </c>
      <c r="C291" s="28" t="s">
        <v>331</v>
      </c>
      <c r="D291" s="28" t="s">
        <v>46</v>
      </c>
      <c r="E291" s="27">
        <v>14</v>
      </c>
      <c r="F291" s="29">
        <f>LOOKUP(E291,{0,1.5,2.3,3.1,3.9,4.7,5.5,6.8,8.1,9.4,10.7,12,13.3,14.6,15.9,17.2,18.5,20.2,21.9,23.6,25.3},{0,10,20,30,40,50,60,62,64,66,68,70,72,74,76,78,80,85,90,95,100})</f>
        <v>72</v>
      </c>
      <c r="G291" s="27">
        <v>150</v>
      </c>
      <c r="H291" s="29">
        <f>LOOKUP(G291,{0,125,130,135,140,145,150,153,156,159,162,165,168,171,174,177,180,187,194,200,206},{0,10,20,30,40,50,60,62,64,66,68,70,72,74,76,78,80,85,90,95,100})</f>
        <v>60</v>
      </c>
      <c r="I291" s="27">
        <v>45</v>
      </c>
      <c r="J291" s="29">
        <f>LOOKUP(I291,{0,15,17,19,21,23,25,27,29,31,33,35,37,39,41,43,45,48,51,53,55},{0,10,20,30,40,50,60,62,64,66,68,70,72,74,76,78,80,85,90,95,100})</f>
        <v>80</v>
      </c>
      <c r="K291" s="35"/>
      <c r="L291" s="35"/>
      <c r="M291" s="35">
        <f>J291+L291</f>
        <v>80</v>
      </c>
      <c r="N291" s="35">
        <v>9.9</v>
      </c>
      <c r="O291" s="36">
        <f>18-N291</f>
        <v>8.1</v>
      </c>
      <c r="P291" s="29">
        <f>LOOKUP(O291,{0,6.6,6.8,7,7.2,7.4,7.6,7.8,8,8.2,8.4,8.6,8.8,9,9.2,9.4,9.6,9.9,10.2,10.3,10.4},{0,10,20,30,40,50,60,62,64,66,68,70,72,74,76,78,80,85,90,95,100})</f>
        <v>64</v>
      </c>
      <c r="Q291" s="5">
        <v>4.53</v>
      </c>
      <c r="R291" s="36">
        <f>10-Q291</f>
        <v>5.47</v>
      </c>
      <c r="S291" s="29">
        <f>LOOKUP(R291,{0,4.74,4.84,4.94,5.44,5.54,5.64,5.69,5.74,5.79,5.84,5.89,5.94,5.99,6.44,6.49,6.54,6.61,6.68,6.74,6.8},{0,10,20,30,40,50,60,62,64,66,68,70,72,74,76,78,80,85,90,95,100})</f>
        <v>40</v>
      </c>
      <c r="T291" s="27"/>
      <c r="U291" s="27"/>
      <c r="V291" s="27">
        <f>S291+U291</f>
        <v>40</v>
      </c>
      <c r="W291" s="27"/>
      <c r="X291" s="19">
        <f>F291*0.1+H291*0.1+J291*0.1+P291*0.2+S291*0.2</f>
        <v>42</v>
      </c>
      <c r="Y291" s="13">
        <f>X291/0.7+L291+U291</f>
        <v>60</v>
      </c>
    </row>
    <row r="292" spans="1:25">
      <c r="A292" s="27">
        <v>307</v>
      </c>
      <c r="B292" s="27">
        <v>31</v>
      </c>
      <c r="C292" s="28" t="s">
        <v>332</v>
      </c>
      <c r="D292" s="28" t="s">
        <v>46</v>
      </c>
      <c r="E292" s="27"/>
      <c r="F292" s="27"/>
      <c r="G292" s="27"/>
      <c r="H292" s="27"/>
      <c r="I292" s="27"/>
      <c r="J292" s="35"/>
      <c r="K292" s="35"/>
      <c r="L292" s="35"/>
      <c r="M292" s="35"/>
      <c r="N292" s="35"/>
      <c r="O292" s="5"/>
      <c r="P292" s="5"/>
      <c r="Q292" s="5"/>
      <c r="R292" s="27"/>
      <c r="S292" s="27"/>
      <c r="T292" s="27"/>
      <c r="U292" s="27"/>
      <c r="V292" s="27"/>
      <c r="W292" s="27">
        <v>50</v>
      </c>
      <c r="X292" s="19"/>
      <c r="Y292" s="19">
        <v>50</v>
      </c>
    </row>
    <row r="293" ht="15.6" spans="1:25">
      <c r="A293" s="27">
        <v>307</v>
      </c>
      <c r="B293" s="27">
        <v>32</v>
      </c>
      <c r="C293" s="28" t="s">
        <v>333</v>
      </c>
      <c r="D293" s="28" t="s">
        <v>46</v>
      </c>
      <c r="E293" s="27">
        <v>13.2</v>
      </c>
      <c r="F293" s="29">
        <f>LOOKUP(E293,{0,1.5,2.3,3.1,3.9,4.7,5.5,6.8,8.1,9.4,10.7,12,13.3,14.6,15.9,17.2,18.5,20.2,21.9,23.6,25.3},{0,10,20,30,40,50,60,62,64,66,68,70,72,74,76,78,80,85,90,95,100})</f>
        <v>70</v>
      </c>
      <c r="G293" s="27">
        <v>175</v>
      </c>
      <c r="H293" s="29">
        <f>LOOKUP(G293,{0,125,130,135,140,145,150,153,156,159,162,165,168,171,174,177,180,187,194,200,206},{0,10,20,30,40,50,60,62,64,66,68,70,72,74,76,78,80,85,90,95,100})</f>
        <v>76</v>
      </c>
      <c r="I293" s="27">
        <v>50</v>
      </c>
      <c r="J293" s="29">
        <f>LOOKUP(I293,{0,15,17,19,21,23,25,27,29,31,33,35,37,39,41,43,45,48,51,53,55},{0,10,20,30,40,50,60,62,64,66,68,70,72,74,76,78,80,85,90,95,100})</f>
        <v>85</v>
      </c>
      <c r="K293" s="35"/>
      <c r="L293" s="35"/>
      <c r="M293" s="35">
        <f t="shared" ref="M293:M310" si="74">J293+L293</f>
        <v>85</v>
      </c>
      <c r="N293" s="35">
        <v>8.9</v>
      </c>
      <c r="O293" s="36">
        <f>18-N293</f>
        <v>9.1</v>
      </c>
      <c r="P293" s="29">
        <f>LOOKUP(O293,{0,6.6,6.8,7,7.2,7.4,7.6,7.8,8,8.2,8.4,8.6,8.8,9,9.2,9.4,9.6,9.9,10.2,10.3,10.4},{0,10,20,30,40,50,60,62,64,66,68,70,72,74,76,78,80,85,90,95,100})</f>
        <v>74</v>
      </c>
      <c r="Q293" s="5">
        <v>4.25</v>
      </c>
      <c r="R293" s="36">
        <f>10-Q293</f>
        <v>5.75</v>
      </c>
      <c r="S293" s="29">
        <f>LOOKUP(R293,{0,4.74,4.84,4.94,5.44,5.54,5.64,5.69,5.74,5.79,5.84,5.89,5.94,5.99,6.44,6.49,6.54,6.61,6.68,6.74,6.8},{0,10,20,30,40,50,60,62,64,66,68,70,72,74,76,78,80,85,90,95,100})</f>
        <v>64</v>
      </c>
      <c r="T293" s="27"/>
      <c r="U293" s="27"/>
      <c r="V293" s="27">
        <f t="shared" ref="V293:V310" si="75">S293+U293</f>
        <v>64</v>
      </c>
      <c r="W293" s="27"/>
      <c r="X293" s="19">
        <f t="shared" ref="X293:X310" si="76">F293*0.1+H293*0.1+J293*0.1+P293*0.2+S293*0.2</f>
        <v>50.7</v>
      </c>
      <c r="Y293" s="13">
        <f t="shared" ref="Y293:Y310" si="77">X293/0.7+L293+U293</f>
        <v>72.4285714285714</v>
      </c>
    </row>
    <row r="294" ht="15.6" spans="1:25">
      <c r="A294" s="27">
        <v>307</v>
      </c>
      <c r="B294" s="27">
        <v>33</v>
      </c>
      <c r="C294" s="28" t="s">
        <v>334</v>
      </c>
      <c r="D294" s="28" t="s">
        <v>46</v>
      </c>
      <c r="E294" s="27">
        <v>8.6</v>
      </c>
      <c r="F294" s="29">
        <f>LOOKUP(E294,{0,1.5,2.3,3.1,3.9,4.7,5.5,6.8,8.1,9.4,10.7,12,13.3,14.6,15.9,17.2,18.5,20.2,21.9,23.6,25.3},{0,10,20,30,40,50,60,62,64,66,68,70,72,74,76,78,80,85,90,95,100})</f>
        <v>64</v>
      </c>
      <c r="G294" s="27">
        <v>130</v>
      </c>
      <c r="H294" s="29">
        <f>LOOKUP(G294,{0,125,130,135,140,145,150,153,156,159,162,165,168,171,174,177,180,187,194,200,206},{0,10,20,30,40,50,60,62,64,66,68,70,72,74,76,78,80,85,90,95,100})</f>
        <v>20</v>
      </c>
      <c r="I294" s="27">
        <v>26</v>
      </c>
      <c r="J294" s="29">
        <f>LOOKUP(I294,{0,15,17,19,21,23,25,27,29,31,33,35,37,39,41,43,45,48,51,53,55},{0,10,20,30,40,50,60,62,64,66,68,70,72,74,76,78,80,85,90,95,100})</f>
        <v>60</v>
      </c>
      <c r="K294" s="35"/>
      <c r="L294" s="35"/>
      <c r="M294" s="35">
        <f t="shared" si="74"/>
        <v>60</v>
      </c>
      <c r="N294" s="35">
        <v>13.2</v>
      </c>
      <c r="O294" s="36">
        <f>18-N294</f>
        <v>4.8</v>
      </c>
      <c r="P294" s="29">
        <f>LOOKUP(O294,{0,6.6,6.8,7,7.2,7.4,7.6,7.8,8,8.2,8.4,8.6,8.8,9,9.2,9.4,9.6,9.9,10.2,10.3,10.4},{0,10,20,30,40,50,60,62,64,66,68,70,72,74,76,78,80,85,90,95,100})</f>
        <v>0</v>
      </c>
      <c r="Q294" s="5">
        <v>7.31</v>
      </c>
      <c r="R294" s="36">
        <f>10-Q294</f>
        <v>2.69</v>
      </c>
      <c r="S294" s="29">
        <f>LOOKUP(R294,{0,4.74,4.84,4.94,5.44,5.54,5.64,5.69,5.74,5.79,5.84,5.89,5.94,5.99,6.44,6.49,6.54,6.61,6.68,6.74,6.8},{0,10,20,30,40,50,60,62,64,66,68,70,72,74,76,78,80,85,90,95,100})</f>
        <v>0</v>
      </c>
      <c r="T294" s="27"/>
      <c r="U294" s="27"/>
      <c r="V294" s="27">
        <f t="shared" si="75"/>
        <v>0</v>
      </c>
      <c r="W294" s="27"/>
      <c r="X294" s="19">
        <f t="shared" si="76"/>
        <v>14.4</v>
      </c>
      <c r="Y294" s="13">
        <f t="shared" si="77"/>
        <v>20.5714285714286</v>
      </c>
    </row>
    <row r="295" ht="15.6" spans="1:25">
      <c r="A295" s="27">
        <v>307</v>
      </c>
      <c r="B295" s="27">
        <v>34</v>
      </c>
      <c r="C295" s="28" t="s">
        <v>335</v>
      </c>
      <c r="D295" s="28" t="s">
        <v>46</v>
      </c>
      <c r="E295" s="27">
        <v>30</v>
      </c>
      <c r="F295" s="29">
        <f>LOOKUP(E295,{0,1.5,2.3,3.1,3.9,4.7,5.5,6.8,8.1,9.4,10.7,12,13.3,14.6,15.9,17.2,18.5,20.2,21.9,23.6,25.3},{0,10,20,30,40,50,60,62,64,66,68,70,72,74,76,78,80,85,90,95,100})</f>
        <v>100</v>
      </c>
      <c r="G295" s="27">
        <v>192</v>
      </c>
      <c r="H295" s="29">
        <f>LOOKUP(G295,{0,125,130,135,140,145,150,153,156,159,162,165,168,171,174,177,180,187,194,200,206},{0,10,20,30,40,50,60,62,64,66,68,70,72,74,76,78,80,85,90,95,100})</f>
        <v>85</v>
      </c>
      <c r="I295" s="27">
        <v>42</v>
      </c>
      <c r="J295" s="29">
        <f>LOOKUP(I295,{0,15,17,19,21,23,25,27,29,31,33,35,37,39,41,43,45,48,51,53,55},{0,10,20,30,40,50,60,62,64,66,68,70,72,74,76,78,80,85,90,95,100})</f>
        <v>76</v>
      </c>
      <c r="K295" s="35"/>
      <c r="L295" s="35"/>
      <c r="M295" s="35">
        <f t="shared" si="74"/>
        <v>76</v>
      </c>
      <c r="N295" s="35">
        <v>8.9</v>
      </c>
      <c r="O295" s="36">
        <f>18-N295</f>
        <v>9.1</v>
      </c>
      <c r="P295" s="29">
        <f>LOOKUP(O295,{0,6.6,6.8,7,7.2,7.4,7.6,7.8,8,8.2,8.4,8.6,8.8,9,9.2,9.4,9.6,9.9,10.2,10.3,10.4},{0,10,20,30,40,50,60,62,64,66,68,70,72,74,76,78,80,85,90,95,100})</f>
        <v>74</v>
      </c>
      <c r="Q295" s="5">
        <v>5.07</v>
      </c>
      <c r="R295" s="36">
        <f>10-Q295</f>
        <v>4.93</v>
      </c>
      <c r="S295" s="29">
        <f>LOOKUP(R295,{0,4.74,4.84,4.94,5.44,5.54,5.64,5.69,5.74,5.79,5.84,5.89,5.94,5.99,6.44,6.49,6.54,6.61,6.68,6.74,6.8},{0,10,20,30,40,50,60,62,64,66,68,70,72,74,76,78,80,85,90,95,100})</f>
        <v>20</v>
      </c>
      <c r="T295" s="27"/>
      <c r="U295" s="27"/>
      <c r="V295" s="27">
        <f t="shared" si="75"/>
        <v>20</v>
      </c>
      <c r="W295" s="27"/>
      <c r="X295" s="19">
        <f t="shared" si="76"/>
        <v>44.9</v>
      </c>
      <c r="Y295" s="13">
        <f t="shared" si="77"/>
        <v>64.1428571428572</v>
      </c>
    </row>
    <row r="296" ht="15.6" spans="1:25">
      <c r="A296" s="27">
        <v>307</v>
      </c>
      <c r="B296" s="27">
        <v>35</v>
      </c>
      <c r="C296" s="28" t="s">
        <v>336</v>
      </c>
      <c r="D296" s="28" t="s">
        <v>46</v>
      </c>
      <c r="E296" s="27">
        <v>5.5</v>
      </c>
      <c r="F296" s="29">
        <f>LOOKUP(E296,{0,1.5,2.3,3.1,3.9,4.7,5.5,6.8,8.1,9.4,10.7,12,13.3,14.6,15.9,17.2,18.5,20.2,21.9,23.6,25.3},{0,10,20,30,40,50,60,62,64,66,68,70,72,74,76,78,80,85,90,95,100})</f>
        <v>60</v>
      </c>
      <c r="G296" s="27">
        <v>160</v>
      </c>
      <c r="H296" s="29">
        <f>LOOKUP(G296,{0,125,130,135,140,145,150,153,156,159,162,165,168,171,174,177,180,187,194,200,206},{0,10,20,30,40,50,60,62,64,66,68,70,72,74,76,78,80,85,90,95,100})</f>
        <v>66</v>
      </c>
      <c r="I296" s="27">
        <v>51</v>
      </c>
      <c r="J296" s="29">
        <f>LOOKUP(I296,{0,15,17,19,21,23,25,27,29,31,33,35,37,39,41,43,45,48,51,53,55},{0,10,20,30,40,50,60,62,64,66,68,70,72,74,76,78,80,85,90,95,100})</f>
        <v>90</v>
      </c>
      <c r="K296" s="35"/>
      <c r="L296" s="35"/>
      <c r="M296" s="35">
        <f t="shared" si="74"/>
        <v>90</v>
      </c>
      <c r="N296" s="35">
        <v>9</v>
      </c>
      <c r="O296" s="36">
        <f>18-N296</f>
        <v>9</v>
      </c>
      <c r="P296" s="29">
        <f>LOOKUP(O296,{0,6.6,6.8,7,7.2,7.4,7.6,7.8,8,8.2,8.4,8.6,8.8,9,9.2,9.4,9.6,9.9,10.2,10.3,10.4},{0,10,20,30,40,50,60,62,64,66,68,70,72,74,76,78,80,85,90,95,100})</f>
        <v>74</v>
      </c>
      <c r="Q296" s="5">
        <v>3.52</v>
      </c>
      <c r="R296" s="36">
        <f>10-Q296</f>
        <v>6.48</v>
      </c>
      <c r="S296" s="29">
        <f>LOOKUP(R296,{0,4.74,4.84,4.94,5.44,5.54,5.64,5.69,5.74,5.79,5.84,5.89,5.94,5.99,6.44,6.49,6.54,6.61,6.68,6.74,6.8},{0,10,20,30,40,50,60,62,64,66,68,70,72,74,76,78,80,85,90,95,100})</f>
        <v>76</v>
      </c>
      <c r="T296" s="27"/>
      <c r="U296" s="27"/>
      <c r="V296" s="27">
        <f t="shared" si="75"/>
        <v>76</v>
      </c>
      <c r="W296" s="27"/>
      <c r="X296" s="19">
        <f t="shared" si="76"/>
        <v>51.6</v>
      </c>
      <c r="Y296" s="13">
        <f t="shared" si="77"/>
        <v>73.7142857142857</v>
      </c>
    </row>
    <row r="297" ht="15.6" spans="1:25">
      <c r="A297" s="27">
        <v>307</v>
      </c>
      <c r="B297" s="27">
        <v>36</v>
      </c>
      <c r="C297" s="28" t="s">
        <v>337</v>
      </c>
      <c r="D297" s="28" t="s">
        <v>46</v>
      </c>
      <c r="E297" s="27" t="s">
        <v>77</v>
      </c>
      <c r="F297" s="29"/>
      <c r="G297" s="27">
        <v>225</v>
      </c>
      <c r="H297" s="29">
        <f>LOOKUP(G297,{0,125,130,135,140,145,150,153,156,159,162,165,168,171,174,177,180,187,194,200,206},{0,10,20,30,40,50,60,62,64,66,68,70,72,74,76,78,80,85,90,95,100})</f>
        <v>100</v>
      </c>
      <c r="I297" s="27" t="s">
        <v>77</v>
      </c>
      <c r="J297" s="29"/>
      <c r="K297" s="27"/>
      <c r="L297" s="27"/>
      <c r="M297" s="35"/>
      <c r="N297" s="27" t="s">
        <v>77</v>
      </c>
      <c r="O297" s="27"/>
      <c r="P297" s="27"/>
      <c r="Q297" s="27" t="s">
        <v>77</v>
      </c>
      <c r="R297" s="27"/>
      <c r="S297" s="27"/>
      <c r="T297" s="27"/>
      <c r="U297" s="27"/>
      <c r="V297" s="27"/>
      <c r="W297" s="42">
        <v>50</v>
      </c>
      <c r="X297" s="19">
        <f t="shared" si="76"/>
        <v>10</v>
      </c>
      <c r="Y297" s="13">
        <v>50</v>
      </c>
    </row>
    <row r="298" ht="15.6" spans="1:25">
      <c r="A298" s="27">
        <v>307</v>
      </c>
      <c r="B298" s="27">
        <v>37</v>
      </c>
      <c r="C298" s="28" t="s">
        <v>338</v>
      </c>
      <c r="D298" s="28" t="s">
        <v>46</v>
      </c>
      <c r="E298" s="27">
        <v>16.4</v>
      </c>
      <c r="F298" s="29">
        <f>LOOKUP(E298,{0,1.5,2.3,3.1,3.9,4.7,5.5,6.8,8.1,9.4,10.7,12,13.3,14.6,15.9,17.2,18.5,20.2,21.9,23.6,25.3},{0,10,20,30,40,50,60,62,64,66,68,70,72,74,76,78,80,85,90,95,100})</f>
        <v>76</v>
      </c>
      <c r="G298" s="27">
        <v>150</v>
      </c>
      <c r="H298" s="29">
        <f>LOOKUP(G298,{0,125,130,135,140,145,150,153,156,159,162,165,168,171,174,177,180,187,194,200,206},{0,10,20,30,40,50,60,62,64,66,68,70,72,74,76,78,80,85,90,95,100})</f>
        <v>60</v>
      </c>
      <c r="I298" s="27">
        <v>36</v>
      </c>
      <c r="J298" s="29">
        <f>LOOKUP(I298,{0,15,17,19,21,23,25,27,29,31,33,35,37,39,41,43,45,48,51,53,55},{0,10,20,30,40,50,60,62,64,66,68,70,72,74,76,78,80,85,90,95,100})</f>
        <v>70</v>
      </c>
      <c r="K298" s="35"/>
      <c r="L298" s="35"/>
      <c r="M298" s="35">
        <f t="shared" si="74"/>
        <v>70</v>
      </c>
      <c r="N298" s="35">
        <v>8.5</v>
      </c>
      <c r="O298" s="36">
        <f>18-N298</f>
        <v>9.5</v>
      </c>
      <c r="P298" s="29">
        <f>LOOKUP(O298,{0,6.6,6.8,7,7.2,7.4,7.6,7.8,8,8.2,8.4,8.6,8.8,9,9.2,9.4,9.6,9.9,10.2,10.3,10.4},{0,10,20,30,40,50,60,62,64,66,68,70,72,74,76,78,80,85,90,95,100})</f>
        <v>78</v>
      </c>
      <c r="Q298" s="5">
        <v>3.54</v>
      </c>
      <c r="R298" s="36">
        <f>10-Q298</f>
        <v>6.46</v>
      </c>
      <c r="S298" s="29">
        <f>LOOKUP(R298,{0,4.74,4.84,4.94,5.44,5.54,5.64,5.69,5.74,5.79,5.84,5.89,5.94,5.99,6.44,6.49,6.54,6.61,6.68,6.74,6.8},{0,10,20,30,40,50,60,62,64,66,68,70,72,74,76,78,80,85,90,95,100})</f>
        <v>76</v>
      </c>
      <c r="T298" s="27"/>
      <c r="U298" s="27"/>
      <c r="V298" s="27">
        <f t="shared" si="75"/>
        <v>76</v>
      </c>
      <c r="W298" s="27"/>
      <c r="X298" s="19">
        <f t="shared" si="76"/>
        <v>51.4</v>
      </c>
      <c r="Y298" s="13">
        <f t="shared" si="77"/>
        <v>73.4285714285714</v>
      </c>
    </row>
    <row r="299" ht="15.6" spans="1:25">
      <c r="A299" s="27">
        <v>307</v>
      </c>
      <c r="B299" s="27">
        <v>38</v>
      </c>
      <c r="C299" s="30" t="s">
        <v>340</v>
      </c>
      <c r="D299" s="28" t="s">
        <v>46</v>
      </c>
      <c r="E299" s="27">
        <v>18.5</v>
      </c>
      <c r="F299" s="29">
        <f>LOOKUP(E299,{0,1.5,2.3,3.1,3.9,4.7,5.5,6.8,8.1,9.4,10.7,12,13.3,14.6,15.9,17.2,18.5,20.2,21.9,23.6,25.3},{0,10,20,30,40,50,60,62,64,66,68,70,72,74,76,78,80,85,90,95,100})</f>
        <v>80</v>
      </c>
      <c r="G299" s="27">
        <v>170</v>
      </c>
      <c r="H299" s="29">
        <f>LOOKUP(G299,{0,125,130,135,140,145,150,153,156,159,162,165,168,171,174,177,180,187,194,200,206},{0,10,20,30,40,50,60,62,64,66,68,70,72,74,76,78,80,85,90,95,100})</f>
        <v>72</v>
      </c>
      <c r="I299" s="27">
        <v>28</v>
      </c>
      <c r="J299" s="29">
        <f>LOOKUP(I299,{0,15,17,19,21,23,25,27,29,31,33,35,37,39,41,43,45,48,51,53,55},{0,10,20,30,40,50,60,62,64,66,68,70,72,74,76,78,80,85,90,95,100})</f>
        <v>62</v>
      </c>
      <c r="K299" s="35"/>
      <c r="L299" s="35"/>
      <c r="M299" s="35">
        <f t="shared" si="74"/>
        <v>62</v>
      </c>
      <c r="N299" s="35">
        <v>9.5</v>
      </c>
      <c r="O299" s="36">
        <f>18-N299</f>
        <v>8.5</v>
      </c>
      <c r="P299" s="29">
        <f>LOOKUP(O299,{0,6.6,6.8,7,7.2,7.4,7.6,7.8,8,8.2,8.4,8.6,8.8,9,9.2,9.4,9.6,9.9,10.2,10.3,10.4},{0,10,20,30,40,50,60,62,64,66,68,70,72,74,76,78,80,85,90,95,100})</f>
        <v>68</v>
      </c>
      <c r="Q299" s="5">
        <v>4.51</v>
      </c>
      <c r="R299" s="36">
        <f>10-Q299</f>
        <v>5.49</v>
      </c>
      <c r="S299" s="29">
        <f>LOOKUP(R299,{0,4.74,4.84,4.94,5.44,5.54,5.64,5.69,5.74,5.79,5.84,5.89,5.94,5.99,6.44,6.49,6.54,6.61,6.68,6.74,6.8},{0,10,20,30,40,50,60,62,64,66,68,70,72,74,76,78,80,85,90,95,100})</f>
        <v>40</v>
      </c>
      <c r="T299" s="27"/>
      <c r="U299" s="27"/>
      <c r="V299" s="27">
        <f t="shared" si="75"/>
        <v>40</v>
      </c>
      <c r="W299" s="27"/>
      <c r="X299" s="19">
        <f t="shared" si="76"/>
        <v>43</v>
      </c>
      <c r="Y299" s="13">
        <f t="shared" si="77"/>
        <v>61.4285714285714</v>
      </c>
    </row>
    <row r="300" ht="15.6" spans="1:25">
      <c r="A300" s="27">
        <v>307</v>
      </c>
      <c r="B300" s="27">
        <v>39</v>
      </c>
      <c r="C300" s="28" t="s">
        <v>341</v>
      </c>
      <c r="D300" s="28" t="s">
        <v>46</v>
      </c>
      <c r="E300" s="27">
        <v>19.5</v>
      </c>
      <c r="F300" s="29">
        <f>LOOKUP(E300,{0,1.5,2.3,3.1,3.9,4.7,5.5,6.8,8.1,9.4,10.7,12,13.3,14.6,15.9,17.2,18.5,20.2,21.9,23.6,25.3},{0,10,20,30,40,50,60,62,64,66,68,70,72,74,76,78,80,85,90,95,100})</f>
        <v>80</v>
      </c>
      <c r="G300" s="27">
        <v>185</v>
      </c>
      <c r="H300" s="29">
        <f>LOOKUP(G300,{0,125,130,135,140,145,150,153,156,159,162,165,168,171,174,177,180,187,194,200,206},{0,10,20,30,40,50,60,62,64,66,68,70,72,74,76,78,80,85,90,95,100})</f>
        <v>80</v>
      </c>
      <c r="I300" s="27">
        <v>53</v>
      </c>
      <c r="J300" s="29">
        <f>LOOKUP(I300,{0,15,17,19,21,23,25,27,29,31,33,35,37,39,41,43,45,48,51,53,55},{0,10,20,30,40,50,60,62,64,66,68,70,72,74,76,78,80,85,90,95,100})</f>
        <v>95</v>
      </c>
      <c r="K300" s="35"/>
      <c r="L300" s="35"/>
      <c r="M300" s="35">
        <f t="shared" si="74"/>
        <v>95</v>
      </c>
      <c r="N300" s="35">
        <v>8.8</v>
      </c>
      <c r="O300" s="36">
        <f>18-N300</f>
        <v>9.2</v>
      </c>
      <c r="P300" s="29">
        <f>LOOKUP(O300,{0,6.6,6.8,7,7.2,7.4,7.6,7.8,8,8.2,8.4,8.6,8.8,9,9.2,9.4,9.6,9.9,10.2,10.3,10.4},{0,10,20,30,40,50,60,62,64,66,68,70,72,74,76,78,80,85,90,95,100})</f>
        <v>76</v>
      </c>
      <c r="Q300" s="5">
        <v>4.23</v>
      </c>
      <c r="R300" s="36">
        <f>10-Q300</f>
        <v>5.77</v>
      </c>
      <c r="S300" s="29">
        <f>LOOKUP(R300,{0,4.74,4.84,4.94,5.44,5.54,5.64,5.69,5.74,5.79,5.84,5.89,5.94,5.99,6.44,6.49,6.54,6.61,6.68,6.74,6.8},{0,10,20,30,40,50,60,62,64,66,68,70,72,74,76,78,80,85,90,95,100})</f>
        <v>64</v>
      </c>
      <c r="T300" s="27"/>
      <c r="U300" s="27"/>
      <c r="V300" s="27">
        <f t="shared" si="75"/>
        <v>64</v>
      </c>
      <c r="W300" s="27"/>
      <c r="X300" s="19">
        <f t="shared" si="76"/>
        <v>53.5</v>
      </c>
      <c r="Y300" s="13">
        <f t="shared" si="77"/>
        <v>76.4285714285714</v>
      </c>
    </row>
    <row r="301" ht="15.6" spans="1:25">
      <c r="A301" s="27">
        <v>307</v>
      </c>
      <c r="B301" s="27">
        <v>40</v>
      </c>
      <c r="C301" s="28" t="s">
        <v>342</v>
      </c>
      <c r="D301" s="28" t="s">
        <v>46</v>
      </c>
      <c r="E301" s="27">
        <v>16.5</v>
      </c>
      <c r="F301" s="29">
        <f>LOOKUP(E301,{0,1.5,2.3,3.1,3.9,4.7,5.5,6.8,8.1,9.4,10.7,12,13.3,14.6,15.9,17.2,18.5,20.2,21.9,23.6,25.3},{0,10,20,30,40,50,60,62,64,66,68,70,72,74,76,78,80,85,90,95,100})</f>
        <v>76</v>
      </c>
      <c r="G301" s="27">
        <v>165</v>
      </c>
      <c r="H301" s="29">
        <f>LOOKUP(G301,{0,125,130,135,140,145,150,153,156,159,162,165,168,171,174,177,180,187,194,200,206},{0,10,20,30,40,50,60,62,64,66,68,70,72,74,76,78,80,85,90,95,100})</f>
        <v>70</v>
      </c>
      <c r="I301" s="27">
        <v>41</v>
      </c>
      <c r="J301" s="29">
        <f>LOOKUP(I301,{0,15,17,19,21,23,25,27,29,31,33,35,37,39,41,43,45,48,51,53,55},{0,10,20,30,40,50,60,62,64,66,68,70,72,74,76,78,80,85,90,95,100})</f>
        <v>76</v>
      </c>
      <c r="K301" s="35"/>
      <c r="L301" s="35"/>
      <c r="M301" s="35">
        <f t="shared" si="74"/>
        <v>76</v>
      </c>
      <c r="N301" s="35">
        <v>10.7</v>
      </c>
      <c r="O301" s="36">
        <f>18-N301</f>
        <v>7.3</v>
      </c>
      <c r="P301" s="29">
        <f>LOOKUP(O301,{0,6.6,6.8,7,7.2,7.4,7.6,7.8,8,8.2,8.4,8.6,8.8,9,9.2,9.4,9.6,9.9,10.2,10.3,10.4},{0,10,20,30,40,50,60,62,64,66,68,70,72,74,76,78,80,85,90,95,100})</f>
        <v>40</v>
      </c>
      <c r="Q301" s="5">
        <v>4.06</v>
      </c>
      <c r="R301" s="36">
        <f>10-Q301</f>
        <v>5.94</v>
      </c>
      <c r="S301" s="29">
        <f>LOOKUP(R301,{0,4.74,4.84,4.94,5.44,5.54,5.64,5.69,5.74,5.79,5.84,5.89,5.94,5.99,6.44,6.49,6.54,6.61,6.68,6.74,6.8},{0,10,20,30,40,50,60,62,64,66,68,70,72,74,76,78,80,85,90,95,100})</f>
        <v>72</v>
      </c>
      <c r="T301" s="27"/>
      <c r="U301" s="27"/>
      <c r="V301" s="27">
        <f t="shared" si="75"/>
        <v>72</v>
      </c>
      <c r="W301" s="27"/>
      <c r="X301" s="19">
        <f t="shared" si="76"/>
        <v>44.6</v>
      </c>
      <c r="Y301" s="13">
        <f t="shared" si="77"/>
        <v>63.7142857142857</v>
      </c>
    </row>
    <row r="302" ht="15.6" spans="1:25">
      <c r="A302" s="27">
        <v>307</v>
      </c>
      <c r="B302" s="27">
        <v>41</v>
      </c>
      <c r="C302" s="28" t="s">
        <v>343</v>
      </c>
      <c r="D302" s="28" t="s">
        <v>46</v>
      </c>
      <c r="E302" s="27">
        <v>3</v>
      </c>
      <c r="F302" s="29">
        <f>LOOKUP(E302,{0,1.5,2.3,3.1,3.9,4.7,5.5,6.8,8.1,9.4,10.7,12,13.3,14.6,15.9,17.2,18.5,20.2,21.9,23.6,25.3},{0,10,20,30,40,50,60,62,64,66,68,70,72,74,76,78,80,85,90,95,100})</f>
        <v>20</v>
      </c>
      <c r="G302" s="27">
        <v>150</v>
      </c>
      <c r="H302" s="29">
        <f>LOOKUP(G302,{0,125,130,135,140,145,150,153,156,159,162,165,168,171,174,177,180,187,194,200,206},{0,10,20,30,40,50,60,62,64,66,68,70,72,74,76,78,80,85,90,95,100})</f>
        <v>60</v>
      </c>
      <c r="I302" s="27">
        <v>25</v>
      </c>
      <c r="J302" s="29">
        <f>LOOKUP(I302,{0,15,17,19,21,23,25,27,29,31,33,35,37,39,41,43,45,48,51,53,55},{0,10,20,30,40,50,60,62,64,66,68,70,72,74,76,78,80,85,90,95,100})</f>
        <v>60</v>
      </c>
      <c r="K302" s="35"/>
      <c r="L302" s="35"/>
      <c r="M302" s="35">
        <f t="shared" si="74"/>
        <v>60</v>
      </c>
      <c r="N302" s="35">
        <v>12.6</v>
      </c>
      <c r="O302" s="36">
        <f>18-N302</f>
        <v>5.4</v>
      </c>
      <c r="P302" s="29">
        <f>LOOKUP(O302,{0,6.6,6.8,7,7.2,7.4,7.6,7.8,8,8.2,8.4,8.6,8.8,9,9.2,9.4,9.6,9.9,10.2,10.3,10.4},{0,10,20,30,40,50,60,62,64,66,68,70,72,74,76,78,80,85,90,95,100})</f>
        <v>0</v>
      </c>
      <c r="Q302" s="5">
        <v>5.13</v>
      </c>
      <c r="R302" s="36">
        <f>10-Q302</f>
        <v>4.87</v>
      </c>
      <c r="S302" s="29">
        <f>LOOKUP(R302,{0,4.74,4.84,4.94,5.44,5.54,5.64,5.69,5.74,5.79,5.84,5.89,5.94,5.99,6.44,6.49,6.54,6.61,6.68,6.74,6.8},{0,10,20,30,40,50,60,62,64,66,68,70,72,74,76,78,80,85,90,95,100})</f>
        <v>20</v>
      </c>
      <c r="T302" s="27"/>
      <c r="U302" s="27"/>
      <c r="V302" s="27">
        <f t="shared" si="75"/>
        <v>20</v>
      </c>
      <c r="W302" s="27"/>
      <c r="X302" s="19">
        <f t="shared" si="76"/>
        <v>18</v>
      </c>
      <c r="Y302" s="13">
        <f t="shared" si="77"/>
        <v>25.7142857142857</v>
      </c>
    </row>
    <row r="303" ht="15.6" spans="1:25">
      <c r="A303" s="27">
        <v>307</v>
      </c>
      <c r="B303" s="27">
        <v>42</v>
      </c>
      <c r="C303" s="28" t="s">
        <v>344</v>
      </c>
      <c r="D303" s="28" t="s">
        <v>46</v>
      </c>
      <c r="E303" s="27">
        <v>25</v>
      </c>
      <c r="F303" s="29">
        <f>LOOKUP(E303,{0,1.5,2.3,3.1,3.9,4.7,5.5,6.8,8.1,9.4,10.7,12,13.3,14.6,15.9,17.2,18.5,20.2,21.9,23.6,25.3},{0,10,20,30,40,50,60,62,64,66,68,70,72,74,76,78,80,85,90,95,100})</f>
        <v>95</v>
      </c>
      <c r="G303" s="27" t="s">
        <v>77</v>
      </c>
      <c r="H303" s="29"/>
      <c r="I303" s="27">
        <v>53</v>
      </c>
      <c r="J303" s="29">
        <f>LOOKUP(I303,{0,15,17,19,21,23,25,27,29,31,33,35,37,39,41,43,45,48,51,53,55},{0,10,20,30,40,50,60,62,64,66,68,70,72,74,76,78,80,85,90,95,100})</f>
        <v>95</v>
      </c>
      <c r="K303" s="35"/>
      <c r="L303" s="35"/>
      <c r="M303" s="35">
        <f t="shared" si="74"/>
        <v>95</v>
      </c>
      <c r="N303" s="35" t="s">
        <v>77</v>
      </c>
      <c r="O303" s="5"/>
      <c r="P303" s="27"/>
      <c r="Q303" s="5" t="s">
        <v>77</v>
      </c>
      <c r="R303" s="27"/>
      <c r="S303" s="27"/>
      <c r="T303" s="27"/>
      <c r="U303" s="27"/>
      <c r="V303" s="27"/>
      <c r="W303" s="42">
        <v>50</v>
      </c>
      <c r="X303" s="19">
        <f t="shared" si="76"/>
        <v>19</v>
      </c>
      <c r="Y303" s="13">
        <v>50</v>
      </c>
    </row>
    <row r="304" ht="15.6" spans="1:25">
      <c r="A304" s="27">
        <v>307</v>
      </c>
      <c r="B304" s="27">
        <v>43</v>
      </c>
      <c r="C304" s="28" t="s">
        <v>345</v>
      </c>
      <c r="D304" s="28" t="s">
        <v>46</v>
      </c>
      <c r="E304" s="27">
        <v>11</v>
      </c>
      <c r="F304" s="29">
        <f>LOOKUP(E304,{0,1.5,2.3,3.1,3.9,4.7,5.5,6.8,8.1,9.4,10.7,12,13.3,14.6,15.9,17.2,18.5,20.2,21.9,23.6,25.3},{0,10,20,30,40,50,60,62,64,66,68,70,72,74,76,78,80,85,90,95,100})</f>
        <v>68</v>
      </c>
      <c r="G304" s="27">
        <v>180</v>
      </c>
      <c r="H304" s="29">
        <f>LOOKUP(G304,{0,125,130,135,140,145,150,153,156,159,162,165,168,171,174,177,180,187,194,200,206},{0,10,20,30,40,50,60,62,64,66,68,70,72,74,76,78,80,85,90,95,100})</f>
        <v>80</v>
      </c>
      <c r="I304" s="27">
        <v>46</v>
      </c>
      <c r="J304" s="29">
        <f>LOOKUP(I304,{0,15,17,19,21,23,25,27,29,31,33,35,37,39,41,43,45,48,51,53,55},{0,10,20,30,40,50,60,62,64,66,68,70,72,74,76,78,80,85,90,95,100})</f>
        <v>80</v>
      </c>
      <c r="K304" s="35"/>
      <c r="L304" s="35"/>
      <c r="M304" s="35">
        <f t="shared" si="74"/>
        <v>80</v>
      </c>
      <c r="N304" s="35">
        <v>8.7</v>
      </c>
      <c r="O304" s="36">
        <f>18-N304</f>
        <v>9.3</v>
      </c>
      <c r="P304" s="29">
        <f>LOOKUP(O304,{0,6.6,6.8,7,7.2,7.4,7.6,7.8,8,8.2,8.4,8.6,8.8,9,9.2,9.4,9.6,9.9,10.2,10.3,10.4},{0,10,20,30,40,50,60,62,64,66,68,70,72,74,76,78,80,85,90,95,100})</f>
        <v>76</v>
      </c>
      <c r="Q304" s="5">
        <v>4.05</v>
      </c>
      <c r="R304" s="36">
        <f t="shared" ref="R304:R310" si="78">10-Q304</f>
        <v>5.95</v>
      </c>
      <c r="S304" s="29">
        <f>LOOKUP(R304,{0,4.74,4.84,4.94,5.44,5.54,5.64,5.69,5.74,5.79,5.84,5.89,5.94,5.99,6.44,6.49,6.54,6.61,6.68,6.74,6.8},{0,10,20,30,40,50,60,62,64,66,68,70,72,74,76,78,80,85,90,95,100})</f>
        <v>72</v>
      </c>
      <c r="T304" s="27"/>
      <c r="U304" s="27"/>
      <c r="V304" s="27">
        <f t="shared" si="75"/>
        <v>72</v>
      </c>
      <c r="W304" s="27"/>
      <c r="X304" s="19">
        <f t="shared" si="76"/>
        <v>52.4</v>
      </c>
      <c r="Y304" s="13">
        <f t="shared" si="77"/>
        <v>74.8571428571429</v>
      </c>
    </row>
    <row r="305" ht="15.6" spans="1:25">
      <c r="A305" s="27">
        <v>307</v>
      </c>
      <c r="B305" s="27">
        <v>44</v>
      </c>
      <c r="C305" s="28" t="s">
        <v>346</v>
      </c>
      <c r="D305" s="28" t="s">
        <v>46</v>
      </c>
      <c r="E305" s="27">
        <v>12.5</v>
      </c>
      <c r="F305" s="29">
        <f>LOOKUP(E305,{0,1.5,2.3,3.1,3.9,4.7,5.5,6.8,8.1,9.4,10.7,12,13.3,14.6,15.9,17.2,18.5,20.2,21.9,23.6,25.3},{0,10,20,30,40,50,60,62,64,66,68,70,72,74,76,78,80,85,90,95,100})</f>
        <v>70</v>
      </c>
      <c r="G305" s="27">
        <v>165</v>
      </c>
      <c r="H305" s="29">
        <f>LOOKUP(G305,{0,125,130,135,140,145,150,153,156,159,162,165,168,171,174,177,180,187,194,200,206},{0,10,20,30,40,50,60,62,64,66,68,70,72,74,76,78,80,85,90,95,100})</f>
        <v>70</v>
      </c>
      <c r="I305" s="27">
        <v>38</v>
      </c>
      <c r="J305" s="29">
        <f>LOOKUP(I305,{0,15,17,19,21,23,25,27,29,31,33,35,37,39,41,43,45,48,51,53,55},{0,10,20,30,40,50,60,62,64,66,68,70,72,74,76,78,80,85,90,95,100})</f>
        <v>72</v>
      </c>
      <c r="K305" s="35"/>
      <c r="L305" s="35"/>
      <c r="M305" s="35">
        <f t="shared" si="74"/>
        <v>72</v>
      </c>
      <c r="N305" s="35">
        <v>9.6</v>
      </c>
      <c r="O305" s="36">
        <f>18-N305</f>
        <v>8.4</v>
      </c>
      <c r="P305" s="29">
        <f>LOOKUP(O305,{0,6.6,6.8,7,7.2,7.4,7.6,7.8,8,8.2,8.4,8.6,8.8,9,9.2,9.4,9.6,9.9,10.2,10.3,10.4},{0,10,20,30,40,50,60,62,64,66,68,70,72,74,76,78,80,85,90,95,100})</f>
        <v>68</v>
      </c>
      <c r="Q305" s="5">
        <v>4.47</v>
      </c>
      <c r="R305" s="36">
        <f t="shared" si="78"/>
        <v>5.53</v>
      </c>
      <c r="S305" s="29">
        <f>LOOKUP(R305,{0,4.74,4.84,4.94,5.44,5.54,5.64,5.69,5.74,5.79,5.84,5.89,5.94,5.99,6.44,6.49,6.54,6.61,6.68,6.74,6.8},{0,10,20,30,40,50,60,62,64,66,68,70,72,74,76,78,80,85,90,95,100})</f>
        <v>40</v>
      </c>
      <c r="T305" s="27"/>
      <c r="U305" s="27"/>
      <c r="V305" s="27">
        <f t="shared" si="75"/>
        <v>40</v>
      </c>
      <c r="W305" s="27"/>
      <c r="X305" s="19">
        <f t="shared" si="76"/>
        <v>42.8</v>
      </c>
      <c r="Y305" s="13">
        <f t="shared" si="77"/>
        <v>61.1428571428571</v>
      </c>
    </row>
    <row r="306" ht="15.6" spans="1:25">
      <c r="A306" s="27">
        <v>307</v>
      </c>
      <c r="B306" s="27">
        <v>45</v>
      </c>
      <c r="C306" s="28" t="s">
        <v>347</v>
      </c>
      <c r="D306" s="28" t="s">
        <v>46</v>
      </c>
      <c r="E306" s="27">
        <v>7</v>
      </c>
      <c r="F306" s="29">
        <f>LOOKUP(E306,{0,1.5,2.3,3.1,3.9,4.7,5.5,6.8,8.1,9.4,10.7,12,13.3,14.6,15.9,17.2,18.5,20.2,21.9,23.6,25.3},{0,10,20,30,40,50,60,62,64,66,68,70,72,74,76,78,80,85,90,95,100})</f>
        <v>62</v>
      </c>
      <c r="G306" s="27">
        <v>195</v>
      </c>
      <c r="H306" s="29">
        <f>LOOKUP(G306,{0,125,130,135,140,145,150,153,156,159,162,165,168,171,174,177,180,187,194,200,206},{0,10,20,30,40,50,60,62,64,66,68,70,72,74,76,78,80,85,90,95,100})</f>
        <v>90</v>
      </c>
      <c r="I306" s="27">
        <v>30</v>
      </c>
      <c r="J306" s="29">
        <f>LOOKUP(I306,{0,15,17,19,21,23,25,27,29,31,33,35,37,39,41,43,45,48,51,53,55},{0,10,20,30,40,50,60,62,64,66,68,70,72,74,76,78,80,85,90,95,100})</f>
        <v>64</v>
      </c>
      <c r="K306" s="35"/>
      <c r="L306" s="35"/>
      <c r="M306" s="35">
        <f t="shared" si="74"/>
        <v>64</v>
      </c>
      <c r="N306" s="35">
        <v>7.8</v>
      </c>
      <c r="O306" s="36">
        <f>18-N306</f>
        <v>10.2</v>
      </c>
      <c r="P306" s="29">
        <f>LOOKUP(O306,{0,6.6,6.8,7,7.2,7.4,7.6,7.8,8,8.2,8.4,8.6,8.8,9,9.2,9.4,9.6,9.9,10.2,10.3,10.4},{0,10,20,30,40,50,60,62,64,66,68,70,72,74,76,78,80,85,90,95,100})</f>
        <v>90</v>
      </c>
      <c r="Q306" s="5">
        <v>5.19</v>
      </c>
      <c r="R306" s="36">
        <f t="shared" si="78"/>
        <v>4.81</v>
      </c>
      <c r="S306" s="29">
        <f>LOOKUP(R306,{0,4.74,4.84,4.94,5.44,5.54,5.64,5.69,5.74,5.79,5.84,5.89,5.94,5.99,6.44,6.49,6.54,6.61,6.68,6.74,6.8},{0,10,20,30,40,50,60,62,64,66,68,70,72,74,76,78,80,85,90,95,100})</f>
        <v>10</v>
      </c>
      <c r="T306" s="27"/>
      <c r="U306" s="27"/>
      <c r="V306" s="27">
        <f t="shared" si="75"/>
        <v>10</v>
      </c>
      <c r="W306" s="27"/>
      <c r="X306" s="19">
        <f t="shared" si="76"/>
        <v>41.6</v>
      </c>
      <c r="Y306" s="13">
        <f t="shared" si="77"/>
        <v>59.4285714285714</v>
      </c>
    </row>
    <row r="307" ht="15.6" spans="1:25">
      <c r="A307" s="27">
        <v>307</v>
      </c>
      <c r="B307" s="27">
        <v>46</v>
      </c>
      <c r="C307" s="28" t="s">
        <v>348</v>
      </c>
      <c r="D307" s="28" t="s">
        <v>46</v>
      </c>
      <c r="E307" s="27">
        <v>32</v>
      </c>
      <c r="F307" s="29">
        <f>LOOKUP(E307,{0,1.5,2.3,3.1,3.9,4.7,5.5,6.8,8.1,9.4,10.7,12,13.3,14.6,15.9,17.2,18.5,20.2,21.9,23.6,25.3},{0,10,20,30,40,50,60,62,64,66,68,70,72,74,76,78,80,85,90,95,100})</f>
        <v>100</v>
      </c>
      <c r="G307" s="27">
        <v>180</v>
      </c>
      <c r="H307" s="29">
        <f>LOOKUP(G307,{0,125,130,135,140,145,150,153,156,159,162,165,168,171,174,177,180,187,194,200,206},{0,10,20,30,40,50,60,62,64,66,68,70,72,74,76,78,80,85,90,95,100})</f>
        <v>80</v>
      </c>
      <c r="I307" s="27">
        <v>38</v>
      </c>
      <c r="J307" s="29">
        <f>LOOKUP(I307,{0,15,17,19,21,23,25,27,29,31,33,35,37,39,41,43,45,48,51,53,55},{0,10,20,30,40,50,60,62,64,66,68,70,72,74,76,78,80,85,90,95,100})</f>
        <v>72</v>
      </c>
      <c r="K307" s="35"/>
      <c r="L307" s="35"/>
      <c r="M307" s="35">
        <f t="shared" si="74"/>
        <v>72</v>
      </c>
      <c r="N307" s="35">
        <v>8.7</v>
      </c>
      <c r="O307" s="36">
        <f>18-N307</f>
        <v>9.3</v>
      </c>
      <c r="P307" s="29">
        <f>LOOKUP(O307,{0,6.6,6.8,7,7.2,7.4,7.6,7.8,8,8.2,8.4,8.6,8.8,9,9.2,9.4,9.6,9.9,10.2,10.3,10.4},{0,10,20,30,40,50,60,62,64,66,68,70,72,74,76,78,80,85,90,95,100})</f>
        <v>76</v>
      </c>
      <c r="Q307" s="5">
        <v>5.14</v>
      </c>
      <c r="R307" s="36">
        <f t="shared" si="78"/>
        <v>4.86</v>
      </c>
      <c r="S307" s="29">
        <f>LOOKUP(R307,{0,4.74,4.84,4.94,5.44,5.54,5.64,5.69,5.74,5.79,5.84,5.89,5.94,5.99,6.44,6.49,6.54,6.61,6.68,6.74,6.8},{0,10,20,30,40,50,60,62,64,66,68,70,72,74,76,78,80,85,90,95,100})</f>
        <v>20</v>
      </c>
      <c r="T307" s="27"/>
      <c r="U307" s="27"/>
      <c r="V307" s="27">
        <f t="shared" si="75"/>
        <v>20</v>
      </c>
      <c r="W307" s="27"/>
      <c r="X307" s="19">
        <f t="shared" si="76"/>
        <v>44.4</v>
      </c>
      <c r="Y307" s="13">
        <f t="shared" si="77"/>
        <v>63.4285714285714</v>
      </c>
    </row>
    <row r="308" ht="15.6" spans="1:25">
      <c r="A308" s="27">
        <v>307</v>
      </c>
      <c r="B308" s="27">
        <v>47</v>
      </c>
      <c r="C308" s="28" t="s">
        <v>349</v>
      </c>
      <c r="D308" s="28" t="s">
        <v>46</v>
      </c>
      <c r="E308" s="27">
        <v>0</v>
      </c>
      <c r="F308" s="29">
        <f>LOOKUP(E308,{0,1.5,2.3,3.1,3.9,4.7,5.5,6.8,8.1,9.4,10.7,12,13.3,14.6,15.9,17.2,18.5,20.2,21.9,23.6,25.3},{0,10,20,30,40,50,60,62,64,66,68,70,72,74,76,78,80,85,90,95,100})</f>
        <v>0</v>
      </c>
      <c r="G308" s="27">
        <v>170</v>
      </c>
      <c r="H308" s="29">
        <f>LOOKUP(G308,{0,125,130,135,140,145,150,153,156,159,162,165,168,171,174,177,180,187,194,200,206},{0,10,20,30,40,50,60,62,64,66,68,70,72,74,76,78,80,85,90,95,100})</f>
        <v>72</v>
      </c>
      <c r="I308" s="27" t="s">
        <v>77</v>
      </c>
      <c r="J308" s="29"/>
      <c r="K308" s="35"/>
      <c r="L308" s="35"/>
      <c r="M308" s="35"/>
      <c r="N308" s="35" t="s">
        <v>77</v>
      </c>
      <c r="O308" s="5"/>
      <c r="P308" s="27"/>
      <c r="Q308" s="5">
        <v>7.32</v>
      </c>
      <c r="R308" s="36">
        <f t="shared" si="78"/>
        <v>2.68</v>
      </c>
      <c r="S308" s="29">
        <f>LOOKUP(R308,{0,4.74,4.84,4.94,5.44,5.54,5.64,5.69,5.74,5.79,5.84,5.89,5.94,5.99,6.44,6.49,6.54,6.61,6.68,6.74,6.8},{0,10,20,30,40,50,60,62,64,66,68,70,72,74,76,78,80,85,90,95,100})</f>
        <v>0</v>
      </c>
      <c r="T308" s="27"/>
      <c r="U308" s="27"/>
      <c r="V308" s="27">
        <f t="shared" si="75"/>
        <v>0</v>
      </c>
      <c r="W308" s="42">
        <v>50</v>
      </c>
      <c r="X308" s="19">
        <f t="shared" si="76"/>
        <v>7.2</v>
      </c>
      <c r="Y308" s="13">
        <v>50</v>
      </c>
    </row>
    <row r="309" ht="15.6" spans="1:25">
      <c r="A309" s="27">
        <v>307</v>
      </c>
      <c r="B309" s="27">
        <v>48</v>
      </c>
      <c r="C309" s="28" t="s">
        <v>350</v>
      </c>
      <c r="D309" s="28" t="s">
        <v>46</v>
      </c>
      <c r="E309" s="27">
        <v>14.5</v>
      </c>
      <c r="F309" s="29">
        <f>LOOKUP(E309,{0,1.5,2.3,3.1,3.9,4.7,5.5,6.8,8.1,9.4,10.7,12,13.3,14.6,15.9,17.2,18.5,20.2,21.9,23.6,25.3},{0,10,20,30,40,50,60,62,64,66,68,70,72,74,76,78,80,85,90,95,100})</f>
        <v>72</v>
      </c>
      <c r="G309" s="27">
        <v>130</v>
      </c>
      <c r="H309" s="29">
        <f>LOOKUP(G309,{0,125,130,135,140,145,150,153,156,159,162,165,168,171,174,177,180,187,194,200,206},{0,10,20,30,40,50,60,62,64,66,68,70,72,74,76,78,80,85,90,95,100})</f>
        <v>20</v>
      </c>
      <c r="I309" s="27">
        <v>29</v>
      </c>
      <c r="J309" s="29">
        <f>LOOKUP(I309,{0,15,17,19,21,23,25,27,29,31,33,35,37,39,41,43,45,48,51,53,55},{0,10,20,30,40,50,60,62,64,66,68,70,72,74,76,78,80,85,90,95,100})</f>
        <v>64</v>
      </c>
      <c r="K309" s="35"/>
      <c r="L309" s="35"/>
      <c r="M309" s="35">
        <f t="shared" si="74"/>
        <v>64</v>
      </c>
      <c r="N309" s="35">
        <v>10.6</v>
      </c>
      <c r="O309" s="36">
        <f>18-N309</f>
        <v>7.4</v>
      </c>
      <c r="P309" s="29">
        <f>LOOKUP(O309,{0,6.6,6.8,7,7.2,7.4,7.6,7.8,8,8.2,8.4,8.6,8.8,9,9.2,9.4,9.6,9.9,10.2,10.3,10.4},{0,10,20,30,40,50,60,62,64,66,68,70,72,74,76,78,80,85,90,95,100})</f>
        <v>50</v>
      </c>
      <c r="Q309" s="5">
        <v>6</v>
      </c>
      <c r="R309" s="36">
        <f t="shared" si="78"/>
        <v>4</v>
      </c>
      <c r="S309" s="29">
        <f>LOOKUP(R309,{0,4.74,4.84,4.94,5.44,5.54,5.64,5.69,5.74,5.79,5.84,5.89,5.94,5.99,6.44,6.49,6.54,6.61,6.68,6.74,6.8},{0,10,20,30,40,50,60,62,64,66,68,70,72,74,76,78,80,85,90,95,100})</f>
        <v>0</v>
      </c>
      <c r="T309" s="27"/>
      <c r="U309" s="27"/>
      <c r="V309" s="27">
        <f t="shared" si="75"/>
        <v>0</v>
      </c>
      <c r="W309" s="27"/>
      <c r="X309" s="19">
        <f t="shared" si="76"/>
        <v>25.6</v>
      </c>
      <c r="Y309" s="13">
        <f t="shared" si="77"/>
        <v>36.5714285714286</v>
      </c>
    </row>
    <row r="310" ht="15.6" spans="1:25">
      <c r="A310" s="27">
        <v>308</v>
      </c>
      <c r="B310" s="27">
        <v>1</v>
      </c>
      <c r="C310" s="30" t="s">
        <v>352</v>
      </c>
      <c r="D310" s="28" t="s">
        <v>12</v>
      </c>
      <c r="E310" s="27">
        <v>21.5</v>
      </c>
      <c r="F310" s="29">
        <f>LOOKUP(E310,{0,-1.8,-0.8,0.2,1.2,2.2,3.2,4.6,6,7.4,8.8,10.2,11.6,13,14.4,15.8,17.2,19.1,21,22.8,24.6},{0,10,20,30,40,50,60,62,64,66,68,70,72,74,76,78,80,85,90,95,100})</f>
        <v>90</v>
      </c>
      <c r="G310" s="27">
        <v>215</v>
      </c>
      <c r="H310" s="29">
        <f>LOOKUP(G310,{0,180,185,190,195,200,205,209,213,217,221,225,229,233,237,241,245,253,260,265,270},{0,10,20,30,40,50,60,62,64,66,68,70,72,74,76,78,80,85,90,95,100})</f>
        <v>64</v>
      </c>
      <c r="I310" s="27">
        <v>0</v>
      </c>
      <c r="J310" s="29">
        <f>LOOKUP(I310,{0,4,5,6,7,8,9,10,11,12,13,14,15,16,17,18},{0,10,20,30,40,50,60,64,68,72,76,80,85,90,95,100})</f>
        <v>0</v>
      </c>
      <c r="K310" s="44"/>
      <c r="L310" s="35"/>
      <c r="M310" s="35">
        <f t="shared" si="74"/>
        <v>0</v>
      </c>
      <c r="N310" s="35">
        <v>7.3</v>
      </c>
      <c r="O310" s="36">
        <f>18-N310</f>
        <v>10.7</v>
      </c>
      <c r="P310" s="29">
        <f>LOOKUP(O310,{0,7.8,8,8.2,8.4,8.6,8.8,9,9.2,9.4,9.6,9.8,10,10.2,10.4,10.6,10.8,10.9,11,11.1,11.2},{0,10,20,30,40,50,60,62,64,66,68,70,72,74,76,78,80,85,90,95,100})</f>
        <v>78</v>
      </c>
      <c r="Q310" s="5">
        <v>6</v>
      </c>
      <c r="R310" s="36">
        <f t="shared" si="78"/>
        <v>4</v>
      </c>
      <c r="S310" s="29">
        <f>LOOKUP(R310,{0,3.85,4.45,4.65,4.85,5.45,5.65,5.7,5.75,5.8,5.85,5.9,5.95,6,6.45,6.5,6.55,6.63,6.7,6.75,6.8},{0,10,20,30,40,50,60,62,64,66,68,70,72,74,76,78,80,85,90,95,100})</f>
        <v>10</v>
      </c>
      <c r="T310" s="27"/>
      <c r="U310" s="27"/>
      <c r="V310" s="27">
        <f t="shared" si="75"/>
        <v>10</v>
      </c>
      <c r="W310" s="27"/>
      <c r="X310" s="19">
        <f t="shared" si="76"/>
        <v>33</v>
      </c>
      <c r="Y310" s="13">
        <f t="shared" si="77"/>
        <v>47.1428571428571</v>
      </c>
    </row>
    <row r="311" ht="15.6" spans="1:25">
      <c r="A311" s="27">
        <v>308</v>
      </c>
      <c r="B311" s="27">
        <v>2</v>
      </c>
      <c r="C311" s="28" t="s">
        <v>353</v>
      </c>
      <c r="D311" s="28" t="s">
        <v>12</v>
      </c>
      <c r="E311" s="27"/>
      <c r="F311" s="29"/>
      <c r="G311" s="27"/>
      <c r="H311" s="29"/>
      <c r="I311" s="27"/>
      <c r="J311" s="35"/>
      <c r="K311" s="44"/>
      <c r="L311" s="35"/>
      <c r="M311" s="35"/>
      <c r="N311" s="35"/>
      <c r="O311" s="5"/>
      <c r="P311" s="5"/>
      <c r="Q311" s="5"/>
      <c r="R311" s="27"/>
      <c r="S311" s="27"/>
      <c r="T311" s="27"/>
      <c r="U311" s="27"/>
      <c r="V311" s="27"/>
      <c r="W311" s="27">
        <v>50</v>
      </c>
      <c r="X311" s="20"/>
      <c r="Y311" s="19">
        <v>50</v>
      </c>
    </row>
    <row r="312" ht="15.6" spans="1:25">
      <c r="A312" s="27">
        <v>308</v>
      </c>
      <c r="B312" s="27">
        <v>3</v>
      </c>
      <c r="C312" s="28" t="s">
        <v>354</v>
      </c>
      <c r="D312" s="28" t="s">
        <v>12</v>
      </c>
      <c r="E312" s="27">
        <v>13.8</v>
      </c>
      <c r="F312" s="29">
        <f>LOOKUP(E312,{0,-1.8,-0.8,0.2,1.2,2.2,3.2,4.6,6,7.4,8.8,10.2,11.6,13,14.4,15.8,17.2,19.1,21,22.8,24.6},{0,10,20,30,40,50,60,62,64,66,68,70,72,74,76,78,80,85,90,95,100})</f>
        <v>74</v>
      </c>
      <c r="G312" s="27">
        <v>220</v>
      </c>
      <c r="H312" s="29">
        <f>LOOKUP(G312,{0,180,185,190,195,200,205,209,213,217,221,225,229,233,237,241,245,253,260,265,270},{0,10,20,30,40,50,60,62,64,66,68,70,72,74,76,78,80,85,90,95,100})</f>
        <v>66</v>
      </c>
      <c r="I312" s="27">
        <v>5</v>
      </c>
      <c r="J312" s="29">
        <f>LOOKUP(I312,{0,4,5,6,7,8,9,10,11,12,13,14,15,16,17,18},{0,10,20,30,40,50,60,64,68,72,76,80,85,90,95,100})</f>
        <v>20</v>
      </c>
      <c r="K312" s="44"/>
      <c r="L312" s="35"/>
      <c r="M312" s="35">
        <f>J312+L312</f>
        <v>20</v>
      </c>
      <c r="N312" s="35">
        <v>7.7</v>
      </c>
      <c r="O312" s="36">
        <f>18-N312</f>
        <v>10.3</v>
      </c>
      <c r="P312" s="29">
        <f>LOOKUP(O312,{0,7.8,8,8.2,8.4,8.6,8.8,9,9.2,9.4,9.6,9.8,10,10.2,10.4,10.6,10.8,10.9,11,11.1,11.2},{0,10,20,30,40,50,60,62,64,66,68,70,72,74,76,78,80,85,90,95,100})</f>
        <v>74</v>
      </c>
      <c r="Q312" s="5">
        <v>4.49</v>
      </c>
      <c r="R312" s="36">
        <f>10-Q312</f>
        <v>5.51</v>
      </c>
      <c r="S312" s="29">
        <f>LOOKUP(R312,{0,3.85,4.45,4.65,4.85,5.45,5.65,5.7,5.75,5.8,5.85,5.9,5.95,6,6.45,6.5,6.55,6.63,6.7,6.75,6.8},{0,10,20,30,40,50,60,62,64,66,68,70,72,74,76,78,80,85,90,95,100})</f>
        <v>50</v>
      </c>
      <c r="T312" s="27"/>
      <c r="U312" s="27"/>
      <c r="V312" s="27">
        <f>S312+U312</f>
        <v>50</v>
      </c>
      <c r="W312" s="27"/>
      <c r="X312" s="19">
        <f>F312*0.1+H312*0.1+J312*0.1+P312*0.2+S312*0.2</f>
        <v>40.8</v>
      </c>
      <c r="Y312" s="13">
        <f>X312/0.7+L312+U312</f>
        <v>58.2857142857143</v>
      </c>
    </row>
    <row r="313" ht="15.6" spans="1:25">
      <c r="A313" s="27">
        <v>308</v>
      </c>
      <c r="B313" s="27">
        <v>4</v>
      </c>
      <c r="C313" s="28" t="s">
        <v>355</v>
      </c>
      <c r="D313" s="28" t="s">
        <v>12</v>
      </c>
      <c r="E313" s="27">
        <v>17</v>
      </c>
      <c r="F313" s="29">
        <f>LOOKUP(E313,{0,-1.8,-0.8,0.2,1.2,2.2,3.2,4.6,6,7.4,8.8,10.2,11.6,13,14.4,15.8,17.2,19.1,21,22.8,24.6},{0,10,20,30,40,50,60,62,64,66,68,70,72,74,76,78,80,85,90,95,100})</f>
        <v>78</v>
      </c>
      <c r="G313" s="27">
        <v>245</v>
      </c>
      <c r="H313" s="29">
        <f>LOOKUP(G313,{0,180,185,190,195,200,205,209,213,217,221,225,229,233,237,241,245,253,260,265,270},{0,10,20,30,40,50,60,62,64,66,68,70,72,74,76,78,80,85,90,95,100})</f>
        <v>80</v>
      </c>
      <c r="I313" s="27">
        <v>2</v>
      </c>
      <c r="J313" s="29">
        <f>LOOKUP(I313,{0,4,5,6,7,8,9,10,11,12,13,14,15,16,17,18},{0,10,20,30,40,50,60,64,68,72,76,80,85,90,95,100})</f>
        <v>0</v>
      </c>
      <c r="K313" s="44"/>
      <c r="L313" s="35"/>
      <c r="M313" s="35">
        <f>J313+L313</f>
        <v>0</v>
      </c>
      <c r="N313" s="35">
        <v>6.9</v>
      </c>
      <c r="O313" s="36">
        <f>18-N313</f>
        <v>11.1</v>
      </c>
      <c r="P313" s="29">
        <f>LOOKUP(O313,{0,7.8,8,8.2,8.4,8.6,8.8,9,9.2,9.4,9.6,9.8,10,10.2,10.4,10.6,10.8,10.9,11,11.1,11.2},{0,10,20,30,40,50,60,62,64,66,68,70,72,74,76,78,80,85,90,95,100})</f>
        <v>95</v>
      </c>
      <c r="Q313" s="5">
        <v>4.49</v>
      </c>
      <c r="R313" s="36">
        <f>10-Q313</f>
        <v>5.51</v>
      </c>
      <c r="S313" s="29">
        <f>LOOKUP(R313,{0,3.85,4.45,4.65,4.85,5.45,5.65,5.7,5.75,5.8,5.85,5.9,5.95,6,6.45,6.5,6.55,6.63,6.7,6.75,6.8},{0,10,20,30,40,50,60,62,64,66,68,70,72,74,76,78,80,85,90,95,100})</f>
        <v>50</v>
      </c>
      <c r="T313" s="27"/>
      <c r="U313" s="27"/>
      <c r="V313" s="27">
        <f>S313+U313</f>
        <v>50</v>
      </c>
      <c r="W313" s="27"/>
      <c r="X313" s="19">
        <f>F313*0.1+H313*0.1+J313*0.1+P313*0.2+S313*0.2</f>
        <v>44.8</v>
      </c>
      <c r="Y313" s="13">
        <f>X313/0.7+L313+U313</f>
        <v>64</v>
      </c>
    </row>
    <row r="314" ht="15.6" spans="1:25">
      <c r="A314" s="27">
        <v>308</v>
      </c>
      <c r="B314" s="27">
        <v>5</v>
      </c>
      <c r="C314" s="28" t="s">
        <v>356</v>
      </c>
      <c r="D314" s="28" t="s">
        <v>12</v>
      </c>
      <c r="E314" s="27"/>
      <c r="F314" s="29"/>
      <c r="G314" s="27"/>
      <c r="H314" s="29"/>
      <c r="I314" s="27"/>
      <c r="J314" s="35"/>
      <c r="K314" s="44"/>
      <c r="L314" s="35"/>
      <c r="M314" s="35"/>
      <c r="N314" s="35"/>
      <c r="O314" s="5"/>
      <c r="P314" s="5"/>
      <c r="Q314" s="5"/>
      <c r="R314" s="27"/>
      <c r="S314" s="27"/>
      <c r="T314" s="27"/>
      <c r="U314" s="27"/>
      <c r="V314" s="27"/>
      <c r="W314" s="27">
        <v>50</v>
      </c>
      <c r="X314" s="19"/>
      <c r="Y314" s="19">
        <v>50</v>
      </c>
    </row>
    <row r="315" ht="15.6" spans="1:25">
      <c r="A315" s="27">
        <v>308</v>
      </c>
      <c r="B315" s="27">
        <v>6</v>
      </c>
      <c r="C315" s="28" t="s">
        <v>357</v>
      </c>
      <c r="D315" s="28" t="s">
        <v>12</v>
      </c>
      <c r="E315" s="27">
        <v>17</v>
      </c>
      <c r="F315" s="29">
        <f>LOOKUP(E315,{0,-1.8,-0.8,0.2,1.2,2.2,3.2,4.6,6,7.4,8.8,10.2,11.6,13,14.4,15.8,17.2,19.1,21,22.8,24.6},{0,10,20,30,40,50,60,62,64,66,68,70,72,74,76,78,80,85,90,95,100})</f>
        <v>78</v>
      </c>
      <c r="G315" s="27">
        <v>250</v>
      </c>
      <c r="H315" s="29">
        <f>LOOKUP(G315,{0,180,185,190,195,200,205,209,213,217,221,225,229,233,237,241,245,253,260,265,270},{0,10,20,30,40,50,60,62,64,66,68,70,72,74,76,78,80,85,90,95,100})</f>
        <v>80</v>
      </c>
      <c r="I315" s="27">
        <v>21</v>
      </c>
      <c r="J315" s="29">
        <f>LOOKUP(I315,{0,4,5,6,7,8,9,10,11,12,13,14,15,16,17,18},{0,10,20,30,40,50,60,64,68,72,76,80,85,90,95,100})</f>
        <v>100</v>
      </c>
      <c r="K315" s="44">
        <f>I315-18</f>
        <v>3</v>
      </c>
      <c r="L315" s="29">
        <f>LOOKUP(K315,{0,1,2,3,4,5,6,7,8,9,10},{0,1,2,3,4,5,6,7,8,9,10})</f>
        <v>3</v>
      </c>
      <c r="M315" s="35">
        <f>J315+L315</f>
        <v>103</v>
      </c>
      <c r="N315" s="35">
        <v>6.9</v>
      </c>
      <c r="O315" s="36">
        <f>18-N315</f>
        <v>11.1</v>
      </c>
      <c r="P315" s="29">
        <f>LOOKUP(O315,{0,7.8,8,8.2,8.4,8.6,8.8,9,9.2,9.4,9.6,9.8,10,10.2,10.4,10.6,10.8,10.9,11,11.1,11.2},{0,10,20,30,40,50,60,62,64,66,68,70,72,74,76,78,80,85,90,95,100})</f>
        <v>95</v>
      </c>
      <c r="Q315" s="5">
        <v>3.29</v>
      </c>
      <c r="R315" s="36">
        <f>10-Q315</f>
        <v>6.71</v>
      </c>
      <c r="S315" s="29">
        <f>LOOKUP(R315,{0,3.85,4.45,4.65,4.85,5.45,5.65,5.7,5.75,5.8,5.85,5.9,5.95,6,6.45,6.5,6.55,6.63,6.7,6.75,6.8},{0,10,20,30,40,50,60,62,64,66,68,70,72,74,76,78,80,85,90,95,100})</f>
        <v>90</v>
      </c>
      <c r="T315" s="27"/>
      <c r="U315" s="27"/>
      <c r="V315" s="27">
        <f>S315+U315</f>
        <v>90</v>
      </c>
      <c r="W315" s="27"/>
      <c r="X315" s="19">
        <f>F315*0.1+H315*0.1+J315*0.1+P315*0.2+S315*0.2</f>
        <v>62.8</v>
      </c>
      <c r="Y315" s="13">
        <f>X315/0.7+L315+U315</f>
        <v>92.7142857142857</v>
      </c>
    </row>
    <row r="316" ht="15.6" spans="1:25">
      <c r="A316" s="27">
        <v>308</v>
      </c>
      <c r="B316" s="27">
        <v>7</v>
      </c>
      <c r="C316" s="28" t="s">
        <v>358</v>
      </c>
      <c r="D316" s="28" t="s">
        <v>12</v>
      </c>
      <c r="E316" s="27">
        <v>5.8</v>
      </c>
      <c r="F316" s="29">
        <f>LOOKUP(E316,{0,-1.8,-0.8,0.2,1.2,2.2,3.2,4.6,6,7.4,8.8,10.2,11.6,13,14.4,15.8,17.2,19.1,21,22.8,24.6},{0,10,20,30,40,50,60,62,64,66,68,70,72,74,76,78,80,85,90,95,100})</f>
        <v>62</v>
      </c>
      <c r="G316" s="27">
        <v>193</v>
      </c>
      <c r="H316" s="29">
        <f>LOOKUP(G316,{0,180,185,190,195,200,205,209,213,217,221,225,229,233,237,241,245,253,260,265,270},{0,10,20,30,40,50,60,62,64,66,68,70,72,74,76,78,80,85,90,95,100})</f>
        <v>30</v>
      </c>
      <c r="I316" s="27">
        <v>1</v>
      </c>
      <c r="J316" s="29">
        <f>LOOKUP(I316,{0,4,5,6,7,8,9,10,11,12,13,14,15,16,17,18},{0,10,20,30,40,50,60,64,68,72,76,80,85,90,95,100})</f>
        <v>0</v>
      </c>
      <c r="K316" s="44"/>
      <c r="L316" s="35"/>
      <c r="M316" s="35">
        <f>J316+L316</f>
        <v>0</v>
      </c>
      <c r="N316" s="35">
        <v>7.9</v>
      </c>
      <c r="O316" s="36">
        <f>18-N316</f>
        <v>10.1</v>
      </c>
      <c r="P316" s="29">
        <f>LOOKUP(O316,{0,7.8,8,8.2,8.4,8.6,8.8,9,9.2,9.4,9.6,9.8,10,10.2,10.4,10.6,10.8,10.9,11,11.1,11.2},{0,10,20,30,40,50,60,62,64,66,68,70,72,74,76,78,80,85,90,95,100})</f>
        <v>72</v>
      </c>
      <c r="Q316" s="5">
        <v>4.49</v>
      </c>
      <c r="R316" s="36">
        <f>10-Q316</f>
        <v>5.51</v>
      </c>
      <c r="S316" s="29">
        <f>LOOKUP(R316,{0,3.85,4.45,4.65,4.85,5.45,5.65,5.7,5.75,5.8,5.85,5.9,5.95,6,6.45,6.5,6.55,6.63,6.7,6.75,6.8},{0,10,20,30,40,50,60,62,64,66,68,70,72,74,76,78,80,85,90,95,100})</f>
        <v>50</v>
      </c>
      <c r="T316" s="27"/>
      <c r="U316" s="27"/>
      <c r="V316" s="27">
        <f>S316+U316</f>
        <v>50</v>
      </c>
      <c r="W316" s="27"/>
      <c r="X316" s="19">
        <f>F316*0.1+H316*0.1+J316*0.1+P316*0.2+S316*0.2</f>
        <v>33.6</v>
      </c>
      <c r="Y316" s="13">
        <f>X316/0.7+L316+U316</f>
        <v>48</v>
      </c>
    </row>
    <row r="317" ht="15.6" spans="1:25">
      <c r="A317" s="27">
        <v>308</v>
      </c>
      <c r="B317" s="27">
        <v>8</v>
      </c>
      <c r="C317" s="28" t="s">
        <v>359</v>
      </c>
      <c r="D317" s="28" t="s">
        <v>12</v>
      </c>
      <c r="E317" s="27"/>
      <c r="F317" s="29"/>
      <c r="G317" s="27"/>
      <c r="H317" s="29"/>
      <c r="I317" s="27"/>
      <c r="J317" s="35"/>
      <c r="K317" s="44"/>
      <c r="L317" s="35"/>
      <c r="M317" s="35"/>
      <c r="N317" s="35"/>
      <c r="O317" s="5"/>
      <c r="P317" s="5"/>
      <c r="Q317" s="5"/>
      <c r="R317" s="27"/>
      <c r="S317" s="27"/>
      <c r="T317" s="27"/>
      <c r="U317" s="27"/>
      <c r="V317" s="27"/>
      <c r="W317" s="27">
        <v>50</v>
      </c>
      <c r="X317" s="19"/>
      <c r="Y317" s="19">
        <v>50</v>
      </c>
    </row>
    <row r="318" ht="15.6" spans="1:25">
      <c r="A318" s="27">
        <v>308</v>
      </c>
      <c r="B318" s="27">
        <v>9</v>
      </c>
      <c r="C318" s="28" t="s">
        <v>360</v>
      </c>
      <c r="D318" s="28" t="s">
        <v>12</v>
      </c>
      <c r="E318" s="27">
        <v>15</v>
      </c>
      <c r="F318" s="29">
        <f>LOOKUP(E318,{0,-1.8,-0.8,0.2,1.2,2.2,3.2,4.6,6,7.4,8.8,10.2,11.6,13,14.4,15.8,17.2,19.1,21,22.8,24.6},{0,10,20,30,40,50,60,62,64,66,68,70,72,74,76,78,80,85,90,95,100})</f>
        <v>76</v>
      </c>
      <c r="G318" s="27">
        <v>200</v>
      </c>
      <c r="H318" s="29">
        <f>LOOKUP(G318,{0,180,185,190,195,200,205,209,213,217,221,225,229,233,237,241,245,253,260,265,270},{0,10,20,30,40,50,60,62,64,66,68,70,72,74,76,78,80,85,90,95,100})</f>
        <v>50</v>
      </c>
      <c r="I318" s="27">
        <v>7</v>
      </c>
      <c r="J318" s="29">
        <f>LOOKUP(I318,{0,4,5,6,7,8,9,10,11,12,13,14,15,16,17,18},{0,10,20,30,40,50,60,64,68,72,76,80,85,90,95,100})</f>
        <v>40</v>
      </c>
      <c r="K318" s="44"/>
      <c r="L318" s="35"/>
      <c r="M318" s="35">
        <f t="shared" ref="M318:M325" si="79">J318+L318</f>
        <v>40</v>
      </c>
      <c r="N318" s="35">
        <v>7.6</v>
      </c>
      <c r="O318" s="36">
        <f t="shared" ref="O318:O325" si="80">18-N318</f>
        <v>10.4</v>
      </c>
      <c r="P318" s="29">
        <f>LOOKUP(O318,{0,7.8,8,8.2,8.4,8.6,8.8,9,9.2,9.4,9.6,9.8,10,10.2,10.4,10.6,10.8,10.9,11,11.1,11.2},{0,10,20,30,40,50,60,62,64,66,68,70,72,74,76,78,80,85,90,95,100})</f>
        <v>76</v>
      </c>
      <c r="Q318" s="5">
        <v>3.45</v>
      </c>
      <c r="R318" s="36">
        <f t="shared" ref="R318:R325" si="81">10-Q318</f>
        <v>6.55</v>
      </c>
      <c r="S318" s="29">
        <f>LOOKUP(R318,{0,3.85,4.45,4.65,4.85,5.45,5.65,5.7,5.75,5.8,5.85,5.9,5.95,6,6.45,6.5,6.55,6.63,6.7,6.75,6.8},{0,10,20,30,40,50,60,62,64,66,68,70,72,74,76,78,80,85,90,95,100})</f>
        <v>80</v>
      </c>
      <c r="T318" s="27"/>
      <c r="U318" s="27"/>
      <c r="V318" s="27">
        <f t="shared" ref="V318:V325" si="82">S318+U318</f>
        <v>80</v>
      </c>
      <c r="W318" s="27"/>
      <c r="X318" s="19">
        <f t="shared" ref="X318:X325" si="83">F318*0.1+H318*0.1+J318*0.1+P318*0.2+S318*0.2</f>
        <v>47.8</v>
      </c>
      <c r="Y318" s="13">
        <f t="shared" ref="Y318:Y325" si="84">X318/0.7+L318+U318</f>
        <v>68.2857142857143</v>
      </c>
    </row>
    <row r="319" ht="15.6" spans="1:25">
      <c r="A319" s="27">
        <v>308</v>
      </c>
      <c r="B319" s="27">
        <v>10</v>
      </c>
      <c r="C319" s="28" t="s">
        <v>361</v>
      </c>
      <c r="D319" s="28" t="s">
        <v>12</v>
      </c>
      <c r="E319" s="27">
        <v>11</v>
      </c>
      <c r="F319" s="29">
        <f>LOOKUP(E319,{0,-1.8,-0.8,0.2,1.2,2.2,3.2,4.6,6,7.4,8.8,10.2,11.6,13,14.4,15.8,17.2,19.1,21,22.8,24.6},{0,10,20,30,40,50,60,62,64,66,68,70,72,74,76,78,80,85,90,95,100})</f>
        <v>70</v>
      </c>
      <c r="G319" s="27">
        <v>225</v>
      </c>
      <c r="H319" s="29">
        <f>LOOKUP(G319,{0,180,185,190,195,200,205,209,213,217,221,225,229,233,237,241,245,253,260,265,270},{0,10,20,30,40,50,60,62,64,66,68,70,72,74,76,78,80,85,90,95,100})</f>
        <v>70</v>
      </c>
      <c r="I319" s="27">
        <v>3</v>
      </c>
      <c r="J319" s="29">
        <f>LOOKUP(I319,{0,4,5,6,7,8,9,10,11,12,13,14,15,16,17,18},{0,10,20,30,40,50,60,64,68,72,76,80,85,90,95,100})</f>
        <v>0</v>
      </c>
      <c r="K319" s="44"/>
      <c r="L319" s="35"/>
      <c r="M319" s="35">
        <f t="shared" si="79"/>
        <v>0</v>
      </c>
      <c r="N319" s="35">
        <v>7.6</v>
      </c>
      <c r="O319" s="36">
        <f t="shared" si="80"/>
        <v>10.4</v>
      </c>
      <c r="P319" s="29">
        <f>LOOKUP(O319,{0,7.8,8,8.2,8.4,8.6,8.8,9,9.2,9.4,9.6,9.8,10,10.2,10.4,10.6,10.8,10.9,11,11.1,11.2},{0,10,20,30,40,50,60,62,64,66,68,70,72,74,76,78,80,85,90,95,100})</f>
        <v>76</v>
      </c>
      <c r="Q319" s="5">
        <v>5.2</v>
      </c>
      <c r="R319" s="36">
        <f t="shared" si="81"/>
        <v>4.8</v>
      </c>
      <c r="S319" s="29">
        <f>LOOKUP(R319,{0,3.85,4.45,4.65,4.85,5.45,5.65,5.7,5.75,5.8,5.85,5.9,5.95,6,6.45,6.5,6.55,6.63,6.7,6.75,6.8},{0,10,20,30,40,50,60,62,64,66,68,70,72,74,76,78,80,85,90,95,100})</f>
        <v>30</v>
      </c>
      <c r="T319" s="27"/>
      <c r="U319" s="27"/>
      <c r="V319" s="27">
        <f t="shared" si="82"/>
        <v>30</v>
      </c>
      <c r="W319" s="27"/>
      <c r="X319" s="19">
        <f t="shared" si="83"/>
        <v>35.2</v>
      </c>
      <c r="Y319" s="13">
        <f t="shared" si="84"/>
        <v>50.2857142857143</v>
      </c>
    </row>
    <row r="320" ht="15.6" spans="1:25">
      <c r="A320" s="27">
        <v>308</v>
      </c>
      <c r="B320" s="27">
        <v>11</v>
      </c>
      <c r="C320" s="30" t="s">
        <v>363</v>
      </c>
      <c r="D320" s="28" t="s">
        <v>12</v>
      </c>
      <c r="E320" s="27">
        <v>6</v>
      </c>
      <c r="F320" s="29">
        <f>LOOKUP(E320,{0,-1.8,-0.8,0.2,1.2,2.2,3.2,4.6,6,7.4,8.8,10.2,11.6,13,14.4,15.8,17.2,19.1,21,22.8,24.6},{0,10,20,30,40,50,60,62,64,66,68,70,72,74,76,78,80,85,90,95,100})</f>
        <v>64</v>
      </c>
      <c r="G320" s="27">
        <v>240</v>
      </c>
      <c r="H320" s="29">
        <f>LOOKUP(G320,{0,180,185,190,195,200,205,209,213,217,221,225,229,233,237,241,245,253,260,265,270},{0,10,20,30,40,50,60,62,64,66,68,70,72,74,76,78,80,85,90,95,100})</f>
        <v>76</v>
      </c>
      <c r="I320" s="27">
        <v>15</v>
      </c>
      <c r="J320" s="29">
        <f>LOOKUP(I320,{0,4,5,6,7,8,9,10,11,12,13,14,15,16,17,18},{0,10,20,30,40,50,60,64,68,72,76,80,85,90,95,100})</f>
        <v>85</v>
      </c>
      <c r="K320" s="44"/>
      <c r="L320" s="35"/>
      <c r="M320" s="35">
        <f t="shared" si="79"/>
        <v>85</v>
      </c>
      <c r="N320" s="35">
        <v>7.2</v>
      </c>
      <c r="O320" s="36">
        <f t="shared" si="80"/>
        <v>10.8</v>
      </c>
      <c r="P320" s="29">
        <f>LOOKUP(O320,{0,7.8,8,8.2,8.4,8.6,8.8,9,9.2,9.4,9.6,9.8,10,10.2,10.4,10.6,10.8,10.9,11,11.1,11.2},{0,10,20,30,40,50,60,62,64,66,68,70,72,74,76,78,80,85,90,95,100})</f>
        <v>80</v>
      </c>
      <c r="Q320" s="5">
        <v>3.35</v>
      </c>
      <c r="R320" s="36">
        <f t="shared" si="81"/>
        <v>6.65</v>
      </c>
      <c r="S320" s="29">
        <f>LOOKUP(R320,{0,3.85,4.45,4.65,4.85,5.45,5.65,5.7,5.75,5.8,5.85,5.9,5.95,6,6.45,6.5,6.55,6.63,6.7,6.75,6.8},{0,10,20,30,40,50,60,62,64,66,68,70,72,74,76,78,80,85,90,95,100})</f>
        <v>85</v>
      </c>
      <c r="T320" s="27"/>
      <c r="U320" s="27"/>
      <c r="V320" s="27">
        <f t="shared" si="82"/>
        <v>85</v>
      </c>
      <c r="W320" s="27"/>
      <c r="X320" s="19">
        <f t="shared" si="83"/>
        <v>55.5</v>
      </c>
      <c r="Y320" s="13">
        <f t="shared" si="84"/>
        <v>79.2857142857143</v>
      </c>
    </row>
    <row r="321" ht="15.6" spans="1:25">
      <c r="A321" s="27">
        <v>308</v>
      </c>
      <c r="B321" s="27">
        <v>12</v>
      </c>
      <c r="C321" s="28" t="s">
        <v>364</v>
      </c>
      <c r="D321" s="28" t="s">
        <v>12</v>
      </c>
      <c r="E321" s="27">
        <v>10</v>
      </c>
      <c r="F321" s="29">
        <f>LOOKUP(E321,{0,-1.8,-0.8,0.2,1.2,2.2,3.2,4.6,6,7.4,8.8,10.2,11.6,13,14.4,15.8,17.2,19.1,21,22.8,24.6},{0,10,20,30,40,50,60,62,64,66,68,70,72,74,76,78,80,85,90,95,100})</f>
        <v>68</v>
      </c>
      <c r="G321" s="27">
        <v>220</v>
      </c>
      <c r="H321" s="29">
        <f>LOOKUP(G321,{0,180,185,190,195,200,205,209,213,217,221,225,229,233,237,241,245,253,260,265,270},{0,10,20,30,40,50,60,62,64,66,68,70,72,74,76,78,80,85,90,95,100})</f>
        <v>66</v>
      </c>
      <c r="I321" s="27">
        <v>8</v>
      </c>
      <c r="J321" s="29">
        <f>LOOKUP(I321,{0,4,5,6,7,8,9,10,11,12,13,14,15,16,17,18},{0,10,20,30,40,50,60,64,68,72,76,80,85,90,95,100})</f>
        <v>50</v>
      </c>
      <c r="K321" s="44"/>
      <c r="L321" s="35"/>
      <c r="M321" s="35">
        <f t="shared" si="79"/>
        <v>50</v>
      </c>
      <c r="N321" s="35">
        <v>7.3</v>
      </c>
      <c r="O321" s="36">
        <f t="shared" si="80"/>
        <v>10.7</v>
      </c>
      <c r="P321" s="29">
        <f>LOOKUP(O321,{0,7.8,8,8.2,8.4,8.6,8.8,9,9.2,9.4,9.6,9.8,10,10.2,10.4,10.6,10.8,10.9,11,11.1,11.2},{0,10,20,30,40,50,60,62,64,66,68,70,72,74,76,78,80,85,90,95,100})</f>
        <v>78</v>
      </c>
      <c r="Q321" s="5">
        <v>4.49</v>
      </c>
      <c r="R321" s="36">
        <f t="shared" si="81"/>
        <v>5.51</v>
      </c>
      <c r="S321" s="29">
        <f>LOOKUP(R321,{0,3.85,4.45,4.65,4.85,5.45,5.65,5.7,5.75,5.8,5.85,5.9,5.95,6,6.45,6.5,6.55,6.63,6.7,6.75,6.8},{0,10,20,30,40,50,60,62,64,66,68,70,72,74,76,78,80,85,90,95,100})</f>
        <v>50</v>
      </c>
      <c r="T321" s="27"/>
      <c r="U321" s="27"/>
      <c r="V321" s="27">
        <f t="shared" si="82"/>
        <v>50</v>
      </c>
      <c r="W321" s="27"/>
      <c r="X321" s="19">
        <f t="shared" si="83"/>
        <v>44</v>
      </c>
      <c r="Y321" s="13">
        <f t="shared" si="84"/>
        <v>62.8571428571429</v>
      </c>
    </row>
    <row r="322" ht="15.6" spans="1:25">
      <c r="A322" s="27">
        <v>308</v>
      </c>
      <c r="B322" s="27">
        <v>13</v>
      </c>
      <c r="C322" s="28" t="s">
        <v>365</v>
      </c>
      <c r="D322" s="28" t="s">
        <v>12</v>
      </c>
      <c r="E322" s="27">
        <v>6</v>
      </c>
      <c r="F322" s="29">
        <f>LOOKUP(E322,{0,-1.8,-0.8,0.2,1.2,2.2,3.2,4.6,6,7.4,8.8,10.2,11.6,13,14.4,15.8,17.2,19.1,21,22.8,24.6},{0,10,20,30,40,50,60,62,64,66,68,70,72,74,76,78,80,85,90,95,100})</f>
        <v>64</v>
      </c>
      <c r="G322" s="27">
        <v>220</v>
      </c>
      <c r="H322" s="29">
        <f>LOOKUP(G322,{0,180,185,190,195,200,205,209,213,217,221,225,229,233,237,241,245,253,260,265,270},{0,10,20,30,40,50,60,62,64,66,68,70,72,74,76,78,80,85,90,95,100})</f>
        <v>66</v>
      </c>
      <c r="I322" s="27">
        <v>1</v>
      </c>
      <c r="J322" s="29">
        <f>LOOKUP(I322,{0,4,5,6,7,8,9,10,11,12,13,14,15,16,17,18},{0,10,20,30,40,50,60,64,68,72,76,80,85,90,95,100})</f>
        <v>0</v>
      </c>
      <c r="K322" s="44"/>
      <c r="L322" s="35"/>
      <c r="M322" s="35">
        <f t="shared" si="79"/>
        <v>0</v>
      </c>
      <c r="N322" s="35">
        <v>7.3</v>
      </c>
      <c r="O322" s="36">
        <f t="shared" si="80"/>
        <v>10.7</v>
      </c>
      <c r="P322" s="29">
        <f>LOOKUP(O322,{0,7.8,8,8.2,8.4,8.6,8.8,9,9.2,9.4,9.6,9.8,10,10.2,10.4,10.6,10.8,10.9,11,11.1,11.2},{0,10,20,30,40,50,60,62,64,66,68,70,72,74,76,78,80,85,90,95,100})</f>
        <v>78</v>
      </c>
      <c r="Q322" s="5">
        <v>3.35</v>
      </c>
      <c r="R322" s="36">
        <f t="shared" si="81"/>
        <v>6.65</v>
      </c>
      <c r="S322" s="29">
        <f>LOOKUP(R322,{0,3.85,4.45,4.65,4.85,5.45,5.65,5.7,5.75,5.8,5.85,5.9,5.95,6,6.45,6.5,6.55,6.63,6.7,6.75,6.8},{0,10,20,30,40,50,60,62,64,66,68,70,72,74,76,78,80,85,90,95,100})</f>
        <v>85</v>
      </c>
      <c r="T322" s="27"/>
      <c r="U322" s="27"/>
      <c r="V322" s="27">
        <f t="shared" si="82"/>
        <v>85</v>
      </c>
      <c r="W322" s="27"/>
      <c r="X322" s="19">
        <f t="shared" si="83"/>
        <v>45.6</v>
      </c>
      <c r="Y322" s="13">
        <f t="shared" si="84"/>
        <v>65.1428571428572</v>
      </c>
    </row>
    <row r="323" ht="15.6" spans="1:25">
      <c r="A323" s="27">
        <v>308</v>
      </c>
      <c r="B323" s="27">
        <v>14</v>
      </c>
      <c r="C323" s="28" t="s">
        <v>366</v>
      </c>
      <c r="D323" s="28" t="s">
        <v>12</v>
      </c>
      <c r="E323" s="27">
        <v>13.5</v>
      </c>
      <c r="F323" s="29">
        <f>LOOKUP(E323,{0,-1.8,-0.8,0.2,1.2,2.2,3.2,4.6,6,7.4,8.8,10.2,11.6,13,14.4,15.8,17.2,19.1,21,22.8,24.6},{0,10,20,30,40,50,60,62,64,66,68,70,72,74,76,78,80,85,90,95,100})</f>
        <v>74</v>
      </c>
      <c r="G323" s="27">
        <v>235</v>
      </c>
      <c r="H323" s="29">
        <f>LOOKUP(G323,{0,180,185,190,195,200,205,209,213,217,221,225,229,233,237,241,245,253,260,265,270},{0,10,20,30,40,50,60,62,64,66,68,70,72,74,76,78,80,85,90,95,100})</f>
        <v>74</v>
      </c>
      <c r="I323" s="27">
        <v>4</v>
      </c>
      <c r="J323" s="29">
        <f>LOOKUP(I323,{0,4,5,6,7,8,9,10,11,12,13,14,15,16,17,18},{0,10,20,30,40,50,60,64,68,72,76,80,85,90,95,100})</f>
        <v>10</v>
      </c>
      <c r="K323" s="44"/>
      <c r="L323" s="35"/>
      <c r="M323" s="35">
        <f t="shared" si="79"/>
        <v>10</v>
      </c>
      <c r="N323" s="35">
        <v>7</v>
      </c>
      <c r="O323" s="36">
        <f t="shared" si="80"/>
        <v>11</v>
      </c>
      <c r="P323" s="29">
        <f>LOOKUP(O323,{0,7.8,8,8.2,8.4,8.6,8.8,9,9.2,9.4,9.6,9.8,10,10.2,10.4,10.6,10.8,10.9,11,11.1,11.2},{0,10,20,30,40,50,60,62,64,66,68,70,72,74,76,78,80,85,90,95,100})</f>
        <v>90</v>
      </c>
      <c r="Q323" s="5">
        <v>4.49</v>
      </c>
      <c r="R323" s="36">
        <f t="shared" si="81"/>
        <v>5.51</v>
      </c>
      <c r="S323" s="29">
        <f>LOOKUP(R323,{0,3.85,4.45,4.65,4.85,5.45,5.65,5.7,5.75,5.8,5.85,5.9,5.95,6,6.45,6.5,6.55,6.63,6.7,6.75,6.8},{0,10,20,30,40,50,60,62,64,66,68,70,72,74,76,78,80,85,90,95,100})</f>
        <v>50</v>
      </c>
      <c r="T323" s="27"/>
      <c r="U323" s="27"/>
      <c r="V323" s="27">
        <f t="shared" si="82"/>
        <v>50</v>
      </c>
      <c r="W323" s="27"/>
      <c r="X323" s="19">
        <f t="shared" si="83"/>
        <v>43.8</v>
      </c>
      <c r="Y323" s="13">
        <f t="shared" si="84"/>
        <v>62.5714285714286</v>
      </c>
    </row>
    <row r="324" ht="15.6" spans="1:25">
      <c r="A324" s="27">
        <v>308</v>
      </c>
      <c r="B324" s="27">
        <v>15</v>
      </c>
      <c r="C324" s="28" t="s">
        <v>367</v>
      </c>
      <c r="D324" s="28" t="s">
        <v>12</v>
      </c>
      <c r="E324" s="27">
        <v>21</v>
      </c>
      <c r="F324" s="29">
        <f>LOOKUP(E324,{0,-1.8,-0.8,0.2,1.2,2.2,3.2,4.6,6,7.4,8.8,10.2,11.6,13,14.4,15.8,17.2,19.1,21,22.8,24.6},{0,10,20,30,40,50,60,62,64,66,68,70,72,74,76,78,80,85,90,95,100})</f>
        <v>90</v>
      </c>
      <c r="G324" s="27">
        <v>220</v>
      </c>
      <c r="H324" s="29">
        <f>LOOKUP(G324,{0,180,185,190,195,200,205,209,213,217,221,225,229,233,237,241,245,253,260,265,270},{0,10,20,30,40,50,60,62,64,66,68,70,72,74,76,78,80,85,90,95,100})</f>
        <v>66</v>
      </c>
      <c r="I324" s="27">
        <v>8</v>
      </c>
      <c r="J324" s="29">
        <f>LOOKUP(I324,{0,4,5,6,7,8,9,10,11,12,13,14,15,16,17,18},{0,10,20,30,40,50,60,64,68,72,76,80,85,90,95,100})</f>
        <v>50</v>
      </c>
      <c r="K324" s="44"/>
      <c r="L324" s="35"/>
      <c r="M324" s="35">
        <f t="shared" si="79"/>
        <v>50</v>
      </c>
      <c r="N324" s="35">
        <v>7.1</v>
      </c>
      <c r="O324" s="36">
        <f t="shared" si="80"/>
        <v>10.9</v>
      </c>
      <c r="P324" s="29">
        <f>LOOKUP(O324,{0,7.8,8,8.2,8.4,8.6,8.8,9,9.2,9.4,9.6,9.8,10,10.2,10.4,10.6,10.8,10.9,11,11.1,11.2},{0,10,20,30,40,50,60,62,64,66,68,70,72,74,76,78,80,85,90,95,100})</f>
        <v>85</v>
      </c>
      <c r="Q324" s="5">
        <v>3.4</v>
      </c>
      <c r="R324" s="36">
        <f t="shared" si="81"/>
        <v>6.6</v>
      </c>
      <c r="S324" s="29">
        <f>LOOKUP(R324,{0,3.85,4.45,4.65,4.85,5.45,5.65,5.7,5.75,5.8,5.85,5.9,5.95,6,6.45,6.5,6.55,6.63,6.7,6.75,6.8},{0,10,20,30,40,50,60,62,64,66,68,70,72,74,76,78,80,85,90,95,100})</f>
        <v>80</v>
      </c>
      <c r="T324" s="27"/>
      <c r="U324" s="27"/>
      <c r="V324" s="27">
        <f t="shared" si="82"/>
        <v>80</v>
      </c>
      <c r="W324" s="27"/>
      <c r="X324" s="19">
        <f t="shared" si="83"/>
        <v>53.6</v>
      </c>
      <c r="Y324" s="13">
        <f t="shared" si="84"/>
        <v>76.5714285714286</v>
      </c>
    </row>
    <row r="325" ht="15.6" spans="1:25">
      <c r="A325" s="27">
        <v>308</v>
      </c>
      <c r="B325" s="27">
        <v>16</v>
      </c>
      <c r="C325" s="28" t="s">
        <v>368</v>
      </c>
      <c r="D325" s="28" t="s">
        <v>12</v>
      </c>
      <c r="E325" s="27">
        <v>17.7</v>
      </c>
      <c r="F325" s="29">
        <f>LOOKUP(E325,{0,-1.8,-0.8,0.2,1.2,2.2,3.2,4.6,6,7.4,8.8,10.2,11.6,13,14.4,15.8,17.2,19.1,21,22.8,24.6},{0,10,20,30,40,50,60,62,64,66,68,70,72,74,76,78,80,85,90,95,100})</f>
        <v>80</v>
      </c>
      <c r="G325" s="27">
        <v>205</v>
      </c>
      <c r="H325" s="29">
        <f>LOOKUP(G325,{0,180,185,190,195,200,205,209,213,217,221,225,229,233,237,241,245,253,260,265,270},{0,10,20,30,40,50,60,62,64,66,68,70,72,74,76,78,80,85,90,95,100})</f>
        <v>60</v>
      </c>
      <c r="I325" s="27">
        <v>3</v>
      </c>
      <c r="J325" s="29">
        <f>LOOKUP(I325,{0,4,5,6,7,8,9,10,11,12,13,14,15,16,17,18},{0,10,20,30,40,50,60,64,68,72,76,80,85,90,95,100})</f>
        <v>0</v>
      </c>
      <c r="K325" s="44"/>
      <c r="L325" s="35"/>
      <c r="M325" s="35">
        <f t="shared" si="79"/>
        <v>0</v>
      </c>
      <c r="N325" s="35">
        <v>8</v>
      </c>
      <c r="O325" s="36">
        <f t="shared" si="80"/>
        <v>10</v>
      </c>
      <c r="P325" s="29">
        <f>LOOKUP(O325,{0,7.8,8,8.2,8.4,8.6,8.8,9,9.2,9.4,9.6,9.8,10,10.2,10.4,10.6,10.8,10.9,11,11.1,11.2},{0,10,20,30,40,50,60,62,64,66,68,70,72,74,76,78,80,85,90,95,100})</f>
        <v>72</v>
      </c>
      <c r="Q325" s="5">
        <v>4.49</v>
      </c>
      <c r="R325" s="36">
        <f t="shared" si="81"/>
        <v>5.51</v>
      </c>
      <c r="S325" s="29">
        <f>LOOKUP(R325,{0,3.85,4.45,4.65,4.85,5.45,5.65,5.7,5.75,5.8,5.85,5.9,5.95,6,6.45,6.5,6.55,6.63,6.7,6.75,6.8},{0,10,20,30,40,50,60,62,64,66,68,70,72,74,76,78,80,85,90,95,100})</f>
        <v>50</v>
      </c>
      <c r="T325" s="27"/>
      <c r="U325" s="27"/>
      <c r="V325" s="27">
        <f t="shared" si="82"/>
        <v>50</v>
      </c>
      <c r="W325" s="27"/>
      <c r="X325" s="19">
        <f t="shared" si="83"/>
        <v>38.4</v>
      </c>
      <c r="Y325" s="13">
        <f t="shared" si="84"/>
        <v>54.8571428571429</v>
      </c>
    </row>
    <row r="326" ht="15.6" spans="1:25">
      <c r="A326" s="27">
        <v>308</v>
      </c>
      <c r="B326" s="27">
        <v>17</v>
      </c>
      <c r="C326" s="28" t="s">
        <v>369</v>
      </c>
      <c r="D326" s="28" t="s">
        <v>12</v>
      </c>
      <c r="E326" s="27"/>
      <c r="F326" s="29"/>
      <c r="G326" s="27"/>
      <c r="H326" s="29"/>
      <c r="I326" s="27"/>
      <c r="J326" s="35"/>
      <c r="K326" s="44"/>
      <c r="L326" s="35"/>
      <c r="M326" s="35"/>
      <c r="N326" s="35"/>
      <c r="O326" s="5"/>
      <c r="P326" s="5"/>
      <c r="Q326" s="5"/>
      <c r="R326" s="27"/>
      <c r="S326" s="27"/>
      <c r="T326" s="27"/>
      <c r="U326" s="27"/>
      <c r="V326" s="27"/>
      <c r="W326" s="27">
        <v>50</v>
      </c>
      <c r="X326" s="19"/>
      <c r="Y326" s="19">
        <v>50</v>
      </c>
    </row>
    <row r="327" ht="15.6" spans="1:25">
      <c r="A327" s="27">
        <v>308</v>
      </c>
      <c r="B327" s="27">
        <v>18</v>
      </c>
      <c r="C327" s="28" t="s">
        <v>370</v>
      </c>
      <c r="D327" s="28" t="s">
        <v>12</v>
      </c>
      <c r="E327" s="27">
        <v>13.5</v>
      </c>
      <c r="F327" s="29">
        <f>LOOKUP(E327,{0,-1.8,-0.8,0.2,1.2,2.2,3.2,4.6,6,7.4,8.8,10.2,11.6,13,14.4,15.8,17.2,19.1,21,22.8,24.6},{0,10,20,30,40,50,60,62,64,66,68,70,72,74,76,78,80,85,90,95,100})</f>
        <v>74</v>
      </c>
      <c r="G327" s="27">
        <v>195</v>
      </c>
      <c r="H327" s="29">
        <f>LOOKUP(G327,{0,180,185,190,195,200,205,209,213,217,221,225,229,233,237,241,245,253,260,265,270},{0,10,20,30,40,50,60,62,64,66,68,70,72,74,76,78,80,85,90,95,100})</f>
        <v>40</v>
      </c>
      <c r="I327" s="27">
        <v>12</v>
      </c>
      <c r="J327" s="29">
        <f>LOOKUP(I327,{0,4,5,6,7,8,9,10,11,12,13,14,15,16,17,18},{0,10,20,30,40,50,60,64,68,72,76,80,85,90,95,100})</f>
        <v>72</v>
      </c>
      <c r="K327" s="44"/>
      <c r="L327" s="35"/>
      <c r="M327" s="35">
        <f t="shared" ref="M327:M354" si="85">J327+L327</f>
        <v>72</v>
      </c>
      <c r="N327" s="35">
        <v>8.1</v>
      </c>
      <c r="O327" s="36">
        <f t="shared" ref="O327:O334" si="86">18-N327</f>
        <v>9.9</v>
      </c>
      <c r="P327" s="29">
        <f>LOOKUP(O327,{0,7.8,8,8.2,8.4,8.6,8.8,9,9.2,9.4,9.6,9.8,10,10.2,10.4,10.6,10.8,10.9,11,11.1,11.2},{0,10,20,30,40,50,60,62,64,66,68,70,72,74,76,78,80,85,90,95,100})</f>
        <v>70</v>
      </c>
      <c r="Q327" s="5">
        <v>4.49</v>
      </c>
      <c r="R327" s="36">
        <f t="shared" ref="R327:R334" si="87">10-Q327</f>
        <v>5.51</v>
      </c>
      <c r="S327" s="29">
        <f>LOOKUP(R327,{0,3.85,4.45,4.65,4.85,5.45,5.65,5.7,5.75,5.8,5.85,5.9,5.95,6,6.45,6.5,6.55,6.63,6.7,6.75,6.8},{0,10,20,30,40,50,60,62,64,66,68,70,72,74,76,78,80,85,90,95,100})</f>
        <v>50</v>
      </c>
      <c r="T327" s="27"/>
      <c r="U327" s="27"/>
      <c r="V327" s="27">
        <f t="shared" ref="V327:V354" si="88">S327+U327</f>
        <v>50</v>
      </c>
      <c r="W327" s="27"/>
      <c r="X327" s="19">
        <f t="shared" ref="X327:X354" si="89">F327*0.1+H327*0.1+J327*0.1+P327*0.2+S327*0.2</f>
        <v>42.6</v>
      </c>
      <c r="Y327" s="13">
        <f t="shared" ref="Y327:Y354" si="90">X327/0.7+L327+U327</f>
        <v>60.8571428571429</v>
      </c>
    </row>
    <row r="328" ht="15.6" spans="1:25">
      <c r="A328" s="27">
        <v>308</v>
      </c>
      <c r="B328" s="27">
        <v>19</v>
      </c>
      <c r="C328" s="28" t="s">
        <v>371</v>
      </c>
      <c r="D328" s="28" t="s">
        <v>12</v>
      </c>
      <c r="E328" s="27">
        <v>9</v>
      </c>
      <c r="F328" s="29">
        <f>LOOKUP(E328,{0,-1.8,-0.8,0.2,1.2,2.2,3.2,4.6,6,7.4,8.8,10.2,11.6,13,14.4,15.8,17.2,19.1,21,22.8,24.6},{0,10,20,30,40,50,60,62,64,66,68,70,72,74,76,78,80,85,90,95,100})</f>
        <v>68</v>
      </c>
      <c r="G328" s="27">
        <v>240</v>
      </c>
      <c r="H328" s="29">
        <f>LOOKUP(G328,{0,180,185,190,195,200,205,209,213,217,221,225,229,233,237,241,245,253,260,265,270},{0,10,20,30,40,50,60,62,64,66,68,70,72,74,76,78,80,85,90,95,100})</f>
        <v>76</v>
      </c>
      <c r="I328" s="27">
        <v>13</v>
      </c>
      <c r="J328" s="29">
        <f>LOOKUP(I328,{0,4,5,6,7,8,9,10,11,12,13,14,15,16,17,18},{0,10,20,30,40,50,60,64,68,72,76,80,85,90,95,100})</f>
        <v>76</v>
      </c>
      <c r="K328" s="44"/>
      <c r="L328" s="35"/>
      <c r="M328" s="35">
        <f t="shared" si="85"/>
        <v>76</v>
      </c>
      <c r="N328" s="35">
        <v>7.6</v>
      </c>
      <c r="O328" s="36">
        <f t="shared" si="86"/>
        <v>10.4</v>
      </c>
      <c r="P328" s="29">
        <f>LOOKUP(O328,{0,7.8,8,8.2,8.4,8.6,8.8,9,9.2,9.4,9.6,9.8,10,10.2,10.4,10.6,10.8,10.9,11,11.1,11.2},{0,10,20,30,40,50,60,62,64,66,68,70,72,74,76,78,80,85,90,95,100})</f>
        <v>76</v>
      </c>
      <c r="Q328" s="5">
        <v>4.49</v>
      </c>
      <c r="R328" s="36">
        <f t="shared" si="87"/>
        <v>5.51</v>
      </c>
      <c r="S328" s="29">
        <f>LOOKUP(R328,{0,3.85,4.45,4.65,4.85,5.45,5.65,5.7,5.75,5.8,5.85,5.9,5.95,6,6.45,6.5,6.55,6.63,6.7,6.75,6.8},{0,10,20,30,40,50,60,62,64,66,68,70,72,74,76,78,80,85,90,95,100})</f>
        <v>50</v>
      </c>
      <c r="T328" s="27"/>
      <c r="U328" s="27"/>
      <c r="V328" s="27">
        <f t="shared" si="88"/>
        <v>50</v>
      </c>
      <c r="W328" s="27"/>
      <c r="X328" s="19">
        <f t="shared" si="89"/>
        <v>47.2</v>
      </c>
      <c r="Y328" s="13">
        <f t="shared" si="90"/>
        <v>67.4285714285714</v>
      </c>
    </row>
    <row r="329" ht="15.6" spans="1:25">
      <c r="A329" s="27">
        <v>308</v>
      </c>
      <c r="B329" s="27">
        <v>20</v>
      </c>
      <c r="C329" s="28" t="s">
        <v>372</v>
      </c>
      <c r="D329" s="28" t="s">
        <v>12</v>
      </c>
      <c r="E329" s="27">
        <v>11.5</v>
      </c>
      <c r="F329" s="29">
        <f>LOOKUP(E329,{0,-1.8,-0.8,0.2,1.2,2.2,3.2,4.6,6,7.4,8.8,10.2,11.6,13,14.4,15.8,17.2,19.1,21,22.8,24.6},{0,10,20,30,40,50,60,62,64,66,68,70,72,74,76,78,80,85,90,95,100})</f>
        <v>70</v>
      </c>
      <c r="G329" s="27">
        <v>205</v>
      </c>
      <c r="H329" s="29">
        <f>LOOKUP(G329,{0,180,185,190,195,200,205,209,213,217,221,225,229,233,237,241,245,253,260,265,270},{0,10,20,30,40,50,60,62,64,66,68,70,72,74,76,78,80,85,90,95,100})</f>
        <v>60</v>
      </c>
      <c r="I329" s="27">
        <v>3</v>
      </c>
      <c r="J329" s="29">
        <f>LOOKUP(I329,{0,4,5,6,7,8,9,10,11,12,13,14,15,16,17,18},{0,10,20,30,40,50,60,64,68,72,76,80,85,90,95,100})</f>
        <v>0</v>
      </c>
      <c r="K329" s="44"/>
      <c r="L329" s="35"/>
      <c r="M329" s="35">
        <f t="shared" si="85"/>
        <v>0</v>
      </c>
      <c r="N329" s="35">
        <v>8</v>
      </c>
      <c r="O329" s="36">
        <f t="shared" si="86"/>
        <v>10</v>
      </c>
      <c r="P329" s="29">
        <f>LOOKUP(O329,{0,7.8,8,8.2,8.4,8.6,8.8,9,9.2,9.4,9.6,9.8,10,10.2,10.4,10.6,10.8,10.9,11,11.1,11.2},{0,10,20,30,40,50,60,62,64,66,68,70,72,74,76,78,80,85,90,95,100})</f>
        <v>72</v>
      </c>
      <c r="Q329" s="5">
        <v>4.53</v>
      </c>
      <c r="R329" s="36">
        <f t="shared" si="87"/>
        <v>5.47</v>
      </c>
      <c r="S329" s="29">
        <f>LOOKUP(R329,{0,3.85,4.45,4.65,4.85,5.45,5.65,5.7,5.75,5.8,5.85,5.9,5.95,6,6.45,6.5,6.55,6.63,6.7,6.75,6.8},{0,10,20,30,40,50,60,62,64,66,68,70,72,74,76,78,80,85,90,95,100})</f>
        <v>50</v>
      </c>
      <c r="T329" s="27"/>
      <c r="U329" s="27"/>
      <c r="V329" s="27">
        <f t="shared" si="88"/>
        <v>50</v>
      </c>
      <c r="W329" s="27"/>
      <c r="X329" s="19">
        <f t="shared" si="89"/>
        <v>37.4</v>
      </c>
      <c r="Y329" s="13">
        <f t="shared" si="90"/>
        <v>53.4285714285714</v>
      </c>
    </row>
    <row r="330" ht="15.6" spans="1:25">
      <c r="A330" s="27">
        <v>308</v>
      </c>
      <c r="B330" s="27">
        <v>21</v>
      </c>
      <c r="C330" s="30" t="s">
        <v>374</v>
      </c>
      <c r="D330" s="28" t="s">
        <v>46</v>
      </c>
      <c r="E330" s="27">
        <v>19</v>
      </c>
      <c r="F330" s="29">
        <f>LOOKUP(E330,{0,1.5,2.3,3.1,3.9,4.7,5.5,6.8,8.1,9.4,10.7,12,13.3,14.6,15.9,17.2,18.5,20.2,21.9,23.6,25.3},{0,10,20,30,40,50,60,62,64,66,68,70,72,74,76,78,80,85,90,95,100})</f>
        <v>80</v>
      </c>
      <c r="G330" s="27">
        <v>205</v>
      </c>
      <c r="H330" s="29">
        <f>LOOKUP(G330,{0,125,130,135,140,145,150,153,156,159,162,165,168,171,174,177,180,187,194,200,206},{0,10,20,30,40,50,60,62,64,66,68,70,72,74,76,78,80,85,90,95,100})</f>
        <v>95</v>
      </c>
      <c r="I330" s="27">
        <v>38</v>
      </c>
      <c r="J330" s="29">
        <f>LOOKUP(I330,{0,15,17,19,21,23,25,27,29,31,33,35,37,39,41,43,45,48,51,53,55},{0,10,20,30,40,50,60,62,64,66,68,70,72,74,76,78,80,85,90,95,100})</f>
        <v>72</v>
      </c>
      <c r="K330" s="35"/>
      <c r="L330" s="35"/>
      <c r="M330" s="35">
        <f t="shared" si="85"/>
        <v>72</v>
      </c>
      <c r="N330" s="35">
        <v>8.3</v>
      </c>
      <c r="O330" s="36">
        <f t="shared" si="86"/>
        <v>9.7</v>
      </c>
      <c r="P330" s="29">
        <f>LOOKUP(O330,{0,6.6,6.8,7,7.2,7.4,7.6,7.8,8,8.2,8.4,8.6,8.8,9,9.2,9.4,9.6,9.9,10.2,10.3,10.4},{0,10,20,30,40,50,60,62,64,66,68,70,72,74,76,78,80,85,90,95,100})</f>
        <v>80</v>
      </c>
      <c r="Q330" s="5">
        <v>3.43</v>
      </c>
      <c r="R330" s="36">
        <f t="shared" si="87"/>
        <v>6.57</v>
      </c>
      <c r="S330" s="29">
        <f>LOOKUP(R330,{0,4.74,4.84,4.94,5.44,5.54,5.64,5.69,5.74,5.79,5.84,5.89,5.94,5.99,6.44,6.49,6.54,6.61,6.68,6.74,6.8},{0,10,20,30,40,50,60,62,64,66,68,70,72,74,76,78,80,85,90,95,100})</f>
        <v>80</v>
      </c>
      <c r="T330" s="27"/>
      <c r="U330" s="27"/>
      <c r="V330" s="27">
        <f t="shared" si="88"/>
        <v>80</v>
      </c>
      <c r="W330" s="27"/>
      <c r="X330" s="19">
        <f t="shared" si="89"/>
        <v>56.7</v>
      </c>
      <c r="Y330" s="13">
        <f t="shared" si="90"/>
        <v>81</v>
      </c>
    </row>
    <row r="331" ht="15.6" spans="1:25">
      <c r="A331" s="27">
        <v>308</v>
      </c>
      <c r="B331" s="27">
        <v>22</v>
      </c>
      <c r="C331" s="28" t="s">
        <v>375</v>
      </c>
      <c r="D331" s="28" t="s">
        <v>46</v>
      </c>
      <c r="E331" s="27">
        <v>6</v>
      </c>
      <c r="F331" s="29">
        <f>LOOKUP(E331,{0,1.5,2.3,3.1,3.9,4.7,5.5,6.8,8.1,9.4,10.7,12,13.3,14.6,15.9,17.2,18.5,20.2,21.9,23.6,25.3},{0,10,20,30,40,50,60,62,64,66,68,70,72,74,76,78,80,85,90,95,100})</f>
        <v>60</v>
      </c>
      <c r="G331" s="27">
        <v>150</v>
      </c>
      <c r="H331" s="29">
        <f>LOOKUP(G331,{0,125,130,135,140,145,150,153,156,159,162,165,168,171,174,177,180,187,194,200,206},{0,10,20,30,40,50,60,62,64,66,68,70,72,74,76,78,80,85,90,95,100})</f>
        <v>60</v>
      </c>
      <c r="I331" s="27">
        <v>45</v>
      </c>
      <c r="J331" s="29">
        <f>LOOKUP(I331,{0,15,17,19,21,23,25,27,29,31,33,35,37,39,41,43,45,48,51,53,55},{0,10,20,30,40,50,60,62,64,66,68,70,72,74,76,78,80,85,90,95,100})</f>
        <v>80</v>
      </c>
      <c r="K331" s="35"/>
      <c r="L331" s="35"/>
      <c r="M331" s="35">
        <f t="shared" si="85"/>
        <v>80</v>
      </c>
      <c r="N331" s="35">
        <v>9.4</v>
      </c>
      <c r="O331" s="36">
        <f t="shared" si="86"/>
        <v>8.6</v>
      </c>
      <c r="P331" s="29">
        <f>LOOKUP(O331,{0,6.6,6.8,7,7.2,7.4,7.6,7.8,8,8.2,8.4,8.6,8.8,9,9.2,9.4,9.6,9.9,10.2,10.3,10.4},{0,10,20,30,40,50,60,62,64,66,68,70,72,74,76,78,80,85,90,95,100})</f>
        <v>70</v>
      </c>
      <c r="Q331" s="5">
        <v>4.55</v>
      </c>
      <c r="R331" s="36">
        <f t="shared" si="87"/>
        <v>5.45</v>
      </c>
      <c r="S331" s="29">
        <f>LOOKUP(R331,{0,4.74,4.84,4.94,5.44,5.54,5.64,5.69,5.74,5.79,5.84,5.89,5.94,5.99,6.44,6.49,6.54,6.61,6.68,6.74,6.8},{0,10,20,30,40,50,60,62,64,66,68,70,72,74,76,78,80,85,90,95,100})</f>
        <v>40</v>
      </c>
      <c r="T331" s="27"/>
      <c r="U331" s="27"/>
      <c r="V331" s="27">
        <f t="shared" si="88"/>
        <v>40</v>
      </c>
      <c r="W331" s="27"/>
      <c r="X331" s="19">
        <f t="shared" si="89"/>
        <v>42</v>
      </c>
      <c r="Y331" s="13">
        <f t="shared" si="90"/>
        <v>60</v>
      </c>
    </row>
    <row r="332" ht="15.6" spans="1:25">
      <c r="A332" s="27">
        <v>308</v>
      </c>
      <c r="B332" s="27">
        <v>23</v>
      </c>
      <c r="C332" s="28" t="s">
        <v>376</v>
      </c>
      <c r="D332" s="28" t="s">
        <v>46</v>
      </c>
      <c r="E332" s="27">
        <v>15.5</v>
      </c>
      <c r="F332" s="29">
        <f>LOOKUP(E332,{0,1.5,2.3,3.1,3.9,4.7,5.5,6.8,8.1,9.4,10.7,12,13.3,14.6,15.9,17.2,18.5,20.2,21.9,23.6,25.3},{0,10,20,30,40,50,60,62,64,66,68,70,72,74,76,78,80,85,90,95,100})</f>
        <v>74</v>
      </c>
      <c r="G332" s="27">
        <v>200</v>
      </c>
      <c r="H332" s="29">
        <f>LOOKUP(G332,{0,125,130,135,140,145,150,153,156,159,162,165,168,171,174,177,180,187,194,200,206},{0,10,20,30,40,50,60,62,64,66,68,70,72,74,76,78,80,85,90,95,100})</f>
        <v>95</v>
      </c>
      <c r="I332" s="27">
        <v>46</v>
      </c>
      <c r="J332" s="29">
        <f>LOOKUP(I332,{0,15,17,19,21,23,25,27,29,31,33,35,37,39,41,43,45,48,51,53,55},{0,10,20,30,40,50,60,62,64,66,68,70,72,74,76,78,80,85,90,95,100})</f>
        <v>80</v>
      </c>
      <c r="K332" s="35"/>
      <c r="L332" s="35"/>
      <c r="M332" s="35">
        <f t="shared" si="85"/>
        <v>80</v>
      </c>
      <c r="N332" s="35">
        <v>8.7</v>
      </c>
      <c r="O332" s="36">
        <f t="shared" si="86"/>
        <v>9.3</v>
      </c>
      <c r="P332" s="29">
        <f>LOOKUP(O332,{0,6.6,6.8,7,7.2,7.4,7.6,7.8,8,8.2,8.4,8.6,8.8,9,9.2,9.4,9.6,9.9,10.2,10.3,10.4},{0,10,20,30,40,50,60,62,64,66,68,70,72,74,76,78,80,85,90,95,100})</f>
        <v>76</v>
      </c>
      <c r="Q332" s="5">
        <v>4.08</v>
      </c>
      <c r="R332" s="36">
        <f t="shared" si="87"/>
        <v>5.92</v>
      </c>
      <c r="S332" s="29">
        <f>LOOKUP(R332,{0,4.74,4.84,4.94,5.44,5.54,5.64,5.69,5.74,5.79,5.84,5.89,5.94,5.99,6.44,6.49,6.54,6.61,6.68,6.74,6.8},{0,10,20,30,40,50,60,62,64,66,68,70,72,74,76,78,80,85,90,95,100})</f>
        <v>70</v>
      </c>
      <c r="T332" s="27"/>
      <c r="U332" s="27"/>
      <c r="V332" s="27">
        <f t="shared" si="88"/>
        <v>70</v>
      </c>
      <c r="W332" s="27"/>
      <c r="X332" s="19">
        <f t="shared" si="89"/>
        <v>54.1</v>
      </c>
      <c r="Y332" s="13">
        <f t="shared" si="90"/>
        <v>77.2857142857143</v>
      </c>
    </row>
    <row r="333" ht="15.6" spans="1:25">
      <c r="A333" s="27">
        <v>308</v>
      </c>
      <c r="B333" s="27">
        <v>24</v>
      </c>
      <c r="C333" s="28" t="s">
        <v>377</v>
      </c>
      <c r="D333" s="28" t="s">
        <v>46</v>
      </c>
      <c r="E333" s="27">
        <v>16.5</v>
      </c>
      <c r="F333" s="29">
        <f>LOOKUP(E333,{0,1.5,2.3,3.1,3.9,4.7,5.5,6.8,8.1,9.4,10.7,12,13.3,14.6,15.9,17.2,18.5,20.2,21.9,23.6,25.3},{0,10,20,30,40,50,60,62,64,66,68,70,72,74,76,78,80,85,90,95,100})</f>
        <v>76</v>
      </c>
      <c r="G333" s="27">
        <v>155</v>
      </c>
      <c r="H333" s="29">
        <f>LOOKUP(G333,{0,125,130,135,140,145,150,153,156,159,162,165,168,171,174,177,180,187,194,200,206},{0,10,20,30,40,50,60,62,64,66,68,70,72,74,76,78,80,85,90,95,100})</f>
        <v>62</v>
      </c>
      <c r="I333" s="27">
        <v>45</v>
      </c>
      <c r="J333" s="29">
        <f>LOOKUP(I333,{0,15,17,19,21,23,25,27,29,31,33,35,37,39,41,43,45,48,51,53,55},{0,10,20,30,40,50,60,62,64,66,68,70,72,74,76,78,80,85,90,95,100})</f>
        <v>80</v>
      </c>
      <c r="K333" s="35"/>
      <c r="L333" s="35"/>
      <c r="M333" s="35">
        <f t="shared" si="85"/>
        <v>80</v>
      </c>
      <c r="N333" s="35">
        <v>10</v>
      </c>
      <c r="O333" s="36">
        <f t="shared" si="86"/>
        <v>8</v>
      </c>
      <c r="P333" s="29">
        <f>LOOKUP(O333,{0,6.6,6.8,7,7.2,7.4,7.6,7.8,8,8.2,8.4,8.6,8.8,9,9.2,9.4,9.6,9.9,10.2,10.3,10.4},{0,10,20,30,40,50,60,62,64,66,68,70,72,74,76,78,80,85,90,95,100})</f>
        <v>64</v>
      </c>
      <c r="Q333" s="5">
        <v>4.57</v>
      </c>
      <c r="R333" s="36">
        <f t="shared" si="87"/>
        <v>5.43</v>
      </c>
      <c r="S333" s="29">
        <f>LOOKUP(R333,{0,4.74,4.84,4.94,5.44,5.54,5.64,5.69,5.74,5.79,5.84,5.89,5.94,5.99,6.44,6.49,6.54,6.61,6.68,6.74,6.8},{0,10,20,30,40,50,60,62,64,66,68,70,72,74,76,78,80,85,90,95,100})</f>
        <v>30</v>
      </c>
      <c r="T333" s="27"/>
      <c r="U333" s="27"/>
      <c r="V333" s="27">
        <f t="shared" si="88"/>
        <v>30</v>
      </c>
      <c r="W333" s="27"/>
      <c r="X333" s="19">
        <f t="shared" si="89"/>
        <v>40.6</v>
      </c>
      <c r="Y333" s="13">
        <f t="shared" si="90"/>
        <v>58</v>
      </c>
    </row>
    <row r="334" ht="15.6" spans="1:25">
      <c r="A334" s="27">
        <v>308</v>
      </c>
      <c r="B334" s="27">
        <v>25</v>
      </c>
      <c r="C334" s="28" t="s">
        <v>378</v>
      </c>
      <c r="D334" s="28" t="s">
        <v>46</v>
      </c>
      <c r="E334" s="27">
        <v>28</v>
      </c>
      <c r="F334" s="29">
        <f>LOOKUP(E334,{0,1.5,2.3,3.1,3.9,4.7,5.5,6.8,8.1,9.4,10.7,12,13.3,14.6,15.9,17.2,18.5,20.2,21.9,23.6,25.3},{0,10,20,30,40,50,60,62,64,66,68,70,72,74,76,78,80,85,90,95,100})</f>
        <v>100</v>
      </c>
      <c r="G334" s="27">
        <v>190</v>
      </c>
      <c r="H334" s="29">
        <f>LOOKUP(G334,{0,125,130,135,140,145,150,153,156,159,162,165,168,171,174,177,180,187,194,200,206},{0,10,20,30,40,50,60,62,64,66,68,70,72,74,76,78,80,85,90,95,100})</f>
        <v>85</v>
      </c>
      <c r="I334" s="27">
        <v>45</v>
      </c>
      <c r="J334" s="29">
        <f>LOOKUP(I334,{0,15,17,19,21,23,25,27,29,31,33,35,37,39,41,43,45,48,51,53,55},{0,10,20,30,40,50,60,62,64,66,68,70,72,74,76,78,80,85,90,95,100})</f>
        <v>80</v>
      </c>
      <c r="K334" s="35"/>
      <c r="L334" s="35"/>
      <c r="M334" s="35">
        <f t="shared" si="85"/>
        <v>80</v>
      </c>
      <c r="N334" s="35">
        <v>9.1</v>
      </c>
      <c r="O334" s="36">
        <f t="shared" si="86"/>
        <v>8.9</v>
      </c>
      <c r="P334" s="29">
        <f>LOOKUP(O334,{0,6.6,6.8,7,7.2,7.4,7.6,7.8,8,8.2,8.4,8.6,8.8,9,9.2,9.4,9.6,9.9,10.2,10.3,10.4},{0,10,20,30,40,50,60,62,64,66,68,70,72,74,76,78,80,85,90,95,100})</f>
        <v>72</v>
      </c>
      <c r="Q334" s="5">
        <v>5.16</v>
      </c>
      <c r="R334" s="36">
        <f t="shared" si="87"/>
        <v>4.84</v>
      </c>
      <c r="S334" s="29">
        <f>LOOKUP(R334,{0,4.74,4.84,4.94,5.44,5.54,5.64,5.69,5.74,5.79,5.84,5.89,5.94,5.99,6.44,6.49,6.54,6.61,6.68,6.74,6.8},{0,10,20,30,40,50,60,62,64,66,68,70,72,74,76,78,80,85,90,95,100})</f>
        <v>20</v>
      </c>
      <c r="T334" s="27"/>
      <c r="U334" s="27"/>
      <c r="V334" s="27">
        <f t="shared" si="88"/>
        <v>20</v>
      </c>
      <c r="W334" s="27"/>
      <c r="X334" s="19">
        <f t="shared" si="89"/>
        <v>44.9</v>
      </c>
      <c r="Y334" s="13">
        <f t="shared" si="90"/>
        <v>64.1428571428571</v>
      </c>
    </row>
    <row r="335" ht="15.6" spans="1:25">
      <c r="A335" s="27">
        <v>308</v>
      </c>
      <c r="B335" s="27">
        <v>26</v>
      </c>
      <c r="C335" s="28" t="s">
        <v>379</v>
      </c>
      <c r="D335" s="28" t="s">
        <v>46</v>
      </c>
      <c r="E335" s="27">
        <v>18</v>
      </c>
      <c r="F335" s="29">
        <f>LOOKUP(E335,{0,1.5,2.3,3.1,3.9,4.7,5.5,6.8,8.1,9.4,10.7,12,13.3,14.6,15.9,17.2,18.5,20.2,21.9,23.6,25.3},{0,10,20,30,40,50,60,62,64,66,68,70,72,74,76,78,80,85,90,95,100})</f>
        <v>78</v>
      </c>
      <c r="G335" s="27">
        <v>172</v>
      </c>
      <c r="H335" s="29">
        <f>LOOKUP(G335,{0,125,130,135,140,145,150,153,156,159,162,165,168,171,174,177,180,187,194,200,206},{0,10,20,30,40,50,60,62,64,66,68,70,72,74,76,78,80,85,90,95,100})</f>
        <v>74</v>
      </c>
      <c r="I335" s="5" t="s">
        <v>77</v>
      </c>
      <c r="J335" s="29"/>
      <c r="K335" s="5"/>
      <c r="L335" s="5"/>
      <c r="M335" s="35"/>
      <c r="N335" s="5" t="s">
        <v>77</v>
      </c>
      <c r="O335" s="5"/>
      <c r="P335" s="27"/>
      <c r="Q335" s="5" t="s">
        <v>77</v>
      </c>
      <c r="R335" s="27"/>
      <c r="S335" s="27"/>
      <c r="T335" s="27"/>
      <c r="U335" s="27"/>
      <c r="V335" s="27"/>
      <c r="W335" s="42">
        <v>50</v>
      </c>
      <c r="X335" s="19">
        <f t="shared" si="89"/>
        <v>15.2</v>
      </c>
      <c r="Y335" s="13">
        <v>50</v>
      </c>
    </row>
    <row r="336" ht="15.6" spans="1:25">
      <c r="A336" s="27">
        <v>308</v>
      </c>
      <c r="B336" s="27">
        <v>27</v>
      </c>
      <c r="C336" s="28" t="s">
        <v>380</v>
      </c>
      <c r="D336" s="28" t="s">
        <v>46</v>
      </c>
      <c r="E336" s="27">
        <v>23</v>
      </c>
      <c r="F336" s="29">
        <f>LOOKUP(E336,{0,1.5,2.3,3.1,3.9,4.7,5.5,6.8,8.1,9.4,10.7,12,13.3,14.6,15.9,17.2,18.5,20.2,21.9,23.6,25.3},{0,10,20,30,40,50,60,62,64,66,68,70,72,74,76,78,80,85,90,95,100})</f>
        <v>90</v>
      </c>
      <c r="G336" s="27">
        <v>227</v>
      </c>
      <c r="H336" s="29">
        <f>LOOKUP(G336,{0,125,130,135,140,145,150,153,156,159,162,165,168,171,174,177,180,187,194,200,206},{0,10,20,30,40,50,60,62,64,66,68,70,72,74,76,78,80,85,90,95,100})</f>
        <v>100</v>
      </c>
      <c r="I336" s="27">
        <v>56</v>
      </c>
      <c r="J336" s="29">
        <f>LOOKUP(I336,{0,15,17,19,21,23,25,27,29,31,33,35,37,39,41,43,45,48,51,53,55},{0,10,20,30,40,50,60,62,64,66,68,70,72,74,76,78,80,85,90,95,100})</f>
        <v>100</v>
      </c>
      <c r="K336" s="34">
        <f>I336-55</f>
        <v>1</v>
      </c>
      <c r="L336" s="29">
        <f>LOOKUP(K336,{0,2,4,6,7,8,9,10,11,12,13},{0,1,2,3,4,5,6,7,8,9,10})</f>
        <v>0</v>
      </c>
      <c r="M336" s="35">
        <f t="shared" si="85"/>
        <v>100</v>
      </c>
      <c r="N336" s="35">
        <v>7.4</v>
      </c>
      <c r="O336" s="36">
        <f t="shared" ref="O336:O348" si="91">18-N336</f>
        <v>10.6</v>
      </c>
      <c r="P336" s="29">
        <f>LOOKUP(O336,{0,6.6,6.8,7,7.2,7.4,7.6,7.8,8,8.2,8.4,8.6,8.8,9,9.2,9.4,9.6,9.9,10.2,10.3,10.4},{0,10,20,30,40,50,60,62,64,66,68,70,72,74,76,78,80,85,90,95,100})</f>
        <v>100</v>
      </c>
      <c r="Q336" s="5">
        <v>3.27</v>
      </c>
      <c r="R336" s="36">
        <f t="shared" ref="R336:R348" si="92">10-Q336</f>
        <v>6.73</v>
      </c>
      <c r="S336" s="29">
        <f>LOOKUP(R336,{0,4.74,4.84,4.94,5.44,5.54,5.64,5.69,5.74,5.79,5.84,5.89,5.94,5.99,6.44,6.49,6.54,6.61,6.68,6.74,6.8},{0,10,20,30,40,50,60,62,64,66,68,70,72,74,76,78,80,85,90,95,100})</f>
        <v>90</v>
      </c>
      <c r="T336" s="27"/>
      <c r="U336" s="27"/>
      <c r="V336" s="27">
        <f t="shared" si="88"/>
        <v>90</v>
      </c>
      <c r="W336" s="27"/>
      <c r="X336" s="19">
        <f t="shared" si="89"/>
        <v>67</v>
      </c>
      <c r="Y336" s="13">
        <f t="shared" si="90"/>
        <v>95.7142857142857</v>
      </c>
    </row>
    <row r="337" ht="15.6" spans="1:25">
      <c r="A337" s="27">
        <v>308</v>
      </c>
      <c r="B337" s="27">
        <v>28</v>
      </c>
      <c r="C337" s="28" t="s">
        <v>381</v>
      </c>
      <c r="D337" s="28" t="s">
        <v>46</v>
      </c>
      <c r="E337" s="27">
        <v>17</v>
      </c>
      <c r="F337" s="29">
        <f>LOOKUP(E337,{0,1.5,2.3,3.1,3.9,4.7,5.5,6.8,8.1,9.4,10.7,12,13.3,14.6,15.9,17.2,18.5,20.2,21.9,23.6,25.3},{0,10,20,30,40,50,60,62,64,66,68,70,72,74,76,78,80,85,90,95,100})</f>
        <v>76</v>
      </c>
      <c r="G337" s="27">
        <v>175</v>
      </c>
      <c r="H337" s="29">
        <f>LOOKUP(G337,{0,125,130,135,140,145,150,153,156,159,162,165,168,171,174,177,180,187,194,200,206},{0,10,20,30,40,50,60,62,64,66,68,70,72,74,76,78,80,85,90,95,100})</f>
        <v>76</v>
      </c>
      <c r="I337" s="27">
        <v>45</v>
      </c>
      <c r="J337" s="29">
        <f>LOOKUP(I337,{0,15,17,19,21,23,25,27,29,31,33,35,37,39,41,43,45,48,51,53,55},{0,10,20,30,40,50,60,62,64,66,68,70,72,74,76,78,80,85,90,95,100})</f>
        <v>80</v>
      </c>
      <c r="K337" s="35"/>
      <c r="L337" s="35"/>
      <c r="M337" s="35">
        <f t="shared" si="85"/>
        <v>80</v>
      </c>
      <c r="N337" s="35">
        <v>8.8</v>
      </c>
      <c r="O337" s="36">
        <f t="shared" si="91"/>
        <v>9.2</v>
      </c>
      <c r="P337" s="29">
        <f>LOOKUP(O337,{0,6.6,6.8,7,7.2,7.4,7.6,7.8,8,8.2,8.4,8.6,8.8,9,9.2,9.4,9.6,9.9,10.2,10.3,10.4},{0,10,20,30,40,50,60,62,64,66,68,70,72,74,76,78,80,85,90,95,100})</f>
        <v>76</v>
      </c>
      <c r="Q337" s="5">
        <v>4.54</v>
      </c>
      <c r="R337" s="36">
        <f t="shared" si="92"/>
        <v>5.46</v>
      </c>
      <c r="S337" s="29">
        <f>LOOKUP(R337,{0,4.74,4.84,4.94,5.44,5.54,5.64,5.69,5.74,5.79,5.84,5.89,5.94,5.99,6.44,6.49,6.54,6.61,6.68,6.74,6.8},{0,10,20,30,40,50,60,62,64,66,68,70,72,74,76,78,80,85,90,95,100})</f>
        <v>40</v>
      </c>
      <c r="T337" s="27"/>
      <c r="U337" s="27"/>
      <c r="V337" s="27">
        <f t="shared" si="88"/>
        <v>40</v>
      </c>
      <c r="W337" s="27"/>
      <c r="X337" s="19">
        <f t="shared" si="89"/>
        <v>46.4</v>
      </c>
      <c r="Y337" s="13">
        <f t="shared" si="90"/>
        <v>66.2857142857143</v>
      </c>
    </row>
    <row r="338" ht="15.6" spans="1:25">
      <c r="A338" s="27">
        <v>308</v>
      </c>
      <c r="B338" s="27">
        <v>29</v>
      </c>
      <c r="C338" s="28" t="s">
        <v>382</v>
      </c>
      <c r="D338" s="28" t="s">
        <v>46</v>
      </c>
      <c r="E338" s="27">
        <v>19.5</v>
      </c>
      <c r="F338" s="29">
        <f>LOOKUP(E338,{0,1.5,2.3,3.1,3.9,4.7,5.5,6.8,8.1,9.4,10.7,12,13.3,14.6,15.9,17.2,18.5,20.2,21.9,23.6,25.3},{0,10,20,30,40,50,60,62,64,66,68,70,72,74,76,78,80,85,90,95,100})</f>
        <v>80</v>
      </c>
      <c r="G338" s="27">
        <v>150</v>
      </c>
      <c r="H338" s="29">
        <f>LOOKUP(G338,{0,125,130,135,140,145,150,153,156,159,162,165,168,171,174,177,180,187,194,200,206},{0,10,20,30,40,50,60,62,64,66,68,70,72,74,76,78,80,85,90,95,100})</f>
        <v>60</v>
      </c>
      <c r="I338" s="27">
        <v>41</v>
      </c>
      <c r="J338" s="29">
        <f>LOOKUP(I338,{0,15,17,19,21,23,25,27,29,31,33,35,37,39,41,43,45,48,51,53,55},{0,10,20,30,40,50,60,62,64,66,68,70,72,74,76,78,80,85,90,95,100})</f>
        <v>76</v>
      </c>
      <c r="K338" s="35"/>
      <c r="L338" s="35"/>
      <c r="M338" s="35">
        <f t="shared" si="85"/>
        <v>76</v>
      </c>
      <c r="N338" s="35">
        <v>9.3</v>
      </c>
      <c r="O338" s="36">
        <f t="shared" si="91"/>
        <v>8.7</v>
      </c>
      <c r="P338" s="29">
        <f>LOOKUP(O338,{0,6.6,6.8,7,7.2,7.4,7.6,7.8,8,8.2,8.4,8.6,8.8,9,9.2,9.4,9.6,9.9,10.2,10.3,10.4},{0,10,20,30,40,50,60,62,64,66,68,70,72,74,76,78,80,85,90,95,100})</f>
        <v>70</v>
      </c>
      <c r="Q338" s="5">
        <v>5.27</v>
      </c>
      <c r="R338" s="36">
        <f t="shared" si="92"/>
        <v>4.73</v>
      </c>
      <c r="S338" s="29">
        <f>LOOKUP(R338,{0,4.74,4.84,4.94,5.44,5.54,5.64,5.69,5.74,5.79,5.84,5.89,5.94,5.99,6.44,6.49,6.54,6.61,6.68,6.74,6.8},{0,10,20,30,40,50,60,62,64,66,68,70,72,74,76,78,80,85,90,95,100})</f>
        <v>0</v>
      </c>
      <c r="T338" s="27"/>
      <c r="U338" s="27"/>
      <c r="V338" s="27">
        <f t="shared" si="88"/>
        <v>0</v>
      </c>
      <c r="W338" s="27"/>
      <c r="X338" s="19">
        <f t="shared" si="89"/>
        <v>35.6</v>
      </c>
      <c r="Y338" s="13">
        <f t="shared" si="90"/>
        <v>50.8571428571429</v>
      </c>
    </row>
    <row r="339" ht="15.6" spans="1:25">
      <c r="A339" s="27">
        <v>308</v>
      </c>
      <c r="B339" s="27">
        <v>30</v>
      </c>
      <c r="C339" s="28" t="s">
        <v>383</v>
      </c>
      <c r="D339" s="28" t="s">
        <v>46</v>
      </c>
      <c r="E339" s="27">
        <v>22</v>
      </c>
      <c r="F339" s="29">
        <f>LOOKUP(E339,{0,1.5,2.3,3.1,3.9,4.7,5.5,6.8,8.1,9.4,10.7,12,13.3,14.6,15.9,17.2,18.5,20.2,21.9,23.6,25.3},{0,10,20,30,40,50,60,62,64,66,68,70,72,74,76,78,80,85,90,95,100})</f>
        <v>90</v>
      </c>
      <c r="G339" s="27">
        <v>150</v>
      </c>
      <c r="H339" s="29">
        <f>LOOKUP(G339,{0,125,130,135,140,145,150,153,156,159,162,165,168,171,174,177,180,187,194,200,206},{0,10,20,30,40,50,60,62,64,66,68,70,72,74,76,78,80,85,90,95,100})</f>
        <v>60</v>
      </c>
      <c r="I339" s="27">
        <v>37</v>
      </c>
      <c r="J339" s="29">
        <f>LOOKUP(I339,{0,15,17,19,21,23,25,27,29,31,33,35,37,39,41,43,45,48,51,53,55},{0,10,20,30,40,50,60,62,64,66,68,70,72,74,76,78,80,85,90,95,100})</f>
        <v>72</v>
      </c>
      <c r="K339" s="35"/>
      <c r="L339" s="35"/>
      <c r="M339" s="35">
        <f t="shared" si="85"/>
        <v>72</v>
      </c>
      <c r="N339" s="35">
        <v>9.1</v>
      </c>
      <c r="O339" s="36">
        <f t="shared" si="91"/>
        <v>8.9</v>
      </c>
      <c r="P339" s="29">
        <f>LOOKUP(O339,{0,6.6,6.8,7,7.2,7.4,7.6,7.8,8,8.2,8.4,8.6,8.8,9,9.2,9.4,9.6,9.9,10.2,10.3,10.4},{0,10,20,30,40,50,60,62,64,66,68,70,72,74,76,78,80,85,90,95,100})</f>
        <v>72</v>
      </c>
      <c r="Q339" s="5">
        <v>3.49</v>
      </c>
      <c r="R339" s="36">
        <f t="shared" si="92"/>
        <v>6.51</v>
      </c>
      <c r="S339" s="29">
        <f>LOOKUP(R339,{0,4.74,4.84,4.94,5.44,5.54,5.64,5.69,5.74,5.79,5.84,5.89,5.94,5.99,6.44,6.49,6.54,6.61,6.68,6.74,6.8},{0,10,20,30,40,50,60,62,64,66,68,70,72,74,76,78,80,85,90,95,100})</f>
        <v>78</v>
      </c>
      <c r="T339" s="27"/>
      <c r="U339" s="27"/>
      <c r="V339" s="27">
        <f t="shared" si="88"/>
        <v>78</v>
      </c>
      <c r="W339" s="27"/>
      <c r="X339" s="19">
        <f t="shared" si="89"/>
        <v>52.2</v>
      </c>
      <c r="Y339" s="13">
        <f t="shared" si="90"/>
        <v>74.5714285714286</v>
      </c>
    </row>
    <row r="340" ht="15.6" spans="1:25">
      <c r="A340" s="27">
        <v>308</v>
      </c>
      <c r="B340" s="27">
        <v>31</v>
      </c>
      <c r="C340" s="30" t="s">
        <v>385</v>
      </c>
      <c r="D340" s="28" t="s">
        <v>46</v>
      </c>
      <c r="E340" s="27">
        <v>24</v>
      </c>
      <c r="F340" s="29">
        <f>LOOKUP(E340,{0,1.5,2.3,3.1,3.9,4.7,5.5,6.8,8.1,9.4,10.7,12,13.3,14.6,15.9,17.2,18.5,20.2,21.9,23.6,25.3},{0,10,20,30,40,50,60,62,64,66,68,70,72,74,76,78,80,85,90,95,100})</f>
        <v>95</v>
      </c>
      <c r="G340" s="27">
        <v>188</v>
      </c>
      <c r="H340" s="29">
        <f>LOOKUP(G340,{0,125,130,135,140,145,150,153,156,159,162,165,168,171,174,177,180,187,194,200,206},{0,10,20,30,40,50,60,62,64,66,68,70,72,74,76,78,80,85,90,95,100})</f>
        <v>85</v>
      </c>
      <c r="I340" s="27">
        <v>46</v>
      </c>
      <c r="J340" s="29">
        <f>LOOKUP(I340,{0,15,17,19,21,23,25,27,29,31,33,35,37,39,41,43,45,48,51,53,55},{0,10,20,30,40,50,60,62,64,66,68,70,72,74,76,78,80,85,90,95,100})</f>
        <v>80</v>
      </c>
      <c r="K340" s="35"/>
      <c r="L340" s="35"/>
      <c r="M340" s="35">
        <f t="shared" si="85"/>
        <v>80</v>
      </c>
      <c r="N340" s="35">
        <v>8.9</v>
      </c>
      <c r="O340" s="36">
        <f t="shared" si="91"/>
        <v>9.1</v>
      </c>
      <c r="P340" s="29">
        <f>LOOKUP(O340,{0,6.6,6.8,7,7.2,7.4,7.6,7.8,8,8.2,8.4,8.6,8.8,9,9.2,9.4,9.6,9.9,10.2,10.3,10.4},{0,10,20,30,40,50,60,62,64,66,68,70,72,74,76,78,80,85,90,95,100})</f>
        <v>74</v>
      </c>
      <c r="Q340" s="5">
        <v>5.16</v>
      </c>
      <c r="R340" s="36">
        <f t="shared" si="92"/>
        <v>4.84</v>
      </c>
      <c r="S340" s="29">
        <f>LOOKUP(R340,{0,4.74,4.84,4.94,5.44,5.54,5.64,5.69,5.74,5.79,5.84,5.89,5.94,5.99,6.44,6.49,6.54,6.61,6.68,6.74,6.8},{0,10,20,30,40,50,60,62,64,66,68,70,72,74,76,78,80,85,90,95,100})</f>
        <v>20</v>
      </c>
      <c r="T340" s="27"/>
      <c r="U340" s="27"/>
      <c r="V340" s="27">
        <f t="shared" si="88"/>
        <v>20</v>
      </c>
      <c r="W340" s="27"/>
      <c r="X340" s="19">
        <f t="shared" si="89"/>
        <v>44.8</v>
      </c>
      <c r="Y340" s="13">
        <f t="shared" si="90"/>
        <v>64</v>
      </c>
    </row>
    <row r="341" ht="15.6" spans="1:25">
      <c r="A341" s="27">
        <v>308</v>
      </c>
      <c r="B341" s="27">
        <v>32</v>
      </c>
      <c r="C341" s="28" t="s">
        <v>386</v>
      </c>
      <c r="D341" s="28" t="s">
        <v>46</v>
      </c>
      <c r="E341" s="27">
        <v>10</v>
      </c>
      <c r="F341" s="29">
        <f>LOOKUP(E341,{0,1.5,2.3,3.1,3.9,4.7,5.5,6.8,8.1,9.4,10.7,12,13.3,14.6,15.9,17.2,18.5,20.2,21.9,23.6,25.3},{0,10,20,30,40,50,60,62,64,66,68,70,72,74,76,78,80,85,90,95,100})</f>
        <v>66</v>
      </c>
      <c r="G341" s="27">
        <v>135</v>
      </c>
      <c r="H341" s="29">
        <f>LOOKUP(G341,{0,125,130,135,140,145,150,153,156,159,162,165,168,171,174,177,180,187,194,200,206},{0,10,20,30,40,50,60,62,64,66,68,70,72,74,76,78,80,85,90,95,100})</f>
        <v>30</v>
      </c>
      <c r="I341" s="27">
        <v>47</v>
      </c>
      <c r="J341" s="29">
        <f>LOOKUP(I341,{0,15,17,19,21,23,25,27,29,31,33,35,37,39,41,43,45,48,51,53,55},{0,10,20,30,40,50,60,62,64,66,68,70,72,74,76,78,80,85,90,95,100})</f>
        <v>80</v>
      </c>
      <c r="K341" s="35"/>
      <c r="L341" s="35"/>
      <c r="M341" s="35">
        <f t="shared" si="85"/>
        <v>80</v>
      </c>
      <c r="N341" s="35">
        <v>10.3</v>
      </c>
      <c r="O341" s="36">
        <f t="shared" si="91"/>
        <v>7.7</v>
      </c>
      <c r="P341" s="29">
        <f>LOOKUP(O341,{0,6.6,6.8,7,7.2,7.4,7.6,7.8,8,8.2,8.4,8.6,8.8,9,9.2,9.4,9.6,9.9,10.2,10.3,10.4},{0,10,20,30,40,50,60,62,64,66,68,70,72,74,76,78,80,85,90,95,100})</f>
        <v>60</v>
      </c>
      <c r="Q341" s="5">
        <v>5.24</v>
      </c>
      <c r="R341" s="36">
        <f t="shared" si="92"/>
        <v>4.76</v>
      </c>
      <c r="S341" s="29">
        <f>LOOKUP(R341,{0,4.74,4.84,4.94,5.44,5.54,5.64,5.69,5.74,5.79,5.84,5.89,5.94,5.99,6.44,6.49,6.54,6.61,6.68,6.74,6.8},{0,10,20,30,40,50,60,62,64,66,68,70,72,74,76,78,80,85,90,95,100})</f>
        <v>10</v>
      </c>
      <c r="T341" s="27"/>
      <c r="U341" s="27"/>
      <c r="V341" s="27">
        <f t="shared" si="88"/>
        <v>10</v>
      </c>
      <c r="W341" s="27"/>
      <c r="X341" s="19">
        <f t="shared" si="89"/>
        <v>31.6</v>
      </c>
      <c r="Y341" s="13">
        <f t="shared" si="90"/>
        <v>45.1428571428571</v>
      </c>
    </row>
    <row r="342" ht="15.6" spans="1:25">
      <c r="A342" s="27">
        <v>308</v>
      </c>
      <c r="B342" s="27">
        <v>33</v>
      </c>
      <c r="C342" s="28" t="s">
        <v>387</v>
      </c>
      <c r="D342" s="28" t="s">
        <v>46</v>
      </c>
      <c r="E342" s="27">
        <v>17</v>
      </c>
      <c r="F342" s="29">
        <f>LOOKUP(E342,{0,1.5,2.3,3.1,3.9,4.7,5.5,6.8,8.1,9.4,10.7,12,13.3,14.6,15.9,17.2,18.5,20.2,21.9,23.6,25.3},{0,10,20,30,40,50,60,62,64,66,68,70,72,74,76,78,80,85,90,95,100})</f>
        <v>76</v>
      </c>
      <c r="G342" s="27">
        <v>150</v>
      </c>
      <c r="H342" s="29">
        <f>LOOKUP(G342,{0,125,130,135,140,145,150,153,156,159,162,165,168,171,174,177,180,187,194,200,206},{0,10,20,30,40,50,60,62,64,66,68,70,72,74,76,78,80,85,90,95,100})</f>
        <v>60</v>
      </c>
      <c r="I342" s="27">
        <v>36</v>
      </c>
      <c r="J342" s="29">
        <f>LOOKUP(I342,{0,15,17,19,21,23,25,27,29,31,33,35,37,39,41,43,45,48,51,53,55},{0,10,20,30,40,50,60,62,64,66,68,70,72,74,76,78,80,85,90,95,100})</f>
        <v>70</v>
      </c>
      <c r="K342" s="35"/>
      <c r="L342" s="35"/>
      <c r="M342" s="35">
        <f t="shared" si="85"/>
        <v>70</v>
      </c>
      <c r="N342" s="35">
        <v>10</v>
      </c>
      <c r="O342" s="36">
        <f t="shared" si="91"/>
        <v>8</v>
      </c>
      <c r="P342" s="29">
        <f>LOOKUP(O342,{0,6.6,6.8,7,7.2,7.4,7.6,7.8,8,8.2,8.4,8.6,8.8,9,9.2,9.4,9.6,9.9,10.2,10.3,10.4},{0,10,20,30,40,50,60,62,64,66,68,70,72,74,76,78,80,85,90,95,100})</f>
        <v>64</v>
      </c>
      <c r="Q342" s="5">
        <v>4.58</v>
      </c>
      <c r="R342" s="36">
        <f t="shared" si="92"/>
        <v>5.42</v>
      </c>
      <c r="S342" s="29">
        <f>LOOKUP(R342,{0,4.74,4.84,4.94,5.44,5.54,5.64,5.69,5.74,5.79,5.84,5.89,5.94,5.99,6.44,6.49,6.54,6.61,6.68,6.74,6.8},{0,10,20,30,40,50,60,62,64,66,68,70,72,74,76,78,80,85,90,95,100})</f>
        <v>30</v>
      </c>
      <c r="T342" s="27"/>
      <c r="U342" s="27"/>
      <c r="V342" s="27">
        <f t="shared" si="88"/>
        <v>30</v>
      </c>
      <c r="W342" s="27"/>
      <c r="X342" s="19">
        <f t="shared" si="89"/>
        <v>39.4</v>
      </c>
      <c r="Y342" s="13">
        <f t="shared" si="90"/>
        <v>56.2857142857143</v>
      </c>
    </row>
    <row r="343" ht="15.6" spans="1:25">
      <c r="A343" s="27">
        <v>308</v>
      </c>
      <c r="B343" s="27">
        <v>34</v>
      </c>
      <c r="C343" s="28" t="s">
        <v>388</v>
      </c>
      <c r="D343" s="28" t="s">
        <v>46</v>
      </c>
      <c r="E343" s="27">
        <v>7.5</v>
      </c>
      <c r="F343" s="29">
        <f>LOOKUP(E343,{0,1.5,2.3,3.1,3.9,4.7,5.5,6.8,8.1,9.4,10.7,12,13.3,14.6,15.9,17.2,18.5,20.2,21.9,23.6,25.3},{0,10,20,30,40,50,60,62,64,66,68,70,72,74,76,78,80,85,90,95,100})</f>
        <v>62</v>
      </c>
      <c r="G343" s="27">
        <v>172</v>
      </c>
      <c r="H343" s="29">
        <f>LOOKUP(G343,{0,125,130,135,140,145,150,153,156,159,162,165,168,171,174,177,180,187,194,200,206},{0,10,20,30,40,50,60,62,64,66,68,70,72,74,76,78,80,85,90,95,100})</f>
        <v>74</v>
      </c>
      <c r="I343" s="27">
        <v>55</v>
      </c>
      <c r="J343" s="29">
        <f>LOOKUP(I343,{0,15,17,19,21,23,25,27,29,31,33,35,37,39,41,43,45,48,51,53,55},{0,10,20,30,40,50,60,62,64,66,68,70,72,74,76,78,80,85,90,95,100})</f>
        <v>100</v>
      </c>
      <c r="K343" s="35"/>
      <c r="L343" s="35"/>
      <c r="M343" s="35">
        <f t="shared" si="85"/>
        <v>100</v>
      </c>
      <c r="N343" s="35">
        <v>9.5</v>
      </c>
      <c r="O343" s="36">
        <f t="shared" si="91"/>
        <v>8.5</v>
      </c>
      <c r="P343" s="29">
        <f>LOOKUP(O343,{0,6.6,6.8,7,7.2,7.4,7.6,7.8,8,8.2,8.4,8.6,8.8,9,9.2,9.4,9.6,9.9,10.2,10.3,10.4},{0,10,20,30,40,50,60,62,64,66,68,70,72,74,76,78,80,85,90,95,100})</f>
        <v>68</v>
      </c>
      <c r="Q343" s="5">
        <v>4.27</v>
      </c>
      <c r="R343" s="36">
        <f t="shared" si="92"/>
        <v>5.73</v>
      </c>
      <c r="S343" s="29">
        <f>LOOKUP(R343,{0,4.74,4.84,4.94,5.44,5.54,5.64,5.69,5.74,5.79,5.84,5.89,5.94,5.99,6.44,6.49,6.54,6.61,6.68,6.74,6.8},{0,10,20,30,40,50,60,62,64,66,68,70,72,74,76,78,80,85,90,95,100})</f>
        <v>62</v>
      </c>
      <c r="T343" s="27"/>
      <c r="U343" s="27"/>
      <c r="V343" s="27">
        <f t="shared" si="88"/>
        <v>62</v>
      </c>
      <c r="W343" s="27"/>
      <c r="X343" s="19">
        <f t="shared" si="89"/>
        <v>49.6</v>
      </c>
      <c r="Y343" s="13">
        <f t="shared" si="90"/>
        <v>70.8571428571429</v>
      </c>
    </row>
    <row r="344" ht="15.6" spans="1:25">
      <c r="A344" s="27">
        <v>308</v>
      </c>
      <c r="B344" s="27">
        <v>35</v>
      </c>
      <c r="C344" s="28" t="s">
        <v>389</v>
      </c>
      <c r="D344" s="28" t="s">
        <v>46</v>
      </c>
      <c r="E344" s="27">
        <v>18</v>
      </c>
      <c r="F344" s="29">
        <f>LOOKUP(E344,{0,1.5,2.3,3.1,3.9,4.7,5.5,6.8,8.1,9.4,10.7,12,13.3,14.6,15.9,17.2,18.5,20.2,21.9,23.6,25.3},{0,10,20,30,40,50,60,62,64,66,68,70,72,74,76,78,80,85,90,95,100})</f>
        <v>78</v>
      </c>
      <c r="G344" s="27">
        <v>152</v>
      </c>
      <c r="H344" s="29">
        <f>LOOKUP(G344,{0,125,130,135,140,145,150,153,156,159,162,165,168,171,174,177,180,187,194,200,206},{0,10,20,30,40,50,60,62,64,66,68,70,72,74,76,78,80,85,90,95,100})</f>
        <v>60</v>
      </c>
      <c r="I344" s="27">
        <v>45</v>
      </c>
      <c r="J344" s="29">
        <f>LOOKUP(I344,{0,15,17,19,21,23,25,27,29,31,33,35,37,39,41,43,45,48,51,53,55},{0,10,20,30,40,50,60,62,64,66,68,70,72,74,76,78,80,85,90,95,100})</f>
        <v>80</v>
      </c>
      <c r="K344" s="35"/>
      <c r="L344" s="35"/>
      <c r="M344" s="35">
        <f t="shared" si="85"/>
        <v>80</v>
      </c>
      <c r="N344" s="35">
        <v>9.2</v>
      </c>
      <c r="O344" s="36">
        <f t="shared" si="91"/>
        <v>8.8</v>
      </c>
      <c r="P344" s="29">
        <f>LOOKUP(O344,{0,6.6,6.8,7,7.2,7.4,7.6,7.8,8,8.2,8.4,8.6,8.8,9,9.2,9.4,9.6,9.9,10.2,10.3,10.4},{0,10,20,30,40,50,60,62,64,66,68,70,72,74,76,78,80,85,90,95,100})</f>
        <v>72</v>
      </c>
      <c r="Q344" s="5">
        <v>4.1</v>
      </c>
      <c r="R344" s="36">
        <f t="shared" si="92"/>
        <v>5.9</v>
      </c>
      <c r="S344" s="29">
        <f>LOOKUP(R344,{0,4.74,4.84,4.94,5.44,5.54,5.64,5.69,5.74,5.79,5.84,5.89,5.94,5.99,6.44,6.49,6.54,6.61,6.68,6.74,6.8},{0,10,20,30,40,50,60,62,64,66,68,70,72,74,76,78,80,85,90,95,100})</f>
        <v>70</v>
      </c>
      <c r="T344" s="27"/>
      <c r="U344" s="27"/>
      <c r="V344" s="27">
        <f t="shared" si="88"/>
        <v>70</v>
      </c>
      <c r="W344" s="27"/>
      <c r="X344" s="19">
        <f t="shared" si="89"/>
        <v>50.2</v>
      </c>
      <c r="Y344" s="13">
        <f t="shared" si="90"/>
        <v>71.7142857142857</v>
      </c>
    </row>
    <row r="345" ht="15.6" spans="1:25">
      <c r="A345" s="27">
        <v>308</v>
      </c>
      <c r="B345" s="27">
        <v>36</v>
      </c>
      <c r="C345" s="28" t="s">
        <v>390</v>
      </c>
      <c r="D345" s="28" t="s">
        <v>46</v>
      </c>
      <c r="E345" s="27">
        <v>24</v>
      </c>
      <c r="F345" s="29">
        <f>LOOKUP(E345,{0,1.5,2.3,3.1,3.9,4.7,5.5,6.8,8.1,9.4,10.7,12,13.3,14.6,15.9,17.2,18.5,20.2,21.9,23.6,25.3},{0,10,20,30,40,50,60,62,64,66,68,70,72,74,76,78,80,85,90,95,100})</f>
        <v>95</v>
      </c>
      <c r="G345" s="27">
        <v>174</v>
      </c>
      <c r="H345" s="29">
        <f>LOOKUP(G345,{0,125,130,135,140,145,150,153,156,159,162,165,168,171,174,177,180,187,194,200,206},{0,10,20,30,40,50,60,62,64,66,68,70,72,74,76,78,80,85,90,95,100})</f>
        <v>76</v>
      </c>
      <c r="I345" s="27">
        <v>42</v>
      </c>
      <c r="J345" s="29">
        <f>LOOKUP(I345,{0,15,17,19,21,23,25,27,29,31,33,35,37,39,41,43,45,48,51,53,55},{0,10,20,30,40,50,60,62,64,66,68,70,72,74,76,78,80,85,90,95,100})</f>
        <v>76</v>
      </c>
      <c r="K345" s="35"/>
      <c r="L345" s="35"/>
      <c r="M345" s="35">
        <f t="shared" si="85"/>
        <v>76</v>
      </c>
      <c r="N345" s="35">
        <v>9.4</v>
      </c>
      <c r="O345" s="36">
        <f t="shared" si="91"/>
        <v>8.6</v>
      </c>
      <c r="P345" s="29">
        <f>LOOKUP(O345,{0,6.6,6.8,7,7.2,7.4,7.6,7.8,8,8.2,8.4,8.6,8.8,9,9.2,9.4,9.6,9.9,10.2,10.3,10.4},{0,10,20,30,40,50,60,62,64,66,68,70,72,74,76,78,80,85,90,95,100})</f>
        <v>70</v>
      </c>
      <c r="Q345" s="5">
        <v>4.56</v>
      </c>
      <c r="R345" s="36">
        <f t="shared" si="92"/>
        <v>5.44</v>
      </c>
      <c r="S345" s="29">
        <f>LOOKUP(R345,{0,4.74,4.84,4.94,5.44,5.54,5.64,5.69,5.74,5.79,5.84,5.89,5.94,5.99,6.44,6.49,6.54,6.61,6.68,6.74,6.8},{0,10,20,30,40,50,60,62,64,66,68,70,72,74,76,78,80,85,90,95,100})</f>
        <v>40</v>
      </c>
      <c r="T345" s="27"/>
      <c r="U345" s="27"/>
      <c r="V345" s="27">
        <f t="shared" si="88"/>
        <v>40</v>
      </c>
      <c r="W345" s="27"/>
      <c r="X345" s="19">
        <f t="shared" si="89"/>
        <v>46.7</v>
      </c>
      <c r="Y345" s="13">
        <f t="shared" si="90"/>
        <v>66.7142857142857</v>
      </c>
    </row>
    <row r="346" ht="15.6" spans="1:25">
      <c r="A346" s="27">
        <v>308</v>
      </c>
      <c r="B346" s="27">
        <v>37</v>
      </c>
      <c r="C346" s="28" t="s">
        <v>391</v>
      </c>
      <c r="D346" s="28" t="s">
        <v>46</v>
      </c>
      <c r="E346" s="27">
        <v>11</v>
      </c>
      <c r="F346" s="29">
        <f>LOOKUP(E346,{0,1.5,2.3,3.1,3.9,4.7,5.5,6.8,8.1,9.4,10.7,12,13.3,14.6,15.9,17.2,18.5,20.2,21.9,23.6,25.3},{0,10,20,30,40,50,60,62,64,66,68,70,72,74,76,78,80,85,90,95,100})</f>
        <v>68</v>
      </c>
      <c r="G346" s="27">
        <v>156</v>
      </c>
      <c r="H346" s="29">
        <f>LOOKUP(G346,{0,125,130,135,140,145,150,153,156,159,162,165,168,171,174,177,180,187,194,200,206},{0,10,20,30,40,50,60,62,64,66,68,70,72,74,76,78,80,85,90,95,100})</f>
        <v>64</v>
      </c>
      <c r="I346" s="27">
        <v>31</v>
      </c>
      <c r="J346" s="29">
        <f>LOOKUP(I346,{0,15,17,19,21,23,25,27,29,31,33,35,37,39,41,43,45,48,51,53,55},{0,10,20,30,40,50,60,62,64,66,68,70,72,74,76,78,80,85,90,95,100})</f>
        <v>66</v>
      </c>
      <c r="K346" s="35"/>
      <c r="L346" s="35"/>
      <c r="M346" s="35">
        <f t="shared" si="85"/>
        <v>66</v>
      </c>
      <c r="N346" s="35">
        <v>9.6</v>
      </c>
      <c r="O346" s="36">
        <f t="shared" si="91"/>
        <v>8.4</v>
      </c>
      <c r="P346" s="29">
        <f>LOOKUP(O346,{0,6.6,6.8,7,7.2,7.4,7.6,7.8,8,8.2,8.4,8.6,8.8,9,9.2,9.4,9.6,9.9,10.2,10.3,10.4},{0,10,20,30,40,50,60,62,64,66,68,70,72,74,76,78,80,85,90,95,100})</f>
        <v>68</v>
      </c>
      <c r="Q346" s="5">
        <v>5.01</v>
      </c>
      <c r="R346" s="36">
        <f t="shared" si="92"/>
        <v>4.99</v>
      </c>
      <c r="S346" s="29">
        <f>LOOKUP(R346,{0,4.74,4.84,4.94,5.44,5.54,5.64,5.69,5.74,5.79,5.84,5.89,5.94,5.99,6.44,6.49,6.54,6.61,6.68,6.74,6.8},{0,10,20,30,40,50,60,62,64,66,68,70,72,74,76,78,80,85,90,95,100})</f>
        <v>30</v>
      </c>
      <c r="T346" s="27"/>
      <c r="U346" s="27"/>
      <c r="V346" s="27">
        <f t="shared" si="88"/>
        <v>30</v>
      </c>
      <c r="W346" s="27"/>
      <c r="X346" s="19">
        <f t="shared" si="89"/>
        <v>39.4</v>
      </c>
      <c r="Y346" s="13">
        <f t="shared" si="90"/>
        <v>56.2857142857143</v>
      </c>
    </row>
    <row r="347" ht="15.6" spans="1:25">
      <c r="A347" s="27">
        <v>308</v>
      </c>
      <c r="B347" s="27">
        <v>38</v>
      </c>
      <c r="C347" s="28" t="s">
        <v>392</v>
      </c>
      <c r="D347" s="28" t="s">
        <v>46</v>
      </c>
      <c r="E347" s="27">
        <v>16</v>
      </c>
      <c r="F347" s="29">
        <f>LOOKUP(E347,{0,1.5,2.3,3.1,3.9,4.7,5.5,6.8,8.1,9.4,10.7,12,13.3,14.6,15.9,17.2,18.5,20.2,21.9,23.6,25.3},{0,10,20,30,40,50,60,62,64,66,68,70,72,74,76,78,80,85,90,95,100})</f>
        <v>76</v>
      </c>
      <c r="G347" s="27">
        <v>155</v>
      </c>
      <c r="H347" s="29">
        <f>LOOKUP(G347,{0,125,130,135,140,145,150,153,156,159,162,165,168,171,174,177,180,187,194,200,206},{0,10,20,30,40,50,60,62,64,66,68,70,72,74,76,78,80,85,90,95,100})</f>
        <v>62</v>
      </c>
      <c r="I347" s="27">
        <v>37</v>
      </c>
      <c r="J347" s="29">
        <f>LOOKUP(I347,{0,15,17,19,21,23,25,27,29,31,33,35,37,39,41,43,45,48,51,53,55},{0,10,20,30,40,50,60,62,64,66,68,70,72,74,76,78,80,85,90,95,100})</f>
        <v>72</v>
      </c>
      <c r="K347" s="35"/>
      <c r="L347" s="35"/>
      <c r="M347" s="35">
        <f t="shared" si="85"/>
        <v>72</v>
      </c>
      <c r="N347" s="35">
        <v>10.5</v>
      </c>
      <c r="O347" s="36">
        <f t="shared" si="91"/>
        <v>7.5</v>
      </c>
      <c r="P347" s="29">
        <f>LOOKUP(O347,{0,6.6,6.8,7,7.2,7.4,7.6,7.8,8,8.2,8.4,8.6,8.8,9,9.2,9.4,9.6,9.9,10.2,10.3,10.4},{0,10,20,30,40,50,60,62,64,66,68,70,72,74,76,78,80,85,90,95,100})</f>
        <v>50</v>
      </c>
      <c r="Q347" s="5">
        <v>4.29</v>
      </c>
      <c r="R347" s="36">
        <f t="shared" si="92"/>
        <v>5.71</v>
      </c>
      <c r="S347" s="29">
        <f>LOOKUP(R347,{0,4.74,4.84,4.94,5.44,5.54,5.64,5.69,5.74,5.79,5.84,5.89,5.94,5.99,6.44,6.49,6.54,6.61,6.68,6.74,6.8},{0,10,20,30,40,50,60,62,64,66,68,70,72,74,76,78,80,85,90,95,100})</f>
        <v>62</v>
      </c>
      <c r="T347" s="27"/>
      <c r="U347" s="27"/>
      <c r="V347" s="27">
        <f t="shared" si="88"/>
        <v>62</v>
      </c>
      <c r="W347" s="27"/>
      <c r="X347" s="19">
        <f t="shared" si="89"/>
        <v>43.4</v>
      </c>
      <c r="Y347" s="13">
        <f t="shared" si="90"/>
        <v>62</v>
      </c>
    </row>
    <row r="348" ht="15.6" spans="1:25">
      <c r="A348" s="27">
        <v>308</v>
      </c>
      <c r="B348" s="27">
        <v>39</v>
      </c>
      <c r="C348" s="28" t="s">
        <v>393</v>
      </c>
      <c r="D348" s="28" t="s">
        <v>46</v>
      </c>
      <c r="E348" s="27">
        <v>20</v>
      </c>
      <c r="F348" s="29">
        <f>LOOKUP(E348,{0,1.5,2.3,3.1,3.9,4.7,5.5,6.8,8.1,9.4,10.7,12,13.3,14.6,15.9,17.2,18.5,20.2,21.9,23.6,25.3},{0,10,20,30,40,50,60,62,64,66,68,70,72,74,76,78,80,85,90,95,100})</f>
        <v>80</v>
      </c>
      <c r="G348" s="27">
        <v>196</v>
      </c>
      <c r="H348" s="29">
        <f>LOOKUP(G348,{0,125,130,135,140,145,150,153,156,159,162,165,168,171,174,177,180,187,194,200,206},{0,10,20,30,40,50,60,62,64,66,68,70,72,74,76,78,80,85,90,95,100})</f>
        <v>90</v>
      </c>
      <c r="I348" s="27">
        <v>49</v>
      </c>
      <c r="J348" s="29">
        <f>LOOKUP(I348,{0,15,17,19,21,23,25,27,29,31,33,35,37,39,41,43,45,48,51,53,55},{0,10,20,30,40,50,60,62,64,66,68,70,72,74,76,78,80,85,90,95,100})</f>
        <v>85</v>
      </c>
      <c r="K348" s="35"/>
      <c r="L348" s="35"/>
      <c r="M348" s="35">
        <f t="shared" si="85"/>
        <v>85</v>
      </c>
      <c r="N348" s="35">
        <v>8</v>
      </c>
      <c r="O348" s="36">
        <f t="shared" si="91"/>
        <v>10</v>
      </c>
      <c r="P348" s="29">
        <f>LOOKUP(O348,{0,6.6,6.8,7,7.2,7.4,7.6,7.8,8,8.2,8.4,8.6,8.8,9,9.2,9.4,9.6,9.9,10.2,10.3,10.4},{0,10,20,30,40,50,60,62,64,66,68,70,72,74,76,78,80,85,90,95,100})</f>
        <v>85</v>
      </c>
      <c r="Q348" s="5">
        <v>3.31</v>
      </c>
      <c r="R348" s="36">
        <f t="shared" si="92"/>
        <v>6.69</v>
      </c>
      <c r="S348" s="29">
        <f>LOOKUP(R348,{0,4.74,4.84,4.94,5.44,5.54,5.64,5.69,5.74,5.79,5.84,5.89,5.94,5.99,6.44,6.49,6.54,6.61,6.68,6.74,6.8},{0,10,20,30,40,50,60,62,64,66,68,70,72,74,76,78,80,85,90,95,100})</f>
        <v>90</v>
      </c>
      <c r="T348" s="27"/>
      <c r="U348" s="27"/>
      <c r="V348" s="27">
        <f t="shared" si="88"/>
        <v>90</v>
      </c>
      <c r="W348" s="27"/>
      <c r="X348" s="19">
        <f t="shared" si="89"/>
        <v>60.5</v>
      </c>
      <c r="Y348" s="13">
        <f t="shared" si="90"/>
        <v>86.4285714285714</v>
      </c>
    </row>
    <row r="349" ht="15.6" spans="1:25">
      <c r="A349" s="27">
        <v>308</v>
      </c>
      <c r="B349" s="27">
        <v>40</v>
      </c>
      <c r="C349" s="30" t="s">
        <v>395</v>
      </c>
      <c r="D349" s="28" t="s">
        <v>46</v>
      </c>
      <c r="E349" s="27">
        <v>12.7</v>
      </c>
      <c r="F349" s="29">
        <f>LOOKUP(E349,{0,1.5,2.3,3.1,3.9,4.7,5.5,6.8,8.1,9.4,10.7,12,13.3,14.6,15.9,17.2,18.5,20.2,21.9,23.6,25.3},{0,10,20,30,40,50,60,62,64,66,68,70,72,74,76,78,80,85,90,95,100})</f>
        <v>70</v>
      </c>
      <c r="G349" s="27">
        <v>162</v>
      </c>
      <c r="H349" s="29">
        <f>LOOKUP(G349,{0,125,130,135,140,145,150,153,156,159,162,165,168,171,174,177,180,187,194,200,206},{0,10,20,30,40,50,60,62,64,66,68,70,72,74,76,78,80,85,90,95,100})</f>
        <v>68</v>
      </c>
      <c r="I349" s="27" t="s">
        <v>77</v>
      </c>
      <c r="J349" s="29"/>
      <c r="K349" s="27"/>
      <c r="L349" s="27"/>
      <c r="M349" s="35"/>
      <c r="N349" s="27" t="s">
        <v>77</v>
      </c>
      <c r="O349" s="27"/>
      <c r="P349" s="27"/>
      <c r="Q349" s="27" t="s">
        <v>77</v>
      </c>
      <c r="R349" s="27"/>
      <c r="S349" s="27"/>
      <c r="T349" s="27"/>
      <c r="U349" s="27"/>
      <c r="V349" s="27"/>
      <c r="W349" s="42">
        <v>50</v>
      </c>
      <c r="X349" s="19">
        <f t="shared" si="89"/>
        <v>13.8</v>
      </c>
      <c r="Y349" s="13">
        <v>50</v>
      </c>
    </row>
    <row r="350" ht="15.6" spans="1:25">
      <c r="A350" s="27">
        <v>308</v>
      </c>
      <c r="B350" s="27">
        <v>41</v>
      </c>
      <c r="C350" s="28" t="s">
        <v>396</v>
      </c>
      <c r="D350" s="28" t="s">
        <v>46</v>
      </c>
      <c r="E350" s="27">
        <v>12.3</v>
      </c>
      <c r="F350" s="29">
        <f>LOOKUP(E350,{0,1.5,2.3,3.1,3.9,4.7,5.5,6.8,8.1,9.4,10.7,12,13.3,14.6,15.9,17.2,18.5,20.2,21.9,23.6,25.3},{0,10,20,30,40,50,60,62,64,66,68,70,72,74,76,78,80,85,90,95,100})</f>
        <v>70</v>
      </c>
      <c r="G350" s="27">
        <v>177</v>
      </c>
      <c r="H350" s="29">
        <f>LOOKUP(G350,{0,125,130,135,140,145,150,153,156,159,162,165,168,171,174,177,180,187,194,200,206},{0,10,20,30,40,50,60,62,64,66,68,70,72,74,76,78,80,85,90,95,100})</f>
        <v>78</v>
      </c>
      <c r="I350" s="27">
        <v>46</v>
      </c>
      <c r="J350" s="29">
        <f>LOOKUP(I350,{0,15,17,19,21,23,25,27,29,31,33,35,37,39,41,43,45,48,51,53,55},{0,10,20,30,40,50,60,62,64,66,68,70,72,74,76,78,80,85,90,95,100})</f>
        <v>80</v>
      </c>
      <c r="K350" s="35"/>
      <c r="L350" s="35"/>
      <c r="M350" s="35">
        <f t="shared" si="85"/>
        <v>80</v>
      </c>
      <c r="N350" s="35">
        <v>9.4</v>
      </c>
      <c r="O350" s="36">
        <f>18-N350</f>
        <v>8.6</v>
      </c>
      <c r="P350" s="29">
        <f>LOOKUP(O350,{0,6.6,6.8,7,7.2,7.4,7.6,7.8,8,8.2,8.4,8.6,8.8,9,9.2,9.4,9.6,9.9,10.2,10.3,10.4},{0,10,20,30,40,50,60,62,64,66,68,70,72,74,76,78,80,85,90,95,100})</f>
        <v>70</v>
      </c>
      <c r="Q350" s="5">
        <v>4.533</v>
      </c>
      <c r="R350" s="36">
        <f>10-Q350</f>
        <v>5.467</v>
      </c>
      <c r="S350" s="29">
        <f>LOOKUP(R350,{0,4.74,4.84,4.94,5.44,5.54,5.64,5.69,5.74,5.79,5.84,5.89,5.94,5.99,6.44,6.49,6.54,6.61,6.68,6.74,6.8},{0,10,20,30,40,50,60,62,64,66,68,70,72,74,76,78,80,85,90,95,100})</f>
        <v>40</v>
      </c>
      <c r="T350" s="27"/>
      <c r="U350" s="27"/>
      <c r="V350" s="27">
        <f t="shared" si="88"/>
        <v>40</v>
      </c>
      <c r="W350" s="27"/>
      <c r="X350" s="19">
        <f t="shared" si="89"/>
        <v>44.8</v>
      </c>
      <c r="Y350" s="13">
        <f t="shared" si="90"/>
        <v>64</v>
      </c>
    </row>
    <row r="351" ht="15.6" spans="1:25">
      <c r="A351" s="27">
        <v>308</v>
      </c>
      <c r="B351" s="27">
        <v>42</v>
      </c>
      <c r="C351" s="28" t="s">
        <v>397</v>
      </c>
      <c r="D351" s="28" t="s">
        <v>46</v>
      </c>
      <c r="E351" s="27">
        <v>22.8</v>
      </c>
      <c r="F351" s="29">
        <f>LOOKUP(E351,{0,1.5,2.3,3.1,3.9,4.7,5.5,6.8,8.1,9.4,10.7,12,13.3,14.6,15.9,17.2,18.5,20.2,21.9,23.6,25.3},{0,10,20,30,40,50,60,62,64,66,68,70,72,74,76,78,80,85,90,95,100})</f>
        <v>90</v>
      </c>
      <c r="G351" s="27">
        <v>164</v>
      </c>
      <c r="H351" s="29">
        <f>LOOKUP(G351,{0,125,130,135,140,145,150,153,156,159,162,165,168,171,174,177,180,187,194,200,206},{0,10,20,30,40,50,60,62,64,66,68,70,72,74,76,78,80,85,90,95,100})</f>
        <v>68</v>
      </c>
      <c r="I351" s="27">
        <v>52</v>
      </c>
      <c r="J351" s="29">
        <f>LOOKUP(I351,{0,15,17,19,21,23,25,27,29,31,33,35,37,39,41,43,45,48,51,53,55},{0,10,20,30,40,50,60,62,64,66,68,70,72,74,76,78,80,85,90,95,100})</f>
        <v>90</v>
      </c>
      <c r="K351" s="35"/>
      <c r="L351" s="35"/>
      <c r="M351" s="35">
        <f t="shared" si="85"/>
        <v>90</v>
      </c>
      <c r="N351" s="35">
        <v>8.9</v>
      </c>
      <c r="O351" s="36">
        <f>18-N351</f>
        <v>9.1</v>
      </c>
      <c r="P351" s="29">
        <f>LOOKUP(O351,{0,6.6,6.8,7,7.2,7.4,7.6,7.8,8,8.2,8.4,8.6,8.8,9,9.2,9.4,9.6,9.9,10.2,10.3,10.4},{0,10,20,30,40,50,60,62,64,66,68,70,72,74,76,78,80,85,90,95,100})</f>
        <v>74</v>
      </c>
      <c r="Q351" s="5">
        <v>4.54</v>
      </c>
      <c r="R351" s="36">
        <f>10-Q351</f>
        <v>5.46</v>
      </c>
      <c r="S351" s="29">
        <f>LOOKUP(R351,{0,4.74,4.84,4.94,5.44,5.54,5.64,5.69,5.74,5.79,5.84,5.89,5.94,5.99,6.44,6.49,6.54,6.61,6.68,6.74,6.8},{0,10,20,30,40,50,60,62,64,66,68,70,72,74,76,78,80,85,90,95,100})</f>
        <v>40</v>
      </c>
      <c r="T351" s="27"/>
      <c r="U351" s="27"/>
      <c r="V351" s="27">
        <f t="shared" si="88"/>
        <v>40</v>
      </c>
      <c r="W351" s="27"/>
      <c r="X351" s="19">
        <f t="shared" si="89"/>
        <v>47.6</v>
      </c>
      <c r="Y351" s="13">
        <f t="shared" si="90"/>
        <v>68</v>
      </c>
    </row>
    <row r="352" ht="15.6" spans="1:25">
      <c r="A352" s="27">
        <v>308</v>
      </c>
      <c r="B352" s="27">
        <v>43</v>
      </c>
      <c r="C352" s="28" t="s">
        <v>398</v>
      </c>
      <c r="D352" s="28" t="s">
        <v>46</v>
      </c>
      <c r="E352" s="27">
        <v>15.7</v>
      </c>
      <c r="F352" s="29">
        <f>LOOKUP(E352,{0,1.5,2.3,3.1,3.9,4.7,5.5,6.8,8.1,9.4,10.7,12,13.3,14.6,15.9,17.2,18.5,20.2,21.9,23.6,25.3},{0,10,20,30,40,50,60,62,64,66,68,70,72,74,76,78,80,85,90,95,100})</f>
        <v>74</v>
      </c>
      <c r="G352" s="27">
        <v>143</v>
      </c>
      <c r="H352" s="29">
        <f>LOOKUP(G352,{0,125,130,135,140,145,150,153,156,159,162,165,168,171,174,177,180,187,194,200,206},{0,10,20,30,40,50,60,62,64,66,68,70,72,74,76,78,80,85,90,95,100})</f>
        <v>40</v>
      </c>
      <c r="I352" s="27">
        <v>48</v>
      </c>
      <c r="J352" s="29">
        <f>LOOKUP(I352,{0,15,17,19,21,23,25,27,29,31,33,35,37,39,41,43,45,48,51,53,55},{0,10,20,30,40,50,60,62,64,66,68,70,72,74,76,78,80,85,90,95,100})</f>
        <v>85</v>
      </c>
      <c r="K352" s="35"/>
      <c r="L352" s="35"/>
      <c r="M352" s="35">
        <f t="shared" si="85"/>
        <v>85</v>
      </c>
      <c r="N352" s="35">
        <v>10.1</v>
      </c>
      <c r="O352" s="36">
        <f>18-N352</f>
        <v>7.9</v>
      </c>
      <c r="P352" s="29">
        <f>LOOKUP(O352,{0,6.6,6.8,7,7.2,7.4,7.6,7.8,8,8.2,8.4,8.6,8.8,9,9.2,9.4,9.6,9.9,10.2,10.3,10.4},{0,10,20,30,40,50,60,62,64,66,68,70,72,74,76,78,80,85,90,95,100})</f>
        <v>62</v>
      </c>
      <c r="Q352" s="5">
        <v>4.3</v>
      </c>
      <c r="R352" s="36">
        <f>10-Q352</f>
        <v>5.7</v>
      </c>
      <c r="S352" s="29">
        <f>LOOKUP(R352,{0,4.74,4.84,4.94,5.44,5.54,5.64,5.69,5.74,5.79,5.84,5.89,5.94,5.99,6.44,6.49,6.54,6.61,6.68,6.74,6.8},{0,10,20,30,40,50,60,62,64,66,68,70,72,74,76,78,80,85,90,95,100})</f>
        <v>62</v>
      </c>
      <c r="T352" s="27"/>
      <c r="U352" s="27"/>
      <c r="V352" s="27">
        <f t="shared" si="88"/>
        <v>62</v>
      </c>
      <c r="W352" s="27"/>
      <c r="X352" s="19">
        <f t="shared" si="89"/>
        <v>44.7</v>
      </c>
      <c r="Y352" s="13">
        <f t="shared" si="90"/>
        <v>63.8571428571429</v>
      </c>
    </row>
    <row r="353" ht="15.6" spans="1:25">
      <c r="A353" s="27">
        <v>308</v>
      </c>
      <c r="B353" s="27">
        <v>44</v>
      </c>
      <c r="C353" s="28" t="s">
        <v>399</v>
      </c>
      <c r="D353" s="28" t="s">
        <v>46</v>
      </c>
      <c r="E353" s="27">
        <v>21.7</v>
      </c>
      <c r="F353" s="29">
        <f>LOOKUP(E353,{0,1.5,2.3,3.1,3.9,4.7,5.5,6.8,8.1,9.4,10.7,12,13.3,14.6,15.9,17.2,18.5,20.2,21.9,23.6,25.3},{0,10,20,30,40,50,60,62,64,66,68,70,72,74,76,78,80,85,90,95,100})</f>
        <v>85</v>
      </c>
      <c r="G353" s="27">
        <v>162</v>
      </c>
      <c r="H353" s="29">
        <f>LOOKUP(G353,{0,125,130,135,140,145,150,153,156,159,162,165,168,171,174,177,180,187,194,200,206},{0,10,20,30,40,50,60,62,64,66,68,70,72,74,76,78,80,85,90,95,100})</f>
        <v>68</v>
      </c>
      <c r="I353" s="27">
        <v>58</v>
      </c>
      <c r="J353" s="29">
        <f>LOOKUP(I353,{0,15,17,19,21,23,25,27,29,31,33,35,37,39,41,43,45,48,51,53,55},{0,10,20,30,40,50,60,62,64,66,68,70,72,74,76,78,80,85,90,95,100})</f>
        <v>100</v>
      </c>
      <c r="K353" s="34">
        <f>I353-55</f>
        <v>3</v>
      </c>
      <c r="L353" s="29">
        <f>LOOKUP(K353,{0,2,4,6,7,8,9,10,11,12,13},{0,1,2,3,4,5,6,7,8,9,10})</f>
        <v>1</v>
      </c>
      <c r="M353" s="35">
        <f t="shared" si="85"/>
        <v>101</v>
      </c>
      <c r="N353" s="35">
        <v>9.6</v>
      </c>
      <c r="O353" s="36">
        <f>18-N353</f>
        <v>8.4</v>
      </c>
      <c r="P353" s="29">
        <f>LOOKUP(O353,{0,6.6,6.8,7,7.2,7.4,7.6,7.8,8,8.2,8.4,8.6,8.8,9,9.2,9.4,9.6,9.9,10.2,10.3,10.4},{0,10,20,30,40,50,60,62,64,66,68,70,72,74,76,78,80,85,90,95,100})</f>
        <v>68</v>
      </c>
      <c r="Q353" s="5">
        <v>4.57</v>
      </c>
      <c r="R353" s="36">
        <f>10-Q353</f>
        <v>5.43</v>
      </c>
      <c r="S353" s="29">
        <f>LOOKUP(R353,{0,4.74,4.84,4.94,5.44,5.54,5.64,5.69,5.74,5.79,5.84,5.89,5.94,5.99,6.44,6.49,6.54,6.61,6.68,6.74,6.8},{0,10,20,30,40,50,60,62,64,66,68,70,72,74,76,78,80,85,90,95,100})</f>
        <v>30</v>
      </c>
      <c r="T353" s="27"/>
      <c r="U353" s="27"/>
      <c r="V353" s="27">
        <f t="shared" si="88"/>
        <v>30</v>
      </c>
      <c r="W353" s="27"/>
      <c r="X353" s="19">
        <f t="shared" si="89"/>
        <v>44.9</v>
      </c>
      <c r="Y353" s="13">
        <f t="shared" si="90"/>
        <v>65.1428571428572</v>
      </c>
    </row>
    <row r="354" ht="15.6" spans="1:25">
      <c r="A354" s="27">
        <v>308</v>
      </c>
      <c r="B354" s="27">
        <v>45</v>
      </c>
      <c r="C354" s="28" t="s">
        <v>400</v>
      </c>
      <c r="D354" s="28" t="s">
        <v>46</v>
      </c>
      <c r="E354" s="27">
        <v>12</v>
      </c>
      <c r="F354" s="29">
        <f>LOOKUP(E354,{0,1.5,2.3,3.1,3.9,4.7,5.5,6.8,8.1,9.4,10.7,12,13.3,14.6,15.9,17.2,18.5,20.2,21.9,23.6,25.3},{0,10,20,30,40,50,60,62,64,66,68,70,72,74,76,78,80,85,90,95,100})</f>
        <v>70</v>
      </c>
      <c r="G354" s="27">
        <v>168</v>
      </c>
      <c r="H354" s="29">
        <f>LOOKUP(G354,{0,125,130,135,140,145,150,153,156,159,162,165,168,171,174,177,180,187,194,200,206},{0,10,20,30,40,50,60,62,64,66,68,70,72,74,76,78,80,85,90,95,100})</f>
        <v>72</v>
      </c>
      <c r="I354" s="27">
        <v>50</v>
      </c>
      <c r="J354" s="29">
        <f>LOOKUP(I354,{0,15,17,19,21,23,25,27,29,31,33,35,37,39,41,43,45,48,51,53,55},{0,10,20,30,40,50,60,62,64,66,68,70,72,74,76,78,80,85,90,95,100})</f>
        <v>85</v>
      </c>
      <c r="K354" s="35"/>
      <c r="L354" s="35"/>
      <c r="M354" s="35">
        <f t="shared" si="85"/>
        <v>85</v>
      </c>
      <c r="N354" s="35">
        <v>9.4</v>
      </c>
      <c r="O354" s="36">
        <f>18-N354</f>
        <v>8.6</v>
      </c>
      <c r="P354" s="29">
        <f>LOOKUP(O354,{0,6.6,6.8,7,7.2,7.4,7.6,7.8,8,8.2,8.4,8.6,8.8,9,9.2,9.4,9.6,9.9,10.2,10.3,10.4},{0,10,20,30,40,50,60,62,64,66,68,70,72,74,76,78,80,85,90,95,100})</f>
        <v>70</v>
      </c>
      <c r="Q354" s="5">
        <v>4.56</v>
      </c>
      <c r="R354" s="36">
        <f>10-Q354</f>
        <v>5.44</v>
      </c>
      <c r="S354" s="29">
        <f>LOOKUP(R354,{0,4.74,4.84,4.94,5.44,5.54,5.64,5.69,5.74,5.79,5.84,5.89,5.94,5.99,6.44,6.49,6.54,6.61,6.68,6.74,6.8},{0,10,20,30,40,50,60,62,64,66,68,70,72,74,76,78,80,85,90,95,100})</f>
        <v>40</v>
      </c>
      <c r="T354" s="27"/>
      <c r="U354" s="27"/>
      <c r="V354" s="27">
        <f t="shared" si="88"/>
        <v>40</v>
      </c>
      <c r="W354" s="27"/>
      <c r="X354" s="19">
        <f t="shared" si="89"/>
        <v>44.7</v>
      </c>
      <c r="Y354" s="13">
        <f t="shared" si="90"/>
        <v>63.8571428571429</v>
      </c>
    </row>
    <row r="355" spans="1:25">
      <c r="A355" s="27">
        <v>308</v>
      </c>
      <c r="B355" s="27">
        <v>46</v>
      </c>
      <c r="C355" s="28" t="s">
        <v>401</v>
      </c>
      <c r="D355" s="28" t="s">
        <v>46</v>
      </c>
      <c r="E355" s="27"/>
      <c r="F355" s="27"/>
      <c r="G355" s="27"/>
      <c r="H355" s="27"/>
      <c r="I355" s="27"/>
      <c r="J355" s="35"/>
      <c r="K355" s="35"/>
      <c r="L355" s="35"/>
      <c r="M355" s="35"/>
      <c r="N355" s="35"/>
      <c r="O355" s="5"/>
      <c r="P355" s="5"/>
      <c r="Q355" s="5"/>
      <c r="R355" s="27"/>
      <c r="S355" s="27"/>
      <c r="T355" s="27"/>
      <c r="U355" s="27"/>
      <c r="V355" s="27"/>
      <c r="W355" s="27">
        <v>50</v>
      </c>
      <c r="X355" s="19"/>
      <c r="Y355" s="19">
        <v>50</v>
      </c>
    </row>
    <row r="356" ht="15.6" spans="1:25">
      <c r="A356" s="27">
        <v>308</v>
      </c>
      <c r="B356" s="27">
        <v>47</v>
      </c>
      <c r="C356" s="28" t="s">
        <v>402</v>
      </c>
      <c r="D356" s="28" t="s">
        <v>46</v>
      </c>
      <c r="E356" s="27">
        <v>13</v>
      </c>
      <c r="F356" s="29">
        <f>LOOKUP(E356,{0,1.5,2.3,3.1,3.9,4.7,5.5,6.8,8.1,9.4,10.7,12,13.3,14.6,15.9,17.2,18.5,20.2,21.9,23.6,25.3},{0,10,20,30,40,50,60,62,64,66,68,70,72,74,76,78,80,85,90,95,100})</f>
        <v>70</v>
      </c>
      <c r="G356" s="27">
        <v>220</v>
      </c>
      <c r="H356" s="29">
        <f>LOOKUP(G356,{0,125,130,135,140,145,150,153,156,159,162,165,168,171,174,177,180,187,194,200,206},{0,10,20,30,40,50,60,62,64,66,68,70,72,74,76,78,80,85,90,95,100})</f>
        <v>100</v>
      </c>
      <c r="I356" s="27">
        <v>43</v>
      </c>
      <c r="J356" s="29">
        <f>LOOKUP(I356,{0,15,17,19,21,23,25,27,29,31,33,35,37,39,41,43,45,48,51,53,55},{0,10,20,30,40,50,60,62,64,66,68,70,72,74,76,78,80,85,90,95,100})</f>
        <v>78</v>
      </c>
      <c r="K356" s="35"/>
      <c r="L356" s="35"/>
      <c r="M356" s="35">
        <f>J356+L356</f>
        <v>78</v>
      </c>
      <c r="N356" s="35">
        <v>8</v>
      </c>
      <c r="O356" s="36">
        <f>18-N356</f>
        <v>10</v>
      </c>
      <c r="P356" s="29">
        <f>LOOKUP(O356,{0,6.6,6.8,7,7.2,7.4,7.6,7.8,8,8.2,8.4,8.6,8.8,9,9.2,9.4,9.6,9.9,10.2,10.3,10.4},{0,10,20,30,40,50,60,62,64,66,68,70,72,74,76,78,80,85,90,95,100})</f>
        <v>85</v>
      </c>
      <c r="Q356" s="5">
        <v>4.57</v>
      </c>
      <c r="R356" s="36">
        <f>10-Q356</f>
        <v>5.43</v>
      </c>
      <c r="S356" s="29">
        <f>LOOKUP(R356,{0,4.74,4.84,4.94,5.44,5.54,5.64,5.69,5.74,5.79,5.84,5.89,5.94,5.99,6.44,6.49,6.54,6.61,6.68,6.74,6.8},{0,10,20,30,40,50,60,62,64,66,68,70,72,74,76,78,80,85,90,95,100})</f>
        <v>30</v>
      </c>
      <c r="T356" s="27"/>
      <c r="U356" s="27"/>
      <c r="V356" s="27">
        <f>S356+U356</f>
        <v>30</v>
      </c>
      <c r="W356" s="27"/>
      <c r="X356" s="19">
        <f>F356*0.1+H356*0.1+J356*0.1+P356*0.2+S356*0.2</f>
        <v>47.8</v>
      </c>
      <c r="Y356" s="13">
        <f>X356/0.7+L356+U356</f>
        <v>68.2857142857143</v>
      </c>
    </row>
    <row r="357" ht="15.6" spans="1:25">
      <c r="A357" s="27">
        <v>308</v>
      </c>
      <c r="B357" s="27">
        <v>48</v>
      </c>
      <c r="C357" s="28" t="s">
        <v>403</v>
      </c>
      <c r="D357" s="28" t="s">
        <v>46</v>
      </c>
      <c r="E357" s="27">
        <v>10.2</v>
      </c>
      <c r="F357" s="29">
        <f>LOOKUP(E357,{0,1.5,2.3,3.1,3.9,4.7,5.5,6.8,8.1,9.4,10.7,12,13.3,14.6,15.9,17.2,18.5,20.2,21.9,23.6,25.3},{0,10,20,30,40,50,60,62,64,66,68,70,72,74,76,78,80,85,90,95,100})</f>
        <v>66</v>
      </c>
      <c r="G357" s="27">
        <v>147</v>
      </c>
      <c r="H357" s="29">
        <f>LOOKUP(G357,{0,125,130,135,140,145,150,153,156,159,162,165,168,171,174,177,180,187,194,200,206},{0,10,20,30,40,50,60,62,64,66,68,70,72,74,76,78,80,85,90,95,100})</f>
        <v>50</v>
      </c>
      <c r="I357" s="27">
        <v>44</v>
      </c>
      <c r="J357" s="29">
        <f>LOOKUP(I357,{0,15,17,19,21,23,25,27,29,31,33,35,37,39,41,43,45,48,51,53,55},{0,10,20,30,40,50,60,62,64,66,68,70,72,74,76,78,80,85,90,95,100})</f>
        <v>78</v>
      </c>
      <c r="K357" s="35"/>
      <c r="L357" s="35"/>
      <c r="M357" s="35">
        <f>J357+L357</f>
        <v>78</v>
      </c>
      <c r="N357" s="35">
        <v>9.8</v>
      </c>
      <c r="O357" s="36">
        <f>18-N357</f>
        <v>8.2</v>
      </c>
      <c r="P357" s="29">
        <f>LOOKUP(O357,{0,6.6,6.8,7,7.2,7.4,7.6,7.8,8,8.2,8.4,8.6,8.8,9,9.2,9.4,9.6,9.9,10.2,10.3,10.4},{0,10,20,30,40,50,60,62,64,66,68,70,72,74,76,78,80,85,90,95,100})</f>
        <v>66</v>
      </c>
      <c r="Q357" s="5">
        <v>4.19</v>
      </c>
      <c r="R357" s="36">
        <f>10-Q357</f>
        <v>5.81</v>
      </c>
      <c r="S357" s="29">
        <f>LOOKUP(R357,{0,4.74,4.84,4.94,5.44,5.54,5.64,5.69,5.74,5.79,5.84,5.89,5.94,5.99,6.44,6.49,6.54,6.61,6.68,6.74,6.8},{0,10,20,30,40,50,60,62,64,66,68,70,72,74,76,78,80,85,90,95,100})</f>
        <v>66</v>
      </c>
      <c r="T357" s="27"/>
      <c r="U357" s="27"/>
      <c r="V357" s="27">
        <f>S357+U357</f>
        <v>66</v>
      </c>
      <c r="W357" s="27"/>
      <c r="X357" s="19">
        <f>F357*0.1+H357*0.1+J357*0.1+P357*0.2+S357*0.2</f>
        <v>45.8</v>
      </c>
      <c r="Y357" s="13">
        <f>X357/0.7+L357+U357</f>
        <v>65.4285714285714</v>
      </c>
    </row>
    <row r="358" ht="15.6" spans="1:25">
      <c r="A358" s="27">
        <v>309</v>
      </c>
      <c r="B358" s="27">
        <v>1</v>
      </c>
      <c r="C358" s="30" t="s">
        <v>405</v>
      </c>
      <c r="D358" s="28" t="s">
        <v>12</v>
      </c>
      <c r="E358" s="27"/>
      <c r="F358" s="29"/>
      <c r="G358" s="27"/>
      <c r="H358" s="29"/>
      <c r="I358" s="27"/>
      <c r="J358" s="35"/>
      <c r="K358" s="44"/>
      <c r="L358" s="35"/>
      <c r="M358" s="35"/>
      <c r="N358" s="35"/>
      <c r="O358" s="5"/>
      <c r="P358" s="5"/>
      <c r="Q358" s="5"/>
      <c r="R358" s="27"/>
      <c r="S358" s="27"/>
      <c r="T358" s="27"/>
      <c r="U358" s="27"/>
      <c r="V358" s="27"/>
      <c r="W358" s="27">
        <v>50</v>
      </c>
      <c r="X358" s="19"/>
      <c r="Y358" s="19">
        <v>50</v>
      </c>
    </row>
    <row r="359" ht="15.6" spans="1:25">
      <c r="A359" s="27">
        <v>309</v>
      </c>
      <c r="B359" s="27">
        <v>2</v>
      </c>
      <c r="C359" s="28" t="s">
        <v>406</v>
      </c>
      <c r="D359" s="28" t="s">
        <v>12</v>
      </c>
      <c r="E359" s="27">
        <v>9.5</v>
      </c>
      <c r="F359" s="29">
        <f>LOOKUP(E359,{0,-1.8,-0.8,0.2,1.2,2.2,3.2,4.6,6,7.4,8.8,10.2,11.6,13,14.4,15.8,17.2,19.1,21,22.8,24.6},{0,10,20,30,40,50,60,62,64,66,68,70,72,74,76,78,80,85,90,95,100})</f>
        <v>68</v>
      </c>
      <c r="G359" s="27">
        <v>248</v>
      </c>
      <c r="H359" s="29">
        <f>LOOKUP(G359,{0,180,185,190,195,200,205,209,213,217,221,225,229,233,237,241,245,253,260,265,270},{0,10,20,30,40,50,60,62,64,66,68,70,72,74,76,78,80,85,90,95,100})</f>
        <v>80</v>
      </c>
      <c r="I359" s="27">
        <v>13</v>
      </c>
      <c r="J359" s="29">
        <f>LOOKUP(I359,{0,4,5,6,7,8,9,10,11,12,13,14,15,16,17,18},{0,10,20,30,40,50,60,64,68,72,76,80,85,90,95,100})</f>
        <v>76</v>
      </c>
      <c r="K359" s="44"/>
      <c r="L359" s="35"/>
      <c r="M359" s="35">
        <f t="shared" ref="M359:M381" si="93">J359+L359</f>
        <v>76</v>
      </c>
      <c r="N359" s="35">
        <v>7</v>
      </c>
      <c r="O359" s="36">
        <f t="shared" ref="O359:O381" si="94">18-N359</f>
        <v>11</v>
      </c>
      <c r="P359" s="29">
        <f>LOOKUP(O359,{0,7.8,8,8.2,8.4,8.6,8.8,9,9.2,9.4,9.6,9.8,10,10.2,10.4,10.6,10.8,10.9,11,11.1,11.2},{0,10,20,30,40,50,60,62,64,66,68,70,72,74,76,78,80,85,90,95,100})</f>
        <v>90</v>
      </c>
      <c r="Q359" s="5">
        <v>5.39</v>
      </c>
      <c r="R359" s="36">
        <f t="shared" ref="R359:R381" si="95">10-Q359</f>
        <v>4.61</v>
      </c>
      <c r="S359" s="29">
        <f>LOOKUP(R359,{0,3.85,4.45,4.65,4.85,5.45,5.65,5.7,5.75,5.8,5.85,5.9,5.95,6,6.45,6.5,6.55,6.63,6.7,6.75,6.8},{0,10,20,30,40,50,60,62,64,66,68,70,72,74,76,78,80,85,90,95,100})</f>
        <v>20</v>
      </c>
      <c r="T359" s="27"/>
      <c r="U359" s="27"/>
      <c r="V359" s="27">
        <f t="shared" ref="V359:V381" si="96">S359+U359</f>
        <v>20</v>
      </c>
      <c r="W359" s="27"/>
      <c r="X359" s="19">
        <f t="shared" ref="X359:X381" si="97">F359*0.1+H359*0.1+J359*0.1+P359*0.2+S359*0.2</f>
        <v>44.4</v>
      </c>
      <c r="Y359" s="13">
        <f t="shared" ref="Y359:Y381" si="98">X359/0.7+L359+U359</f>
        <v>63.4285714285714</v>
      </c>
    </row>
    <row r="360" ht="15.6" spans="1:25">
      <c r="A360" s="27">
        <v>309</v>
      </c>
      <c r="B360" s="27">
        <v>3</v>
      </c>
      <c r="C360" s="28" t="s">
        <v>407</v>
      </c>
      <c r="D360" s="28" t="s">
        <v>12</v>
      </c>
      <c r="E360" s="27">
        <v>13</v>
      </c>
      <c r="F360" s="29">
        <f>LOOKUP(E360,{0,-1.8,-0.8,0.2,1.2,2.2,3.2,4.6,6,7.4,8.8,10.2,11.6,13,14.4,15.8,17.2,19.1,21,22.8,24.6},{0,10,20,30,40,50,60,62,64,66,68,70,72,74,76,78,80,85,90,95,100})</f>
        <v>74</v>
      </c>
      <c r="G360" s="27">
        <v>207</v>
      </c>
      <c r="H360" s="29">
        <f>LOOKUP(G360,{0,180,185,190,195,200,205,209,213,217,221,225,229,233,237,241,245,253,260,265,270},{0,10,20,30,40,50,60,62,64,66,68,70,72,74,76,78,80,85,90,95,100})</f>
        <v>60</v>
      </c>
      <c r="I360" s="27">
        <v>3</v>
      </c>
      <c r="J360" s="29">
        <f>LOOKUP(I360,{0,4,5,6,7,8,9,10,11,12,13,14,15,16,17,18},{0,10,20,30,40,50,60,64,68,72,76,80,85,90,95,100})</f>
        <v>0</v>
      </c>
      <c r="K360" s="44"/>
      <c r="L360" s="35"/>
      <c r="M360" s="35">
        <f t="shared" si="93"/>
        <v>0</v>
      </c>
      <c r="N360" s="35">
        <v>7.6</v>
      </c>
      <c r="O360" s="36">
        <f t="shared" si="94"/>
        <v>10.4</v>
      </c>
      <c r="P360" s="29">
        <f>LOOKUP(O360,{0,7.8,8,8.2,8.4,8.6,8.8,9,9.2,9.4,9.6,9.8,10,10.2,10.4,10.6,10.8,10.9,11,11.1,11.2},{0,10,20,30,40,50,60,62,64,66,68,70,72,74,76,78,80,85,90,95,100})</f>
        <v>76</v>
      </c>
      <c r="Q360" s="5">
        <v>5.39</v>
      </c>
      <c r="R360" s="36">
        <f t="shared" si="95"/>
        <v>4.61</v>
      </c>
      <c r="S360" s="29">
        <f>LOOKUP(R360,{0,3.85,4.45,4.65,4.85,5.45,5.65,5.7,5.75,5.8,5.85,5.9,5.95,6,6.45,6.5,6.55,6.63,6.7,6.75,6.8},{0,10,20,30,40,50,60,62,64,66,68,70,72,74,76,78,80,85,90,95,100})</f>
        <v>20</v>
      </c>
      <c r="T360" s="27"/>
      <c r="U360" s="27"/>
      <c r="V360" s="27">
        <f t="shared" si="96"/>
        <v>20</v>
      </c>
      <c r="W360" s="27"/>
      <c r="X360" s="19">
        <f t="shared" si="97"/>
        <v>32.6</v>
      </c>
      <c r="Y360" s="13">
        <f t="shared" si="98"/>
        <v>46.5714285714286</v>
      </c>
    </row>
    <row r="361" ht="15.6" spans="1:25">
      <c r="A361" s="27">
        <v>309</v>
      </c>
      <c r="B361" s="27">
        <v>4</v>
      </c>
      <c r="C361" s="28" t="s">
        <v>408</v>
      </c>
      <c r="D361" s="28" t="s">
        <v>12</v>
      </c>
      <c r="E361" s="27">
        <v>16.5</v>
      </c>
      <c r="F361" s="29">
        <f>LOOKUP(E361,{0,-1.8,-0.8,0.2,1.2,2.2,3.2,4.6,6,7.4,8.8,10.2,11.6,13,14.4,15.8,17.2,19.1,21,22.8,24.6},{0,10,20,30,40,50,60,62,64,66,68,70,72,74,76,78,80,85,90,95,100})</f>
        <v>78</v>
      </c>
      <c r="G361" s="27">
        <v>260</v>
      </c>
      <c r="H361" s="29">
        <f>LOOKUP(G361,{0,180,185,190,195,200,205,209,213,217,221,225,229,233,237,241,245,253,260,265,270},{0,10,20,30,40,50,60,62,64,66,68,70,72,74,76,78,80,85,90,95,100})</f>
        <v>90</v>
      </c>
      <c r="I361" s="27">
        <v>9</v>
      </c>
      <c r="J361" s="29">
        <f>LOOKUP(I361,{0,4,5,6,7,8,9,10,11,12,13,14,15,16,17,18},{0,10,20,30,40,50,60,64,68,72,76,80,85,90,95,100})</f>
        <v>60</v>
      </c>
      <c r="K361" s="44"/>
      <c r="L361" s="35"/>
      <c r="M361" s="35">
        <f t="shared" si="93"/>
        <v>60</v>
      </c>
      <c r="N361" s="35">
        <v>7.1</v>
      </c>
      <c r="O361" s="36">
        <f t="shared" si="94"/>
        <v>10.9</v>
      </c>
      <c r="P361" s="29">
        <f>LOOKUP(O361,{0,7.8,8,8.2,8.4,8.6,8.8,9,9.2,9.4,9.6,9.8,10,10.2,10.4,10.6,10.8,10.9,11,11.1,11.2},{0,10,20,30,40,50,60,62,64,66,68,70,72,74,76,78,80,85,90,95,100})</f>
        <v>85</v>
      </c>
      <c r="Q361" s="5">
        <v>5.39</v>
      </c>
      <c r="R361" s="36">
        <f t="shared" si="95"/>
        <v>4.61</v>
      </c>
      <c r="S361" s="29">
        <f>LOOKUP(R361,{0,3.85,4.45,4.65,4.85,5.45,5.65,5.7,5.75,5.8,5.85,5.9,5.95,6,6.45,6.5,6.55,6.63,6.7,6.75,6.8},{0,10,20,30,40,50,60,62,64,66,68,70,72,74,76,78,80,85,90,95,100})</f>
        <v>20</v>
      </c>
      <c r="T361" s="27"/>
      <c r="U361" s="27"/>
      <c r="V361" s="27">
        <f t="shared" si="96"/>
        <v>20</v>
      </c>
      <c r="W361" s="27"/>
      <c r="X361" s="19">
        <f t="shared" si="97"/>
        <v>43.8</v>
      </c>
      <c r="Y361" s="13">
        <f t="shared" si="98"/>
        <v>62.5714285714286</v>
      </c>
    </row>
    <row r="362" ht="15.6" spans="1:25">
      <c r="A362" s="27">
        <v>309</v>
      </c>
      <c r="B362" s="27">
        <v>5</v>
      </c>
      <c r="C362" s="28" t="s">
        <v>409</v>
      </c>
      <c r="D362" s="28" t="s">
        <v>12</v>
      </c>
      <c r="E362" s="27">
        <v>19.5</v>
      </c>
      <c r="F362" s="29">
        <f>LOOKUP(E362,{0,-1.8,-0.8,0.2,1.2,2.2,3.2,4.6,6,7.4,8.8,10.2,11.6,13,14.4,15.8,17.2,19.1,21,22.8,24.6},{0,10,20,30,40,50,60,62,64,66,68,70,72,74,76,78,80,85,90,95,100})</f>
        <v>85</v>
      </c>
      <c r="G362" s="27">
        <v>270</v>
      </c>
      <c r="H362" s="29">
        <f>LOOKUP(G362,{0,180,185,190,195,200,205,209,213,217,221,225,229,233,237,241,245,253,260,265,270},{0,10,20,30,40,50,60,62,64,66,68,70,72,74,76,78,80,85,90,95,100})</f>
        <v>100</v>
      </c>
      <c r="I362" s="27">
        <v>31</v>
      </c>
      <c r="J362" s="29">
        <f>LOOKUP(I362,{0,4,5,6,7,8,9,10,11,12,13,14,15,16,17,18},{0,10,20,30,40,50,60,64,68,72,76,80,85,90,95,100})</f>
        <v>100</v>
      </c>
      <c r="K362" s="44">
        <f>I362-18</f>
        <v>13</v>
      </c>
      <c r="L362" s="29">
        <f>LOOKUP(K362,{0,1,2,3,4,5,6,7,8,9,10},{0,1,2,3,4,5,6,7,8,9,10})</f>
        <v>10</v>
      </c>
      <c r="M362" s="35">
        <f t="shared" si="93"/>
        <v>110</v>
      </c>
      <c r="N362" s="35">
        <v>6.9</v>
      </c>
      <c r="O362" s="36">
        <f t="shared" si="94"/>
        <v>11.1</v>
      </c>
      <c r="P362" s="29">
        <f>LOOKUP(O362,{0,7.8,8,8.2,8.4,8.6,8.8,9,9.2,9.4,9.6,9.8,10,10.2,10.4,10.6,10.8,10.9,11,11.1,11.2},{0,10,20,30,40,50,60,62,64,66,68,70,72,74,76,78,80,85,90,95,100})</f>
        <v>95</v>
      </c>
      <c r="Q362" s="5">
        <v>3.32</v>
      </c>
      <c r="R362" s="36">
        <f t="shared" si="95"/>
        <v>6.68</v>
      </c>
      <c r="S362" s="29">
        <f>LOOKUP(R362,{0,3.85,4.45,4.65,4.85,5.45,5.65,5.7,5.75,5.8,5.85,5.9,5.95,6,6.45,6.5,6.55,6.63,6.7,6.75,6.8},{0,10,20,30,40,50,60,62,64,66,68,70,72,74,76,78,80,85,90,95,100})</f>
        <v>85</v>
      </c>
      <c r="T362" s="27"/>
      <c r="U362" s="27"/>
      <c r="V362" s="27">
        <f t="shared" si="96"/>
        <v>85</v>
      </c>
      <c r="W362" s="27"/>
      <c r="X362" s="19">
        <f t="shared" si="97"/>
        <v>64.5</v>
      </c>
      <c r="Y362" s="13">
        <f t="shared" si="98"/>
        <v>102.142857142857</v>
      </c>
    </row>
    <row r="363" ht="15.6" spans="1:25">
      <c r="A363" s="27">
        <v>309</v>
      </c>
      <c r="B363" s="27">
        <v>6</v>
      </c>
      <c r="C363" s="28" t="s">
        <v>410</v>
      </c>
      <c r="D363" s="28" t="s">
        <v>12</v>
      </c>
      <c r="E363" s="27">
        <v>18</v>
      </c>
      <c r="F363" s="29">
        <f>LOOKUP(E363,{0,-1.8,-0.8,0.2,1.2,2.2,3.2,4.6,6,7.4,8.8,10.2,11.6,13,14.4,15.8,17.2,19.1,21,22.8,24.6},{0,10,20,30,40,50,60,62,64,66,68,70,72,74,76,78,80,85,90,95,100})</f>
        <v>80</v>
      </c>
      <c r="G363" s="27">
        <v>210</v>
      </c>
      <c r="H363" s="29">
        <f>LOOKUP(G363,{0,180,185,190,195,200,205,209,213,217,221,225,229,233,237,241,245,253,260,265,270},{0,10,20,30,40,50,60,62,64,66,68,70,72,74,76,78,80,85,90,95,100})</f>
        <v>62</v>
      </c>
      <c r="I363" s="27">
        <v>3</v>
      </c>
      <c r="J363" s="29">
        <f>LOOKUP(I363,{0,4,5,6,7,8,9,10,11,12,13,14,15,16,17,18},{0,10,20,30,40,50,60,64,68,72,76,80,85,90,95,100})</f>
        <v>0</v>
      </c>
      <c r="K363" s="44"/>
      <c r="L363" s="35"/>
      <c r="M363" s="35">
        <f t="shared" si="93"/>
        <v>0</v>
      </c>
      <c r="N363" s="35">
        <v>7.5</v>
      </c>
      <c r="O363" s="36">
        <f t="shared" si="94"/>
        <v>10.5</v>
      </c>
      <c r="P363" s="29">
        <f>LOOKUP(O363,{0,7.8,8,8.2,8.4,8.6,8.8,9,9.2,9.4,9.6,9.8,10,10.2,10.4,10.6,10.8,10.9,11,11.1,11.2},{0,10,20,30,40,50,60,62,64,66,68,70,72,74,76,78,80,85,90,95,100})</f>
        <v>76</v>
      </c>
      <c r="Q363" s="5">
        <v>4.01</v>
      </c>
      <c r="R363" s="36">
        <f t="shared" si="95"/>
        <v>5.99</v>
      </c>
      <c r="S363" s="29">
        <f>LOOKUP(R363,{0,3.85,4.45,4.65,4.85,5.45,5.65,5.7,5.75,5.8,5.85,5.9,5.95,6,6.45,6.5,6.55,6.63,6.7,6.75,6.8},{0,10,20,30,40,50,60,62,64,66,68,70,72,74,76,78,80,85,90,95,100})</f>
        <v>72</v>
      </c>
      <c r="T363" s="27"/>
      <c r="U363" s="27"/>
      <c r="V363" s="27">
        <f t="shared" si="96"/>
        <v>72</v>
      </c>
      <c r="W363" s="27"/>
      <c r="X363" s="19">
        <f t="shared" si="97"/>
        <v>43.8</v>
      </c>
      <c r="Y363" s="13">
        <f t="shared" si="98"/>
        <v>62.5714285714286</v>
      </c>
    </row>
    <row r="364" ht="15.6" spans="1:25">
      <c r="A364" s="27">
        <v>309</v>
      </c>
      <c r="B364" s="27">
        <v>7</v>
      </c>
      <c r="C364" s="28" t="s">
        <v>411</v>
      </c>
      <c r="D364" s="28" t="s">
        <v>12</v>
      </c>
      <c r="E364" s="27">
        <v>29</v>
      </c>
      <c r="F364" s="29">
        <f>LOOKUP(E364,{0,-1.8,-0.8,0.2,1.2,2.2,3.2,4.6,6,7.4,8.8,10.2,11.6,13,14.4,15.8,17.2,19.1,21,22.8,24.6},{0,10,20,30,40,50,60,62,64,66,68,70,72,74,76,78,80,85,90,95,100})</f>
        <v>100</v>
      </c>
      <c r="G364" s="27">
        <v>256</v>
      </c>
      <c r="H364" s="29">
        <f>LOOKUP(G364,{0,180,185,190,195,200,205,209,213,217,221,225,229,233,237,241,245,253,260,265,270},{0,10,20,30,40,50,60,62,64,66,68,70,72,74,76,78,80,85,90,95,100})</f>
        <v>85</v>
      </c>
      <c r="I364" s="27">
        <v>2</v>
      </c>
      <c r="J364" s="29">
        <f>LOOKUP(I364,{0,4,5,6,7,8,9,10,11,12,13,14,15,16,17,18},{0,10,20,30,40,50,60,64,68,72,76,80,85,90,95,100})</f>
        <v>0</v>
      </c>
      <c r="K364" s="44"/>
      <c r="L364" s="35"/>
      <c r="M364" s="35">
        <f t="shared" si="93"/>
        <v>0</v>
      </c>
      <c r="N364" s="35">
        <v>6.9</v>
      </c>
      <c r="O364" s="36">
        <f t="shared" si="94"/>
        <v>11.1</v>
      </c>
      <c r="P364" s="29">
        <f>LOOKUP(O364,{0,7.8,8,8.2,8.4,8.6,8.8,9,9.2,9.4,9.6,9.8,10,10.2,10.4,10.6,10.8,10.9,11,11.1,11.2},{0,10,20,30,40,50,60,62,64,66,68,70,72,74,76,78,80,85,90,95,100})</f>
        <v>95</v>
      </c>
      <c r="Q364" s="5">
        <v>5.39</v>
      </c>
      <c r="R364" s="36">
        <f t="shared" si="95"/>
        <v>4.61</v>
      </c>
      <c r="S364" s="29">
        <f>LOOKUP(R364,{0,3.85,4.45,4.65,4.85,5.45,5.65,5.7,5.75,5.8,5.85,5.9,5.95,6,6.45,6.5,6.55,6.63,6.7,6.75,6.8},{0,10,20,30,40,50,60,62,64,66,68,70,72,74,76,78,80,85,90,95,100})</f>
        <v>20</v>
      </c>
      <c r="T364" s="27"/>
      <c r="U364" s="27"/>
      <c r="V364" s="27">
        <f t="shared" si="96"/>
        <v>20</v>
      </c>
      <c r="W364" s="27"/>
      <c r="X364" s="19">
        <f t="shared" si="97"/>
        <v>41.5</v>
      </c>
      <c r="Y364" s="13">
        <f t="shared" si="98"/>
        <v>59.2857142857143</v>
      </c>
    </row>
    <row r="365" ht="15.6" spans="1:25">
      <c r="A365" s="27">
        <v>309</v>
      </c>
      <c r="B365" s="27">
        <v>8</v>
      </c>
      <c r="C365" s="28" t="s">
        <v>412</v>
      </c>
      <c r="D365" s="28" t="s">
        <v>12</v>
      </c>
      <c r="E365" s="27">
        <v>15</v>
      </c>
      <c r="F365" s="29">
        <f>LOOKUP(E365,{0,-1.8,-0.8,0.2,1.2,2.2,3.2,4.6,6,7.4,8.8,10.2,11.6,13,14.4,15.8,17.2,19.1,21,22.8,24.6},{0,10,20,30,40,50,60,62,64,66,68,70,72,74,76,78,80,85,90,95,100})</f>
        <v>76</v>
      </c>
      <c r="G365" s="27">
        <v>214</v>
      </c>
      <c r="H365" s="29">
        <f>LOOKUP(G365,{0,180,185,190,195,200,205,209,213,217,221,225,229,233,237,241,245,253,260,265,270},{0,10,20,30,40,50,60,62,64,66,68,70,72,74,76,78,80,85,90,95,100})</f>
        <v>64</v>
      </c>
      <c r="I365" s="27">
        <v>10</v>
      </c>
      <c r="J365" s="29">
        <f>LOOKUP(I365,{0,4,5,6,7,8,9,10,11,12,13,14,15,16,17,18},{0,10,20,30,40,50,60,64,68,72,76,80,85,90,95,100})</f>
        <v>64</v>
      </c>
      <c r="K365" s="44"/>
      <c r="L365" s="35"/>
      <c r="M365" s="35">
        <f t="shared" si="93"/>
        <v>64</v>
      </c>
      <c r="N365" s="35">
        <v>7</v>
      </c>
      <c r="O365" s="36">
        <f t="shared" si="94"/>
        <v>11</v>
      </c>
      <c r="P365" s="29">
        <f>LOOKUP(O365,{0,7.8,8,8.2,8.4,8.6,8.8,9,9.2,9.4,9.6,9.8,10,10.2,10.4,10.6,10.8,10.9,11,11.1,11.2},{0,10,20,30,40,50,60,62,64,66,68,70,72,74,76,78,80,85,90,95,100})</f>
        <v>90</v>
      </c>
      <c r="Q365" s="5">
        <v>5.39</v>
      </c>
      <c r="R365" s="36">
        <f t="shared" si="95"/>
        <v>4.61</v>
      </c>
      <c r="S365" s="29">
        <f>LOOKUP(R365,{0,3.85,4.45,4.65,4.85,5.45,5.65,5.7,5.75,5.8,5.85,5.9,5.95,6,6.45,6.5,6.55,6.63,6.7,6.75,6.8},{0,10,20,30,40,50,60,62,64,66,68,70,72,74,76,78,80,85,90,95,100})</f>
        <v>20</v>
      </c>
      <c r="T365" s="27"/>
      <c r="U365" s="27"/>
      <c r="V365" s="27">
        <f t="shared" si="96"/>
        <v>20</v>
      </c>
      <c r="W365" s="27"/>
      <c r="X365" s="19">
        <f t="shared" si="97"/>
        <v>42.4</v>
      </c>
      <c r="Y365" s="13">
        <f t="shared" si="98"/>
        <v>60.5714285714286</v>
      </c>
    </row>
    <row r="366" ht="15.6" spans="1:25">
      <c r="A366" s="27">
        <v>309</v>
      </c>
      <c r="B366" s="27">
        <v>9</v>
      </c>
      <c r="C366" s="28" t="s">
        <v>413</v>
      </c>
      <c r="D366" s="28" t="s">
        <v>12</v>
      </c>
      <c r="E366" s="27">
        <v>2.5</v>
      </c>
      <c r="F366" s="29">
        <f>LOOKUP(E366,{0,-1.8,-0.8,0.2,1.2,2.2,3.2,4.6,6,7.4,8.8,10.2,11.6,13,14.4,15.8,17.2,19.1,21,22.8,24.6},{0,10,20,30,40,50,60,62,64,66,68,70,72,74,76,78,80,85,90,95,100})</f>
        <v>50</v>
      </c>
      <c r="G366" s="27">
        <v>190</v>
      </c>
      <c r="H366" s="29">
        <f>LOOKUP(G366,{0,180,185,190,195,200,205,209,213,217,221,225,229,233,237,241,245,253,260,265,270},{0,10,20,30,40,50,60,62,64,66,68,70,72,74,76,78,80,85,90,95,100})</f>
        <v>30</v>
      </c>
      <c r="I366" s="27">
        <v>1</v>
      </c>
      <c r="J366" s="29">
        <f>LOOKUP(I366,{0,4,5,6,7,8,9,10,11,12,13,14,15,16,17,18},{0,10,20,30,40,50,60,64,68,72,76,80,85,90,95,100})</f>
        <v>0</v>
      </c>
      <c r="K366" s="44"/>
      <c r="L366" s="35"/>
      <c r="M366" s="35">
        <f t="shared" si="93"/>
        <v>0</v>
      </c>
      <c r="N366" s="35">
        <v>8.3</v>
      </c>
      <c r="O366" s="36">
        <f t="shared" si="94"/>
        <v>9.7</v>
      </c>
      <c r="P366" s="29">
        <f>LOOKUP(O366,{0,7.8,8,8.2,8.4,8.6,8.8,9,9.2,9.4,9.6,9.8,10,10.2,10.4,10.6,10.8,10.9,11,11.1,11.2},{0,10,20,30,40,50,60,62,64,66,68,70,72,74,76,78,80,85,90,95,100})</f>
        <v>68</v>
      </c>
      <c r="Q366" s="5">
        <v>5.39</v>
      </c>
      <c r="R366" s="36">
        <f t="shared" si="95"/>
        <v>4.61</v>
      </c>
      <c r="S366" s="29">
        <f>LOOKUP(R366,{0,3.85,4.45,4.65,4.85,5.45,5.65,5.7,5.75,5.8,5.85,5.9,5.95,6,6.45,6.5,6.55,6.63,6.7,6.75,6.8},{0,10,20,30,40,50,60,62,64,66,68,70,72,74,76,78,80,85,90,95,100})</f>
        <v>20</v>
      </c>
      <c r="T366" s="27"/>
      <c r="U366" s="27"/>
      <c r="V366" s="27">
        <f t="shared" si="96"/>
        <v>20</v>
      </c>
      <c r="W366" s="27"/>
      <c r="X366" s="19">
        <f t="shared" si="97"/>
        <v>25.6</v>
      </c>
      <c r="Y366" s="13">
        <f t="shared" si="98"/>
        <v>36.5714285714286</v>
      </c>
    </row>
    <row r="367" ht="15.6" spans="1:25">
      <c r="A367" s="27">
        <v>309</v>
      </c>
      <c r="B367" s="27">
        <v>10</v>
      </c>
      <c r="C367" s="28" t="s">
        <v>414</v>
      </c>
      <c r="D367" s="28" t="s">
        <v>12</v>
      </c>
      <c r="E367" s="27">
        <v>10.5</v>
      </c>
      <c r="F367" s="29">
        <f>LOOKUP(E367,{0,-1.8,-0.8,0.2,1.2,2.2,3.2,4.6,6,7.4,8.8,10.2,11.6,13,14.4,15.8,17.2,19.1,21,22.8,24.6},{0,10,20,30,40,50,60,62,64,66,68,70,72,74,76,78,80,85,90,95,100})</f>
        <v>70</v>
      </c>
      <c r="G367" s="27">
        <v>262</v>
      </c>
      <c r="H367" s="29">
        <f>LOOKUP(G367,{0,180,185,190,195,200,205,209,213,217,221,225,229,233,237,241,245,253,260,265,270},{0,10,20,30,40,50,60,62,64,66,68,70,72,74,76,78,80,85,90,95,100})</f>
        <v>90</v>
      </c>
      <c r="I367" s="27">
        <v>10</v>
      </c>
      <c r="J367" s="29">
        <f>LOOKUP(I367,{0,4,5,6,7,8,9,10,11,12,13,14,15,16,17,18},{0,10,20,30,40,50,60,64,68,72,76,80,85,90,95,100})</f>
        <v>64</v>
      </c>
      <c r="K367" s="44"/>
      <c r="L367" s="35"/>
      <c r="M367" s="35">
        <f t="shared" si="93"/>
        <v>64</v>
      </c>
      <c r="N367" s="35">
        <v>7.9</v>
      </c>
      <c r="O367" s="36">
        <f t="shared" si="94"/>
        <v>10.1</v>
      </c>
      <c r="P367" s="29">
        <f>LOOKUP(O367,{0,7.8,8,8.2,8.4,8.6,8.8,9,9.2,9.4,9.6,9.8,10,10.2,10.4,10.6,10.8,10.9,11,11.1,11.2},{0,10,20,30,40,50,60,62,64,66,68,70,72,74,76,78,80,85,90,95,100})</f>
        <v>72</v>
      </c>
      <c r="Q367" s="5">
        <v>5.39</v>
      </c>
      <c r="R367" s="36">
        <f t="shared" si="95"/>
        <v>4.61</v>
      </c>
      <c r="S367" s="29">
        <f>LOOKUP(R367,{0,3.85,4.45,4.65,4.85,5.45,5.65,5.7,5.75,5.8,5.85,5.9,5.95,6,6.45,6.5,6.55,6.63,6.7,6.75,6.8},{0,10,20,30,40,50,60,62,64,66,68,70,72,74,76,78,80,85,90,95,100})</f>
        <v>20</v>
      </c>
      <c r="T367" s="27"/>
      <c r="U367" s="27"/>
      <c r="V367" s="27">
        <f t="shared" si="96"/>
        <v>20</v>
      </c>
      <c r="W367" s="27"/>
      <c r="X367" s="19">
        <f t="shared" si="97"/>
        <v>40.8</v>
      </c>
      <c r="Y367" s="13">
        <f t="shared" si="98"/>
        <v>58.2857142857143</v>
      </c>
    </row>
    <row r="368" ht="15.6" spans="1:25">
      <c r="A368" s="27">
        <v>309</v>
      </c>
      <c r="B368" s="27">
        <v>11</v>
      </c>
      <c r="C368" s="30" t="s">
        <v>416</v>
      </c>
      <c r="D368" s="28" t="s">
        <v>12</v>
      </c>
      <c r="E368" s="27">
        <v>14.5</v>
      </c>
      <c r="F368" s="29">
        <f>LOOKUP(E368,{0,-1.8,-0.8,0.2,1.2,2.2,3.2,4.6,6,7.4,8.8,10.2,11.6,13,14.4,15.8,17.2,19.1,21,22.8,24.6},{0,10,20,30,40,50,60,62,64,66,68,70,72,74,76,78,80,85,90,95,100})</f>
        <v>76</v>
      </c>
      <c r="G368" s="27">
        <v>255</v>
      </c>
      <c r="H368" s="29">
        <f>LOOKUP(G368,{0,180,185,190,195,200,205,209,213,217,221,225,229,233,237,241,245,253,260,265,270},{0,10,20,30,40,50,60,62,64,66,68,70,72,74,76,78,80,85,90,95,100})</f>
        <v>85</v>
      </c>
      <c r="I368" s="27">
        <v>5</v>
      </c>
      <c r="J368" s="29">
        <f>LOOKUP(I368,{0,4,5,6,7,8,9,10,11,12,13,14,15,16,17,18},{0,10,20,30,40,50,60,64,68,72,76,80,85,90,95,100})</f>
        <v>20</v>
      </c>
      <c r="K368" s="44"/>
      <c r="L368" s="35"/>
      <c r="M368" s="35">
        <f t="shared" si="93"/>
        <v>20</v>
      </c>
      <c r="N368" s="35">
        <v>7.2</v>
      </c>
      <c r="O368" s="36">
        <f t="shared" si="94"/>
        <v>10.8</v>
      </c>
      <c r="P368" s="29">
        <f>LOOKUP(O368,{0,7.8,8,8.2,8.4,8.6,8.8,9,9.2,9.4,9.6,9.8,10,10.2,10.4,10.6,10.8,10.9,11,11.1,11.2},{0,10,20,30,40,50,60,62,64,66,68,70,72,74,76,78,80,85,90,95,100})</f>
        <v>80</v>
      </c>
      <c r="Q368" s="5">
        <v>4.25</v>
      </c>
      <c r="R368" s="36">
        <f t="shared" si="95"/>
        <v>5.75</v>
      </c>
      <c r="S368" s="29">
        <f>LOOKUP(R368,{0,3.85,4.45,4.65,4.85,5.45,5.65,5.7,5.75,5.8,5.85,5.9,5.95,6,6.45,6.5,6.55,6.63,6.7,6.75,6.8},{0,10,20,30,40,50,60,62,64,66,68,70,72,74,76,78,80,85,90,95,100})</f>
        <v>64</v>
      </c>
      <c r="T368" s="27"/>
      <c r="U368" s="27"/>
      <c r="V368" s="27">
        <f t="shared" si="96"/>
        <v>64</v>
      </c>
      <c r="W368" s="27"/>
      <c r="X368" s="19">
        <f t="shared" si="97"/>
        <v>46.9</v>
      </c>
      <c r="Y368" s="13">
        <f t="shared" si="98"/>
        <v>67</v>
      </c>
    </row>
    <row r="369" ht="15.6" spans="1:25">
      <c r="A369" s="27">
        <v>309</v>
      </c>
      <c r="B369" s="27">
        <v>12</v>
      </c>
      <c r="C369" s="28" t="s">
        <v>417</v>
      </c>
      <c r="D369" s="28" t="s">
        <v>12</v>
      </c>
      <c r="E369" s="27">
        <v>9.5</v>
      </c>
      <c r="F369" s="29">
        <f>LOOKUP(E369,{0,-1.8,-0.8,0.2,1.2,2.2,3.2,4.6,6,7.4,8.8,10.2,11.6,13,14.4,15.8,17.2,19.1,21,22.8,24.6},{0,10,20,30,40,50,60,62,64,66,68,70,72,74,76,78,80,85,90,95,100})</f>
        <v>68</v>
      </c>
      <c r="G369" s="27">
        <v>235</v>
      </c>
      <c r="H369" s="29">
        <f>LOOKUP(G369,{0,180,185,190,195,200,205,209,213,217,221,225,229,233,237,241,245,253,260,265,270},{0,10,20,30,40,50,60,62,64,66,68,70,72,74,76,78,80,85,90,95,100})</f>
        <v>74</v>
      </c>
      <c r="I369" s="27">
        <v>1</v>
      </c>
      <c r="J369" s="29">
        <f>LOOKUP(I369,{0,4,5,6,7,8,9,10,11,12,13,14,15,16,17,18},{0,10,20,30,40,50,60,64,68,72,76,80,85,90,95,100})</f>
        <v>0</v>
      </c>
      <c r="K369" s="44"/>
      <c r="L369" s="35"/>
      <c r="M369" s="35">
        <f t="shared" si="93"/>
        <v>0</v>
      </c>
      <c r="N369" s="35">
        <v>7.9</v>
      </c>
      <c r="O369" s="36">
        <f t="shared" si="94"/>
        <v>10.1</v>
      </c>
      <c r="P369" s="29">
        <f>LOOKUP(O369,{0,7.8,8,8.2,8.4,8.6,8.8,9,9.2,9.4,9.6,9.8,10,10.2,10.4,10.6,10.8,10.9,11,11.1,11.2},{0,10,20,30,40,50,60,62,64,66,68,70,72,74,76,78,80,85,90,95,100})</f>
        <v>72</v>
      </c>
      <c r="Q369" s="5">
        <v>4.22</v>
      </c>
      <c r="R369" s="36">
        <f t="shared" si="95"/>
        <v>5.78</v>
      </c>
      <c r="S369" s="29">
        <f>LOOKUP(R369,{0,3.85,4.45,4.65,4.85,5.45,5.65,5.7,5.75,5.8,5.85,5.9,5.95,6,6.45,6.5,6.55,6.63,6.7,6.75,6.8},{0,10,20,30,40,50,60,62,64,66,68,70,72,74,76,78,80,85,90,95,100})</f>
        <v>64</v>
      </c>
      <c r="T369" s="27"/>
      <c r="U369" s="27"/>
      <c r="V369" s="27">
        <f t="shared" si="96"/>
        <v>64</v>
      </c>
      <c r="W369" s="27"/>
      <c r="X369" s="19">
        <f t="shared" si="97"/>
        <v>41.4</v>
      </c>
      <c r="Y369" s="13">
        <f t="shared" si="98"/>
        <v>59.1428571428572</v>
      </c>
    </row>
    <row r="370" ht="15.6" spans="1:25">
      <c r="A370" s="27">
        <v>309</v>
      </c>
      <c r="B370" s="27">
        <v>13</v>
      </c>
      <c r="C370" s="28" t="s">
        <v>418</v>
      </c>
      <c r="D370" s="28" t="s">
        <v>12</v>
      </c>
      <c r="E370" s="27">
        <v>12.5</v>
      </c>
      <c r="F370" s="29">
        <f>LOOKUP(E370,{0,-1.8,-0.8,0.2,1.2,2.2,3.2,4.6,6,7.4,8.8,10.2,11.6,13,14.4,15.8,17.2,19.1,21,22.8,24.6},{0,10,20,30,40,50,60,62,64,66,68,70,72,74,76,78,80,85,90,95,100})</f>
        <v>72</v>
      </c>
      <c r="G370" s="27">
        <v>225</v>
      </c>
      <c r="H370" s="29">
        <f>LOOKUP(G370,{0,180,185,190,195,200,205,209,213,217,221,225,229,233,237,241,245,253,260,265,270},{0,10,20,30,40,50,60,62,64,66,68,70,72,74,76,78,80,85,90,95,100})</f>
        <v>70</v>
      </c>
      <c r="I370" s="27">
        <v>11</v>
      </c>
      <c r="J370" s="29">
        <f>LOOKUP(I370,{0,4,5,6,7,8,9,10,11,12,13,14,15,16,17,18},{0,10,20,30,40,50,60,64,68,72,76,80,85,90,95,100})</f>
        <v>68</v>
      </c>
      <c r="K370" s="44"/>
      <c r="L370" s="35"/>
      <c r="M370" s="35">
        <f t="shared" si="93"/>
        <v>68</v>
      </c>
      <c r="N370" s="35">
        <v>7.8</v>
      </c>
      <c r="O370" s="36">
        <f t="shared" si="94"/>
        <v>10.2</v>
      </c>
      <c r="P370" s="29">
        <f>LOOKUP(O370,{0,7.8,8,8.2,8.4,8.6,8.8,9,9.2,9.4,9.6,9.8,10,10.2,10.4,10.6,10.8,10.9,11,11.1,11.2},{0,10,20,30,40,50,60,62,64,66,68,70,72,74,76,78,80,85,90,95,100})</f>
        <v>74</v>
      </c>
      <c r="Q370" s="5">
        <v>3.57</v>
      </c>
      <c r="R370" s="36">
        <f t="shared" si="95"/>
        <v>6.43</v>
      </c>
      <c r="S370" s="29">
        <f>LOOKUP(R370,{0,3.85,4.45,4.65,4.85,5.45,5.65,5.7,5.75,5.8,5.85,5.9,5.95,6,6.45,6.5,6.55,6.63,6.7,6.75,6.8},{0,10,20,30,40,50,60,62,64,66,68,70,72,74,76,78,80,85,90,95,100})</f>
        <v>74</v>
      </c>
      <c r="T370" s="27"/>
      <c r="U370" s="27"/>
      <c r="V370" s="27">
        <f t="shared" si="96"/>
        <v>74</v>
      </c>
      <c r="W370" s="27"/>
      <c r="X370" s="19">
        <f t="shared" si="97"/>
        <v>50.6</v>
      </c>
      <c r="Y370" s="13">
        <f t="shared" si="98"/>
        <v>72.2857142857143</v>
      </c>
    </row>
    <row r="371" ht="15.6" spans="1:25">
      <c r="A371" s="27">
        <v>309</v>
      </c>
      <c r="B371" s="27">
        <v>14</v>
      </c>
      <c r="C371" s="28" t="s">
        <v>419</v>
      </c>
      <c r="D371" s="28" t="s">
        <v>12</v>
      </c>
      <c r="E371" s="27">
        <v>11.2</v>
      </c>
      <c r="F371" s="29">
        <f>LOOKUP(E371,{0,-1.8,-0.8,0.2,1.2,2.2,3.2,4.6,6,7.4,8.8,10.2,11.6,13,14.4,15.8,17.2,19.1,21,22.8,24.6},{0,10,20,30,40,50,60,62,64,66,68,70,72,74,76,78,80,85,90,95,100})</f>
        <v>70</v>
      </c>
      <c r="G371" s="27">
        <v>235</v>
      </c>
      <c r="H371" s="29">
        <f>LOOKUP(G371,{0,180,185,190,195,200,205,209,213,217,221,225,229,233,237,241,245,253,260,265,270},{0,10,20,30,40,50,60,62,64,66,68,70,72,74,76,78,80,85,90,95,100})</f>
        <v>74</v>
      </c>
      <c r="I371" s="27">
        <v>12</v>
      </c>
      <c r="J371" s="29">
        <f>LOOKUP(I371,{0,4,5,6,7,8,9,10,11,12,13,14,15,16,17,18},{0,10,20,30,40,50,60,64,68,72,76,80,85,90,95,100})</f>
        <v>72</v>
      </c>
      <c r="K371" s="44"/>
      <c r="L371" s="35"/>
      <c r="M371" s="35">
        <f t="shared" si="93"/>
        <v>72</v>
      </c>
      <c r="N371" s="35">
        <v>7.1</v>
      </c>
      <c r="O371" s="36">
        <f t="shared" si="94"/>
        <v>10.9</v>
      </c>
      <c r="P371" s="29">
        <f>LOOKUP(O371,{0,7.8,8,8.2,8.4,8.6,8.8,9,9.2,9.4,9.6,9.8,10,10.2,10.4,10.6,10.8,10.9,11,11.1,11.2},{0,10,20,30,40,50,60,62,64,66,68,70,72,74,76,78,80,85,90,95,100})</f>
        <v>85</v>
      </c>
      <c r="Q371" s="5">
        <v>4.1</v>
      </c>
      <c r="R371" s="36">
        <f t="shared" si="95"/>
        <v>5.9</v>
      </c>
      <c r="S371" s="29">
        <f>LOOKUP(R371,{0,3.85,4.45,4.65,4.85,5.45,5.65,5.7,5.75,5.8,5.85,5.9,5.95,6,6.45,6.5,6.55,6.63,6.7,6.75,6.8},{0,10,20,30,40,50,60,62,64,66,68,70,72,74,76,78,80,85,90,95,100})</f>
        <v>70</v>
      </c>
      <c r="T371" s="27"/>
      <c r="U371" s="27"/>
      <c r="V371" s="27">
        <f t="shared" si="96"/>
        <v>70</v>
      </c>
      <c r="W371" s="27"/>
      <c r="X371" s="19">
        <f t="shared" si="97"/>
        <v>52.6</v>
      </c>
      <c r="Y371" s="13">
        <f t="shared" si="98"/>
        <v>75.1428571428572</v>
      </c>
    </row>
    <row r="372" ht="15.6" spans="1:25">
      <c r="A372" s="27">
        <v>309</v>
      </c>
      <c r="B372" s="27">
        <v>15</v>
      </c>
      <c r="C372" s="28" t="s">
        <v>420</v>
      </c>
      <c r="D372" s="28" t="s">
        <v>12</v>
      </c>
      <c r="E372" s="27">
        <v>17</v>
      </c>
      <c r="F372" s="29">
        <f>LOOKUP(E372,{0,-1.8,-0.8,0.2,1.2,2.2,3.2,4.6,6,7.4,8.8,10.2,11.6,13,14.4,15.8,17.2,19.1,21,22.8,24.6},{0,10,20,30,40,50,60,62,64,66,68,70,72,74,76,78,80,85,90,95,100})</f>
        <v>78</v>
      </c>
      <c r="G372" s="27">
        <v>250</v>
      </c>
      <c r="H372" s="29">
        <f>LOOKUP(G372,{0,180,185,190,195,200,205,209,213,217,221,225,229,233,237,241,245,253,260,265,270},{0,10,20,30,40,50,60,62,64,66,68,70,72,74,76,78,80,85,90,95,100})</f>
        <v>80</v>
      </c>
      <c r="I372" s="27">
        <v>10</v>
      </c>
      <c r="J372" s="29">
        <f>LOOKUP(I372,{0,4,5,6,7,8,9,10,11,12,13,14,15,16,17,18},{0,10,20,30,40,50,60,64,68,72,76,80,85,90,95,100})</f>
        <v>64</v>
      </c>
      <c r="K372" s="44"/>
      <c r="L372" s="35"/>
      <c r="M372" s="35">
        <f t="shared" si="93"/>
        <v>64</v>
      </c>
      <c r="N372" s="35">
        <v>6.9</v>
      </c>
      <c r="O372" s="36">
        <f t="shared" si="94"/>
        <v>11.1</v>
      </c>
      <c r="P372" s="29">
        <f>LOOKUP(O372,{0,7.8,8,8.2,8.4,8.6,8.8,9,9.2,9.4,9.6,9.8,10,10.2,10.4,10.6,10.8,10.9,11,11.1,11.2},{0,10,20,30,40,50,60,62,64,66,68,70,72,74,76,78,80,85,90,95,100})</f>
        <v>95</v>
      </c>
      <c r="Q372" s="5">
        <v>4.07</v>
      </c>
      <c r="R372" s="36">
        <f t="shared" si="95"/>
        <v>5.93</v>
      </c>
      <c r="S372" s="29">
        <f>LOOKUP(R372,{0,3.85,4.45,4.65,4.85,5.45,5.65,5.7,5.75,5.8,5.85,5.9,5.95,6,6.45,6.5,6.55,6.63,6.7,6.75,6.8},{0,10,20,30,40,50,60,62,64,66,68,70,72,74,76,78,80,85,90,95,100})</f>
        <v>70</v>
      </c>
      <c r="T372" s="27"/>
      <c r="U372" s="27"/>
      <c r="V372" s="27">
        <f t="shared" si="96"/>
        <v>70</v>
      </c>
      <c r="W372" s="27"/>
      <c r="X372" s="19">
        <f t="shared" si="97"/>
        <v>55.2</v>
      </c>
      <c r="Y372" s="13">
        <f t="shared" si="98"/>
        <v>78.8571428571429</v>
      </c>
    </row>
    <row r="373" ht="15.6" spans="1:25">
      <c r="A373" s="27">
        <v>309</v>
      </c>
      <c r="B373" s="27">
        <v>16</v>
      </c>
      <c r="C373" s="28" t="s">
        <v>421</v>
      </c>
      <c r="D373" s="28" t="s">
        <v>12</v>
      </c>
      <c r="E373" s="27">
        <v>27.5</v>
      </c>
      <c r="F373" s="29">
        <f>LOOKUP(E373,{0,-1.8,-0.8,0.2,1.2,2.2,3.2,4.6,6,7.4,8.8,10.2,11.6,13,14.4,15.8,17.2,19.1,21,22.8,24.6},{0,10,20,30,40,50,60,62,64,66,68,70,72,74,76,78,80,85,90,95,100})</f>
        <v>100</v>
      </c>
      <c r="G373" s="27">
        <v>235</v>
      </c>
      <c r="H373" s="29">
        <f>LOOKUP(G373,{0,180,185,190,195,200,205,209,213,217,221,225,229,233,237,241,245,253,260,265,270},{0,10,20,30,40,50,60,62,64,66,68,70,72,74,76,78,80,85,90,95,100})</f>
        <v>74</v>
      </c>
      <c r="I373" s="27">
        <v>18</v>
      </c>
      <c r="J373" s="29">
        <f>LOOKUP(I373,{0,4,5,6,7,8,9,10,11,12,13,14,15,16,17,18},{0,10,20,30,40,50,60,64,68,72,76,80,85,90,95,100})</f>
        <v>100</v>
      </c>
      <c r="K373" s="44"/>
      <c r="L373" s="35"/>
      <c r="M373" s="35">
        <f t="shared" si="93"/>
        <v>100</v>
      </c>
      <c r="N373" s="35">
        <v>7.3</v>
      </c>
      <c r="O373" s="36">
        <f t="shared" si="94"/>
        <v>10.7</v>
      </c>
      <c r="P373" s="29">
        <f>LOOKUP(O373,{0,7.8,8,8.2,8.4,8.6,8.8,9,9.2,9.4,9.6,9.8,10,10.2,10.4,10.6,10.8,10.9,11,11.1,11.2},{0,10,20,30,40,50,60,62,64,66,68,70,72,74,76,78,80,85,90,95,100})</f>
        <v>78</v>
      </c>
      <c r="Q373" s="5">
        <v>4.15</v>
      </c>
      <c r="R373" s="36">
        <f t="shared" si="95"/>
        <v>5.85</v>
      </c>
      <c r="S373" s="29">
        <f>LOOKUP(R373,{0,3.85,4.45,4.65,4.85,5.45,5.65,5.7,5.75,5.8,5.85,5.9,5.95,6,6.45,6.5,6.55,6.63,6.7,6.75,6.8},{0,10,20,30,40,50,60,62,64,66,68,70,72,74,76,78,80,85,90,95,100})</f>
        <v>68</v>
      </c>
      <c r="T373" s="27"/>
      <c r="U373" s="27"/>
      <c r="V373" s="27">
        <f t="shared" si="96"/>
        <v>68</v>
      </c>
      <c r="W373" s="27"/>
      <c r="X373" s="19">
        <f t="shared" si="97"/>
        <v>56.6</v>
      </c>
      <c r="Y373" s="13">
        <f t="shared" si="98"/>
        <v>80.8571428571429</v>
      </c>
    </row>
    <row r="374" ht="15.6" spans="1:25">
      <c r="A374" s="27">
        <v>309</v>
      </c>
      <c r="B374" s="27">
        <v>17</v>
      </c>
      <c r="C374" s="28" t="s">
        <v>422</v>
      </c>
      <c r="D374" s="28" t="s">
        <v>12</v>
      </c>
      <c r="E374" s="27">
        <v>9.4</v>
      </c>
      <c r="F374" s="29">
        <f>LOOKUP(E374,{0,-1.8,-0.8,0.2,1.2,2.2,3.2,4.6,6,7.4,8.8,10.2,11.6,13,14.4,15.8,17.2,19.1,21,22.8,24.6},{0,10,20,30,40,50,60,62,64,66,68,70,72,74,76,78,80,85,90,95,100})</f>
        <v>68</v>
      </c>
      <c r="G374" s="27">
        <v>225</v>
      </c>
      <c r="H374" s="29">
        <f>LOOKUP(G374,{0,180,185,190,195,200,205,209,213,217,221,225,229,233,237,241,245,253,260,265,270},{0,10,20,30,40,50,60,62,64,66,68,70,72,74,76,78,80,85,90,95,100})</f>
        <v>70</v>
      </c>
      <c r="I374" s="27">
        <v>2</v>
      </c>
      <c r="J374" s="29">
        <f>LOOKUP(I374,{0,4,5,6,7,8,9,10,11,12,13,14,15,16,17,18},{0,10,20,30,40,50,60,64,68,72,76,80,85,90,95,100})</f>
        <v>0</v>
      </c>
      <c r="K374" s="44"/>
      <c r="L374" s="35"/>
      <c r="M374" s="35">
        <f t="shared" si="93"/>
        <v>0</v>
      </c>
      <c r="N374" s="35">
        <v>8.5</v>
      </c>
      <c r="O374" s="36">
        <f t="shared" si="94"/>
        <v>9.5</v>
      </c>
      <c r="P374" s="29">
        <f>LOOKUP(O374,{0,7.8,8,8.2,8.4,8.6,8.8,9,9.2,9.4,9.6,9.8,10,10.2,10.4,10.6,10.8,10.9,11,11.1,11.2},{0,10,20,30,40,50,60,62,64,66,68,70,72,74,76,78,80,85,90,95,100})</f>
        <v>66</v>
      </c>
      <c r="Q374" s="5">
        <v>4.24</v>
      </c>
      <c r="R374" s="36">
        <f t="shared" si="95"/>
        <v>5.76</v>
      </c>
      <c r="S374" s="29">
        <f>LOOKUP(R374,{0,3.85,4.45,4.65,4.85,5.45,5.65,5.7,5.75,5.8,5.85,5.9,5.95,6,6.45,6.5,6.55,6.63,6.7,6.75,6.8},{0,10,20,30,40,50,60,62,64,66,68,70,72,74,76,78,80,85,90,95,100})</f>
        <v>64</v>
      </c>
      <c r="T374" s="27"/>
      <c r="U374" s="27"/>
      <c r="V374" s="27">
        <f t="shared" si="96"/>
        <v>64</v>
      </c>
      <c r="W374" s="27"/>
      <c r="X374" s="19">
        <f t="shared" si="97"/>
        <v>39.8</v>
      </c>
      <c r="Y374" s="13">
        <f t="shared" si="98"/>
        <v>56.8571428571429</v>
      </c>
    </row>
    <row r="375" ht="15.6" spans="1:25">
      <c r="A375" s="27">
        <v>309</v>
      </c>
      <c r="B375" s="27">
        <v>18</v>
      </c>
      <c r="C375" s="28" t="s">
        <v>423</v>
      </c>
      <c r="D375" s="28" t="s">
        <v>12</v>
      </c>
      <c r="E375" s="27">
        <v>16.3</v>
      </c>
      <c r="F375" s="29">
        <f>LOOKUP(E375,{0,-1.8,-0.8,0.2,1.2,2.2,3.2,4.6,6,7.4,8.8,10.2,11.6,13,14.4,15.8,17.2,19.1,21,22.8,24.6},{0,10,20,30,40,50,60,62,64,66,68,70,72,74,76,78,80,85,90,95,100})</f>
        <v>78</v>
      </c>
      <c r="G375" s="27">
        <v>215</v>
      </c>
      <c r="H375" s="29">
        <f>LOOKUP(G375,{0,180,185,190,195,200,205,209,213,217,221,225,229,233,237,241,245,253,260,265,270},{0,10,20,30,40,50,60,62,64,66,68,70,72,74,76,78,80,85,90,95,100})</f>
        <v>64</v>
      </c>
      <c r="I375" s="27">
        <v>5</v>
      </c>
      <c r="J375" s="29">
        <f>LOOKUP(I375,{0,4,5,6,7,8,9,10,11,12,13,14,15,16,17,18},{0,10,20,30,40,50,60,64,68,72,76,80,85,90,95,100})</f>
        <v>20</v>
      </c>
      <c r="K375" s="44"/>
      <c r="L375" s="35"/>
      <c r="M375" s="35">
        <f t="shared" si="93"/>
        <v>20</v>
      </c>
      <c r="N375" s="35">
        <v>7.9</v>
      </c>
      <c r="O375" s="36">
        <f t="shared" si="94"/>
        <v>10.1</v>
      </c>
      <c r="P375" s="29">
        <f>LOOKUP(O375,{0,7.8,8,8.2,8.4,8.6,8.8,9,9.2,9.4,9.6,9.8,10,10.2,10.4,10.6,10.8,10.9,11,11.1,11.2},{0,10,20,30,40,50,60,62,64,66,68,70,72,74,76,78,80,85,90,95,100})</f>
        <v>72</v>
      </c>
      <c r="Q375" s="5">
        <v>4.27</v>
      </c>
      <c r="R375" s="36">
        <f t="shared" si="95"/>
        <v>5.73</v>
      </c>
      <c r="S375" s="29">
        <f>LOOKUP(R375,{0,3.85,4.45,4.65,4.85,5.45,5.65,5.7,5.75,5.8,5.85,5.9,5.95,6,6.45,6.5,6.55,6.63,6.7,6.75,6.8},{0,10,20,30,40,50,60,62,64,66,68,70,72,74,76,78,80,85,90,95,100})</f>
        <v>62</v>
      </c>
      <c r="T375" s="27"/>
      <c r="U375" s="27"/>
      <c r="V375" s="27">
        <f t="shared" si="96"/>
        <v>62</v>
      </c>
      <c r="W375" s="27"/>
      <c r="X375" s="19">
        <f t="shared" si="97"/>
        <v>43</v>
      </c>
      <c r="Y375" s="13">
        <f t="shared" si="98"/>
        <v>61.4285714285714</v>
      </c>
    </row>
    <row r="376" ht="15.6" spans="1:25">
      <c r="A376" s="27">
        <v>309</v>
      </c>
      <c r="B376" s="27">
        <v>19</v>
      </c>
      <c r="C376" s="28" t="s">
        <v>424</v>
      </c>
      <c r="D376" s="28" t="s">
        <v>12</v>
      </c>
      <c r="E376" s="27">
        <v>14</v>
      </c>
      <c r="F376" s="29">
        <f>LOOKUP(E376,{0,-1.8,-0.8,0.2,1.2,2.2,3.2,4.6,6,7.4,8.8,10.2,11.6,13,14.4,15.8,17.2,19.1,21,22.8,24.6},{0,10,20,30,40,50,60,62,64,66,68,70,72,74,76,78,80,85,90,95,100})</f>
        <v>74</v>
      </c>
      <c r="G376" s="27">
        <v>253</v>
      </c>
      <c r="H376" s="29">
        <f>LOOKUP(G376,{0,180,185,190,195,200,205,209,213,217,221,225,229,233,237,241,245,253,260,265,270},{0,10,20,30,40,50,60,62,64,66,68,70,72,74,76,78,80,85,90,95,100})</f>
        <v>85</v>
      </c>
      <c r="I376" s="27">
        <v>18</v>
      </c>
      <c r="J376" s="29">
        <f>LOOKUP(I376,{0,4,5,6,7,8,9,10,11,12,13,14,15,16,17,18},{0,10,20,30,40,50,60,64,68,72,76,80,85,90,95,100})</f>
        <v>100</v>
      </c>
      <c r="K376" s="44"/>
      <c r="L376" s="35"/>
      <c r="M376" s="35">
        <f t="shared" si="93"/>
        <v>100</v>
      </c>
      <c r="N376" s="35">
        <v>7.3</v>
      </c>
      <c r="O376" s="36">
        <f t="shared" si="94"/>
        <v>10.7</v>
      </c>
      <c r="P376" s="29">
        <f>LOOKUP(O376,{0,7.8,8,8.2,8.4,8.6,8.8,9,9.2,9.4,9.6,9.8,10,10.2,10.4,10.6,10.8,10.9,11,11.1,11.2},{0,10,20,30,40,50,60,62,64,66,68,70,72,74,76,78,80,85,90,95,100})</f>
        <v>78</v>
      </c>
      <c r="Q376" s="5">
        <v>3.56</v>
      </c>
      <c r="R376" s="36">
        <f t="shared" si="95"/>
        <v>6.44</v>
      </c>
      <c r="S376" s="29">
        <f>LOOKUP(R376,{0,3.85,4.45,4.65,4.85,5.45,5.65,5.7,5.75,5.8,5.85,5.9,5.95,6,6.45,6.5,6.55,6.63,6.7,6.75,6.8},{0,10,20,30,40,50,60,62,64,66,68,70,72,74,76,78,80,85,90,95,100})</f>
        <v>74</v>
      </c>
      <c r="T376" s="27"/>
      <c r="U376" s="27"/>
      <c r="V376" s="27">
        <f t="shared" si="96"/>
        <v>74</v>
      </c>
      <c r="W376" s="27"/>
      <c r="X376" s="19">
        <f t="shared" si="97"/>
        <v>56.3</v>
      </c>
      <c r="Y376" s="13">
        <f t="shared" si="98"/>
        <v>80.4285714285714</v>
      </c>
    </row>
    <row r="377" ht="15.6" spans="1:25">
      <c r="A377" s="27">
        <v>309</v>
      </c>
      <c r="B377" s="27">
        <v>20</v>
      </c>
      <c r="C377" s="28" t="s">
        <v>425</v>
      </c>
      <c r="D377" s="28" t="s">
        <v>12</v>
      </c>
      <c r="E377" s="27">
        <v>7</v>
      </c>
      <c r="F377" s="29">
        <f>LOOKUP(E377,{0,-1.8,-0.8,0.2,1.2,2.2,3.2,4.6,6,7.4,8.8,10.2,11.6,13,14.4,15.8,17.2,19.1,21,22.8,24.6},{0,10,20,30,40,50,60,62,64,66,68,70,72,74,76,78,80,85,90,95,100})</f>
        <v>64</v>
      </c>
      <c r="G377" s="27">
        <v>215</v>
      </c>
      <c r="H377" s="29">
        <f>LOOKUP(G377,{0,180,185,190,195,200,205,209,213,217,221,225,229,233,237,241,245,253,260,265,270},{0,10,20,30,40,50,60,62,64,66,68,70,72,74,76,78,80,85,90,95,100})</f>
        <v>64</v>
      </c>
      <c r="I377" s="27">
        <v>1</v>
      </c>
      <c r="J377" s="29">
        <f>LOOKUP(I377,{0,4,5,6,7,8,9,10,11,12,13,14,15,16,17,18},{0,10,20,30,40,50,60,64,68,72,76,80,85,90,95,100})</f>
        <v>0</v>
      </c>
      <c r="K377" s="44"/>
      <c r="L377" s="35"/>
      <c r="M377" s="35">
        <f t="shared" si="93"/>
        <v>0</v>
      </c>
      <c r="N377" s="35">
        <v>8.2</v>
      </c>
      <c r="O377" s="36">
        <f t="shared" si="94"/>
        <v>9.8</v>
      </c>
      <c r="P377" s="29">
        <f>LOOKUP(O377,{0,7.8,8,8.2,8.4,8.6,8.8,9,9.2,9.4,9.6,9.8,10,10.2,10.4,10.6,10.8,10.9,11,11.1,11.2},{0,10,20,30,40,50,60,62,64,66,68,70,72,74,76,78,80,85,90,95,100})</f>
        <v>70</v>
      </c>
      <c r="Q377" s="5">
        <v>5.24</v>
      </c>
      <c r="R377" s="36">
        <f t="shared" si="95"/>
        <v>4.76</v>
      </c>
      <c r="S377" s="29">
        <f>LOOKUP(R377,{0,3.85,4.45,4.65,4.85,5.45,5.65,5.7,5.75,5.8,5.85,5.9,5.95,6,6.45,6.5,6.55,6.63,6.7,6.75,6.8},{0,10,20,30,40,50,60,62,64,66,68,70,72,74,76,78,80,85,90,95,100})</f>
        <v>30</v>
      </c>
      <c r="T377" s="27"/>
      <c r="U377" s="27"/>
      <c r="V377" s="27">
        <f t="shared" si="96"/>
        <v>30</v>
      </c>
      <c r="W377" s="27"/>
      <c r="X377" s="19">
        <f t="shared" si="97"/>
        <v>32.8</v>
      </c>
      <c r="Y377" s="13">
        <f t="shared" si="98"/>
        <v>46.8571428571429</v>
      </c>
    </row>
    <row r="378" ht="15.6" spans="1:25">
      <c r="A378" s="27">
        <v>309</v>
      </c>
      <c r="B378" s="27">
        <v>21</v>
      </c>
      <c r="C378" s="30" t="s">
        <v>427</v>
      </c>
      <c r="D378" s="28" t="s">
        <v>12</v>
      </c>
      <c r="E378" s="27">
        <v>1.6</v>
      </c>
      <c r="F378" s="29">
        <f>LOOKUP(E378,{0,-1.8,-0.8,0.2,1.2,2.2,3.2,4.6,6,7.4,8.8,10.2,11.6,13,14.4,15.8,17.2,19.1,21,22.8,24.6},{0,10,20,30,40,50,60,62,64,66,68,70,72,74,76,78,80,85,90,95,100})</f>
        <v>40</v>
      </c>
      <c r="G378" s="27">
        <v>160</v>
      </c>
      <c r="H378" s="29">
        <f>LOOKUP(G378,{0,180,185,190,195,200,205,209,213,217,221,225,229,233,237,241,245,253,260,265,270},{0,10,20,30,40,50,60,62,64,66,68,70,72,74,76,78,80,85,90,95,100})</f>
        <v>0</v>
      </c>
      <c r="I378" s="27">
        <v>0</v>
      </c>
      <c r="J378" s="29">
        <f>LOOKUP(I378,{0,4,5,6,7,8,9,10,11,12,13,14,15,16,17,18},{0,10,20,30,40,50,60,64,68,72,76,80,85,90,95,100})</f>
        <v>0</v>
      </c>
      <c r="K378" s="44"/>
      <c r="L378" s="35"/>
      <c r="M378" s="35">
        <f t="shared" si="93"/>
        <v>0</v>
      </c>
      <c r="N378" s="35">
        <v>7.7</v>
      </c>
      <c r="O378" s="36">
        <f t="shared" si="94"/>
        <v>10.3</v>
      </c>
      <c r="P378" s="29">
        <f>LOOKUP(O378,{0,7.8,8,8.2,8.4,8.6,8.8,9,9.2,9.4,9.6,9.8,10,10.2,10.4,10.6,10.8,10.9,11,11.1,11.2},{0,10,20,30,40,50,60,62,64,66,68,70,72,74,76,78,80,85,90,95,100})</f>
        <v>74</v>
      </c>
      <c r="Q378" s="5">
        <v>5.05</v>
      </c>
      <c r="R378" s="36">
        <f t="shared" si="95"/>
        <v>4.95</v>
      </c>
      <c r="S378" s="29">
        <f>LOOKUP(R378,{0,3.85,4.45,4.65,4.85,5.45,5.65,5.7,5.75,5.8,5.85,5.9,5.95,6,6.45,6.5,6.55,6.63,6.7,6.75,6.8},{0,10,20,30,40,50,60,62,64,66,68,70,72,74,76,78,80,85,90,95,100})</f>
        <v>40</v>
      </c>
      <c r="T378" s="27"/>
      <c r="U378" s="27"/>
      <c r="V378" s="27">
        <f t="shared" si="96"/>
        <v>40</v>
      </c>
      <c r="W378" s="27"/>
      <c r="X378" s="19">
        <f t="shared" si="97"/>
        <v>26.8</v>
      </c>
      <c r="Y378" s="13">
        <f t="shared" si="98"/>
        <v>38.2857142857143</v>
      </c>
    </row>
    <row r="379" ht="15.6" spans="1:25">
      <c r="A379" s="27">
        <v>309</v>
      </c>
      <c r="B379" s="27">
        <v>22</v>
      </c>
      <c r="C379" s="27" t="s">
        <v>428</v>
      </c>
      <c r="D379" s="27" t="s">
        <v>12</v>
      </c>
      <c r="E379" s="27">
        <v>27</v>
      </c>
      <c r="F379" s="29">
        <f>LOOKUP(E379,{0,-1.8,-0.8,0.2,1.2,2.2,3.2,4.6,6,7.4,8.8,10.2,11.6,13,14.4,15.8,17.2,19.1,21,22.8,24.6},{0,10,20,30,40,50,60,62,64,66,68,70,72,74,76,78,80,85,90,95,100})</f>
        <v>100</v>
      </c>
      <c r="G379" s="27">
        <v>241</v>
      </c>
      <c r="H379" s="29">
        <f>LOOKUP(G379,{0,180,185,190,195,200,205,209,213,217,221,225,229,233,237,241,245,253,260,265,270},{0,10,20,30,40,50,60,62,64,66,68,70,72,74,76,78,80,85,90,95,100})</f>
        <v>78</v>
      </c>
      <c r="I379" s="27">
        <v>40</v>
      </c>
      <c r="J379" s="29">
        <f>LOOKUP(I379,{0,4,5,6,7,8,9,10,11,12,13,14,15,16,17,18},{0,10,20,30,40,50,60,64,68,72,76,80,85,90,95,100})</f>
        <v>100</v>
      </c>
      <c r="K379" s="44">
        <f>I379-18</f>
        <v>22</v>
      </c>
      <c r="L379" s="29">
        <f>LOOKUP(K379,{0,1,2,3,4,5,6,7,8,9,10},{0,1,2,3,4,5,6,7,8,9,10})</f>
        <v>10</v>
      </c>
      <c r="M379" s="35">
        <f t="shared" si="93"/>
        <v>110</v>
      </c>
      <c r="N379" s="35">
        <v>7.6</v>
      </c>
      <c r="O379" s="36">
        <f t="shared" si="94"/>
        <v>10.4</v>
      </c>
      <c r="P379" s="29">
        <f>LOOKUP(O379,{0,7.8,8,8.2,8.4,8.6,8.8,9,9.2,9.4,9.6,9.8,10,10.2,10.4,10.6,10.8,10.9,11,11.1,11.2},{0,10,20,30,40,50,60,62,64,66,68,70,72,74,76,78,80,85,90,95,100})</f>
        <v>76</v>
      </c>
      <c r="Q379" s="5">
        <v>4.1</v>
      </c>
      <c r="R379" s="36">
        <f t="shared" si="95"/>
        <v>5.9</v>
      </c>
      <c r="S379" s="29">
        <f>LOOKUP(R379,{0,3.85,4.45,4.65,4.85,5.45,5.65,5.7,5.75,5.8,5.85,5.9,5.95,6,6.45,6.5,6.55,6.63,6.7,6.75,6.8},{0,10,20,30,40,50,60,62,64,66,68,70,72,74,76,78,80,85,90,95,100})</f>
        <v>70</v>
      </c>
      <c r="T379" s="27"/>
      <c r="U379" s="27"/>
      <c r="V379" s="27">
        <f t="shared" si="96"/>
        <v>70</v>
      </c>
      <c r="W379" s="27"/>
      <c r="X379" s="19">
        <f t="shared" si="97"/>
        <v>57</v>
      </c>
      <c r="Y379" s="13">
        <f t="shared" si="98"/>
        <v>91.4285714285714</v>
      </c>
    </row>
    <row r="380" ht="15.6" spans="1:25">
      <c r="A380" s="27">
        <v>309</v>
      </c>
      <c r="B380" s="27">
        <v>23</v>
      </c>
      <c r="C380" s="28" t="s">
        <v>429</v>
      </c>
      <c r="D380" s="28" t="s">
        <v>12</v>
      </c>
      <c r="E380" s="27">
        <v>15.4</v>
      </c>
      <c r="F380" s="29">
        <f>LOOKUP(E380,{0,-1.8,-0.8,0.2,1.2,2.2,3.2,4.6,6,7.4,8.8,10.2,11.6,13,14.4,15.8,17.2,19.1,21,22.8,24.6},{0,10,20,30,40,50,60,62,64,66,68,70,72,74,76,78,80,85,90,95,100})</f>
        <v>76</v>
      </c>
      <c r="G380" s="27">
        <v>226</v>
      </c>
      <c r="H380" s="29">
        <f>LOOKUP(G380,{0,180,185,190,195,200,205,209,213,217,221,225,229,233,237,241,245,253,260,265,270},{0,10,20,30,40,50,60,62,64,66,68,70,72,74,76,78,80,85,90,95,100})</f>
        <v>70</v>
      </c>
      <c r="I380" s="27">
        <v>14</v>
      </c>
      <c r="J380" s="29">
        <f>LOOKUP(I380,{0,4,5,6,7,8,9,10,11,12,13,14,15,16,17,18},{0,10,20,30,40,50,60,64,68,72,76,80,85,90,95,100})</f>
        <v>80</v>
      </c>
      <c r="K380" s="44"/>
      <c r="L380" s="35"/>
      <c r="M380" s="35">
        <f t="shared" si="93"/>
        <v>80</v>
      </c>
      <c r="N380" s="35">
        <v>7.7</v>
      </c>
      <c r="O380" s="36">
        <f t="shared" si="94"/>
        <v>10.3</v>
      </c>
      <c r="P380" s="29">
        <f>LOOKUP(O380,{0,7.8,8,8.2,8.4,8.6,8.8,9,9.2,9.4,9.6,9.8,10,10.2,10.4,10.6,10.8,10.9,11,11.1,11.2},{0,10,20,30,40,50,60,62,64,66,68,70,72,74,76,78,80,85,90,95,100})</f>
        <v>74</v>
      </c>
      <c r="Q380" s="5">
        <v>3.55</v>
      </c>
      <c r="R380" s="36">
        <f t="shared" si="95"/>
        <v>6.45</v>
      </c>
      <c r="S380" s="29">
        <f>LOOKUP(R380,{0,3.85,4.45,4.65,4.85,5.45,5.65,5.7,5.75,5.8,5.85,5.9,5.95,6,6.45,6.5,6.55,6.63,6.7,6.75,6.8},{0,10,20,30,40,50,60,62,64,66,68,70,72,74,76,78,80,85,90,95,100})</f>
        <v>76</v>
      </c>
      <c r="T380" s="27"/>
      <c r="U380" s="27"/>
      <c r="V380" s="27">
        <f t="shared" si="96"/>
        <v>76</v>
      </c>
      <c r="W380" s="27"/>
      <c r="X380" s="19">
        <f t="shared" si="97"/>
        <v>52.6</v>
      </c>
      <c r="Y380" s="13">
        <f t="shared" si="98"/>
        <v>75.1428571428572</v>
      </c>
    </row>
    <row r="381" ht="15.6" spans="1:25">
      <c r="A381" s="27">
        <v>309</v>
      </c>
      <c r="B381" s="27">
        <v>24</v>
      </c>
      <c r="C381" s="28" t="s">
        <v>430</v>
      </c>
      <c r="D381" s="28" t="s">
        <v>12</v>
      </c>
      <c r="E381" s="27">
        <v>11</v>
      </c>
      <c r="F381" s="29">
        <f>LOOKUP(E381,{0,-1.8,-0.8,0.2,1.2,2.2,3.2,4.6,6,7.4,8.8,10.2,11.6,13,14.4,15.8,17.2,19.1,21,22.8,24.6},{0,10,20,30,40,50,60,62,64,66,68,70,72,74,76,78,80,85,90,95,100})</f>
        <v>70</v>
      </c>
      <c r="G381" s="27">
        <v>262</v>
      </c>
      <c r="H381" s="29">
        <f>LOOKUP(G381,{0,180,185,190,195,200,205,209,213,217,221,225,229,233,237,241,245,253,260,265,270},{0,10,20,30,40,50,60,62,64,66,68,70,72,74,76,78,80,85,90,95,100})</f>
        <v>90</v>
      </c>
      <c r="I381" s="27">
        <v>10</v>
      </c>
      <c r="J381" s="29">
        <f>LOOKUP(I381,{0,4,5,6,7,8,9,10,11,12,13,14,15,16,17,18},{0,10,20,30,40,50,60,64,68,72,76,80,85,90,95,100})</f>
        <v>64</v>
      </c>
      <c r="K381" s="44"/>
      <c r="L381" s="35"/>
      <c r="M381" s="35">
        <f t="shared" si="93"/>
        <v>64</v>
      </c>
      <c r="N381" s="35">
        <v>7.6</v>
      </c>
      <c r="O381" s="36">
        <f t="shared" si="94"/>
        <v>10.4</v>
      </c>
      <c r="P381" s="29">
        <f>LOOKUP(O381,{0,7.8,8,8.2,8.4,8.6,8.8,9,9.2,9.4,9.6,9.8,10,10.2,10.4,10.6,10.8,10.9,11,11.1,11.2},{0,10,20,30,40,50,60,62,64,66,68,70,72,74,76,78,80,85,90,95,100})</f>
        <v>76</v>
      </c>
      <c r="Q381" s="5">
        <v>4.36</v>
      </c>
      <c r="R381" s="36">
        <f t="shared" si="95"/>
        <v>5.64</v>
      </c>
      <c r="S381" s="29">
        <f>LOOKUP(R381,{0,3.85,4.45,4.65,4.85,5.45,5.65,5.7,5.75,5.8,5.85,5.9,5.95,6,6.45,6.5,6.55,6.63,6.7,6.75,6.8},{0,10,20,30,40,50,60,62,64,66,68,70,72,74,76,78,80,85,90,95,100})</f>
        <v>50</v>
      </c>
      <c r="T381" s="27"/>
      <c r="U381" s="27"/>
      <c r="V381" s="27">
        <f t="shared" si="96"/>
        <v>50</v>
      </c>
      <c r="W381" s="27"/>
      <c r="X381" s="19">
        <f t="shared" si="97"/>
        <v>47.6</v>
      </c>
      <c r="Y381" s="13">
        <f t="shared" si="98"/>
        <v>68</v>
      </c>
    </row>
    <row r="382" ht="15.6" spans="1:25">
      <c r="A382" s="27">
        <v>309</v>
      </c>
      <c r="B382" s="27">
        <v>25</v>
      </c>
      <c r="C382" s="28" t="s">
        <v>431</v>
      </c>
      <c r="D382" s="28" t="s">
        <v>12</v>
      </c>
      <c r="E382" s="27"/>
      <c r="F382" s="29"/>
      <c r="G382" s="27"/>
      <c r="H382" s="29"/>
      <c r="I382" s="27"/>
      <c r="J382" s="35"/>
      <c r="K382" s="44"/>
      <c r="L382" s="35"/>
      <c r="M382" s="35"/>
      <c r="N382" s="35"/>
      <c r="O382" s="5"/>
      <c r="P382" s="5"/>
      <c r="Q382" s="5"/>
      <c r="R382" s="27"/>
      <c r="S382" s="27"/>
      <c r="T382" s="27"/>
      <c r="U382" s="27"/>
      <c r="V382" s="27"/>
      <c r="W382" s="27">
        <v>50</v>
      </c>
      <c r="X382" s="19"/>
      <c r="Y382" s="19">
        <v>50</v>
      </c>
    </row>
    <row r="383" ht="15.6" spans="1:25">
      <c r="A383" s="27">
        <v>309</v>
      </c>
      <c r="B383" s="27">
        <v>26</v>
      </c>
      <c r="C383" s="27" t="s">
        <v>432</v>
      </c>
      <c r="D383" s="27" t="s">
        <v>12</v>
      </c>
      <c r="E383" s="27">
        <v>18.3</v>
      </c>
      <c r="F383" s="29">
        <f>LOOKUP(E383,{0,-1.8,-0.8,0.2,1.2,2.2,3.2,4.6,6,7.4,8.8,10.2,11.6,13,14.4,15.8,17.2,19.1,21,22.8,24.6},{0,10,20,30,40,50,60,62,64,66,68,70,72,74,76,78,80,85,90,95,100})</f>
        <v>80</v>
      </c>
      <c r="G383" s="27">
        <v>232</v>
      </c>
      <c r="H383" s="29">
        <f>LOOKUP(G383,{0,180,185,190,195,200,205,209,213,217,221,225,229,233,237,241,245,253,260,265,270},{0,10,20,30,40,50,60,62,64,66,68,70,72,74,76,78,80,85,90,95,100})</f>
        <v>72</v>
      </c>
      <c r="I383" s="27">
        <v>3</v>
      </c>
      <c r="J383" s="29">
        <f>LOOKUP(I383,{0,4,5,6,7,8,9,10,11,12,13,14,15,16,17,18},{0,10,20,30,40,50,60,64,68,72,76,80,85,90,95,100})</f>
        <v>0</v>
      </c>
      <c r="K383" s="44"/>
      <c r="L383" s="35"/>
      <c r="M383" s="35">
        <f>J383+L383</f>
        <v>0</v>
      </c>
      <c r="N383" s="35">
        <v>6.8</v>
      </c>
      <c r="O383" s="36">
        <f>18-N383</f>
        <v>11.2</v>
      </c>
      <c r="P383" s="29">
        <f>LOOKUP(O383,{0,7.8,8,8.2,8.4,8.6,8.8,9,9.2,9.4,9.6,9.8,10,10.2,10.4,10.6,10.8,10.9,11,11.1,11.2},{0,10,20,30,40,50,60,62,64,66,68,70,72,74,76,78,80,85,90,95,100})</f>
        <v>100</v>
      </c>
      <c r="Q383" s="5">
        <v>3.52</v>
      </c>
      <c r="R383" s="36">
        <f>10-Q383</f>
        <v>6.48</v>
      </c>
      <c r="S383" s="29">
        <f>LOOKUP(R383,{0,3.85,4.45,4.65,4.85,5.45,5.65,5.7,5.75,5.8,5.85,5.9,5.95,6,6.45,6.5,6.55,6.63,6.7,6.75,6.8},{0,10,20,30,40,50,60,62,64,66,68,70,72,74,76,78,80,85,90,95,100})</f>
        <v>76</v>
      </c>
      <c r="T383" s="27"/>
      <c r="U383" s="27"/>
      <c r="V383" s="27">
        <f>S383+U383</f>
        <v>76</v>
      </c>
      <c r="W383" s="27"/>
      <c r="X383" s="19">
        <f>F383*0.1+H383*0.1+J383*0.1+P383*0.2+S383*0.2</f>
        <v>50.4</v>
      </c>
      <c r="Y383" s="13">
        <f>X383/0.7+L383+U383</f>
        <v>72</v>
      </c>
    </row>
    <row r="384" ht="15.6" spans="1:25">
      <c r="A384" s="27">
        <v>309</v>
      </c>
      <c r="B384" s="27">
        <v>27</v>
      </c>
      <c r="C384" s="28" t="s">
        <v>433</v>
      </c>
      <c r="D384" s="28" t="s">
        <v>12</v>
      </c>
      <c r="E384" s="27">
        <v>19</v>
      </c>
      <c r="F384" s="29">
        <f>LOOKUP(E384,{0,-1.8,-0.8,0.2,1.2,2.2,3.2,4.6,6,7.4,8.8,10.2,11.6,13,14.4,15.8,17.2,19.1,21,22.8,24.6},{0,10,20,30,40,50,60,62,64,66,68,70,72,74,76,78,80,85,90,95,100})</f>
        <v>80</v>
      </c>
      <c r="G384" s="27">
        <v>262</v>
      </c>
      <c r="H384" s="29">
        <f>LOOKUP(G384,{0,180,185,190,195,200,205,209,213,217,221,225,229,233,237,241,245,253,260,265,270},{0,10,20,30,40,50,60,62,64,66,68,70,72,74,76,78,80,85,90,95,100})</f>
        <v>90</v>
      </c>
      <c r="I384" s="27">
        <v>20</v>
      </c>
      <c r="J384" s="29">
        <f>LOOKUP(I384,{0,4,5,6,7,8,9,10,11,12,13,14,15,16,17,18},{0,10,20,30,40,50,60,64,68,72,76,80,85,90,95,100})</f>
        <v>100</v>
      </c>
      <c r="K384" s="44">
        <f>I384-18</f>
        <v>2</v>
      </c>
      <c r="L384" s="29">
        <f>LOOKUP(K384,{0,1,2,3,4,5,6,7,8,9,10},{0,1,2,3,4,5,6,7,8,9,10})</f>
        <v>2</v>
      </c>
      <c r="M384" s="35">
        <f>J384+L384</f>
        <v>102</v>
      </c>
      <c r="N384" s="35">
        <v>7.1</v>
      </c>
      <c r="O384" s="36">
        <f>18-N384</f>
        <v>10.9</v>
      </c>
      <c r="P384" s="29">
        <f>LOOKUP(O384,{0,7.8,8,8.2,8.4,8.6,8.8,9,9.2,9.4,9.6,9.8,10,10.2,10.4,10.6,10.8,10.9,11,11.1,11.2},{0,10,20,30,40,50,60,62,64,66,68,70,72,74,76,78,80,85,90,95,100})</f>
        <v>85</v>
      </c>
      <c r="Q384" s="5">
        <v>3.28</v>
      </c>
      <c r="R384" s="36">
        <f>10-Q384</f>
        <v>6.72</v>
      </c>
      <c r="S384" s="29">
        <f>LOOKUP(R384,{0,3.85,4.45,4.65,4.85,5.45,5.65,5.7,5.75,5.8,5.85,5.9,5.95,6,6.45,6.5,6.55,6.63,6.7,6.75,6.8},{0,10,20,30,40,50,60,62,64,66,68,70,72,74,76,78,80,85,90,95,100})</f>
        <v>90</v>
      </c>
      <c r="T384" s="27"/>
      <c r="U384" s="27"/>
      <c r="V384" s="27">
        <f>S384+U384</f>
        <v>90</v>
      </c>
      <c r="W384" s="27"/>
      <c r="X384" s="19">
        <f>F384*0.1+H384*0.1+J384*0.1+P384*0.2+S384*0.2</f>
        <v>62</v>
      </c>
      <c r="Y384" s="13">
        <f>X384/0.7+L384+U384</f>
        <v>90.5714285714286</v>
      </c>
    </row>
    <row r="385" ht="15.6" spans="1:25">
      <c r="A385" s="27">
        <v>309</v>
      </c>
      <c r="B385" s="27">
        <v>28</v>
      </c>
      <c r="C385" s="28" t="s">
        <v>434</v>
      </c>
      <c r="D385" s="28" t="s">
        <v>12</v>
      </c>
      <c r="E385" s="27">
        <v>6.3</v>
      </c>
      <c r="F385" s="29">
        <f>LOOKUP(E385,{0,-1.8,-0.8,0.2,1.2,2.2,3.2,4.6,6,7.4,8.8,10.2,11.6,13,14.4,15.8,17.2,19.1,21,22.8,24.6},{0,10,20,30,40,50,60,62,64,66,68,70,72,74,76,78,80,85,90,95,100})</f>
        <v>64</v>
      </c>
      <c r="G385" s="27">
        <v>211</v>
      </c>
      <c r="H385" s="29">
        <f>LOOKUP(G385,{0,180,185,190,195,200,205,209,213,217,221,225,229,233,237,241,245,253,260,265,270},{0,10,20,30,40,50,60,62,64,66,68,70,72,74,76,78,80,85,90,95,100})</f>
        <v>62</v>
      </c>
      <c r="I385" s="27">
        <v>0</v>
      </c>
      <c r="J385" s="29">
        <f>LOOKUP(I385,{0,4,5,6,7,8,9,10,11,12,13,14,15,16,17,18},{0,10,20,30,40,50,60,64,68,72,76,80,85,90,95,100})</f>
        <v>0</v>
      </c>
      <c r="K385" s="44"/>
      <c r="L385" s="35"/>
      <c r="M385" s="35">
        <f>J385+L385</f>
        <v>0</v>
      </c>
      <c r="N385" s="35">
        <v>8</v>
      </c>
      <c r="O385" s="36">
        <f>18-N385</f>
        <v>10</v>
      </c>
      <c r="P385" s="29">
        <f>LOOKUP(O385,{0,7.8,8,8.2,8.4,8.6,8.8,9,9.2,9.4,9.6,9.8,10,10.2,10.4,10.6,10.8,10.9,11,11.1,11.2},{0,10,20,30,40,50,60,62,64,66,68,70,72,74,76,78,80,85,90,95,100})</f>
        <v>72</v>
      </c>
      <c r="Q385" s="5">
        <v>5.05</v>
      </c>
      <c r="R385" s="36">
        <f>10-Q385</f>
        <v>4.95</v>
      </c>
      <c r="S385" s="29">
        <f>LOOKUP(R385,{0,3.85,4.45,4.65,4.85,5.45,5.65,5.7,5.75,5.8,5.85,5.9,5.95,6,6.45,6.5,6.55,6.63,6.7,6.75,6.8},{0,10,20,30,40,50,60,62,64,66,68,70,72,74,76,78,80,85,90,95,100})</f>
        <v>40</v>
      </c>
      <c r="T385" s="27"/>
      <c r="U385" s="27"/>
      <c r="V385" s="27">
        <f>S385+U385</f>
        <v>40</v>
      </c>
      <c r="W385" s="27"/>
      <c r="X385" s="19">
        <f>F385*0.1+H385*0.1+J385*0.1+P385*0.2+S385*0.2</f>
        <v>35</v>
      </c>
      <c r="Y385" s="13">
        <f>X385/0.7+L385+U385</f>
        <v>50</v>
      </c>
    </row>
    <row r="386" ht="15.6" spans="1:25">
      <c r="A386" s="27">
        <v>309</v>
      </c>
      <c r="B386" s="27">
        <v>29</v>
      </c>
      <c r="C386" s="28" t="s">
        <v>435</v>
      </c>
      <c r="D386" s="28" t="s">
        <v>12</v>
      </c>
      <c r="E386" s="27">
        <v>0.4</v>
      </c>
      <c r="F386" s="29">
        <f>LOOKUP(E386,{0,-1.8,-0.8,0.2,1.2,2.2,3.2,4.6,6,7.4,8.8,10.2,11.6,13,14.4,15.8,17.2,19.1,21,22.8,24.6},{0,10,20,30,40,50,60,62,64,66,68,70,72,74,76,78,80,85,90,95,100})</f>
        <v>30</v>
      </c>
      <c r="G386" s="27">
        <v>249</v>
      </c>
      <c r="H386" s="29">
        <f>LOOKUP(G386,{0,180,185,190,195,200,205,209,213,217,221,225,229,233,237,241,245,253,260,265,270},{0,10,20,30,40,50,60,62,64,66,68,70,72,74,76,78,80,85,90,95,100})</f>
        <v>80</v>
      </c>
      <c r="I386" s="27">
        <v>4</v>
      </c>
      <c r="J386" s="29">
        <f>LOOKUP(I386,{0,4,5,6,7,8,9,10,11,12,13,14,15,16,17,18},{0,10,20,30,40,50,60,64,68,72,76,80,85,90,95,100})</f>
        <v>10</v>
      </c>
      <c r="K386" s="44"/>
      <c r="L386" s="35"/>
      <c r="M386" s="35">
        <f>J386+L386</f>
        <v>10</v>
      </c>
      <c r="N386" s="35">
        <v>7</v>
      </c>
      <c r="O386" s="36">
        <f>18-N386</f>
        <v>11</v>
      </c>
      <c r="P386" s="29">
        <f>LOOKUP(O386,{0,7.8,8,8.2,8.4,8.6,8.8,9,9.2,9.4,9.6,9.8,10,10.2,10.4,10.6,10.8,10.9,11,11.1,11.2},{0,10,20,30,40,50,60,62,64,66,68,70,72,74,76,78,80,85,90,95,100})</f>
        <v>90</v>
      </c>
      <c r="Q386" s="5">
        <v>9.16</v>
      </c>
      <c r="R386" s="36">
        <f>10-Q386</f>
        <v>0.84</v>
      </c>
      <c r="S386" s="29">
        <f>LOOKUP(R386,{0,3.85,4.45,4.65,4.85,5.45,5.65,5.7,5.75,5.8,5.85,5.9,5.95,6,6.45,6.5,6.55,6.63,6.7,6.75,6.8},{0,10,20,30,40,50,60,62,64,66,68,70,72,74,76,78,80,85,90,95,100})</f>
        <v>0</v>
      </c>
      <c r="T386" s="27"/>
      <c r="U386" s="27"/>
      <c r="V386" s="27">
        <f>S386+U386</f>
        <v>0</v>
      </c>
      <c r="W386" s="27"/>
      <c r="X386" s="19">
        <f>F386*0.1+H386*0.1+J386*0.1+P386*0.2+S386*0.2</f>
        <v>30</v>
      </c>
      <c r="Y386" s="13">
        <f>X386/0.7+L386+U386</f>
        <v>42.8571428571429</v>
      </c>
    </row>
    <row r="387" ht="15.6" spans="1:25">
      <c r="A387" s="27">
        <v>309</v>
      </c>
      <c r="B387" s="27">
        <v>30</v>
      </c>
      <c r="C387" s="30" t="s">
        <v>437</v>
      </c>
      <c r="D387" s="28" t="s">
        <v>12</v>
      </c>
      <c r="E387" s="27"/>
      <c r="F387" s="29"/>
      <c r="G387" s="27"/>
      <c r="H387" s="29"/>
      <c r="I387" s="27"/>
      <c r="J387" s="35"/>
      <c r="K387" s="44"/>
      <c r="L387" s="35"/>
      <c r="M387" s="35"/>
      <c r="N387" s="35"/>
      <c r="O387" s="5"/>
      <c r="P387" s="5"/>
      <c r="Q387" s="5"/>
      <c r="R387" s="27"/>
      <c r="S387" s="27"/>
      <c r="T387" s="27"/>
      <c r="U387" s="27"/>
      <c r="V387" s="27"/>
      <c r="W387" s="27">
        <v>50</v>
      </c>
      <c r="X387" s="19"/>
      <c r="Y387" s="19">
        <v>50</v>
      </c>
    </row>
    <row r="388" ht="15.6" spans="1:25">
      <c r="A388" s="27">
        <v>309</v>
      </c>
      <c r="B388" s="27">
        <v>31</v>
      </c>
      <c r="C388" s="28" t="s">
        <v>438</v>
      </c>
      <c r="D388" s="28" t="s">
        <v>12</v>
      </c>
      <c r="E388" s="27">
        <v>29</v>
      </c>
      <c r="F388" s="29">
        <f>LOOKUP(E388,{0,-1.8,-0.8,0.2,1.2,2.2,3.2,4.6,6,7.4,8.8,10.2,11.6,13,14.4,15.8,17.2,19.1,21,22.8,24.6},{0,10,20,30,40,50,60,62,64,66,68,70,72,74,76,78,80,85,90,95,100})</f>
        <v>100</v>
      </c>
      <c r="G388" s="27">
        <v>240</v>
      </c>
      <c r="H388" s="29">
        <f>LOOKUP(G388,{0,180,185,190,195,200,205,209,213,217,221,225,229,233,237,241,245,253,260,265,270},{0,10,20,30,40,50,60,62,64,66,68,70,72,74,76,78,80,85,90,95,100})</f>
        <v>76</v>
      </c>
      <c r="I388" s="27">
        <v>8</v>
      </c>
      <c r="J388" s="29">
        <f>LOOKUP(I388,{0,4,5,6,7,8,9,10,11,12,13,14,15,16,17,18},{0,10,20,30,40,50,60,64,68,72,76,80,85,90,95,100})</f>
        <v>50</v>
      </c>
      <c r="K388" s="44"/>
      <c r="L388" s="35"/>
      <c r="M388" s="35">
        <f>J388+L388</f>
        <v>50</v>
      </c>
      <c r="N388" s="35">
        <v>6.9</v>
      </c>
      <c r="O388" s="36">
        <f>18-N388</f>
        <v>11.1</v>
      </c>
      <c r="P388" s="29">
        <f>LOOKUP(O388,{0,7.8,8,8.2,8.4,8.6,8.8,9,9.2,9.4,9.6,9.8,10,10.2,10.4,10.6,10.8,10.9,11,11.1,11.2},{0,10,20,30,40,50,60,62,64,66,68,70,72,74,76,78,80,85,90,95,100})</f>
        <v>95</v>
      </c>
      <c r="Q388" s="5">
        <v>5.39</v>
      </c>
      <c r="R388" s="36">
        <f>10-Q388</f>
        <v>4.61</v>
      </c>
      <c r="S388" s="29">
        <f>LOOKUP(R388,{0,3.85,4.45,4.65,4.85,5.45,5.65,5.7,5.75,5.8,5.85,5.9,5.95,6,6.45,6.5,6.55,6.63,6.7,6.75,6.8},{0,10,20,30,40,50,60,62,64,66,68,70,72,74,76,78,80,85,90,95,100})</f>
        <v>20</v>
      </c>
      <c r="T388" s="27"/>
      <c r="U388" s="27"/>
      <c r="V388" s="27">
        <f>S388+U388</f>
        <v>20</v>
      </c>
      <c r="W388" s="27"/>
      <c r="X388" s="19">
        <f>F388*0.1+H388*0.1+J388*0.1+P388*0.2+S388*0.2</f>
        <v>45.6</v>
      </c>
      <c r="Y388" s="13">
        <f>X388/0.7+L388+U388</f>
        <v>65.1428571428572</v>
      </c>
    </row>
    <row r="389" ht="15.6" spans="1:25">
      <c r="A389" s="27">
        <v>309</v>
      </c>
      <c r="B389" s="27">
        <v>32</v>
      </c>
      <c r="C389" s="28" t="s">
        <v>439</v>
      </c>
      <c r="D389" s="28" t="s">
        <v>12</v>
      </c>
      <c r="E389" s="27"/>
      <c r="F389" s="29"/>
      <c r="G389" s="27"/>
      <c r="H389" s="29"/>
      <c r="I389" s="27"/>
      <c r="J389" s="35"/>
      <c r="K389" s="44"/>
      <c r="L389" s="35"/>
      <c r="M389" s="35"/>
      <c r="N389" s="35"/>
      <c r="O389" s="5"/>
      <c r="P389" s="5"/>
      <c r="Q389" s="5"/>
      <c r="R389" s="27"/>
      <c r="S389" s="27"/>
      <c r="T389" s="27"/>
      <c r="U389" s="27"/>
      <c r="V389" s="27"/>
      <c r="W389" s="27">
        <v>50</v>
      </c>
      <c r="X389" s="19"/>
      <c r="Y389" s="19">
        <v>50</v>
      </c>
    </row>
    <row r="390" ht="15.6" spans="1:25">
      <c r="A390" s="27">
        <v>309</v>
      </c>
      <c r="B390" s="27">
        <v>33</v>
      </c>
      <c r="C390" s="28" t="s">
        <v>440</v>
      </c>
      <c r="D390" s="28" t="s">
        <v>12</v>
      </c>
      <c r="E390" s="27">
        <v>15.5</v>
      </c>
      <c r="F390" s="29">
        <f>LOOKUP(E390,{0,-1.8,-0.8,0.2,1.2,2.2,3.2,4.6,6,7.4,8.8,10.2,11.6,13,14.4,15.8,17.2,19.1,21,22.8,24.6},{0,10,20,30,40,50,60,62,64,66,68,70,72,74,76,78,80,85,90,95,100})</f>
        <v>76</v>
      </c>
      <c r="G390" s="27">
        <v>230</v>
      </c>
      <c r="H390" s="29">
        <f>LOOKUP(G390,{0,180,185,190,195,200,205,209,213,217,221,225,229,233,237,241,245,253,260,265,270},{0,10,20,30,40,50,60,62,64,66,68,70,72,74,76,78,80,85,90,95,100})</f>
        <v>72</v>
      </c>
      <c r="I390" s="27">
        <v>2</v>
      </c>
      <c r="J390" s="29">
        <f>LOOKUP(I390,{0,4,5,6,7,8,9,10,11,12,13,14,15,16,17,18},{0,10,20,30,40,50,60,64,68,72,76,80,85,90,95,100})</f>
        <v>0</v>
      </c>
      <c r="K390" s="44"/>
      <c r="L390" s="35"/>
      <c r="M390" s="35">
        <f t="shared" ref="M390:M395" si="99">J390+L390</f>
        <v>0</v>
      </c>
      <c r="N390" s="35">
        <v>9.1</v>
      </c>
      <c r="O390" s="36">
        <f t="shared" ref="O390:O395" si="100">18-N390</f>
        <v>8.9</v>
      </c>
      <c r="P390" s="29">
        <f>LOOKUP(O390,{0,7.8,8,8.2,8.4,8.6,8.8,9,9.2,9.4,9.6,9.8,10,10.2,10.4,10.6,10.8,10.9,11,11.1,11.2},{0,10,20,30,40,50,60,62,64,66,68,70,72,74,76,78,80,85,90,95,100})</f>
        <v>60</v>
      </c>
      <c r="Q390" s="5">
        <v>5.39</v>
      </c>
      <c r="R390" s="36">
        <f t="shared" ref="R390:R395" si="101">10-Q390</f>
        <v>4.61</v>
      </c>
      <c r="S390" s="29">
        <f>LOOKUP(R390,{0,3.85,4.45,4.65,4.85,5.45,5.65,5.7,5.75,5.8,5.85,5.9,5.95,6,6.45,6.5,6.55,6.63,6.7,6.75,6.8},{0,10,20,30,40,50,60,62,64,66,68,70,72,74,76,78,80,85,90,95,100})</f>
        <v>20</v>
      </c>
      <c r="T390" s="27"/>
      <c r="U390" s="27"/>
      <c r="V390" s="27">
        <f t="shared" ref="V390:V395" si="102">S390+U390</f>
        <v>20</v>
      </c>
      <c r="W390" s="27"/>
      <c r="X390" s="19">
        <f t="shared" ref="X390:X395" si="103">F390*0.1+H390*0.1+J390*0.1+P390*0.2+S390*0.2</f>
        <v>30.8</v>
      </c>
      <c r="Y390" s="13">
        <f t="shared" ref="Y390:Y395" si="104">X390/0.7+L390+U390</f>
        <v>44</v>
      </c>
    </row>
    <row r="391" ht="15.6" spans="1:25">
      <c r="A391" s="27">
        <v>309</v>
      </c>
      <c r="B391" s="27">
        <v>34</v>
      </c>
      <c r="C391" s="28" t="s">
        <v>441</v>
      </c>
      <c r="D391" s="28" t="s">
        <v>12</v>
      </c>
      <c r="E391" s="27">
        <v>9.8</v>
      </c>
      <c r="F391" s="29">
        <f>LOOKUP(E391,{0,-1.8,-0.8,0.2,1.2,2.2,3.2,4.6,6,7.4,8.8,10.2,11.6,13,14.4,15.8,17.2,19.1,21,22.8,24.6},{0,10,20,30,40,50,60,62,64,66,68,70,72,74,76,78,80,85,90,95,100})</f>
        <v>68</v>
      </c>
      <c r="G391" s="27">
        <v>250</v>
      </c>
      <c r="H391" s="29">
        <f>LOOKUP(G391,{0,180,185,190,195,200,205,209,213,217,221,225,229,233,237,241,245,253,260,265,270},{0,10,20,30,40,50,60,62,64,66,68,70,72,74,76,78,80,85,90,95,100})</f>
        <v>80</v>
      </c>
      <c r="I391" s="27">
        <v>2</v>
      </c>
      <c r="J391" s="29">
        <f>LOOKUP(I391,{0,4,5,6,7,8,9,10,11,12,13,14,15,16,17,18},{0,10,20,30,40,50,60,64,68,72,76,80,85,90,95,100})</f>
        <v>0</v>
      </c>
      <c r="K391" s="44"/>
      <c r="L391" s="35"/>
      <c r="M391" s="35">
        <f t="shared" si="99"/>
        <v>0</v>
      </c>
      <c r="N391" s="35">
        <v>7.2</v>
      </c>
      <c r="O391" s="36">
        <f t="shared" si="100"/>
        <v>10.8</v>
      </c>
      <c r="P391" s="29">
        <f>LOOKUP(O391,{0,7.8,8,8.2,8.4,8.6,8.8,9,9.2,9.4,9.6,9.8,10,10.2,10.4,10.6,10.8,10.9,11,11.1,11.2},{0,10,20,30,40,50,60,62,64,66,68,70,72,74,76,78,80,85,90,95,100})</f>
        <v>80</v>
      </c>
      <c r="Q391" s="5">
        <v>3.29</v>
      </c>
      <c r="R391" s="36">
        <f t="shared" si="101"/>
        <v>6.71</v>
      </c>
      <c r="S391" s="29">
        <f>LOOKUP(R391,{0,3.85,4.45,4.65,4.85,5.45,5.65,5.7,5.75,5.8,5.85,5.9,5.95,6,6.45,6.5,6.55,6.63,6.7,6.75,6.8},{0,10,20,30,40,50,60,62,64,66,68,70,72,74,76,78,80,85,90,95,100})</f>
        <v>90</v>
      </c>
      <c r="T391" s="27"/>
      <c r="U391" s="27"/>
      <c r="V391" s="27">
        <f t="shared" si="102"/>
        <v>90</v>
      </c>
      <c r="W391" s="27"/>
      <c r="X391" s="19">
        <f t="shared" si="103"/>
        <v>48.8</v>
      </c>
      <c r="Y391" s="13">
        <f t="shared" si="104"/>
        <v>69.7142857142857</v>
      </c>
    </row>
    <row r="392" ht="15.6" spans="1:25">
      <c r="A392" s="27">
        <v>309</v>
      </c>
      <c r="B392" s="27">
        <v>35</v>
      </c>
      <c r="C392" s="28" t="s">
        <v>442</v>
      </c>
      <c r="D392" s="28" t="s">
        <v>12</v>
      </c>
      <c r="E392" s="27">
        <v>2.8</v>
      </c>
      <c r="F392" s="29">
        <f>LOOKUP(E392,{0,-1.8,-0.8,0.2,1.2,2.2,3.2,4.6,6,7.4,8.8,10.2,11.6,13,14.4,15.8,17.2,19.1,21,22.8,24.6},{0,10,20,30,40,50,60,62,64,66,68,70,72,74,76,78,80,85,90,95,100})</f>
        <v>50</v>
      </c>
      <c r="G392" s="27">
        <v>195</v>
      </c>
      <c r="H392" s="29">
        <f>LOOKUP(G392,{0,180,185,190,195,200,205,209,213,217,221,225,229,233,237,241,245,253,260,265,270},{0,10,20,30,40,50,60,62,64,66,68,70,72,74,76,78,80,85,90,95,100})</f>
        <v>40</v>
      </c>
      <c r="I392" s="27">
        <v>6</v>
      </c>
      <c r="J392" s="29">
        <f>LOOKUP(I392,{0,4,5,6,7,8,9,10,11,12,13,14,15,16,17,18},{0,10,20,30,40,50,60,64,68,72,76,80,85,90,95,100})</f>
        <v>30</v>
      </c>
      <c r="K392" s="44"/>
      <c r="L392" s="35"/>
      <c r="M392" s="35">
        <f t="shared" si="99"/>
        <v>30</v>
      </c>
      <c r="N392" s="35">
        <v>8.8</v>
      </c>
      <c r="O392" s="36">
        <f t="shared" si="100"/>
        <v>9.2</v>
      </c>
      <c r="P392" s="29">
        <f>LOOKUP(O392,{0,7.8,8,8.2,8.4,8.6,8.8,9,9.2,9.4,9.6,9.8,10,10.2,10.4,10.6,10.8,10.9,11,11.1,11.2},{0,10,20,30,40,50,60,62,64,66,68,70,72,74,76,78,80,85,90,95,100})</f>
        <v>64</v>
      </c>
      <c r="Q392" s="5">
        <v>5.39</v>
      </c>
      <c r="R392" s="36">
        <f t="shared" si="101"/>
        <v>4.61</v>
      </c>
      <c r="S392" s="29">
        <f>LOOKUP(R392,{0,3.85,4.45,4.65,4.85,5.45,5.65,5.7,5.75,5.8,5.85,5.9,5.95,6,6.45,6.5,6.55,6.63,6.7,6.75,6.8},{0,10,20,30,40,50,60,62,64,66,68,70,72,74,76,78,80,85,90,95,100})</f>
        <v>20</v>
      </c>
      <c r="T392" s="27"/>
      <c r="U392" s="27"/>
      <c r="V392" s="27">
        <f t="shared" si="102"/>
        <v>20</v>
      </c>
      <c r="W392" s="27"/>
      <c r="X392" s="19">
        <f t="shared" si="103"/>
        <v>28.8</v>
      </c>
      <c r="Y392" s="13">
        <f t="shared" si="104"/>
        <v>41.1428571428571</v>
      </c>
    </row>
    <row r="393" ht="15.6" spans="1:25">
      <c r="A393" s="27">
        <v>309</v>
      </c>
      <c r="B393" s="27">
        <v>36</v>
      </c>
      <c r="C393" s="28" t="s">
        <v>443</v>
      </c>
      <c r="D393" s="28" t="s">
        <v>12</v>
      </c>
      <c r="E393" s="27">
        <v>4.4</v>
      </c>
      <c r="F393" s="29">
        <f>LOOKUP(E393,{0,-1.8,-0.8,0.2,1.2,2.2,3.2,4.6,6,7.4,8.8,10.2,11.6,13,14.4,15.8,17.2,19.1,21,22.8,24.6},{0,10,20,30,40,50,60,62,64,66,68,70,72,74,76,78,80,85,90,95,100})</f>
        <v>60</v>
      </c>
      <c r="G393" s="27">
        <v>252</v>
      </c>
      <c r="H393" s="29">
        <f>LOOKUP(G393,{0,180,185,190,195,200,205,209,213,217,221,225,229,233,237,241,245,253,260,265,270},{0,10,20,30,40,50,60,62,64,66,68,70,72,74,76,78,80,85,90,95,100})</f>
        <v>80</v>
      </c>
      <c r="I393" s="27">
        <v>9</v>
      </c>
      <c r="J393" s="29">
        <f>LOOKUP(I393,{0,4,5,6,7,8,9,10,11,12,13,14,15,16,17,18},{0,10,20,30,40,50,60,64,68,72,76,80,85,90,95,100})</f>
        <v>60</v>
      </c>
      <c r="K393" s="44"/>
      <c r="L393" s="35"/>
      <c r="M393" s="35">
        <f t="shared" si="99"/>
        <v>60</v>
      </c>
      <c r="N393" s="35">
        <v>7.8</v>
      </c>
      <c r="O393" s="36">
        <f t="shared" si="100"/>
        <v>10.2</v>
      </c>
      <c r="P393" s="29">
        <f>LOOKUP(O393,{0,7.8,8,8.2,8.4,8.6,8.8,9,9.2,9.4,9.6,9.8,10,10.2,10.4,10.6,10.8,10.9,11,11.1,11.2},{0,10,20,30,40,50,60,62,64,66,68,70,72,74,76,78,80,85,90,95,100})</f>
        <v>74</v>
      </c>
      <c r="Q393" s="5">
        <v>4.21</v>
      </c>
      <c r="R393" s="36">
        <f t="shared" si="101"/>
        <v>5.79</v>
      </c>
      <c r="S393" s="29">
        <f>LOOKUP(R393,{0,3.85,4.45,4.65,4.85,5.45,5.65,5.7,5.75,5.8,5.85,5.9,5.95,6,6.45,6.5,6.55,6.63,6.7,6.75,6.8},{0,10,20,30,40,50,60,62,64,66,68,70,72,74,76,78,80,85,90,95,100})</f>
        <v>64</v>
      </c>
      <c r="T393" s="27"/>
      <c r="U393" s="27"/>
      <c r="V393" s="27">
        <f t="shared" si="102"/>
        <v>64</v>
      </c>
      <c r="W393" s="27"/>
      <c r="X393" s="19">
        <f t="shared" si="103"/>
        <v>47.6</v>
      </c>
      <c r="Y393" s="13">
        <f t="shared" si="104"/>
        <v>68</v>
      </c>
    </row>
    <row r="394" ht="15.6" spans="1:25">
      <c r="A394" s="27">
        <v>309</v>
      </c>
      <c r="B394" s="27">
        <v>37</v>
      </c>
      <c r="C394" s="28" t="s">
        <v>444</v>
      </c>
      <c r="D394" s="28" t="s">
        <v>12</v>
      </c>
      <c r="E394" s="27">
        <v>1</v>
      </c>
      <c r="F394" s="29">
        <f>LOOKUP(E394,{0,-1.8,-0.8,0.2,1.2,2.2,3.2,4.6,6,7.4,8.8,10.2,11.6,13,14.4,15.8,17.2,19.1,21,22.8,24.6},{0,10,20,30,40,50,60,62,64,66,68,70,72,74,76,78,80,85,90,95,100})</f>
        <v>30</v>
      </c>
      <c r="G394" s="27">
        <v>225</v>
      </c>
      <c r="H394" s="29">
        <f>LOOKUP(G394,{0,180,185,190,195,200,205,209,213,217,221,225,229,233,237,241,245,253,260,265,270},{0,10,20,30,40,50,60,62,64,66,68,70,72,74,76,78,80,85,90,95,100})</f>
        <v>70</v>
      </c>
      <c r="I394" s="27">
        <v>8</v>
      </c>
      <c r="J394" s="29">
        <f>LOOKUP(I394,{0,4,5,6,7,8,9,10,11,12,13,14,15,16,17,18},{0,10,20,30,40,50,60,64,68,72,76,80,85,90,95,100})</f>
        <v>50</v>
      </c>
      <c r="K394" s="44"/>
      <c r="L394" s="35"/>
      <c r="M394" s="35">
        <f t="shared" si="99"/>
        <v>50</v>
      </c>
      <c r="N394" s="35">
        <v>9.4</v>
      </c>
      <c r="O394" s="36">
        <f t="shared" si="100"/>
        <v>8.6</v>
      </c>
      <c r="P394" s="29">
        <f>LOOKUP(O394,{0,7.8,8,8.2,8.4,8.6,8.8,9,9.2,9.4,9.6,9.8,10,10.2,10.4,10.6,10.8,10.9,11,11.1,11.2},{0,10,20,30,40,50,60,62,64,66,68,70,72,74,76,78,80,85,90,95,100})</f>
        <v>50</v>
      </c>
      <c r="Q394" s="5">
        <v>5.39</v>
      </c>
      <c r="R394" s="36">
        <f t="shared" si="101"/>
        <v>4.61</v>
      </c>
      <c r="S394" s="29">
        <f>LOOKUP(R394,{0,3.85,4.45,4.65,4.85,5.45,5.65,5.7,5.75,5.8,5.85,5.9,5.95,6,6.45,6.5,6.55,6.63,6.7,6.75,6.8},{0,10,20,30,40,50,60,62,64,66,68,70,72,74,76,78,80,85,90,95,100})</f>
        <v>20</v>
      </c>
      <c r="T394" s="27"/>
      <c r="U394" s="27"/>
      <c r="V394" s="27">
        <f t="shared" si="102"/>
        <v>20</v>
      </c>
      <c r="W394" s="27"/>
      <c r="X394" s="19">
        <f t="shared" si="103"/>
        <v>29</v>
      </c>
      <c r="Y394" s="13">
        <f t="shared" si="104"/>
        <v>41.4285714285714</v>
      </c>
    </row>
    <row r="395" ht="15.6" spans="1:25">
      <c r="A395" s="27">
        <v>309</v>
      </c>
      <c r="B395" s="27">
        <v>38</v>
      </c>
      <c r="C395" s="28" t="s">
        <v>445</v>
      </c>
      <c r="D395" s="28" t="s">
        <v>12</v>
      </c>
      <c r="E395" s="27">
        <v>1</v>
      </c>
      <c r="F395" s="29">
        <f>LOOKUP(E395,{0,-1.8,-0.8,0.2,1.2,2.2,3.2,4.6,6,7.4,8.8,10.2,11.6,13,14.4,15.8,17.2,19.1,21,22.8,24.6},{0,10,20,30,40,50,60,62,64,66,68,70,72,74,76,78,80,85,90,95,100})</f>
        <v>30</v>
      </c>
      <c r="G395" s="27">
        <v>215</v>
      </c>
      <c r="H395" s="29">
        <f>LOOKUP(G395,{0,180,185,190,195,200,205,209,213,217,221,225,229,233,237,241,245,253,260,265,270},{0,10,20,30,40,50,60,62,64,66,68,70,72,74,76,78,80,85,90,95,100})</f>
        <v>64</v>
      </c>
      <c r="I395" s="27">
        <v>1</v>
      </c>
      <c r="J395" s="29">
        <f>LOOKUP(I395,{0,4,5,6,7,8,9,10,11,12,13,14,15,16,17,18},{0,10,20,30,40,50,60,64,68,72,76,80,85,90,95,100})</f>
        <v>0</v>
      </c>
      <c r="K395" s="44"/>
      <c r="L395" s="35"/>
      <c r="M395" s="35">
        <f t="shared" si="99"/>
        <v>0</v>
      </c>
      <c r="N395" s="35">
        <v>8.8</v>
      </c>
      <c r="O395" s="36">
        <f t="shared" si="100"/>
        <v>9.2</v>
      </c>
      <c r="P395" s="29">
        <f>LOOKUP(O395,{0,7.8,8,8.2,8.4,8.6,8.8,9,9.2,9.4,9.6,9.8,10,10.2,10.4,10.6,10.8,10.9,11,11.1,11.2},{0,10,20,30,40,50,60,62,64,66,68,70,72,74,76,78,80,85,90,95,100})</f>
        <v>64</v>
      </c>
      <c r="Q395" s="5">
        <v>5.39</v>
      </c>
      <c r="R395" s="36">
        <f t="shared" si="101"/>
        <v>4.61</v>
      </c>
      <c r="S395" s="29">
        <f>LOOKUP(R395,{0,3.85,4.45,4.65,4.85,5.45,5.65,5.7,5.75,5.8,5.85,5.9,5.95,6,6.45,6.5,6.55,6.63,6.7,6.75,6.8},{0,10,20,30,40,50,60,62,64,66,68,70,72,74,76,78,80,85,90,95,100})</f>
        <v>20</v>
      </c>
      <c r="T395" s="27"/>
      <c r="U395" s="27"/>
      <c r="V395" s="27">
        <f t="shared" si="102"/>
        <v>20</v>
      </c>
      <c r="W395" s="27"/>
      <c r="X395" s="19">
        <f t="shared" si="103"/>
        <v>26.2</v>
      </c>
      <c r="Y395" s="13">
        <f t="shared" si="104"/>
        <v>37.4285714285714</v>
      </c>
    </row>
    <row r="396" spans="1:25">
      <c r="A396" s="27">
        <v>309</v>
      </c>
      <c r="B396" s="27">
        <v>39</v>
      </c>
      <c r="C396" s="30" t="s">
        <v>447</v>
      </c>
      <c r="D396" s="28" t="s">
        <v>46</v>
      </c>
      <c r="E396" s="27"/>
      <c r="F396" s="27"/>
      <c r="G396" s="27"/>
      <c r="H396" s="27"/>
      <c r="I396" s="27"/>
      <c r="J396" s="35"/>
      <c r="K396" s="35"/>
      <c r="L396" s="35"/>
      <c r="M396" s="35"/>
      <c r="N396" s="35"/>
      <c r="O396" s="5"/>
      <c r="P396" s="5"/>
      <c r="Q396" s="5"/>
      <c r="R396" s="27"/>
      <c r="S396" s="27"/>
      <c r="T396" s="27"/>
      <c r="U396" s="27"/>
      <c r="V396" s="27"/>
      <c r="W396" s="27">
        <v>50</v>
      </c>
      <c r="X396" s="19"/>
      <c r="Y396" s="19">
        <v>50</v>
      </c>
    </row>
    <row r="397" ht="15.6" spans="1:25">
      <c r="A397" s="27">
        <v>309</v>
      </c>
      <c r="B397" s="27">
        <v>40</v>
      </c>
      <c r="C397" s="27" t="s">
        <v>448</v>
      </c>
      <c r="D397" s="27" t="s">
        <v>46</v>
      </c>
      <c r="E397" s="27">
        <v>17</v>
      </c>
      <c r="F397" s="29">
        <f>LOOKUP(E397,{0,1.5,2.3,3.1,3.9,4.7,5.5,6.8,8.1,9.4,10.7,12,13.3,14.6,15.9,17.2,18.5,20.2,21.9,23.6,25.3},{0,10,20,30,40,50,60,62,64,66,68,70,72,74,76,78,80,85,90,95,100})</f>
        <v>76</v>
      </c>
      <c r="G397" s="27">
        <v>190</v>
      </c>
      <c r="H397" s="29">
        <f>LOOKUP(G397,{0,125,130,135,140,145,150,153,156,159,162,165,168,171,174,177,180,187,194,200,206},{0,10,20,30,40,50,60,62,64,66,68,70,72,74,76,78,80,85,90,95,100})</f>
        <v>85</v>
      </c>
      <c r="I397" s="27">
        <v>45</v>
      </c>
      <c r="J397" s="29">
        <f>LOOKUP(I397,{0,15,17,19,21,23,25,27,29,31,33,35,37,39,41,43,45,48,51,53,55},{0,10,20,30,40,50,60,62,64,66,68,70,72,74,76,78,80,85,90,95,100})</f>
        <v>80</v>
      </c>
      <c r="K397" s="35"/>
      <c r="L397" s="35"/>
      <c r="M397" s="35">
        <f t="shared" ref="M397:M402" si="105">J397+L397</f>
        <v>80</v>
      </c>
      <c r="N397" s="35">
        <v>8.9</v>
      </c>
      <c r="O397" s="36">
        <f t="shared" ref="O397:O402" si="106">18-N397</f>
        <v>9.1</v>
      </c>
      <c r="P397" s="29">
        <f>LOOKUP(O397,{0,6.6,6.8,7,7.2,7.4,7.6,7.8,8,8.2,8.4,8.6,8.8,9,9.2,9.4,9.6,9.9,10.2,10.3,10.4},{0,10,20,30,40,50,60,62,64,66,68,70,72,74,76,78,80,85,90,95,100})</f>
        <v>74</v>
      </c>
      <c r="Q397" s="5">
        <v>4.03</v>
      </c>
      <c r="R397" s="36">
        <f t="shared" ref="R397:R402" si="107">10-Q397</f>
        <v>5.97</v>
      </c>
      <c r="S397" s="29">
        <f>LOOKUP(R397,{0,4.74,4.84,4.94,5.44,5.54,5.64,5.69,5.74,5.79,5.84,5.89,5.94,5.99,6.44,6.49,6.54,6.61,6.68,6.74,6.8},{0,10,20,30,40,50,60,62,64,66,68,70,72,74,76,78,80,85,90,95,100})</f>
        <v>72</v>
      </c>
      <c r="T397" s="27"/>
      <c r="U397" s="27"/>
      <c r="V397" s="27">
        <f t="shared" ref="V397:V402" si="108">S397+U397</f>
        <v>72</v>
      </c>
      <c r="W397" s="27"/>
      <c r="X397" s="19">
        <f t="shared" ref="X397:X402" si="109">F397*0.1+H397*0.1+J397*0.1+P397*0.2+S397*0.2</f>
        <v>53.3</v>
      </c>
      <c r="Y397" s="13">
        <f t="shared" ref="Y397:Y402" si="110">X397/0.7+L397+U397</f>
        <v>76.1428571428572</v>
      </c>
    </row>
    <row r="398" ht="15.6" spans="1:25">
      <c r="A398" s="27">
        <v>309</v>
      </c>
      <c r="B398" s="27">
        <v>41</v>
      </c>
      <c r="C398" s="28" t="s">
        <v>449</v>
      </c>
      <c r="D398" s="28" t="s">
        <v>46</v>
      </c>
      <c r="E398" s="27">
        <v>18.2</v>
      </c>
      <c r="F398" s="29">
        <f>LOOKUP(E398,{0,1.5,2.3,3.1,3.9,4.7,5.5,6.8,8.1,9.4,10.7,12,13.3,14.6,15.9,17.2,18.5,20.2,21.9,23.6,25.3},{0,10,20,30,40,50,60,62,64,66,68,70,72,74,76,78,80,85,90,95,100})</f>
        <v>78</v>
      </c>
      <c r="G398" s="27">
        <v>170</v>
      </c>
      <c r="H398" s="29">
        <f>LOOKUP(G398,{0,125,130,135,140,145,150,153,156,159,162,165,168,171,174,177,180,187,194,200,206},{0,10,20,30,40,50,60,62,64,66,68,70,72,74,76,78,80,85,90,95,100})</f>
        <v>72</v>
      </c>
      <c r="I398" s="27">
        <v>42</v>
      </c>
      <c r="J398" s="29">
        <f>LOOKUP(I398,{0,15,17,19,21,23,25,27,29,31,33,35,37,39,41,43,45,48,51,53,55},{0,10,20,30,40,50,60,62,64,66,68,70,72,74,76,78,80,85,90,95,100})</f>
        <v>76</v>
      </c>
      <c r="K398" s="35"/>
      <c r="L398" s="35"/>
      <c r="M398" s="35">
        <f t="shared" si="105"/>
        <v>76</v>
      </c>
      <c r="N398" s="35">
        <v>9.3</v>
      </c>
      <c r="O398" s="36">
        <f t="shared" si="106"/>
        <v>8.7</v>
      </c>
      <c r="P398" s="29">
        <f>LOOKUP(O398,{0,6.6,6.8,7,7.2,7.4,7.6,7.8,8,8.2,8.4,8.6,8.8,9,9.2,9.4,9.6,9.9,10.2,10.3,10.4},{0,10,20,30,40,50,60,62,64,66,68,70,72,74,76,78,80,85,90,95,100})</f>
        <v>70</v>
      </c>
      <c r="Q398" s="5">
        <v>4.1</v>
      </c>
      <c r="R398" s="36">
        <f t="shared" si="107"/>
        <v>5.9</v>
      </c>
      <c r="S398" s="29">
        <f>LOOKUP(R398,{0,4.74,4.84,4.94,5.44,5.54,5.64,5.69,5.74,5.79,5.84,5.89,5.94,5.99,6.44,6.49,6.54,6.61,6.68,6.74,6.8},{0,10,20,30,40,50,60,62,64,66,68,70,72,74,76,78,80,85,90,95,100})</f>
        <v>70</v>
      </c>
      <c r="T398" s="27"/>
      <c r="U398" s="27"/>
      <c r="V398" s="27">
        <f t="shared" si="108"/>
        <v>70</v>
      </c>
      <c r="W398" s="27"/>
      <c r="X398" s="19">
        <f t="shared" si="109"/>
        <v>50.6</v>
      </c>
      <c r="Y398" s="13">
        <f t="shared" si="110"/>
        <v>72.2857142857143</v>
      </c>
    </row>
    <row r="399" ht="15.6" spans="1:25">
      <c r="A399" s="27">
        <v>309</v>
      </c>
      <c r="B399" s="27">
        <v>42</v>
      </c>
      <c r="C399" s="28" t="s">
        <v>450</v>
      </c>
      <c r="D399" s="28" t="s">
        <v>46</v>
      </c>
      <c r="E399" s="27">
        <v>16.7</v>
      </c>
      <c r="F399" s="29">
        <f>LOOKUP(E399,{0,1.5,2.3,3.1,3.9,4.7,5.5,6.8,8.1,9.4,10.7,12,13.3,14.6,15.9,17.2,18.5,20.2,21.9,23.6,25.3},{0,10,20,30,40,50,60,62,64,66,68,70,72,74,76,78,80,85,90,95,100})</f>
        <v>76</v>
      </c>
      <c r="G399" s="27">
        <v>168</v>
      </c>
      <c r="H399" s="29">
        <f>LOOKUP(G399,{0,125,130,135,140,145,150,153,156,159,162,165,168,171,174,177,180,187,194,200,206},{0,10,20,30,40,50,60,62,64,66,68,70,72,74,76,78,80,85,90,95,100})</f>
        <v>72</v>
      </c>
      <c r="I399" s="27">
        <v>49</v>
      </c>
      <c r="J399" s="29">
        <f>LOOKUP(I399,{0,15,17,19,21,23,25,27,29,31,33,35,37,39,41,43,45,48,51,53,55},{0,10,20,30,40,50,60,62,64,66,68,70,72,74,76,78,80,85,90,95,100})</f>
        <v>85</v>
      </c>
      <c r="K399" s="35"/>
      <c r="L399" s="35"/>
      <c r="M399" s="35">
        <f t="shared" si="105"/>
        <v>85</v>
      </c>
      <c r="N399" s="35">
        <v>8.5</v>
      </c>
      <c r="O399" s="36">
        <f t="shared" si="106"/>
        <v>9.5</v>
      </c>
      <c r="P399" s="29">
        <f>LOOKUP(O399,{0,6.6,6.8,7,7.2,7.4,7.6,7.8,8,8.2,8.4,8.6,8.8,9,9.2,9.4,9.6,9.9,10.2,10.3,10.4},{0,10,20,30,40,50,60,62,64,66,68,70,72,74,76,78,80,85,90,95,100})</f>
        <v>78</v>
      </c>
      <c r="Q399" s="5">
        <v>3.46</v>
      </c>
      <c r="R399" s="36">
        <f t="shared" si="107"/>
        <v>6.54</v>
      </c>
      <c r="S399" s="29">
        <f>LOOKUP(R399,{0,4.74,4.84,4.94,5.44,5.54,5.64,5.69,5.74,5.79,5.84,5.89,5.94,5.99,6.44,6.49,6.54,6.61,6.68,6.74,6.8},{0,10,20,30,40,50,60,62,64,66,68,70,72,74,76,78,80,85,90,95,100})</f>
        <v>80</v>
      </c>
      <c r="T399" s="27"/>
      <c r="U399" s="27"/>
      <c r="V399" s="27">
        <f t="shared" si="108"/>
        <v>80</v>
      </c>
      <c r="W399" s="27"/>
      <c r="X399" s="19">
        <f t="shared" si="109"/>
        <v>54.9</v>
      </c>
      <c r="Y399" s="13">
        <f t="shared" si="110"/>
        <v>78.4285714285714</v>
      </c>
    </row>
    <row r="400" ht="15.6" spans="1:25">
      <c r="A400" s="27">
        <v>309</v>
      </c>
      <c r="B400" s="27">
        <v>43</v>
      </c>
      <c r="C400" s="28" t="s">
        <v>451</v>
      </c>
      <c r="D400" s="28" t="s">
        <v>46</v>
      </c>
      <c r="E400" s="27">
        <v>31.6</v>
      </c>
      <c r="F400" s="29">
        <f>LOOKUP(E400,{0,1.5,2.3,3.1,3.9,4.7,5.5,6.8,8.1,9.4,10.7,12,13.3,14.6,15.9,17.2,18.5,20.2,21.9,23.6,25.3},{0,10,20,30,40,50,60,62,64,66,68,70,72,74,76,78,80,85,90,95,100})</f>
        <v>100</v>
      </c>
      <c r="G400" s="27">
        <v>185</v>
      </c>
      <c r="H400" s="29">
        <f>LOOKUP(G400,{0,125,130,135,140,145,150,153,156,159,162,165,168,171,174,177,180,187,194,200,206},{0,10,20,30,40,50,60,62,64,66,68,70,72,74,76,78,80,85,90,95,100})</f>
        <v>80</v>
      </c>
      <c r="I400" s="27">
        <v>36</v>
      </c>
      <c r="J400" s="29">
        <f>LOOKUP(I400,{0,15,17,19,21,23,25,27,29,31,33,35,37,39,41,43,45,48,51,53,55},{0,10,20,30,40,50,60,62,64,66,68,70,72,74,76,78,80,85,90,95,100})</f>
        <v>70</v>
      </c>
      <c r="K400" s="35"/>
      <c r="L400" s="35"/>
      <c r="M400" s="35">
        <f t="shared" si="105"/>
        <v>70</v>
      </c>
      <c r="N400" s="35">
        <v>9.1</v>
      </c>
      <c r="O400" s="36">
        <f t="shared" si="106"/>
        <v>8.9</v>
      </c>
      <c r="P400" s="29">
        <f>LOOKUP(O400,{0,6.6,6.8,7,7.2,7.4,7.6,7.8,8,8.2,8.4,8.6,8.8,9,9.2,9.4,9.6,9.9,10.2,10.3,10.4},{0,10,20,30,40,50,60,62,64,66,68,70,72,74,76,78,80,85,90,95,100})</f>
        <v>72</v>
      </c>
      <c r="Q400" s="5">
        <v>4.01</v>
      </c>
      <c r="R400" s="36">
        <f t="shared" si="107"/>
        <v>5.99</v>
      </c>
      <c r="S400" s="29">
        <f>LOOKUP(R400,{0,4.74,4.84,4.94,5.44,5.54,5.64,5.69,5.74,5.79,5.84,5.89,5.94,5.99,6.44,6.49,6.54,6.61,6.68,6.74,6.8},{0,10,20,30,40,50,60,62,64,66,68,70,72,74,76,78,80,85,90,95,100})</f>
        <v>74</v>
      </c>
      <c r="T400" s="27"/>
      <c r="U400" s="27"/>
      <c r="V400" s="27">
        <f t="shared" si="108"/>
        <v>74</v>
      </c>
      <c r="W400" s="27"/>
      <c r="X400" s="19">
        <f t="shared" si="109"/>
        <v>54.2</v>
      </c>
      <c r="Y400" s="13">
        <f t="shared" si="110"/>
        <v>77.4285714285714</v>
      </c>
    </row>
    <row r="401" ht="15.6" spans="1:25">
      <c r="A401" s="27">
        <v>309</v>
      </c>
      <c r="B401" s="27">
        <v>44</v>
      </c>
      <c r="C401" s="28" t="s">
        <v>452</v>
      </c>
      <c r="D401" s="28" t="s">
        <v>46</v>
      </c>
      <c r="E401" s="27">
        <v>9</v>
      </c>
      <c r="F401" s="29">
        <f>LOOKUP(E401,{0,1.5,2.3,3.1,3.9,4.7,5.5,6.8,8.1,9.4,10.7,12,13.3,14.6,15.9,17.2,18.5,20.2,21.9,23.6,25.3},{0,10,20,30,40,50,60,62,64,66,68,70,72,74,76,78,80,85,90,95,100})</f>
        <v>64</v>
      </c>
      <c r="G401" s="27">
        <v>160</v>
      </c>
      <c r="H401" s="29">
        <f>LOOKUP(G401,{0,125,130,135,140,145,150,153,156,159,162,165,168,171,174,177,180,187,194,200,206},{0,10,20,30,40,50,60,62,64,66,68,70,72,74,76,78,80,85,90,95,100})</f>
        <v>66</v>
      </c>
      <c r="I401" s="27">
        <v>41</v>
      </c>
      <c r="J401" s="29">
        <f>LOOKUP(I401,{0,15,17,19,21,23,25,27,29,31,33,35,37,39,41,43,45,48,51,53,55},{0,10,20,30,40,50,60,62,64,66,68,70,72,74,76,78,80,85,90,95,100})</f>
        <v>76</v>
      </c>
      <c r="K401" s="35"/>
      <c r="L401" s="35"/>
      <c r="M401" s="35">
        <f t="shared" si="105"/>
        <v>76</v>
      </c>
      <c r="N401" s="35">
        <v>8.2</v>
      </c>
      <c r="O401" s="36">
        <f t="shared" si="106"/>
        <v>9.8</v>
      </c>
      <c r="P401" s="29">
        <f>LOOKUP(O401,{0,6.6,6.8,7,7.2,7.4,7.6,7.8,8,8.2,8.4,8.6,8.8,9,9.2,9.4,9.6,9.9,10.2,10.3,10.4},{0,10,20,30,40,50,60,62,64,66,68,70,72,74,76,78,80,85,90,95,100})</f>
        <v>80</v>
      </c>
      <c r="Q401" s="5">
        <v>4.04</v>
      </c>
      <c r="R401" s="36">
        <f t="shared" si="107"/>
        <v>5.96</v>
      </c>
      <c r="S401" s="29">
        <f>LOOKUP(R401,{0,4.74,4.84,4.94,5.44,5.54,5.64,5.69,5.74,5.79,5.84,5.89,5.94,5.99,6.44,6.49,6.54,6.61,6.68,6.74,6.8},{0,10,20,30,40,50,60,62,64,66,68,70,72,74,76,78,80,85,90,95,100})</f>
        <v>72</v>
      </c>
      <c r="T401" s="27"/>
      <c r="U401" s="27"/>
      <c r="V401" s="27">
        <f t="shared" si="108"/>
        <v>72</v>
      </c>
      <c r="W401" s="27"/>
      <c r="X401" s="19">
        <f t="shared" si="109"/>
        <v>51</v>
      </c>
      <c r="Y401" s="13">
        <f t="shared" si="110"/>
        <v>72.8571428571429</v>
      </c>
    </row>
    <row r="402" ht="15.6" spans="1:25">
      <c r="A402" s="27">
        <v>309</v>
      </c>
      <c r="B402" s="27">
        <v>45</v>
      </c>
      <c r="C402" s="28" t="s">
        <v>453</v>
      </c>
      <c r="D402" s="28" t="s">
        <v>46</v>
      </c>
      <c r="E402" s="27">
        <v>1</v>
      </c>
      <c r="F402" s="29">
        <f>LOOKUP(E402,{0,1.5,2.3,3.1,3.9,4.7,5.5,6.8,8.1,9.4,10.7,12,13.3,14.6,15.9,17.2,18.5,20.2,21.9,23.6,25.3},{0,10,20,30,40,50,60,62,64,66,68,70,72,74,76,78,80,85,90,95,100})</f>
        <v>0</v>
      </c>
      <c r="G402" s="27">
        <v>150</v>
      </c>
      <c r="H402" s="29">
        <f>LOOKUP(G402,{0,125,130,135,140,145,150,153,156,159,162,165,168,171,174,177,180,187,194,200,206},{0,10,20,30,40,50,60,62,64,66,68,70,72,74,76,78,80,85,90,95,100})</f>
        <v>60</v>
      </c>
      <c r="I402" s="27">
        <v>31</v>
      </c>
      <c r="J402" s="29">
        <f>LOOKUP(I402,{0,15,17,19,21,23,25,27,29,31,33,35,37,39,41,43,45,48,51,53,55},{0,10,20,30,40,50,60,62,64,66,68,70,72,74,76,78,80,85,90,95,100})</f>
        <v>66</v>
      </c>
      <c r="K402" s="35"/>
      <c r="L402" s="35"/>
      <c r="M402" s="35">
        <f t="shared" si="105"/>
        <v>66</v>
      </c>
      <c r="N402" s="35">
        <v>9.1</v>
      </c>
      <c r="O402" s="36">
        <f t="shared" si="106"/>
        <v>8.9</v>
      </c>
      <c r="P402" s="29">
        <f>LOOKUP(O402,{0,6.6,6.8,7,7.2,7.4,7.6,7.8,8,8.2,8.4,8.6,8.8,9,9.2,9.4,9.6,9.9,10.2,10.3,10.4},{0,10,20,30,40,50,60,62,64,66,68,70,72,74,76,78,80,85,90,95,100})</f>
        <v>72</v>
      </c>
      <c r="Q402" s="5">
        <v>3.15</v>
      </c>
      <c r="R402" s="36">
        <f t="shared" si="107"/>
        <v>6.85</v>
      </c>
      <c r="S402" s="29">
        <f>LOOKUP(R402,{0,4.74,4.84,4.94,5.44,5.54,5.64,5.69,5.74,5.79,5.84,5.89,5.94,5.99,6.44,6.49,6.54,6.61,6.68,6.74,6.8},{0,10,20,30,40,50,60,62,64,66,68,70,72,74,76,78,80,85,90,95,100})</f>
        <v>100</v>
      </c>
      <c r="T402" s="36">
        <f>3.2-Q402</f>
        <v>0.0500000000000003</v>
      </c>
      <c r="U402" s="29">
        <f>LOOKUP(T402,{0,0.05,0.1,0.15,0.2,0.25,0.3,0.35,0.4,0.45,0.5},{0,1,2,3,4,5,6,7,8,9,10})</f>
        <v>1</v>
      </c>
      <c r="V402" s="27">
        <f t="shared" si="108"/>
        <v>101</v>
      </c>
      <c r="W402" s="27"/>
      <c r="X402" s="19">
        <f t="shared" si="109"/>
        <v>47</v>
      </c>
      <c r="Y402" s="13">
        <f t="shared" si="110"/>
        <v>68.1428571428572</v>
      </c>
    </row>
    <row r="403" spans="1:25">
      <c r="A403" s="27">
        <v>309</v>
      </c>
      <c r="B403" s="27">
        <v>46</v>
      </c>
      <c r="C403" s="28" t="s">
        <v>454</v>
      </c>
      <c r="D403" s="28" t="s">
        <v>46</v>
      </c>
      <c r="E403" s="27"/>
      <c r="F403" s="27"/>
      <c r="G403" s="27"/>
      <c r="H403" s="27"/>
      <c r="I403" s="27"/>
      <c r="J403" s="35"/>
      <c r="K403" s="35"/>
      <c r="L403" s="35"/>
      <c r="M403" s="35"/>
      <c r="N403" s="35"/>
      <c r="O403" s="5"/>
      <c r="P403" s="5"/>
      <c r="Q403" s="5"/>
      <c r="R403" s="27"/>
      <c r="S403" s="27"/>
      <c r="T403" s="27"/>
      <c r="U403" s="27"/>
      <c r="V403" s="27"/>
      <c r="W403" s="27">
        <v>50</v>
      </c>
      <c r="X403" s="19"/>
      <c r="Y403" s="19">
        <v>50</v>
      </c>
    </row>
    <row r="404" ht="15.6" spans="1:25">
      <c r="A404" s="27">
        <v>309</v>
      </c>
      <c r="B404" s="27">
        <v>47</v>
      </c>
      <c r="C404" s="28" t="s">
        <v>335</v>
      </c>
      <c r="D404" s="28" t="s">
        <v>46</v>
      </c>
      <c r="E404" s="27">
        <v>17.5</v>
      </c>
      <c r="F404" s="29">
        <f>LOOKUP(E404,{0,1.5,2.3,3.1,3.9,4.7,5.5,6.8,8.1,9.4,10.7,12,13.3,14.6,15.9,17.2,18.5,20.2,21.9,23.6,25.3},{0,10,20,30,40,50,60,62,64,66,68,70,72,74,76,78,80,85,90,95,100})</f>
        <v>78</v>
      </c>
      <c r="G404" s="27">
        <v>185</v>
      </c>
      <c r="H404" s="29">
        <f>LOOKUP(G404,{0,125,130,135,140,145,150,153,156,159,162,165,168,171,174,177,180,187,194,200,206},{0,10,20,30,40,50,60,62,64,66,68,70,72,74,76,78,80,85,90,95,100})</f>
        <v>80</v>
      </c>
      <c r="I404" s="27">
        <v>47</v>
      </c>
      <c r="J404" s="29">
        <f>LOOKUP(I404,{0,15,17,19,21,23,25,27,29,31,33,35,37,39,41,43,45,48,51,53,55},{0,10,20,30,40,50,60,62,64,66,68,70,72,74,76,78,80,85,90,95,100})</f>
        <v>80</v>
      </c>
      <c r="K404" s="35"/>
      <c r="L404" s="35"/>
      <c r="M404" s="35">
        <f>J404+L404</f>
        <v>80</v>
      </c>
      <c r="N404" s="35">
        <v>8.7</v>
      </c>
      <c r="O404" s="36">
        <f>18-N404</f>
        <v>9.3</v>
      </c>
      <c r="P404" s="29">
        <f>LOOKUP(O404,{0,6.6,6.8,7,7.2,7.4,7.6,7.8,8,8.2,8.4,8.6,8.8,9,9.2,9.4,9.6,9.9,10.2,10.3,10.4},{0,10,20,30,40,50,60,62,64,66,68,70,72,74,76,78,80,85,90,95,100})</f>
        <v>76</v>
      </c>
      <c r="Q404" s="5">
        <v>3.33</v>
      </c>
      <c r="R404" s="36">
        <f>10-Q404</f>
        <v>6.67</v>
      </c>
      <c r="S404" s="29">
        <f>LOOKUP(R404,{0,4.74,4.84,4.94,5.44,5.54,5.64,5.69,5.74,5.79,5.84,5.89,5.94,5.99,6.44,6.49,6.54,6.61,6.68,6.74,6.8},{0,10,20,30,40,50,60,62,64,66,68,70,72,74,76,78,80,85,90,95,100})</f>
        <v>85</v>
      </c>
      <c r="T404" s="27"/>
      <c r="U404" s="27"/>
      <c r="V404" s="27">
        <f>S404+U404</f>
        <v>85</v>
      </c>
      <c r="W404" s="27"/>
      <c r="X404" s="19">
        <f>F404*0.1+H404*0.1+J404*0.1+P404*0.2+S404*0.2</f>
        <v>56</v>
      </c>
      <c r="Y404" s="13">
        <f>X404/0.7+L404+U404</f>
        <v>80</v>
      </c>
    </row>
    <row r="405" spans="1:25">
      <c r="A405" s="27">
        <v>309</v>
      </c>
      <c r="B405" s="27">
        <v>48</v>
      </c>
      <c r="C405" s="28" t="s">
        <v>455</v>
      </c>
      <c r="D405" s="28" t="s">
        <v>46</v>
      </c>
      <c r="E405" s="27"/>
      <c r="F405" s="27"/>
      <c r="G405" s="27"/>
      <c r="H405" s="27"/>
      <c r="I405" s="27"/>
      <c r="J405" s="35"/>
      <c r="K405" s="35"/>
      <c r="L405" s="35"/>
      <c r="M405" s="35"/>
      <c r="N405" s="35"/>
      <c r="O405" s="5"/>
      <c r="P405" s="5"/>
      <c r="Q405" s="5"/>
      <c r="R405" s="27"/>
      <c r="S405" s="27"/>
      <c r="T405" s="27"/>
      <c r="U405" s="27"/>
      <c r="V405" s="27"/>
      <c r="W405" s="27">
        <v>50</v>
      </c>
      <c r="X405" s="22"/>
      <c r="Y405" s="19">
        <v>50</v>
      </c>
    </row>
    <row r="406" ht="15.6" spans="1:25">
      <c r="A406" s="27">
        <v>309</v>
      </c>
      <c r="B406" s="27">
        <v>49</v>
      </c>
      <c r="C406" s="28" t="s">
        <v>456</v>
      </c>
      <c r="D406" s="28" t="s">
        <v>46</v>
      </c>
      <c r="E406" s="27">
        <v>19</v>
      </c>
      <c r="F406" s="29">
        <f>LOOKUP(E406,{0,1.5,2.3,3.1,3.9,4.7,5.5,6.8,8.1,9.4,10.7,12,13.3,14.6,15.9,17.2,18.5,20.2,21.9,23.6,25.3},{0,10,20,30,40,50,60,62,64,66,68,70,72,74,76,78,80,85,90,95,100})</f>
        <v>80</v>
      </c>
      <c r="G406" s="27">
        <v>190</v>
      </c>
      <c r="H406" s="29">
        <f>LOOKUP(G406,{0,125,130,135,140,145,150,153,156,159,162,165,168,171,174,177,180,187,194,200,206},{0,10,20,30,40,50,60,62,64,66,68,70,72,74,76,78,80,85,90,95,100})</f>
        <v>85</v>
      </c>
      <c r="I406" s="27">
        <v>48</v>
      </c>
      <c r="J406" s="29">
        <f>LOOKUP(I406,{0,15,17,19,21,23,25,27,29,31,33,35,37,39,41,43,45,48,51,53,55},{0,10,20,30,40,50,60,62,64,66,68,70,72,74,76,78,80,85,90,95,100})</f>
        <v>85</v>
      </c>
      <c r="K406" s="35"/>
      <c r="L406" s="35"/>
      <c r="M406" s="35">
        <f t="shared" ref="M406:M412" si="111">J406+L406</f>
        <v>85</v>
      </c>
      <c r="N406" s="35">
        <v>8.5</v>
      </c>
      <c r="O406" s="36">
        <f t="shared" ref="O406:O412" si="112">18-N406</f>
        <v>9.5</v>
      </c>
      <c r="P406" s="29">
        <f>LOOKUP(O406,{0,6.6,6.8,7,7.2,7.4,7.6,7.8,8,8.2,8.4,8.6,8.8,9,9.2,9.4,9.6,9.9,10.2,10.3,10.4},{0,10,20,30,40,50,60,62,64,66,68,70,72,74,76,78,80,85,90,95,100})</f>
        <v>78</v>
      </c>
      <c r="Q406" s="5">
        <v>3.28</v>
      </c>
      <c r="R406" s="36">
        <f t="shared" ref="R406:R412" si="113">10-Q406</f>
        <v>6.72</v>
      </c>
      <c r="S406" s="29">
        <f>LOOKUP(R406,{0,4.74,4.84,4.94,5.44,5.54,5.64,5.69,5.74,5.79,5.84,5.89,5.94,5.99,6.44,6.49,6.54,6.61,6.68,6.74,6.8},{0,10,20,30,40,50,60,62,64,66,68,70,72,74,76,78,80,85,90,95,100})</f>
        <v>90</v>
      </c>
      <c r="T406" s="27"/>
      <c r="U406" s="27"/>
      <c r="V406" s="27">
        <f t="shared" ref="V406:V412" si="114">S406+U406</f>
        <v>90</v>
      </c>
      <c r="W406" s="27"/>
      <c r="X406" s="19">
        <f t="shared" ref="X406:X412" si="115">F406*0.1+H406*0.1+J406*0.1+P406*0.2+S406*0.2</f>
        <v>58.6</v>
      </c>
      <c r="Y406" s="13">
        <f t="shared" ref="Y406:Y412" si="116">X406/0.7+L406+U406</f>
        <v>83.7142857142857</v>
      </c>
    </row>
    <row r="407" ht="15.6" spans="1:25">
      <c r="A407" s="27">
        <v>310</v>
      </c>
      <c r="B407" s="27">
        <v>1</v>
      </c>
      <c r="C407" s="30" t="s">
        <v>458</v>
      </c>
      <c r="D407" s="28" t="s">
        <v>12</v>
      </c>
      <c r="E407" s="27">
        <v>9.5</v>
      </c>
      <c r="F407" s="29">
        <f>LOOKUP(E407,{0,-1.8,-0.8,0.2,1.2,2.2,3.2,4.6,6,7.4,8.8,10.2,11.6,13,14.4,15.8,17.2,19.1,21,22.8,24.6},{0,10,20,30,40,50,60,62,64,66,68,70,72,74,76,78,80,85,90,95,100})</f>
        <v>68</v>
      </c>
      <c r="G407" s="27">
        <v>225</v>
      </c>
      <c r="H407" s="29">
        <f>LOOKUP(G407,{0,180,185,190,195,200,205,209,213,217,221,225,229,233,237,241,245,253,260,265,270},{0,10,20,30,40,50,60,62,64,66,68,70,72,74,76,78,80,85,90,95,100})</f>
        <v>70</v>
      </c>
      <c r="I407" s="27">
        <v>6</v>
      </c>
      <c r="J407" s="29">
        <f>LOOKUP(I407,{0,4,5,6,7,8,9,10,11,12,13,14,15,16,17,18},{0,10,20,30,40,50,60,64,68,72,76,80,85,90,95,100})</f>
        <v>30</v>
      </c>
      <c r="K407" s="44"/>
      <c r="L407" s="35"/>
      <c r="M407" s="35">
        <f t="shared" si="111"/>
        <v>30</v>
      </c>
      <c r="N407" s="35">
        <v>7</v>
      </c>
      <c r="O407" s="36">
        <f t="shared" si="112"/>
        <v>11</v>
      </c>
      <c r="P407" s="29">
        <f>LOOKUP(O407,{0,7.8,8,8.2,8.4,8.6,8.8,9,9.2,9.4,9.6,9.8,10,10.2,10.4,10.6,10.8,10.9,11,11.1,11.2},{0,10,20,30,40,50,60,62,64,66,68,70,72,74,76,78,80,85,90,95,100})</f>
        <v>90</v>
      </c>
      <c r="Q407" s="5">
        <v>3.35</v>
      </c>
      <c r="R407" s="36">
        <f t="shared" si="113"/>
        <v>6.65</v>
      </c>
      <c r="S407" s="29">
        <f>LOOKUP(R407,{0,3.85,4.45,4.65,4.85,5.45,5.65,5.7,5.75,5.8,5.85,5.9,5.95,6,6.45,6.5,6.55,6.63,6.7,6.75,6.8},{0,10,20,30,40,50,60,62,64,66,68,70,72,74,76,78,80,85,90,95,100})</f>
        <v>85</v>
      </c>
      <c r="T407" s="27"/>
      <c r="U407" s="27"/>
      <c r="V407" s="27">
        <f t="shared" si="114"/>
        <v>85</v>
      </c>
      <c r="W407" s="27"/>
      <c r="X407" s="19">
        <f t="shared" si="115"/>
        <v>51.8</v>
      </c>
      <c r="Y407" s="13">
        <f t="shared" si="116"/>
        <v>74</v>
      </c>
    </row>
    <row r="408" ht="15.6" spans="1:25">
      <c r="A408" s="27">
        <v>310</v>
      </c>
      <c r="B408" s="27">
        <v>2</v>
      </c>
      <c r="C408" s="28" t="s">
        <v>459</v>
      </c>
      <c r="D408" s="28" t="s">
        <v>12</v>
      </c>
      <c r="E408" s="27">
        <v>5.5</v>
      </c>
      <c r="F408" s="29">
        <f>LOOKUP(E408,{0,-1.8,-0.8,0.2,1.2,2.2,3.2,4.6,6,7.4,8.8,10.2,11.6,13,14.4,15.8,17.2,19.1,21,22.8,24.6},{0,10,20,30,40,50,60,62,64,66,68,70,72,74,76,78,80,85,90,95,100})</f>
        <v>62</v>
      </c>
      <c r="G408" s="27">
        <v>225</v>
      </c>
      <c r="H408" s="29">
        <f>LOOKUP(G408,{0,180,185,190,195,200,205,209,213,217,221,225,229,233,237,241,245,253,260,265,270},{0,10,20,30,40,50,60,62,64,66,68,70,72,74,76,78,80,85,90,95,100})</f>
        <v>70</v>
      </c>
      <c r="I408" s="27">
        <v>1</v>
      </c>
      <c r="J408" s="29">
        <f>LOOKUP(I408,{0,4,5,6,7,8,9,10,11,12,13,14,15,16,17,18},{0,10,20,30,40,50,60,64,68,72,76,80,85,90,95,100})</f>
        <v>0</v>
      </c>
      <c r="K408" s="44"/>
      <c r="L408" s="35"/>
      <c r="M408" s="35">
        <f t="shared" si="111"/>
        <v>0</v>
      </c>
      <c r="N408" s="35">
        <v>7.4</v>
      </c>
      <c r="O408" s="36">
        <f t="shared" si="112"/>
        <v>10.6</v>
      </c>
      <c r="P408" s="29">
        <f>LOOKUP(O408,{0,7.8,8,8.2,8.4,8.6,8.8,9,9.2,9.4,9.6,9.8,10,10.2,10.4,10.6,10.8,10.9,11,11.1,11.2},{0,10,20,30,40,50,60,62,64,66,68,70,72,74,76,78,80,85,90,95,100})</f>
        <v>78</v>
      </c>
      <c r="Q408" s="5">
        <v>4.02</v>
      </c>
      <c r="R408" s="36">
        <f t="shared" si="113"/>
        <v>5.98</v>
      </c>
      <c r="S408" s="29">
        <f>LOOKUP(R408,{0,3.85,4.45,4.65,4.85,5.45,5.65,5.7,5.75,5.8,5.85,5.9,5.95,6,6.45,6.5,6.55,6.63,6.7,6.75,6.8},{0,10,20,30,40,50,60,62,64,66,68,70,72,74,76,78,80,85,90,95,100})</f>
        <v>72</v>
      </c>
      <c r="T408" s="27"/>
      <c r="U408" s="27"/>
      <c r="V408" s="27">
        <f t="shared" si="114"/>
        <v>72</v>
      </c>
      <c r="W408" s="27"/>
      <c r="X408" s="19">
        <f t="shared" si="115"/>
        <v>43.2</v>
      </c>
      <c r="Y408" s="13">
        <f t="shared" si="116"/>
        <v>61.7142857142857</v>
      </c>
    </row>
    <row r="409" ht="15.6" spans="1:25">
      <c r="A409" s="27">
        <v>310</v>
      </c>
      <c r="B409" s="27">
        <v>3</v>
      </c>
      <c r="C409" s="28" t="s">
        <v>460</v>
      </c>
      <c r="D409" s="28" t="s">
        <v>12</v>
      </c>
      <c r="E409" s="27">
        <v>7.5</v>
      </c>
      <c r="F409" s="29">
        <f>LOOKUP(E409,{0,-1.8,-0.8,0.2,1.2,2.2,3.2,4.6,6,7.4,8.8,10.2,11.6,13,14.4,15.8,17.2,19.1,21,22.8,24.6},{0,10,20,30,40,50,60,62,64,66,68,70,72,74,76,78,80,85,90,95,100})</f>
        <v>66</v>
      </c>
      <c r="G409" s="27">
        <v>235</v>
      </c>
      <c r="H409" s="29">
        <f>LOOKUP(G409,{0,180,185,190,195,200,205,209,213,217,221,225,229,233,237,241,245,253,260,265,270},{0,10,20,30,40,50,60,62,64,66,68,70,72,74,76,78,80,85,90,95,100})</f>
        <v>74</v>
      </c>
      <c r="I409" s="27">
        <v>1</v>
      </c>
      <c r="J409" s="29">
        <f>LOOKUP(I409,{0,4,5,6,7,8,9,10,11,12,13,14,15,16,17,18},{0,10,20,30,40,50,60,64,68,72,76,80,85,90,95,100})</f>
        <v>0</v>
      </c>
      <c r="K409" s="44"/>
      <c r="L409" s="35"/>
      <c r="M409" s="35">
        <f t="shared" si="111"/>
        <v>0</v>
      </c>
      <c r="N409" s="35">
        <v>7.5</v>
      </c>
      <c r="O409" s="36">
        <f t="shared" si="112"/>
        <v>10.5</v>
      </c>
      <c r="P409" s="29">
        <f>LOOKUP(O409,{0,7.8,8,8.2,8.4,8.6,8.8,9,9.2,9.4,9.6,9.8,10,10.2,10.4,10.6,10.8,10.9,11,11.1,11.2},{0,10,20,30,40,50,60,62,64,66,68,70,72,74,76,78,80,85,90,95,100})</f>
        <v>76</v>
      </c>
      <c r="Q409" s="5">
        <v>4.08</v>
      </c>
      <c r="R409" s="36">
        <f t="shared" si="113"/>
        <v>5.92</v>
      </c>
      <c r="S409" s="29">
        <f>LOOKUP(R409,{0,3.85,4.45,4.65,4.85,5.45,5.65,5.7,5.75,5.8,5.85,5.9,5.95,6,6.45,6.5,6.55,6.63,6.7,6.75,6.8},{0,10,20,30,40,50,60,62,64,66,68,70,72,74,76,78,80,85,90,95,100})</f>
        <v>70</v>
      </c>
      <c r="T409" s="27"/>
      <c r="U409" s="27"/>
      <c r="V409" s="27">
        <f t="shared" si="114"/>
        <v>70</v>
      </c>
      <c r="W409" s="27"/>
      <c r="X409" s="19">
        <f t="shared" si="115"/>
        <v>43.2</v>
      </c>
      <c r="Y409" s="13">
        <f t="shared" si="116"/>
        <v>61.7142857142857</v>
      </c>
    </row>
    <row r="410" ht="15.6" spans="1:25">
      <c r="A410" s="27">
        <v>310</v>
      </c>
      <c r="B410" s="27">
        <v>4</v>
      </c>
      <c r="C410" s="27" t="s">
        <v>461</v>
      </c>
      <c r="D410" s="27" t="s">
        <v>12</v>
      </c>
      <c r="E410" s="27">
        <v>17</v>
      </c>
      <c r="F410" s="29">
        <f>LOOKUP(E410,{0,-1.8,-0.8,0.2,1.2,2.2,3.2,4.6,6,7.4,8.8,10.2,11.6,13,14.4,15.8,17.2,19.1,21,22.8,24.6},{0,10,20,30,40,50,60,62,64,66,68,70,72,74,76,78,80,85,90,95,100})</f>
        <v>78</v>
      </c>
      <c r="G410" s="27">
        <v>250</v>
      </c>
      <c r="H410" s="29">
        <f>LOOKUP(G410,{0,180,185,190,195,200,205,209,213,217,221,225,229,233,237,241,245,253,260,265,270},{0,10,20,30,40,50,60,62,64,66,68,70,72,74,76,78,80,85,90,95,100})</f>
        <v>80</v>
      </c>
      <c r="I410" s="27">
        <v>6</v>
      </c>
      <c r="J410" s="29">
        <f>LOOKUP(I410,{0,4,5,6,7,8,9,10,11,12,13,14,15,16,17,18},{0,10,20,30,40,50,60,64,68,72,76,80,85,90,95,100})</f>
        <v>30</v>
      </c>
      <c r="K410" s="44"/>
      <c r="L410" s="35"/>
      <c r="M410" s="35">
        <f t="shared" si="111"/>
        <v>30</v>
      </c>
      <c r="N410" s="35">
        <v>7.2</v>
      </c>
      <c r="O410" s="36">
        <f t="shared" si="112"/>
        <v>10.8</v>
      </c>
      <c r="P410" s="29">
        <f>LOOKUP(O410,{0,7.8,8,8.2,8.4,8.6,8.8,9,9.2,9.4,9.6,9.8,10,10.2,10.4,10.6,10.8,10.9,11,11.1,11.2},{0,10,20,30,40,50,60,62,64,66,68,70,72,74,76,78,80,85,90,95,100})</f>
        <v>80</v>
      </c>
      <c r="Q410" s="5">
        <v>3.59</v>
      </c>
      <c r="R410" s="36">
        <f t="shared" si="113"/>
        <v>6.41</v>
      </c>
      <c r="S410" s="29">
        <f>LOOKUP(R410,{0,3.85,4.45,4.65,4.85,5.45,5.65,5.7,5.75,5.8,5.85,5.9,5.95,6,6.45,6.5,6.55,6.63,6.7,6.75,6.8},{0,10,20,30,40,50,60,62,64,66,68,70,72,74,76,78,80,85,90,95,100})</f>
        <v>74</v>
      </c>
      <c r="T410" s="27"/>
      <c r="U410" s="27"/>
      <c r="V410" s="27">
        <f t="shared" si="114"/>
        <v>74</v>
      </c>
      <c r="W410" s="27"/>
      <c r="X410" s="19">
        <f t="shared" si="115"/>
        <v>49.6</v>
      </c>
      <c r="Y410" s="13">
        <f t="shared" si="116"/>
        <v>70.8571428571428</v>
      </c>
    </row>
    <row r="411" ht="15.6" spans="1:25">
      <c r="A411" s="27">
        <v>310</v>
      </c>
      <c r="B411" s="27">
        <v>5</v>
      </c>
      <c r="C411" s="28" t="s">
        <v>462</v>
      </c>
      <c r="D411" s="28" t="s">
        <v>12</v>
      </c>
      <c r="E411" s="27">
        <v>5.5</v>
      </c>
      <c r="F411" s="29">
        <f>LOOKUP(E411,{0,-1.8,-0.8,0.2,1.2,2.2,3.2,4.6,6,7.4,8.8,10.2,11.6,13,14.4,15.8,17.2,19.1,21,22.8,24.6},{0,10,20,30,40,50,60,62,64,66,68,70,72,74,76,78,80,85,90,95,100})</f>
        <v>62</v>
      </c>
      <c r="G411" s="27">
        <v>245</v>
      </c>
      <c r="H411" s="29">
        <f>LOOKUP(G411,{0,180,185,190,195,200,205,209,213,217,221,225,229,233,237,241,245,253,260,265,270},{0,10,20,30,40,50,60,62,64,66,68,70,72,74,76,78,80,85,90,95,100})</f>
        <v>80</v>
      </c>
      <c r="I411" s="27">
        <v>9</v>
      </c>
      <c r="J411" s="29">
        <f>LOOKUP(I411,{0,4,5,6,7,8,9,10,11,12,13,14,15,16,17,18},{0,10,20,30,40,50,60,64,68,72,76,80,85,90,95,100})</f>
        <v>60</v>
      </c>
      <c r="K411" s="44"/>
      <c r="L411" s="35"/>
      <c r="M411" s="35">
        <f t="shared" si="111"/>
        <v>60</v>
      </c>
      <c r="N411" s="35">
        <v>7.3</v>
      </c>
      <c r="O411" s="36">
        <f t="shared" si="112"/>
        <v>10.7</v>
      </c>
      <c r="P411" s="29">
        <f>LOOKUP(O411,{0,7.8,8,8.2,8.4,8.6,8.8,9,9.2,9.4,9.6,9.8,10,10.2,10.4,10.6,10.8,10.9,11,11.1,11.2},{0,10,20,30,40,50,60,62,64,66,68,70,72,74,76,78,80,85,90,95,100})</f>
        <v>78</v>
      </c>
      <c r="Q411" s="5">
        <v>5.09</v>
      </c>
      <c r="R411" s="36">
        <f t="shared" si="113"/>
        <v>4.91</v>
      </c>
      <c r="S411" s="29">
        <f>LOOKUP(R411,{0,3.85,4.45,4.65,4.85,5.45,5.65,5.7,5.75,5.8,5.85,5.9,5.95,6,6.45,6.5,6.55,6.63,6.7,6.75,6.8},{0,10,20,30,40,50,60,62,64,66,68,70,72,74,76,78,80,85,90,95,100})</f>
        <v>40</v>
      </c>
      <c r="T411" s="27"/>
      <c r="U411" s="27"/>
      <c r="V411" s="27">
        <f t="shared" si="114"/>
        <v>40</v>
      </c>
      <c r="W411" s="27"/>
      <c r="X411" s="19">
        <f t="shared" si="115"/>
        <v>43.8</v>
      </c>
      <c r="Y411" s="13">
        <f t="shared" si="116"/>
        <v>62.5714285714286</v>
      </c>
    </row>
    <row r="412" ht="15.6" spans="1:25">
      <c r="A412" s="27">
        <v>310</v>
      </c>
      <c r="B412" s="27">
        <v>6</v>
      </c>
      <c r="C412" s="28" t="s">
        <v>463</v>
      </c>
      <c r="D412" s="28" t="s">
        <v>12</v>
      </c>
      <c r="E412" s="27">
        <v>10</v>
      </c>
      <c r="F412" s="29">
        <f>LOOKUP(E412,{0,-1.8,-0.8,0.2,1.2,2.2,3.2,4.6,6,7.4,8.8,10.2,11.6,13,14.4,15.8,17.2,19.1,21,22.8,24.6},{0,10,20,30,40,50,60,62,64,66,68,70,72,74,76,78,80,85,90,95,100})</f>
        <v>68</v>
      </c>
      <c r="G412" s="27">
        <v>225</v>
      </c>
      <c r="H412" s="29">
        <f>LOOKUP(G412,{0,180,185,190,195,200,205,209,213,217,221,225,229,233,237,241,245,253,260,265,270},{0,10,20,30,40,50,60,62,64,66,68,70,72,74,76,78,80,85,90,95,100})</f>
        <v>70</v>
      </c>
      <c r="I412" s="27">
        <v>0</v>
      </c>
      <c r="J412" s="29">
        <f>LOOKUP(I412,{0,4,5,6,7,8,9,10,11,12,13,14,15,16,17,18},{0,10,20,30,40,50,60,64,68,72,76,80,85,90,95,100})</f>
        <v>0</v>
      </c>
      <c r="K412" s="44"/>
      <c r="L412" s="35"/>
      <c r="M412" s="35">
        <f t="shared" si="111"/>
        <v>0</v>
      </c>
      <c r="N412" s="35">
        <v>7.1</v>
      </c>
      <c r="O412" s="36">
        <f t="shared" si="112"/>
        <v>10.9</v>
      </c>
      <c r="P412" s="29">
        <f>LOOKUP(O412,{0,7.8,8,8.2,8.4,8.6,8.8,9,9.2,9.4,9.6,9.8,10,10.2,10.4,10.6,10.8,10.9,11,11.1,11.2},{0,10,20,30,40,50,60,62,64,66,68,70,72,74,76,78,80,85,90,95,100})</f>
        <v>85</v>
      </c>
      <c r="Q412" s="5">
        <v>6.21</v>
      </c>
      <c r="R412" s="36">
        <f t="shared" si="113"/>
        <v>3.79</v>
      </c>
      <c r="S412" s="29">
        <f>LOOKUP(R412,{0,3.85,4.45,4.65,4.85,5.45,5.65,5.7,5.75,5.8,5.85,5.9,5.95,6,6.45,6.5,6.55,6.63,6.7,6.75,6.8},{0,10,20,30,40,50,60,62,64,66,68,70,72,74,76,78,80,85,90,95,100})</f>
        <v>0</v>
      </c>
      <c r="T412" s="27"/>
      <c r="U412" s="27"/>
      <c r="V412" s="27">
        <f t="shared" si="114"/>
        <v>0</v>
      </c>
      <c r="W412" s="27"/>
      <c r="X412" s="19">
        <f t="shared" si="115"/>
        <v>30.8</v>
      </c>
      <c r="Y412" s="13">
        <f t="shared" si="116"/>
        <v>44</v>
      </c>
    </row>
    <row r="413" ht="15.6" spans="1:25">
      <c r="A413" s="27">
        <v>310</v>
      </c>
      <c r="B413" s="27">
        <v>7</v>
      </c>
      <c r="C413" s="27" t="s">
        <v>464</v>
      </c>
      <c r="D413" s="27" t="s">
        <v>12</v>
      </c>
      <c r="E413" s="27"/>
      <c r="F413" s="29"/>
      <c r="G413" s="27"/>
      <c r="H413" s="29"/>
      <c r="I413" s="27"/>
      <c r="J413" s="35"/>
      <c r="K413" s="44"/>
      <c r="L413" s="35"/>
      <c r="M413" s="35"/>
      <c r="N413" s="35"/>
      <c r="O413" s="5"/>
      <c r="P413" s="5"/>
      <c r="Q413" s="5"/>
      <c r="R413" s="27"/>
      <c r="S413" s="27"/>
      <c r="T413" s="27"/>
      <c r="U413" s="27"/>
      <c r="V413" s="27"/>
      <c r="W413" s="27">
        <v>50</v>
      </c>
      <c r="X413" s="19"/>
      <c r="Y413" s="19">
        <v>50</v>
      </c>
    </row>
    <row r="414" ht="15.6" spans="1:25">
      <c r="A414" s="27">
        <v>310</v>
      </c>
      <c r="B414" s="27">
        <v>8</v>
      </c>
      <c r="C414" s="28" t="s">
        <v>465</v>
      </c>
      <c r="D414" s="28" t="s">
        <v>12</v>
      </c>
      <c r="E414" s="27">
        <v>5</v>
      </c>
      <c r="F414" s="29">
        <f>LOOKUP(E414,{0,-1.8,-0.8,0.2,1.2,2.2,3.2,4.6,6,7.4,8.8,10.2,11.6,13,14.4,15.8,17.2,19.1,21,22.8,24.6},{0,10,20,30,40,50,60,62,64,66,68,70,72,74,76,78,80,85,90,95,100})</f>
        <v>62</v>
      </c>
      <c r="G414" s="27">
        <v>270</v>
      </c>
      <c r="H414" s="29">
        <f>LOOKUP(G414,{0,180,185,190,195,200,205,209,213,217,221,225,229,233,237,241,245,253,260,265,270},{0,10,20,30,40,50,60,62,64,66,68,70,72,74,76,78,80,85,90,95,100})</f>
        <v>100</v>
      </c>
      <c r="I414" s="27">
        <v>0</v>
      </c>
      <c r="J414" s="29">
        <f>LOOKUP(I414,{0,4,5,6,7,8,9,10,11,12,13,14,15,16,17,18},{0,10,20,30,40,50,60,64,68,72,76,80,85,90,95,100})</f>
        <v>0</v>
      </c>
      <c r="K414" s="44"/>
      <c r="L414" s="35"/>
      <c r="M414" s="35">
        <f t="shared" ref="M414:M438" si="117">J414+L414</f>
        <v>0</v>
      </c>
      <c r="N414" s="35">
        <v>6.9</v>
      </c>
      <c r="O414" s="36">
        <f t="shared" ref="O414:O438" si="118">18-N414</f>
        <v>11.1</v>
      </c>
      <c r="P414" s="29">
        <f>LOOKUP(O414,{0,7.8,8,8.2,8.4,8.6,8.8,9,9.2,9.4,9.6,9.8,10,10.2,10.4,10.6,10.8,10.9,11,11.1,11.2},{0,10,20,30,40,50,60,62,64,66,68,70,72,74,76,78,80,85,90,95,100})</f>
        <v>95</v>
      </c>
      <c r="Q414" s="5">
        <v>4.26</v>
      </c>
      <c r="R414" s="36">
        <f t="shared" ref="R414:R438" si="119">10-Q414</f>
        <v>5.74</v>
      </c>
      <c r="S414" s="29">
        <f>LOOKUP(R414,{0,3.85,4.45,4.65,4.85,5.45,5.65,5.7,5.75,5.8,5.85,5.9,5.95,6,6.45,6.5,6.55,6.63,6.7,6.75,6.8},{0,10,20,30,40,50,60,62,64,66,68,70,72,74,76,78,80,85,90,95,100})</f>
        <v>62</v>
      </c>
      <c r="T414" s="27"/>
      <c r="U414" s="27"/>
      <c r="V414" s="27">
        <f t="shared" ref="V414:V438" si="120">S414+U414</f>
        <v>62</v>
      </c>
      <c r="W414" s="27"/>
      <c r="X414" s="19">
        <f t="shared" ref="X414:X438" si="121">F414*0.1+H414*0.1+J414*0.1+P414*0.2+S414*0.2</f>
        <v>47.6</v>
      </c>
      <c r="Y414" s="13">
        <f t="shared" ref="Y414:Y438" si="122">X414/0.7+L414+U414</f>
        <v>68</v>
      </c>
    </row>
    <row r="415" ht="15.6" spans="1:25">
      <c r="A415" s="27">
        <v>310</v>
      </c>
      <c r="B415" s="27">
        <v>9</v>
      </c>
      <c r="C415" s="28" t="s">
        <v>466</v>
      </c>
      <c r="D415" s="28" t="s">
        <v>12</v>
      </c>
      <c r="E415" s="27">
        <v>16.5</v>
      </c>
      <c r="F415" s="29">
        <f>LOOKUP(E415,{0,-1.8,-0.8,0.2,1.2,2.2,3.2,4.6,6,7.4,8.8,10.2,11.6,13,14.4,15.8,17.2,19.1,21,22.8,24.6},{0,10,20,30,40,50,60,62,64,66,68,70,72,74,76,78,80,85,90,95,100})</f>
        <v>78</v>
      </c>
      <c r="G415" s="27">
        <v>230</v>
      </c>
      <c r="H415" s="29">
        <f>LOOKUP(G415,{0,180,185,190,195,200,205,209,213,217,221,225,229,233,237,241,245,253,260,265,270},{0,10,20,30,40,50,60,62,64,66,68,70,72,74,76,78,80,85,90,95,100})</f>
        <v>72</v>
      </c>
      <c r="I415" s="27">
        <v>2</v>
      </c>
      <c r="J415" s="29">
        <f>LOOKUP(I415,{0,4,5,6,7,8,9,10,11,12,13,14,15,16,17,18},{0,10,20,30,40,50,60,64,68,72,76,80,85,90,95,100})</f>
        <v>0</v>
      </c>
      <c r="K415" s="44"/>
      <c r="L415" s="35"/>
      <c r="M415" s="35">
        <f t="shared" si="117"/>
        <v>0</v>
      </c>
      <c r="N415" s="35">
        <v>7.4</v>
      </c>
      <c r="O415" s="36">
        <f t="shared" si="118"/>
        <v>10.6</v>
      </c>
      <c r="P415" s="29">
        <f>LOOKUP(O415,{0,7.8,8,8.2,8.4,8.6,8.8,9,9.2,9.4,9.6,9.8,10,10.2,10.4,10.6,10.8,10.9,11,11.1,11.2},{0,10,20,30,40,50,60,62,64,66,68,70,72,74,76,78,80,85,90,95,100})</f>
        <v>78</v>
      </c>
      <c r="Q415" s="5">
        <v>4.26</v>
      </c>
      <c r="R415" s="36">
        <f t="shared" si="119"/>
        <v>5.74</v>
      </c>
      <c r="S415" s="29">
        <f>LOOKUP(R415,{0,3.85,4.45,4.65,4.85,5.45,5.65,5.7,5.75,5.8,5.85,5.9,5.95,6,6.45,6.5,6.55,6.63,6.7,6.75,6.8},{0,10,20,30,40,50,60,62,64,66,68,70,72,74,76,78,80,85,90,95,100})</f>
        <v>62</v>
      </c>
      <c r="T415" s="27"/>
      <c r="U415" s="27"/>
      <c r="V415" s="27">
        <f t="shared" si="120"/>
        <v>62</v>
      </c>
      <c r="W415" s="27"/>
      <c r="X415" s="19">
        <f t="shared" si="121"/>
        <v>43</v>
      </c>
      <c r="Y415" s="13">
        <f t="shared" si="122"/>
        <v>61.4285714285714</v>
      </c>
    </row>
    <row r="416" ht="15.6" spans="1:25">
      <c r="A416" s="27">
        <v>310</v>
      </c>
      <c r="B416" s="27">
        <v>10</v>
      </c>
      <c r="C416" s="28" t="s">
        <v>467</v>
      </c>
      <c r="D416" s="28" t="s">
        <v>12</v>
      </c>
      <c r="E416" s="27">
        <v>22</v>
      </c>
      <c r="F416" s="29">
        <f>LOOKUP(E416,{0,-1.8,-0.8,0.2,1.2,2.2,3.2,4.6,6,7.4,8.8,10.2,11.6,13,14.4,15.8,17.2,19.1,21,22.8,24.6},{0,10,20,30,40,50,60,62,64,66,68,70,72,74,76,78,80,85,90,95,100})</f>
        <v>90</v>
      </c>
      <c r="G416" s="27">
        <v>270</v>
      </c>
      <c r="H416" s="29">
        <f>LOOKUP(G416,{0,180,185,190,195,200,205,209,213,217,221,225,229,233,237,241,245,253,260,265,270},{0,10,20,30,40,50,60,62,64,66,68,70,72,74,76,78,80,85,90,95,100})</f>
        <v>100</v>
      </c>
      <c r="I416" s="27">
        <v>30</v>
      </c>
      <c r="J416" s="29">
        <f>LOOKUP(I416,{0,4,5,6,7,8,9,10,11,12,13,14,15,16,17,18},{0,10,20,30,40,50,60,64,68,72,76,80,85,90,95,100})</f>
        <v>100</v>
      </c>
      <c r="K416" s="44">
        <f>I416-18</f>
        <v>12</v>
      </c>
      <c r="L416" s="29">
        <f>LOOKUP(K416,{0,1,2,3,4,5,6,7,8,9,10},{0,1,2,3,4,5,6,7,8,9,10})</f>
        <v>10</v>
      </c>
      <c r="M416" s="35">
        <f t="shared" si="117"/>
        <v>110</v>
      </c>
      <c r="N416" s="35">
        <v>6.8</v>
      </c>
      <c r="O416" s="36">
        <f t="shared" si="118"/>
        <v>11.2</v>
      </c>
      <c r="P416" s="29">
        <f>LOOKUP(O416,{0,7.8,8,8.2,8.4,8.6,8.8,9,9.2,9.4,9.6,9.8,10,10.2,10.4,10.6,10.8,10.9,11,11.1,11.2},{0,10,20,30,40,50,60,62,64,66,68,70,72,74,76,78,80,85,90,95,100})</f>
        <v>100</v>
      </c>
      <c r="Q416" s="5">
        <v>3.22</v>
      </c>
      <c r="R416" s="36">
        <f t="shared" si="119"/>
        <v>6.78</v>
      </c>
      <c r="S416" s="29">
        <f>LOOKUP(R416,{0,3.85,4.45,4.65,4.85,5.45,5.65,5.7,5.75,5.8,5.85,5.9,5.95,6,6.45,6.5,6.55,6.63,6.7,6.75,6.8},{0,10,20,30,40,50,60,62,64,66,68,70,72,74,76,78,80,85,90,95,100})</f>
        <v>95</v>
      </c>
      <c r="T416" s="27"/>
      <c r="U416" s="27"/>
      <c r="V416" s="27">
        <f t="shared" si="120"/>
        <v>95</v>
      </c>
      <c r="W416" s="27"/>
      <c r="X416" s="19">
        <f t="shared" si="121"/>
        <v>68</v>
      </c>
      <c r="Y416" s="13">
        <f t="shared" si="122"/>
        <v>107.142857142857</v>
      </c>
    </row>
    <row r="417" ht="15.6" spans="1:25">
      <c r="A417" s="27">
        <v>310</v>
      </c>
      <c r="B417" s="27">
        <v>11</v>
      </c>
      <c r="C417" s="30" t="s">
        <v>469</v>
      </c>
      <c r="D417" s="28" t="s">
        <v>12</v>
      </c>
      <c r="E417" s="27">
        <v>0</v>
      </c>
      <c r="F417" s="29">
        <f>LOOKUP(E417,{0,-1.8,-0.8,0.2,1.2,2.2,3.2,4.6,6,7.4,8.8,10.2,11.6,13,14.4,15.8,17.2,19.1,21,22.8,24.6},{0,10,20,30,40,50,60,62,64,66,68,70,72,74,76,78,80,85,90,95,100})</f>
        <v>20</v>
      </c>
      <c r="G417" s="27">
        <v>185</v>
      </c>
      <c r="H417" s="29">
        <f>LOOKUP(G417,{0,180,185,190,195,200,205,209,213,217,221,225,229,233,237,241,245,253,260,265,270},{0,10,20,30,40,50,60,62,64,66,68,70,72,74,76,78,80,85,90,95,100})</f>
        <v>20</v>
      </c>
      <c r="I417" s="27">
        <v>1</v>
      </c>
      <c r="J417" s="29">
        <f>LOOKUP(I417,{0,4,5,6,7,8,9,10,11,12,13,14,15,16,17,18},{0,10,20,30,40,50,60,64,68,72,76,80,85,90,95,100})</f>
        <v>0</v>
      </c>
      <c r="K417" s="44"/>
      <c r="L417" s="35"/>
      <c r="M417" s="35">
        <f t="shared" si="117"/>
        <v>0</v>
      </c>
      <c r="N417" s="35">
        <v>8</v>
      </c>
      <c r="O417" s="36">
        <f t="shared" si="118"/>
        <v>10</v>
      </c>
      <c r="P417" s="29">
        <f>LOOKUP(O417,{0,7.8,8,8.2,8.4,8.6,8.8,9,9.2,9.4,9.6,9.8,10,10.2,10.4,10.6,10.8,10.9,11,11.1,11.2},{0,10,20,30,40,50,60,62,64,66,68,70,72,74,76,78,80,85,90,95,100})</f>
        <v>72</v>
      </c>
      <c r="Q417" s="5">
        <v>5.41</v>
      </c>
      <c r="R417" s="36">
        <f t="shared" si="119"/>
        <v>4.59</v>
      </c>
      <c r="S417" s="29">
        <f>LOOKUP(R417,{0,3.85,4.45,4.65,4.85,5.45,5.65,5.7,5.75,5.8,5.85,5.9,5.95,6,6.45,6.5,6.55,6.63,6.7,6.75,6.8},{0,10,20,30,40,50,60,62,64,66,68,70,72,74,76,78,80,85,90,95,100})</f>
        <v>20</v>
      </c>
      <c r="T417" s="27"/>
      <c r="U417" s="27"/>
      <c r="V417" s="27">
        <f t="shared" si="120"/>
        <v>20</v>
      </c>
      <c r="W417" s="27"/>
      <c r="X417" s="19">
        <f t="shared" si="121"/>
        <v>22.4</v>
      </c>
      <c r="Y417" s="13">
        <f t="shared" si="122"/>
        <v>32</v>
      </c>
    </row>
    <row r="418" ht="15.6" spans="1:25">
      <c r="A418" s="27">
        <v>310</v>
      </c>
      <c r="B418" s="27">
        <v>12</v>
      </c>
      <c r="C418" s="28" t="s">
        <v>470</v>
      </c>
      <c r="D418" s="28" t="s">
        <v>12</v>
      </c>
      <c r="E418" s="27">
        <v>14.4</v>
      </c>
      <c r="F418" s="29">
        <f>LOOKUP(E418,{0,-1.8,-0.8,0.2,1.2,2.2,3.2,4.6,6,7.4,8.8,10.2,11.6,13,14.4,15.8,17.2,19.1,21,22.8,24.6},{0,10,20,30,40,50,60,62,64,66,68,70,72,74,76,78,80,85,90,95,100})</f>
        <v>76</v>
      </c>
      <c r="G418" s="27">
        <v>232</v>
      </c>
      <c r="H418" s="29">
        <f>LOOKUP(G418,{0,180,185,190,195,200,205,209,213,217,221,225,229,233,237,241,245,253,260,265,270},{0,10,20,30,40,50,60,62,64,66,68,70,72,74,76,78,80,85,90,95,100})</f>
        <v>72</v>
      </c>
      <c r="I418" s="27">
        <v>2</v>
      </c>
      <c r="J418" s="29">
        <f>LOOKUP(I418,{0,4,5,6,7,8,9,10,11,12,13,14,15,16,17,18},{0,10,20,30,40,50,60,64,68,72,76,80,85,90,95,100})</f>
        <v>0</v>
      </c>
      <c r="K418" s="44"/>
      <c r="L418" s="35"/>
      <c r="M418" s="35">
        <f t="shared" si="117"/>
        <v>0</v>
      </c>
      <c r="N418" s="35">
        <v>7.8</v>
      </c>
      <c r="O418" s="36">
        <f t="shared" si="118"/>
        <v>10.2</v>
      </c>
      <c r="P418" s="29">
        <f>LOOKUP(O418,{0,7.8,8,8.2,8.4,8.6,8.8,9,9.2,9.4,9.6,9.8,10,10.2,10.4,10.6,10.8,10.9,11,11.1,11.2},{0,10,20,30,40,50,60,62,64,66,68,70,72,74,76,78,80,85,90,95,100})</f>
        <v>74</v>
      </c>
      <c r="Q418" s="5">
        <v>6.33</v>
      </c>
      <c r="R418" s="36">
        <f t="shared" si="119"/>
        <v>3.67</v>
      </c>
      <c r="S418" s="29">
        <f>LOOKUP(R418,{0,3.85,4.45,4.65,4.85,5.45,5.65,5.7,5.75,5.8,5.85,5.9,5.95,6,6.45,6.5,6.55,6.63,6.7,6.75,6.8},{0,10,20,30,40,50,60,62,64,66,68,70,72,74,76,78,80,85,90,95,100})</f>
        <v>0</v>
      </c>
      <c r="T418" s="27"/>
      <c r="U418" s="27"/>
      <c r="V418" s="27">
        <f t="shared" si="120"/>
        <v>0</v>
      </c>
      <c r="W418" s="27"/>
      <c r="X418" s="19">
        <f t="shared" si="121"/>
        <v>29.6</v>
      </c>
      <c r="Y418" s="13">
        <f t="shared" si="122"/>
        <v>42.2857142857143</v>
      </c>
    </row>
    <row r="419" ht="15.6" spans="1:25">
      <c r="A419" s="27">
        <v>310</v>
      </c>
      <c r="B419" s="27">
        <v>13</v>
      </c>
      <c r="C419" s="28" t="s">
        <v>471</v>
      </c>
      <c r="D419" s="28" t="s">
        <v>12</v>
      </c>
      <c r="E419" s="27">
        <v>17.5</v>
      </c>
      <c r="F419" s="29">
        <f>LOOKUP(E419,{0,-1.8,-0.8,0.2,1.2,2.2,3.2,4.6,6,7.4,8.8,10.2,11.6,13,14.4,15.8,17.2,19.1,21,22.8,24.6},{0,10,20,30,40,50,60,62,64,66,68,70,72,74,76,78,80,85,90,95,100})</f>
        <v>80</v>
      </c>
      <c r="G419" s="27">
        <v>260</v>
      </c>
      <c r="H419" s="29">
        <f>LOOKUP(G419,{0,180,185,190,195,200,205,209,213,217,221,225,229,233,237,241,245,253,260,265,270},{0,10,20,30,40,50,60,62,64,66,68,70,72,74,76,78,80,85,90,95,100})</f>
        <v>90</v>
      </c>
      <c r="I419" s="27">
        <v>4</v>
      </c>
      <c r="J419" s="29">
        <f>LOOKUP(I419,{0,4,5,6,7,8,9,10,11,12,13,14,15,16,17,18},{0,10,20,30,40,50,60,64,68,72,76,80,85,90,95,100})</f>
        <v>10</v>
      </c>
      <c r="K419" s="44"/>
      <c r="L419" s="35"/>
      <c r="M419" s="35">
        <f t="shared" si="117"/>
        <v>10</v>
      </c>
      <c r="N419" s="35">
        <v>7</v>
      </c>
      <c r="O419" s="36">
        <f t="shared" si="118"/>
        <v>11</v>
      </c>
      <c r="P419" s="29">
        <f>LOOKUP(O419,{0,7.8,8,8.2,8.4,8.6,8.8,9,9.2,9.4,9.6,9.8,10,10.2,10.4,10.6,10.8,10.9,11,11.1,11.2},{0,10,20,30,40,50,60,62,64,66,68,70,72,74,76,78,80,85,90,95,100})</f>
        <v>90</v>
      </c>
      <c r="Q419" s="5">
        <v>3.4</v>
      </c>
      <c r="R419" s="36">
        <f t="shared" si="119"/>
        <v>6.6</v>
      </c>
      <c r="S419" s="29">
        <f>LOOKUP(R419,{0,3.85,4.45,4.65,4.85,5.45,5.65,5.7,5.75,5.8,5.85,5.9,5.95,6,6.45,6.5,6.55,6.63,6.7,6.75,6.8},{0,10,20,30,40,50,60,62,64,66,68,70,72,74,76,78,80,85,90,95,100})</f>
        <v>80</v>
      </c>
      <c r="T419" s="27"/>
      <c r="U419" s="27"/>
      <c r="V419" s="27">
        <f t="shared" si="120"/>
        <v>80</v>
      </c>
      <c r="W419" s="27"/>
      <c r="X419" s="19">
        <f t="shared" si="121"/>
        <v>52</v>
      </c>
      <c r="Y419" s="13">
        <f t="shared" si="122"/>
        <v>74.2857142857143</v>
      </c>
    </row>
    <row r="420" ht="15.6" spans="1:25">
      <c r="A420" s="27">
        <v>310</v>
      </c>
      <c r="B420" s="27">
        <v>14</v>
      </c>
      <c r="C420" s="28" t="s">
        <v>472</v>
      </c>
      <c r="D420" s="28" t="s">
        <v>12</v>
      </c>
      <c r="E420" s="27">
        <v>18</v>
      </c>
      <c r="F420" s="29">
        <f>LOOKUP(E420,{0,-1.8,-0.8,0.2,1.2,2.2,3.2,4.6,6,7.4,8.8,10.2,11.6,13,14.4,15.8,17.2,19.1,21,22.8,24.6},{0,10,20,30,40,50,60,62,64,66,68,70,72,74,76,78,80,85,90,95,100})</f>
        <v>80</v>
      </c>
      <c r="G420" s="27">
        <v>245</v>
      </c>
      <c r="H420" s="29">
        <f>LOOKUP(G420,{0,180,185,190,195,200,205,209,213,217,221,225,229,233,237,241,245,253,260,265,270},{0,10,20,30,40,50,60,62,64,66,68,70,72,74,76,78,80,85,90,95,100})</f>
        <v>80</v>
      </c>
      <c r="I420" s="27">
        <v>18</v>
      </c>
      <c r="J420" s="29">
        <f>LOOKUP(I420,{0,4,5,6,7,8,9,10,11,12,13,14,15,16,17,18},{0,10,20,30,40,50,60,64,68,72,76,80,85,90,95,100})</f>
        <v>100</v>
      </c>
      <c r="K420" s="44"/>
      <c r="L420" s="35"/>
      <c r="M420" s="35">
        <f t="shared" si="117"/>
        <v>100</v>
      </c>
      <c r="N420" s="35">
        <v>7.5</v>
      </c>
      <c r="O420" s="36">
        <f t="shared" si="118"/>
        <v>10.5</v>
      </c>
      <c r="P420" s="29">
        <f>LOOKUP(O420,{0,7.8,8,8.2,8.4,8.6,8.8,9,9.2,9.4,9.6,9.8,10,10.2,10.4,10.6,10.8,10.9,11,11.1,11.2},{0,10,20,30,40,50,60,62,64,66,68,70,72,74,76,78,80,85,90,95,100})</f>
        <v>76</v>
      </c>
      <c r="Q420" s="5">
        <v>3.46</v>
      </c>
      <c r="R420" s="36">
        <f t="shared" si="119"/>
        <v>6.54</v>
      </c>
      <c r="S420" s="29">
        <f>LOOKUP(R420,{0,3.85,4.45,4.65,4.85,5.45,5.65,5.7,5.75,5.8,5.85,5.9,5.95,6,6.45,6.5,6.55,6.63,6.7,6.75,6.8},{0,10,20,30,40,50,60,62,64,66,68,70,72,74,76,78,80,85,90,95,100})</f>
        <v>78</v>
      </c>
      <c r="T420" s="27"/>
      <c r="U420" s="27"/>
      <c r="V420" s="27">
        <f t="shared" si="120"/>
        <v>78</v>
      </c>
      <c r="W420" s="27"/>
      <c r="X420" s="19">
        <f t="shared" si="121"/>
        <v>56.8</v>
      </c>
      <c r="Y420" s="13">
        <f t="shared" si="122"/>
        <v>81.1428571428572</v>
      </c>
    </row>
    <row r="421" ht="15.6" spans="1:25">
      <c r="A421" s="27">
        <v>310</v>
      </c>
      <c r="B421" s="27">
        <v>15</v>
      </c>
      <c r="C421" s="28" t="s">
        <v>473</v>
      </c>
      <c r="D421" s="28" t="s">
        <v>12</v>
      </c>
      <c r="E421" s="27">
        <v>11.6</v>
      </c>
      <c r="F421" s="29">
        <f>LOOKUP(E421,{0,-1.8,-0.8,0.2,1.2,2.2,3.2,4.6,6,7.4,8.8,10.2,11.6,13,14.4,15.8,17.2,19.1,21,22.8,24.6},{0,10,20,30,40,50,60,62,64,66,68,70,72,74,76,78,80,85,90,95,100})</f>
        <v>72</v>
      </c>
      <c r="G421" s="27">
        <v>200</v>
      </c>
      <c r="H421" s="29">
        <f>LOOKUP(G421,{0,180,185,190,195,200,205,209,213,217,221,225,229,233,237,241,245,253,260,265,270},{0,10,20,30,40,50,60,62,64,66,68,70,72,74,76,78,80,85,90,95,100})</f>
        <v>50</v>
      </c>
      <c r="I421" s="27">
        <v>0</v>
      </c>
      <c r="J421" s="29">
        <f>LOOKUP(I421,{0,4,5,6,7,8,9,10,11,12,13,14,15,16,17,18},{0,10,20,30,40,50,60,64,68,72,76,80,85,90,95,100})</f>
        <v>0</v>
      </c>
      <c r="K421" s="44"/>
      <c r="L421" s="35"/>
      <c r="M421" s="35">
        <f t="shared" si="117"/>
        <v>0</v>
      </c>
      <c r="N421" s="35">
        <v>9.5</v>
      </c>
      <c r="O421" s="36">
        <f t="shared" si="118"/>
        <v>8.5</v>
      </c>
      <c r="P421" s="29">
        <f>LOOKUP(O421,{0,7.8,8,8.2,8.4,8.6,8.8,9,9.2,9.4,9.6,9.8,10,10.2,10.4,10.6,10.8,10.9,11,11.1,11.2},{0,10,20,30,40,50,60,62,64,66,68,70,72,74,76,78,80,85,90,95,100})</f>
        <v>40</v>
      </c>
      <c r="Q421" s="5">
        <v>6.33</v>
      </c>
      <c r="R421" s="36">
        <f t="shared" si="119"/>
        <v>3.67</v>
      </c>
      <c r="S421" s="29">
        <f>LOOKUP(R421,{0,3.85,4.45,4.65,4.85,5.45,5.65,5.7,5.75,5.8,5.85,5.9,5.95,6,6.45,6.5,6.55,6.63,6.7,6.75,6.8},{0,10,20,30,40,50,60,62,64,66,68,70,72,74,76,78,80,85,90,95,100})</f>
        <v>0</v>
      </c>
      <c r="T421" s="27"/>
      <c r="U421" s="27"/>
      <c r="V421" s="27">
        <f t="shared" si="120"/>
        <v>0</v>
      </c>
      <c r="W421" s="27"/>
      <c r="X421" s="19">
        <f t="shared" si="121"/>
        <v>20.2</v>
      </c>
      <c r="Y421" s="13">
        <f t="shared" si="122"/>
        <v>28.8571428571429</v>
      </c>
    </row>
    <row r="422" ht="15.6" spans="1:25">
      <c r="A422" s="27">
        <v>310</v>
      </c>
      <c r="B422" s="27">
        <v>16</v>
      </c>
      <c r="C422" s="28" t="s">
        <v>474</v>
      </c>
      <c r="D422" s="28" t="s">
        <v>12</v>
      </c>
      <c r="E422" s="27">
        <v>3.4</v>
      </c>
      <c r="F422" s="29">
        <f>LOOKUP(E422,{0,-1.8,-0.8,0.2,1.2,2.2,3.2,4.6,6,7.4,8.8,10.2,11.6,13,14.4,15.8,17.2,19.1,21,22.8,24.6},{0,10,20,30,40,50,60,62,64,66,68,70,72,74,76,78,80,85,90,95,100})</f>
        <v>60</v>
      </c>
      <c r="G422" s="27">
        <v>202</v>
      </c>
      <c r="H422" s="29">
        <f>LOOKUP(G422,{0,180,185,190,195,200,205,209,213,217,221,225,229,233,237,241,245,253,260,265,270},{0,10,20,30,40,50,60,62,64,66,68,70,72,74,76,78,80,85,90,95,100})</f>
        <v>50</v>
      </c>
      <c r="I422" s="27">
        <v>0</v>
      </c>
      <c r="J422" s="29">
        <f>LOOKUP(I422,{0,4,5,6,7,8,9,10,11,12,13,14,15,16,17,18},{0,10,20,30,40,50,60,64,68,72,76,80,85,90,95,100})</f>
        <v>0</v>
      </c>
      <c r="K422" s="44"/>
      <c r="L422" s="35"/>
      <c r="M422" s="35">
        <f t="shared" si="117"/>
        <v>0</v>
      </c>
      <c r="N422" s="35">
        <v>8.1</v>
      </c>
      <c r="O422" s="36">
        <f t="shared" si="118"/>
        <v>9.9</v>
      </c>
      <c r="P422" s="29">
        <f>LOOKUP(O422,{0,7.8,8,8.2,8.4,8.6,8.8,9,9.2,9.4,9.6,9.8,10,10.2,10.4,10.6,10.8,10.9,11,11.1,11.2},{0,10,20,30,40,50,60,62,64,66,68,70,72,74,76,78,80,85,90,95,100})</f>
        <v>70</v>
      </c>
      <c r="Q422" s="5">
        <v>6.3</v>
      </c>
      <c r="R422" s="36">
        <f t="shared" si="119"/>
        <v>3.7</v>
      </c>
      <c r="S422" s="29">
        <f>LOOKUP(R422,{0,3.85,4.45,4.65,4.85,5.45,5.65,5.7,5.75,5.8,5.85,5.9,5.95,6,6.45,6.5,6.55,6.63,6.7,6.75,6.8},{0,10,20,30,40,50,60,62,64,66,68,70,72,74,76,78,80,85,90,95,100})</f>
        <v>0</v>
      </c>
      <c r="T422" s="27"/>
      <c r="U422" s="27"/>
      <c r="V422" s="27">
        <f t="shared" si="120"/>
        <v>0</v>
      </c>
      <c r="W422" s="27"/>
      <c r="X422" s="19">
        <f t="shared" si="121"/>
        <v>25</v>
      </c>
      <c r="Y422" s="13">
        <f t="shared" si="122"/>
        <v>35.7142857142857</v>
      </c>
    </row>
    <row r="423" ht="15.6" spans="1:25">
      <c r="A423" s="27">
        <v>310</v>
      </c>
      <c r="B423" s="27">
        <v>17</v>
      </c>
      <c r="C423" s="28" t="s">
        <v>475</v>
      </c>
      <c r="D423" s="28" t="s">
        <v>12</v>
      </c>
      <c r="E423" s="27">
        <v>9.4</v>
      </c>
      <c r="F423" s="29">
        <f>LOOKUP(E423,{0,-1.8,-0.8,0.2,1.2,2.2,3.2,4.6,6,7.4,8.8,10.2,11.6,13,14.4,15.8,17.2,19.1,21,22.8,24.6},{0,10,20,30,40,50,60,62,64,66,68,70,72,74,76,78,80,85,90,95,100})</f>
        <v>68</v>
      </c>
      <c r="G423" s="27">
        <v>212</v>
      </c>
      <c r="H423" s="29">
        <f>LOOKUP(G423,{0,180,185,190,195,200,205,209,213,217,221,225,229,233,237,241,245,253,260,265,270},{0,10,20,30,40,50,60,62,64,66,68,70,72,74,76,78,80,85,90,95,100})</f>
        <v>62</v>
      </c>
      <c r="I423" s="27">
        <v>0</v>
      </c>
      <c r="J423" s="29">
        <f>LOOKUP(I423,{0,4,5,6,7,8,9,10,11,12,13,14,15,16,17,18},{0,10,20,30,40,50,60,64,68,72,76,80,85,90,95,100})</f>
        <v>0</v>
      </c>
      <c r="K423" s="44"/>
      <c r="L423" s="35"/>
      <c r="M423" s="35">
        <f t="shared" si="117"/>
        <v>0</v>
      </c>
      <c r="N423" s="35">
        <v>8.4</v>
      </c>
      <c r="O423" s="36">
        <f t="shared" si="118"/>
        <v>9.6</v>
      </c>
      <c r="P423" s="29">
        <f>LOOKUP(O423,{0,7.8,8,8.2,8.4,8.6,8.8,9,9.2,9.4,9.6,9.8,10,10.2,10.4,10.6,10.8,10.9,11,11.1,11.2},{0,10,20,30,40,50,60,62,64,66,68,70,72,74,76,78,80,85,90,95,100})</f>
        <v>68</v>
      </c>
      <c r="Q423" s="5">
        <v>4.3</v>
      </c>
      <c r="R423" s="36">
        <f t="shared" si="119"/>
        <v>5.7</v>
      </c>
      <c r="S423" s="29">
        <f>LOOKUP(R423,{0,3.85,4.45,4.65,4.85,5.45,5.65,5.7,5.75,5.8,5.85,5.9,5.95,6,6.45,6.5,6.55,6.63,6.7,6.75,6.8},{0,10,20,30,40,50,60,62,64,66,68,70,72,74,76,78,80,85,90,95,100})</f>
        <v>62</v>
      </c>
      <c r="T423" s="27"/>
      <c r="U423" s="27"/>
      <c r="V423" s="27">
        <f t="shared" si="120"/>
        <v>62</v>
      </c>
      <c r="W423" s="27"/>
      <c r="X423" s="19">
        <f t="shared" si="121"/>
        <v>39</v>
      </c>
      <c r="Y423" s="13">
        <f t="shared" si="122"/>
        <v>55.7142857142857</v>
      </c>
    </row>
    <row r="424" ht="15.6" spans="1:25">
      <c r="A424" s="27">
        <v>310</v>
      </c>
      <c r="B424" s="27">
        <v>18</v>
      </c>
      <c r="C424" s="28" t="s">
        <v>476</v>
      </c>
      <c r="D424" s="28" t="s">
        <v>12</v>
      </c>
      <c r="E424" s="27">
        <v>0.8</v>
      </c>
      <c r="F424" s="29">
        <f>LOOKUP(E424,{0,-1.8,-0.8,0.2,1.2,2.2,3.2,4.6,6,7.4,8.8,10.2,11.6,13,14.4,15.8,17.2,19.1,21,22.8,24.6},{0,10,20,30,40,50,60,62,64,66,68,70,72,74,76,78,80,85,90,95,100})</f>
        <v>30</v>
      </c>
      <c r="G424" s="27">
        <v>210</v>
      </c>
      <c r="H424" s="29">
        <f>LOOKUP(G424,{0,180,185,190,195,200,205,209,213,217,221,225,229,233,237,241,245,253,260,265,270},{0,10,20,30,40,50,60,62,64,66,68,70,72,74,76,78,80,85,90,95,100})</f>
        <v>62</v>
      </c>
      <c r="I424" s="27">
        <v>0</v>
      </c>
      <c r="J424" s="29">
        <f>LOOKUP(I424,{0,4,5,6,7,8,9,10,11,12,13,14,15,16,17,18},{0,10,20,30,40,50,60,64,68,72,76,80,85,90,95,100})</f>
        <v>0</v>
      </c>
      <c r="K424" s="44"/>
      <c r="L424" s="35"/>
      <c r="M424" s="35">
        <f t="shared" si="117"/>
        <v>0</v>
      </c>
      <c r="N424" s="35">
        <v>8.2</v>
      </c>
      <c r="O424" s="36">
        <f t="shared" si="118"/>
        <v>9.8</v>
      </c>
      <c r="P424" s="29">
        <f>LOOKUP(O424,{0,7.8,8,8.2,8.4,8.6,8.8,9,9.2,9.4,9.6,9.8,10,10.2,10.4,10.6,10.8,10.9,11,11.1,11.2},{0,10,20,30,40,50,60,62,64,66,68,70,72,74,76,78,80,85,90,95,100})</f>
        <v>70</v>
      </c>
      <c r="Q424" s="5">
        <v>6.33</v>
      </c>
      <c r="R424" s="36">
        <f t="shared" si="119"/>
        <v>3.67</v>
      </c>
      <c r="S424" s="29">
        <f>LOOKUP(R424,{0,3.85,4.45,4.65,4.85,5.45,5.65,5.7,5.75,5.8,5.85,5.9,5.95,6,6.45,6.5,6.55,6.63,6.7,6.75,6.8},{0,10,20,30,40,50,60,62,64,66,68,70,72,74,76,78,80,85,90,95,100})</f>
        <v>0</v>
      </c>
      <c r="T424" s="27"/>
      <c r="U424" s="27"/>
      <c r="V424" s="27">
        <f t="shared" si="120"/>
        <v>0</v>
      </c>
      <c r="W424" s="27"/>
      <c r="X424" s="19">
        <f t="shared" si="121"/>
        <v>23.2</v>
      </c>
      <c r="Y424" s="13">
        <f t="shared" si="122"/>
        <v>33.1428571428571</v>
      </c>
    </row>
    <row r="425" ht="15.6" spans="1:25">
      <c r="A425" s="27">
        <v>310</v>
      </c>
      <c r="B425" s="27">
        <v>19</v>
      </c>
      <c r="C425" s="28" t="s">
        <v>477</v>
      </c>
      <c r="D425" s="28" t="s">
        <v>12</v>
      </c>
      <c r="E425" s="27">
        <v>13.5</v>
      </c>
      <c r="F425" s="29">
        <f>LOOKUP(E425,{0,-1.8,-0.8,0.2,1.2,2.2,3.2,4.6,6,7.4,8.8,10.2,11.6,13,14.4,15.8,17.2,19.1,21,22.8,24.6},{0,10,20,30,40,50,60,62,64,66,68,70,72,74,76,78,80,85,90,95,100})</f>
        <v>74</v>
      </c>
      <c r="G425" s="27">
        <v>262</v>
      </c>
      <c r="H425" s="29">
        <f>LOOKUP(G425,{0,180,185,190,195,200,205,209,213,217,221,225,229,233,237,241,245,253,260,265,270},{0,10,20,30,40,50,60,62,64,66,68,70,72,74,76,78,80,85,90,95,100})</f>
        <v>90</v>
      </c>
      <c r="I425" s="27">
        <v>4</v>
      </c>
      <c r="J425" s="29">
        <f>LOOKUP(I425,{0,4,5,6,7,8,9,10,11,12,13,14,15,16,17,18},{0,10,20,30,40,50,60,64,68,72,76,80,85,90,95,100})</f>
        <v>10</v>
      </c>
      <c r="K425" s="44"/>
      <c r="L425" s="35"/>
      <c r="M425" s="35">
        <f t="shared" si="117"/>
        <v>10</v>
      </c>
      <c r="N425" s="35">
        <v>7</v>
      </c>
      <c r="O425" s="36">
        <f t="shared" si="118"/>
        <v>11</v>
      </c>
      <c r="P425" s="29">
        <f>LOOKUP(O425,{0,7.8,8,8.2,8.4,8.6,8.8,9,9.2,9.4,9.6,9.8,10,10.2,10.4,10.6,10.8,10.9,11,11.1,11.2},{0,10,20,30,40,50,60,62,64,66,68,70,72,74,76,78,80,85,90,95,100})</f>
        <v>90</v>
      </c>
      <c r="Q425" s="5">
        <v>4.12</v>
      </c>
      <c r="R425" s="36">
        <f t="shared" si="119"/>
        <v>5.88</v>
      </c>
      <c r="S425" s="29">
        <f>LOOKUP(R425,{0,3.85,4.45,4.65,4.85,5.45,5.65,5.7,5.75,5.8,5.85,5.9,5.95,6,6.45,6.5,6.55,6.63,6.7,6.75,6.8},{0,10,20,30,40,50,60,62,64,66,68,70,72,74,76,78,80,85,90,95,100})</f>
        <v>68</v>
      </c>
      <c r="T425" s="27"/>
      <c r="U425" s="27"/>
      <c r="V425" s="27">
        <f t="shared" si="120"/>
        <v>68</v>
      </c>
      <c r="W425" s="27"/>
      <c r="X425" s="19">
        <f t="shared" si="121"/>
        <v>49</v>
      </c>
      <c r="Y425" s="13">
        <f t="shared" si="122"/>
        <v>70</v>
      </c>
    </row>
    <row r="426" ht="15.6" spans="1:25">
      <c r="A426" s="27">
        <v>310</v>
      </c>
      <c r="B426" s="27">
        <v>20</v>
      </c>
      <c r="C426" s="28" t="s">
        <v>478</v>
      </c>
      <c r="D426" s="28" t="s">
        <v>12</v>
      </c>
      <c r="E426" s="27">
        <v>-4</v>
      </c>
      <c r="F426" s="29">
        <v>0</v>
      </c>
      <c r="G426" s="27">
        <v>263</v>
      </c>
      <c r="H426" s="29">
        <f>LOOKUP(G426,{0,180,185,190,195,200,205,209,213,217,221,225,229,233,237,241,245,253,260,265,270},{0,10,20,30,40,50,60,62,64,66,68,70,72,74,76,78,80,85,90,95,100})</f>
        <v>90</v>
      </c>
      <c r="I426" s="27">
        <v>3</v>
      </c>
      <c r="J426" s="29">
        <f>LOOKUP(I426,{0,4,5,6,7,8,9,10,11,12,13,14,15,16,17,18},{0,10,20,30,40,50,60,64,68,72,76,80,85,90,95,100})</f>
        <v>0</v>
      </c>
      <c r="K426" s="44"/>
      <c r="L426" s="35"/>
      <c r="M426" s="35">
        <f t="shared" si="117"/>
        <v>0</v>
      </c>
      <c r="N426" s="35">
        <v>8.1</v>
      </c>
      <c r="O426" s="36">
        <f t="shared" si="118"/>
        <v>9.9</v>
      </c>
      <c r="P426" s="29">
        <f>LOOKUP(O426,{0,7.8,8,8.2,8.4,8.6,8.8,9,9.2,9.4,9.6,9.8,10,10.2,10.4,10.6,10.8,10.9,11,11.1,11.2},{0,10,20,30,40,50,60,62,64,66,68,70,72,74,76,78,80,85,90,95,100})</f>
        <v>70</v>
      </c>
      <c r="Q426" s="5">
        <v>4.27</v>
      </c>
      <c r="R426" s="36">
        <f t="shared" si="119"/>
        <v>5.73</v>
      </c>
      <c r="S426" s="29">
        <f>LOOKUP(R426,{0,3.85,4.45,4.65,4.85,5.45,5.65,5.7,5.75,5.8,5.85,5.9,5.95,6,6.45,6.5,6.55,6.63,6.7,6.75,6.8},{0,10,20,30,40,50,60,62,64,66,68,70,72,74,76,78,80,85,90,95,100})</f>
        <v>62</v>
      </c>
      <c r="T426" s="27"/>
      <c r="U426" s="27"/>
      <c r="V426" s="27">
        <f t="shared" si="120"/>
        <v>62</v>
      </c>
      <c r="W426" s="27"/>
      <c r="X426" s="19">
        <f t="shared" si="121"/>
        <v>35.4</v>
      </c>
      <c r="Y426" s="13">
        <f t="shared" si="122"/>
        <v>50.5714285714286</v>
      </c>
    </row>
    <row r="427" ht="15.6" spans="1:25">
      <c r="A427" s="27">
        <v>310</v>
      </c>
      <c r="B427" s="27">
        <v>21</v>
      </c>
      <c r="C427" s="30" t="s">
        <v>480</v>
      </c>
      <c r="D427" s="28" t="s">
        <v>12</v>
      </c>
      <c r="E427" s="27">
        <v>14</v>
      </c>
      <c r="F427" s="29">
        <f>LOOKUP(E427,{0,-1.8,-0.8,0.2,1.2,2.2,3.2,4.6,6,7.4,8.8,10.2,11.6,13,14.4,15.8,17.2,19.1,21,22.8,24.6},{0,10,20,30,40,50,60,62,64,66,68,70,72,74,76,78,80,85,90,95,100})</f>
        <v>74</v>
      </c>
      <c r="G427" s="27">
        <v>230</v>
      </c>
      <c r="H427" s="29">
        <f>LOOKUP(G427,{0,180,185,190,195,200,205,209,213,217,221,225,229,233,237,241,245,253,260,265,270},{0,10,20,30,40,50,60,62,64,66,68,70,72,74,76,78,80,85,90,95,100})</f>
        <v>72</v>
      </c>
      <c r="I427" s="27">
        <v>14</v>
      </c>
      <c r="J427" s="29">
        <f>LOOKUP(I427,{0,4,5,6,7,8,9,10,11,12,13,14,15,16,17,18},{0,10,20,30,40,50,60,64,68,72,76,80,85,90,95,100})</f>
        <v>80</v>
      </c>
      <c r="K427" s="44"/>
      <c r="L427" s="35"/>
      <c r="M427" s="35">
        <f t="shared" si="117"/>
        <v>80</v>
      </c>
      <c r="N427" s="35">
        <v>7.4</v>
      </c>
      <c r="O427" s="36">
        <f t="shared" si="118"/>
        <v>10.6</v>
      </c>
      <c r="P427" s="29">
        <f>LOOKUP(O427,{0,7.8,8,8.2,8.4,8.6,8.8,9,9.2,9.4,9.6,9.8,10,10.2,10.4,10.6,10.8,10.9,11,11.1,11.2},{0,10,20,30,40,50,60,62,64,66,68,70,72,74,76,78,80,85,90,95,100})</f>
        <v>78</v>
      </c>
      <c r="Q427" s="5">
        <v>6.12</v>
      </c>
      <c r="R427" s="36">
        <f t="shared" si="119"/>
        <v>3.88</v>
      </c>
      <c r="S427" s="29">
        <f>LOOKUP(R427,{0,3.85,4.45,4.65,4.85,5.45,5.65,5.7,5.75,5.8,5.85,5.9,5.95,6,6.45,6.5,6.55,6.63,6.7,6.75,6.8},{0,10,20,30,40,50,60,62,64,66,68,70,72,74,76,78,80,85,90,95,100})</f>
        <v>10</v>
      </c>
      <c r="T427" s="27"/>
      <c r="U427" s="27"/>
      <c r="V427" s="27">
        <f t="shared" si="120"/>
        <v>10</v>
      </c>
      <c r="W427" s="27"/>
      <c r="X427" s="19">
        <f t="shared" si="121"/>
        <v>40.2</v>
      </c>
      <c r="Y427" s="13">
        <f t="shared" si="122"/>
        <v>57.4285714285714</v>
      </c>
    </row>
    <row r="428" ht="15.6" spans="1:25">
      <c r="A428" s="27">
        <v>310</v>
      </c>
      <c r="B428" s="27">
        <v>22</v>
      </c>
      <c r="C428" s="28" t="s">
        <v>481</v>
      </c>
      <c r="D428" s="28" t="s">
        <v>12</v>
      </c>
      <c r="E428" s="27">
        <v>13</v>
      </c>
      <c r="F428" s="29">
        <f>LOOKUP(E428,{0,-1.8,-0.8,0.2,1.2,2.2,3.2,4.6,6,7.4,8.8,10.2,11.6,13,14.4,15.8,17.2,19.1,21,22.8,24.6},{0,10,20,30,40,50,60,62,64,66,68,70,72,74,76,78,80,85,90,95,100})</f>
        <v>74</v>
      </c>
      <c r="G428" s="27">
        <v>230</v>
      </c>
      <c r="H428" s="29">
        <f>LOOKUP(G428,{0,180,185,190,195,200,205,209,213,217,221,225,229,233,237,241,245,253,260,265,270},{0,10,20,30,40,50,60,62,64,66,68,70,72,74,76,78,80,85,90,95,100})</f>
        <v>72</v>
      </c>
      <c r="I428" s="27">
        <v>6</v>
      </c>
      <c r="J428" s="29">
        <f>LOOKUP(I428,{0,4,5,6,7,8,9,10,11,12,13,14,15,16,17,18},{0,10,20,30,40,50,60,64,68,72,76,80,85,90,95,100})</f>
        <v>30</v>
      </c>
      <c r="K428" s="44"/>
      <c r="L428" s="35"/>
      <c r="M428" s="35">
        <f t="shared" si="117"/>
        <v>30</v>
      </c>
      <c r="N428" s="35">
        <v>7.6</v>
      </c>
      <c r="O428" s="36">
        <f t="shared" si="118"/>
        <v>10.4</v>
      </c>
      <c r="P428" s="29">
        <f>LOOKUP(O428,{0,7.8,8,8.2,8.4,8.6,8.8,9,9.2,9.4,9.6,9.8,10,10.2,10.4,10.6,10.8,10.9,11,11.1,11.2},{0,10,20,30,40,50,60,62,64,66,68,70,72,74,76,78,80,85,90,95,100})</f>
        <v>76</v>
      </c>
      <c r="Q428" s="5">
        <v>4.19</v>
      </c>
      <c r="R428" s="36">
        <f t="shared" si="119"/>
        <v>5.81</v>
      </c>
      <c r="S428" s="29">
        <f>LOOKUP(R428,{0,3.85,4.45,4.65,4.85,5.45,5.65,5.7,5.75,5.8,5.85,5.9,5.95,6,6.45,6.5,6.55,6.63,6.7,6.75,6.8},{0,10,20,30,40,50,60,62,64,66,68,70,72,74,76,78,80,85,90,95,100})</f>
        <v>66</v>
      </c>
      <c r="T428" s="27"/>
      <c r="U428" s="27"/>
      <c r="V428" s="27">
        <f t="shared" si="120"/>
        <v>66</v>
      </c>
      <c r="W428" s="27"/>
      <c r="X428" s="19">
        <f t="shared" si="121"/>
        <v>46</v>
      </c>
      <c r="Y428" s="13">
        <f t="shared" si="122"/>
        <v>65.7142857142857</v>
      </c>
    </row>
    <row r="429" ht="15.6" spans="1:25">
      <c r="A429" s="27">
        <v>310</v>
      </c>
      <c r="B429" s="27">
        <v>23</v>
      </c>
      <c r="C429" s="28" t="s">
        <v>482</v>
      </c>
      <c r="D429" s="28" t="s">
        <v>12</v>
      </c>
      <c r="E429" s="27">
        <v>22.5</v>
      </c>
      <c r="F429" s="29">
        <f>LOOKUP(E429,{0,-1.8,-0.8,0.2,1.2,2.2,3.2,4.6,6,7.4,8.8,10.2,11.6,13,14.4,15.8,17.2,19.1,21,22.8,24.6},{0,10,20,30,40,50,60,62,64,66,68,70,72,74,76,78,80,85,90,95,100})</f>
        <v>90</v>
      </c>
      <c r="G429" s="27">
        <v>250</v>
      </c>
      <c r="H429" s="29">
        <f>LOOKUP(G429,{0,180,185,190,195,200,205,209,213,217,221,225,229,233,237,241,245,253,260,265,270},{0,10,20,30,40,50,60,62,64,66,68,70,72,74,76,78,80,85,90,95,100})</f>
        <v>80</v>
      </c>
      <c r="I429" s="27">
        <v>21</v>
      </c>
      <c r="J429" s="29">
        <f>LOOKUP(I429,{0,4,5,6,7,8,9,10,11,12,13,14,15,16,17,18},{0,10,20,30,40,50,60,64,68,72,76,80,85,90,95,100})</f>
        <v>100</v>
      </c>
      <c r="K429" s="44">
        <f>I429-18</f>
        <v>3</v>
      </c>
      <c r="L429" s="29">
        <f>LOOKUP(K429,{0,1,2,3,4,5,6,7,8,9,10},{0,1,2,3,4,5,6,7,8,9,10})</f>
        <v>3</v>
      </c>
      <c r="M429" s="35">
        <f t="shared" si="117"/>
        <v>103</v>
      </c>
      <c r="N429" s="35">
        <v>7.1</v>
      </c>
      <c r="O429" s="36">
        <f t="shared" si="118"/>
        <v>10.9</v>
      </c>
      <c r="P429" s="29">
        <f>LOOKUP(O429,{0,7.8,8,8.2,8.4,8.6,8.8,9,9.2,9.4,9.6,9.8,10,10.2,10.4,10.6,10.8,10.9,11,11.1,11.2},{0,10,20,30,40,50,60,62,64,66,68,70,72,74,76,78,80,85,90,95,100})</f>
        <v>85</v>
      </c>
      <c r="Q429" s="5">
        <v>3.41</v>
      </c>
      <c r="R429" s="36">
        <f t="shared" si="119"/>
        <v>6.59</v>
      </c>
      <c r="S429" s="29">
        <f>LOOKUP(R429,{0,3.85,4.45,4.65,4.85,5.45,5.65,5.7,5.75,5.8,5.85,5.9,5.95,6,6.45,6.5,6.55,6.63,6.7,6.75,6.8},{0,10,20,30,40,50,60,62,64,66,68,70,72,74,76,78,80,85,90,95,100})</f>
        <v>80</v>
      </c>
      <c r="T429" s="27"/>
      <c r="U429" s="27"/>
      <c r="V429" s="27">
        <f t="shared" si="120"/>
        <v>80</v>
      </c>
      <c r="W429" s="27"/>
      <c r="X429" s="19">
        <f t="shared" si="121"/>
        <v>60</v>
      </c>
      <c r="Y429" s="13">
        <f t="shared" si="122"/>
        <v>88.7142857142857</v>
      </c>
    </row>
    <row r="430" ht="15.6" spans="1:25">
      <c r="A430" s="27">
        <v>310</v>
      </c>
      <c r="B430" s="27">
        <v>24</v>
      </c>
      <c r="C430" s="28" t="s">
        <v>483</v>
      </c>
      <c r="D430" s="28" t="s">
        <v>12</v>
      </c>
      <c r="E430" s="27">
        <v>26.5</v>
      </c>
      <c r="F430" s="29">
        <f>LOOKUP(E430,{0,-1.8,-0.8,0.2,1.2,2.2,3.2,4.6,6,7.4,8.8,10.2,11.6,13,14.4,15.8,17.2,19.1,21,22.8,24.6},{0,10,20,30,40,50,60,62,64,66,68,70,72,74,76,78,80,85,90,95,100})</f>
        <v>100</v>
      </c>
      <c r="G430" s="27">
        <v>232</v>
      </c>
      <c r="H430" s="29">
        <f>LOOKUP(G430,{0,180,185,190,195,200,205,209,213,217,221,225,229,233,237,241,245,253,260,265,270},{0,10,20,30,40,50,60,62,64,66,68,70,72,74,76,78,80,85,90,95,100})</f>
        <v>72</v>
      </c>
      <c r="I430" s="27">
        <v>7</v>
      </c>
      <c r="J430" s="29">
        <f>LOOKUP(I430,{0,4,5,6,7,8,9,10,11,12,13,14,15,16,17,18},{0,10,20,30,40,50,60,64,68,72,76,80,85,90,95,100})</f>
        <v>40</v>
      </c>
      <c r="K430" s="44"/>
      <c r="L430" s="35"/>
      <c r="M430" s="35">
        <f t="shared" si="117"/>
        <v>40</v>
      </c>
      <c r="N430" s="35">
        <v>7.7</v>
      </c>
      <c r="O430" s="36">
        <f t="shared" si="118"/>
        <v>10.3</v>
      </c>
      <c r="P430" s="29">
        <f>LOOKUP(O430,{0,7.8,8,8.2,8.4,8.6,8.8,9,9.2,9.4,9.6,9.8,10,10.2,10.4,10.6,10.8,10.9,11,11.1,11.2},{0,10,20,30,40,50,60,62,64,66,68,70,72,74,76,78,80,85,90,95,100})</f>
        <v>74</v>
      </c>
      <c r="Q430" s="5">
        <v>4.3</v>
      </c>
      <c r="R430" s="36">
        <f t="shared" si="119"/>
        <v>5.7</v>
      </c>
      <c r="S430" s="29">
        <f>LOOKUP(R430,{0,3.85,4.45,4.65,4.85,5.45,5.65,5.7,5.75,5.8,5.85,5.9,5.95,6,6.45,6.5,6.55,6.63,6.7,6.75,6.8},{0,10,20,30,40,50,60,62,64,66,68,70,72,74,76,78,80,85,90,95,100})</f>
        <v>62</v>
      </c>
      <c r="T430" s="27"/>
      <c r="U430" s="27"/>
      <c r="V430" s="27">
        <f t="shared" si="120"/>
        <v>62</v>
      </c>
      <c r="W430" s="27"/>
      <c r="X430" s="19">
        <f t="shared" si="121"/>
        <v>48.4</v>
      </c>
      <c r="Y430" s="13">
        <f t="shared" si="122"/>
        <v>69.1428571428571</v>
      </c>
    </row>
    <row r="431" ht="15.6" spans="1:25">
      <c r="A431" s="27">
        <v>310</v>
      </c>
      <c r="B431" s="27">
        <v>25</v>
      </c>
      <c r="C431" s="28" t="s">
        <v>484</v>
      </c>
      <c r="D431" s="28" t="s">
        <v>12</v>
      </c>
      <c r="E431" s="27">
        <v>15</v>
      </c>
      <c r="F431" s="29">
        <f>LOOKUP(E431,{0,-1.8,-0.8,0.2,1.2,2.2,3.2,4.6,6,7.4,8.8,10.2,11.6,13,14.4,15.8,17.2,19.1,21,22.8,24.6},{0,10,20,30,40,50,60,62,64,66,68,70,72,74,76,78,80,85,90,95,100})</f>
        <v>76</v>
      </c>
      <c r="G431" s="27">
        <v>232</v>
      </c>
      <c r="H431" s="29">
        <f>LOOKUP(G431,{0,180,185,190,195,200,205,209,213,217,221,225,229,233,237,241,245,253,260,265,270},{0,10,20,30,40,50,60,62,64,66,68,70,72,74,76,78,80,85,90,95,100})</f>
        <v>72</v>
      </c>
      <c r="I431" s="27">
        <v>5</v>
      </c>
      <c r="J431" s="29">
        <f>LOOKUP(I431,{0,4,5,6,7,8,9,10,11,12,13,14,15,16,17,18},{0,10,20,30,40,50,60,64,68,72,76,80,85,90,95,100})</f>
        <v>20</v>
      </c>
      <c r="K431" s="44"/>
      <c r="L431" s="35"/>
      <c r="M431" s="35">
        <f t="shared" si="117"/>
        <v>20</v>
      </c>
      <c r="N431" s="35">
        <v>7</v>
      </c>
      <c r="O431" s="36">
        <f t="shared" si="118"/>
        <v>11</v>
      </c>
      <c r="P431" s="29">
        <f>LOOKUP(O431,{0,7.8,8,8.2,8.4,8.6,8.8,9,9.2,9.4,9.6,9.8,10,10.2,10.4,10.6,10.8,10.9,11,11.1,11.2},{0,10,20,30,40,50,60,62,64,66,68,70,72,74,76,78,80,85,90,95,100})</f>
        <v>90</v>
      </c>
      <c r="Q431" s="5">
        <v>3.33</v>
      </c>
      <c r="R431" s="36">
        <f t="shared" si="119"/>
        <v>6.67</v>
      </c>
      <c r="S431" s="29">
        <f>LOOKUP(R431,{0,3.85,4.45,4.65,4.85,5.45,5.65,5.7,5.75,5.8,5.85,5.9,5.95,6,6.45,6.5,6.55,6.63,6.7,6.75,6.8},{0,10,20,30,40,50,60,62,64,66,68,70,72,74,76,78,80,85,90,95,100})</f>
        <v>85</v>
      </c>
      <c r="T431" s="27"/>
      <c r="U431" s="27"/>
      <c r="V431" s="27">
        <f t="shared" si="120"/>
        <v>85</v>
      </c>
      <c r="W431" s="27"/>
      <c r="X431" s="19">
        <f t="shared" si="121"/>
        <v>51.8</v>
      </c>
      <c r="Y431" s="13">
        <f t="shared" si="122"/>
        <v>74</v>
      </c>
    </row>
    <row r="432" ht="15.6" spans="1:25">
      <c r="A432" s="27">
        <v>310</v>
      </c>
      <c r="B432" s="27">
        <v>26</v>
      </c>
      <c r="C432" s="28" t="s">
        <v>485</v>
      </c>
      <c r="D432" s="28" t="s">
        <v>12</v>
      </c>
      <c r="E432" s="27">
        <v>18</v>
      </c>
      <c r="F432" s="29">
        <f>LOOKUP(E432,{0,-1.8,-0.8,0.2,1.2,2.2,3.2,4.6,6,7.4,8.8,10.2,11.6,13,14.4,15.8,17.2,19.1,21,22.8,24.6},{0,10,20,30,40,50,60,62,64,66,68,70,72,74,76,78,80,85,90,95,100})</f>
        <v>80</v>
      </c>
      <c r="G432" s="27">
        <v>238</v>
      </c>
      <c r="H432" s="29">
        <f>LOOKUP(G432,{0,180,185,190,195,200,205,209,213,217,221,225,229,233,237,241,245,253,260,265,270},{0,10,20,30,40,50,60,62,64,66,68,70,72,74,76,78,80,85,90,95,100})</f>
        <v>76</v>
      </c>
      <c r="I432" s="27">
        <v>18</v>
      </c>
      <c r="J432" s="29">
        <f>LOOKUP(I432,{0,4,5,6,7,8,9,10,11,12,13,14,15,16,17,18},{0,10,20,30,40,50,60,64,68,72,76,80,85,90,95,100})</f>
        <v>100</v>
      </c>
      <c r="K432" s="44"/>
      <c r="L432" s="35"/>
      <c r="M432" s="35">
        <f t="shared" si="117"/>
        <v>100</v>
      </c>
      <c r="N432" s="35">
        <v>8.9</v>
      </c>
      <c r="O432" s="36">
        <f t="shared" si="118"/>
        <v>9.1</v>
      </c>
      <c r="P432" s="29">
        <f>LOOKUP(O432,{0,7.8,8,8.2,8.4,8.6,8.8,9,9.2,9.4,9.6,9.8,10,10.2,10.4,10.6,10.8,10.9,11,11.1,11.2},{0,10,20,30,40,50,60,62,64,66,68,70,72,74,76,78,80,85,90,95,100})</f>
        <v>62</v>
      </c>
      <c r="Q432" s="5">
        <v>5.03</v>
      </c>
      <c r="R432" s="36">
        <f t="shared" si="119"/>
        <v>4.97</v>
      </c>
      <c r="S432" s="29">
        <f>LOOKUP(R432,{0,3.85,4.45,4.65,4.85,5.45,5.65,5.7,5.75,5.8,5.85,5.9,5.95,6,6.45,6.5,6.55,6.63,6.7,6.75,6.8},{0,10,20,30,40,50,60,62,64,66,68,70,72,74,76,78,80,85,90,95,100})</f>
        <v>40</v>
      </c>
      <c r="T432" s="27"/>
      <c r="U432" s="27"/>
      <c r="V432" s="27">
        <f t="shared" si="120"/>
        <v>40</v>
      </c>
      <c r="W432" s="27"/>
      <c r="X432" s="19">
        <f t="shared" si="121"/>
        <v>46</v>
      </c>
      <c r="Y432" s="13">
        <f t="shared" si="122"/>
        <v>65.7142857142857</v>
      </c>
    </row>
    <row r="433" ht="15.6" spans="1:25">
      <c r="A433" s="27">
        <v>310</v>
      </c>
      <c r="B433" s="27">
        <v>27</v>
      </c>
      <c r="C433" s="28" t="s">
        <v>486</v>
      </c>
      <c r="D433" s="28" t="s">
        <v>12</v>
      </c>
      <c r="E433" s="27">
        <v>-8</v>
      </c>
      <c r="F433" s="29">
        <v>0</v>
      </c>
      <c r="G433" s="27">
        <v>210</v>
      </c>
      <c r="H433" s="29">
        <f>LOOKUP(G433,{0,180,185,190,195,200,205,209,213,217,221,225,229,233,237,241,245,253,260,265,270},{0,10,20,30,40,50,60,62,64,66,68,70,72,74,76,78,80,85,90,95,100})</f>
        <v>62</v>
      </c>
      <c r="I433" s="27">
        <v>0</v>
      </c>
      <c r="J433" s="29">
        <f>LOOKUP(I433,{0,4,5,6,7,8,9,10,11,12,13,14,15,16,17,18},{0,10,20,30,40,50,60,64,68,72,76,80,85,90,95,100})</f>
        <v>0</v>
      </c>
      <c r="K433" s="44"/>
      <c r="L433" s="35"/>
      <c r="M433" s="35">
        <f t="shared" si="117"/>
        <v>0</v>
      </c>
      <c r="N433" s="35">
        <v>7.7</v>
      </c>
      <c r="O433" s="36">
        <f t="shared" si="118"/>
        <v>10.3</v>
      </c>
      <c r="P433" s="29">
        <f>LOOKUP(O433,{0,7.8,8,8.2,8.4,8.6,8.8,9,9.2,9.4,9.6,9.8,10,10.2,10.4,10.6,10.8,10.9,11,11.1,11.2},{0,10,20,30,40,50,60,62,64,66,68,70,72,74,76,78,80,85,90,95,100})</f>
        <v>74</v>
      </c>
      <c r="Q433" s="5">
        <v>6.12</v>
      </c>
      <c r="R433" s="36">
        <f t="shared" si="119"/>
        <v>3.88</v>
      </c>
      <c r="S433" s="29">
        <f>LOOKUP(R433,{0,3.85,4.45,4.65,4.85,5.45,5.65,5.7,5.75,5.8,5.85,5.9,5.95,6,6.45,6.5,6.55,6.63,6.7,6.75,6.8},{0,10,20,30,40,50,60,62,64,66,68,70,72,74,76,78,80,85,90,95,100})</f>
        <v>10</v>
      </c>
      <c r="T433" s="27"/>
      <c r="U433" s="27"/>
      <c r="V433" s="27">
        <f t="shared" si="120"/>
        <v>10</v>
      </c>
      <c r="W433" s="27"/>
      <c r="X433" s="19">
        <f t="shared" si="121"/>
        <v>23</v>
      </c>
      <c r="Y433" s="13">
        <f t="shared" si="122"/>
        <v>32.8571428571429</v>
      </c>
    </row>
    <row r="434" ht="15.6" spans="1:25">
      <c r="A434" s="27">
        <v>310</v>
      </c>
      <c r="B434" s="27">
        <v>28</v>
      </c>
      <c r="C434" s="28" t="s">
        <v>487</v>
      </c>
      <c r="D434" s="28" t="s">
        <v>12</v>
      </c>
      <c r="E434" s="27">
        <v>15.7</v>
      </c>
      <c r="F434" s="29">
        <f>LOOKUP(E434,{0,-1.8,-0.8,0.2,1.2,2.2,3.2,4.6,6,7.4,8.8,10.2,11.6,13,14.4,15.8,17.2,19.1,21,22.8,24.6},{0,10,20,30,40,50,60,62,64,66,68,70,72,74,76,78,80,85,90,95,100})</f>
        <v>76</v>
      </c>
      <c r="G434" s="27">
        <v>245</v>
      </c>
      <c r="H434" s="29">
        <f>LOOKUP(G434,{0,180,185,190,195,200,205,209,213,217,221,225,229,233,237,241,245,253,260,265,270},{0,10,20,30,40,50,60,62,64,66,68,70,72,74,76,78,80,85,90,95,100})</f>
        <v>80</v>
      </c>
      <c r="I434" s="27">
        <v>21</v>
      </c>
      <c r="J434" s="29">
        <f>LOOKUP(I434,{0,4,5,6,7,8,9,10,11,12,13,14,15,16,17,18},{0,10,20,30,40,50,60,64,68,72,76,80,85,90,95,100})</f>
        <v>100</v>
      </c>
      <c r="K434" s="44">
        <f>I434-18</f>
        <v>3</v>
      </c>
      <c r="L434" s="29">
        <f>LOOKUP(K434,{0,1,2,3,4,5,6,7,8,9,10},{0,1,2,3,4,5,6,7,8,9,10})</f>
        <v>3</v>
      </c>
      <c r="M434" s="35">
        <f t="shared" si="117"/>
        <v>103</v>
      </c>
      <c r="N434" s="35">
        <v>7.3</v>
      </c>
      <c r="O434" s="36">
        <f t="shared" si="118"/>
        <v>10.7</v>
      </c>
      <c r="P434" s="29">
        <f>LOOKUP(O434,{0,7.8,8,8.2,8.4,8.6,8.8,9,9.2,9.4,9.6,9.8,10,10.2,10.4,10.6,10.8,10.9,11,11.1,11.2},{0,10,20,30,40,50,60,62,64,66,68,70,72,74,76,78,80,85,90,95,100})</f>
        <v>78</v>
      </c>
      <c r="Q434" s="5">
        <v>4.24</v>
      </c>
      <c r="R434" s="36">
        <f t="shared" si="119"/>
        <v>5.76</v>
      </c>
      <c r="S434" s="29">
        <f>LOOKUP(R434,{0,3.85,4.45,4.65,4.85,5.45,5.65,5.7,5.75,5.8,5.85,5.9,5.95,6,6.45,6.5,6.55,6.63,6.7,6.75,6.8},{0,10,20,30,40,50,60,62,64,66,68,70,72,74,76,78,80,85,90,95,100})</f>
        <v>64</v>
      </c>
      <c r="T434" s="27"/>
      <c r="U434" s="27"/>
      <c r="V434" s="27">
        <f t="shared" si="120"/>
        <v>64</v>
      </c>
      <c r="W434" s="27"/>
      <c r="X434" s="19">
        <f t="shared" si="121"/>
        <v>54</v>
      </c>
      <c r="Y434" s="13">
        <f t="shared" si="122"/>
        <v>80.1428571428572</v>
      </c>
    </row>
    <row r="435" ht="15.6" spans="1:25">
      <c r="A435" s="27">
        <v>310</v>
      </c>
      <c r="B435" s="27">
        <v>29</v>
      </c>
      <c r="C435" s="28" t="s">
        <v>488</v>
      </c>
      <c r="D435" s="28" t="s">
        <v>12</v>
      </c>
      <c r="E435" s="27">
        <v>22.5</v>
      </c>
      <c r="F435" s="29">
        <f>LOOKUP(E435,{0,-1.8,-0.8,0.2,1.2,2.2,3.2,4.6,6,7.4,8.8,10.2,11.6,13,14.4,15.8,17.2,19.1,21,22.8,24.6},{0,10,20,30,40,50,60,62,64,66,68,70,72,74,76,78,80,85,90,95,100})</f>
        <v>90</v>
      </c>
      <c r="G435" s="27">
        <v>230</v>
      </c>
      <c r="H435" s="29">
        <f>LOOKUP(G435,{0,180,185,190,195,200,205,209,213,217,221,225,229,233,237,241,245,253,260,265,270},{0,10,20,30,40,50,60,62,64,66,68,70,72,74,76,78,80,85,90,95,100})</f>
        <v>72</v>
      </c>
      <c r="I435" s="27">
        <v>3</v>
      </c>
      <c r="J435" s="29">
        <f>LOOKUP(I435,{0,4,5,6,7,8,9,10,11,12,13,14,15,16,17,18},{0,10,20,30,40,50,60,64,68,72,76,80,85,90,95,100})</f>
        <v>0</v>
      </c>
      <c r="K435" s="44"/>
      <c r="L435" s="35"/>
      <c r="M435" s="35">
        <f t="shared" si="117"/>
        <v>0</v>
      </c>
      <c r="N435" s="35">
        <v>7.5</v>
      </c>
      <c r="O435" s="36">
        <f t="shared" si="118"/>
        <v>10.5</v>
      </c>
      <c r="P435" s="29">
        <f>LOOKUP(O435,{0,7.8,8,8.2,8.4,8.6,8.8,9,9.2,9.4,9.6,9.8,10,10.2,10.4,10.6,10.8,10.9,11,11.1,11.2},{0,10,20,30,40,50,60,62,64,66,68,70,72,74,76,78,80,85,90,95,100})</f>
        <v>76</v>
      </c>
      <c r="Q435" s="5">
        <v>4.06</v>
      </c>
      <c r="R435" s="36">
        <f t="shared" si="119"/>
        <v>5.94</v>
      </c>
      <c r="S435" s="29">
        <f>LOOKUP(R435,{0,3.85,4.45,4.65,4.85,5.45,5.65,5.7,5.75,5.8,5.85,5.9,5.95,6,6.45,6.5,6.55,6.63,6.7,6.75,6.8},{0,10,20,30,40,50,60,62,64,66,68,70,72,74,76,78,80,85,90,95,100})</f>
        <v>70</v>
      </c>
      <c r="T435" s="27"/>
      <c r="U435" s="27"/>
      <c r="V435" s="27">
        <f t="shared" si="120"/>
        <v>70</v>
      </c>
      <c r="W435" s="27"/>
      <c r="X435" s="19">
        <f t="shared" si="121"/>
        <v>45.4</v>
      </c>
      <c r="Y435" s="13">
        <f t="shared" si="122"/>
        <v>64.8571428571429</v>
      </c>
    </row>
    <row r="436" ht="15.6" spans="1:25">
      <c r="A436" s="27">
        <v>310</v>
      </c>
      <c r="B436" s="27">
        <v>30</v>
      </c>
      <c r="C436" s="28" t="s">
        <v>489</v>
      </c>
      <c r="D436" s="28" t="s">
        <v>12</v>
      </c>
      <c r="E436" s="27">
        <v>10.5</v>
      </c>
      <c r="F436" s="29">
        <f>LOOKUP(E436,{0,-1.8,-0.8,0.2,1.2,2.2,3.2,4.6,6,7.4,8.8,10.2,11.6,13,14.4,15.8,17.2,19.1,21,22.8,24.6},{0,10,20,30,40,50,60,62,64,66,68,70,72,74,76,78,80,85,90,95,100})</f>
        <v>70</v>
      </c>
      <c r="G436" s="27">
        <v>218</v>
      </c>
      <c r="H436" s="29">
        <f>LOOKUP(G436,{0,180,185,190,195,200,205,209,213,217,221,225,229,233,237,241,245,253,260,265,270},{0,10,20,30,40,50,60,62,64,66,68,70,72,74,76,78,80,85,90,95,100})</f>
        <v>66</v>
      </c>
      <c r="I436" s="27">
        <v>0</v>
      </c>
      <c r="J436" s="29">
        <f>LOOKUP(I436,{0,4,5,6,7,8,9,10,11,12,13,14,15,16,17,18},{0,10,20,30,40,50,60,64,68,72,76,80,85,90,95,100})</f>
        <v>0</v>
      </c>
      <c r="K436" s="44"/>
      <c r="L436" s="35"/>
      <c r="M436" s="35">
        <f t="shared" si="117"/>
        <v>0</v>
      </c>
      <c r="N436" s="35">
        <v>7.4</v>
      </c>
      <c r="O436" s="36">
        <f t="shared" si="118"/>
        <v>10.6</v>
      </c>
      <c r="P436" s="29">
        <f>LOOKUP(O436,{0,7.8,8,8.2,8.4,8.6,8.8,9,9.2,9.4,9.6,9.8,10,10.2,10.4,10.6,10.8,10.9,11,11.1,11.2},{0,10,20,30,40,50,60,62,64,66,68,70,72,74,76,78,80,85,90,95,100})</f>
        <v>78</v>
      </c>
      <c r="Q436" s="5">
        <v>4.24</v>
      </c>
      <c r="R436" s="36">
        <f t="shared" si="119"/>
        <v>5.76</v>
      </c>
      <c r="S436" s="29">
        <f>LOOKUP(R436,{0,3.85,4.45,4.65,4.85,5.45,5.65,5.7,5.75,5.8,5.85,5.9,5.95,6,6.45,6.5,6.55,6.63,6.7,6.75,6.8},{0,10,20,30,40,50,60,62,64,66,68,70,72,74,76,78,80,85,90,95,100})</f>
        <v>64</v>
      </c>
      <c r="T436" s="27"/>
      <c r="U436" s="27"/>
      <c r="V436" s="27">
        <f t="shared" si="120"/>
        <v>64</v>
      </c>
      <c r="W436" s="27"/>
      <c r="X436" s="19">
        <f t="shared" si="121"/>
        <v>42</v>
      </c>
      <c r="Y436" s="13">
        <f t="shared" si="122"/>
        <v>60</v>
      </c>
    </row>
    <row r="437" ht="15.6" spans="1:25">
      <c r="A437" s="27">
        <v>310</v>
      </c>
      <c r="B437" s="27">
        <v>31</v>
      </c>
      <c r="C437" s="28" t="s">
        <v>490</v>
      </c>
      <c r="D437" s="28" t="s">
        <v>12</v>
      </c>
      <c r="E437" s="27">
        <v>11</v>
      </c>
      <c r="F437" s="29">
        <f>LOOKUP(E437,{0,-1.8,-0.8,0.2,1.2,2.2,3.2,4.6,6,7.4,8.8,10.2,11.6,13,14.4,15.8,17.2,19.1,21,22.8,24.6},{0,10,20,30,40,50,60,62,64,66,68,70,72,74,76,78,80,85,90,95,100})</f>
        <v>70</v>
      </c>
      <c r="G437" s="27">
        <v>245</v>
      </c>
      <c r="H437" s="29">
        <f>LOOKUP(G437,{0,180,185,190,195,200,205,209,213,217,221,225,229,233,237,241,245,253,260,265,270},{0,10,20,30,40,50,60,62,64,66,68,70,72,74,76,78,80,85,90,95,100})</f>
        <v>80</v>
      </c>
      <c r="I437" s="27">
        <v>10</v>
      </c>
      <c r="J437" s="29">
        <f>LOOKUP(I437,{0,4,5,6,7,8,9,10,11,12,13,14,15,16,17,18},{0,10,20,30,40,50,60,64,68,72,76,80,85,90,95,100})</f>
        <v>64</v>
      </c>
      <c r="K437" s="44"/>
      <c r="L437" s="35"/>
      <c r="M437" s="35">
        <f t="shared" si="117"/>
        <v>64</v>
      </c>
      <c r="N437" s="35">
        <v>8.2</v>
      </c>
      <c r="O437" s="36">
        <f t="shared" si="118"/>
        <v>9.8</v>
      </c>
      <c r="P437" s="29">
        <f>LOOKUP(O437,{0,7.8,8,8.2,8.4,8.6,8.8,9,9.2,9.4,9.6,9.8,10,10.2,10.4,10.6,10.8,10.9,11,11.1,11.2},{0,10,20,30,40,50,60,62,64,66,68,70,72,74,76,78,80,85,90,95,100})</f>
        <v>70</v>
      </c>
      <c r="Q437" s="5">
        <v>4.38</v>
      </c>
      <c r="R437" s="36">
        <f t="shared" si="119"/>
        <v>5.62</v>
      </c>
      <c r="S437" s="29">
        <f>LOOKUP(R437,{0,3.85,4.45,4.65,4.85,5.45,5.65,5.7,5.75,5.8,5.85,5.9,5.95,6,6.45,6.5,6.55,6.63,6.7,6.75,6.8},{0,10,20,30,40,50,60,62,64,66,68,70,72,74,76,78,80,85,90,95,100})</f>
        <v>50</v>
      </c>
      <c r="T437" s="27"/>
      <c r="U437" s="27"/>
      <c r="V437" s="27">
        <f t="shared" si="120"/>
        <v>50</v>
      </c>
      <c r="W437" s="27"/>
      <c r="X437" s="19">
        <f t="shared" si="121"/>
        <v>45.4</v>
      </c>
      <c r="Y437" s="13">
        <f t="shared" si="122"/>
        <v>64.8571428571429</v>
      </c>
    </row>
    <row r="438" ht="15.6" spans="1:25">
      <c r="A438" s="27">
        <v>310</v>
      </c>
      <c r="B438" s="27">
        <v>32</v>
      </c>
      <c r="C438" s="30" t="s">
        <v>492</v>
      </c>
      <c r="D438" s="28" t="s">
        <v>12</v>
      </c>
      <c r="E438" s="27">
        <v>6</v>
      </c>
      <c r="F438" s="29">
        <f>LOOKUP(E438,{0,-1.8,-0.8,0.2,1.2,2.2,3.2,4.6,6,7.4,8.8,10.2,11.6,13,14.4,15.8,17.2,19.1,21,22.8,24.6},{0,10,20,30,40,50,60,62,64,66,68,70,72,74,76,78,80,85,90,95,100})</f>
        <v>64</v>
      </c>
      <c r="G438" s="27">
        <v>235</v>
      </c>
      <c r="H438" s="29">
        <f>LOOKUP(G438,{0,180,185,190,195,200,205,209,213,217,221,225,229,233,237,241,245,253,260,265,270},{0,10,20,30,40,50,60,62,64,66,68,70,72,74,76,78,80,85,90,95,100})</f>
        <v>74</v>
      </c>
      <c r="I438" s="27">
        <v>12</v>
      </c>
      <c r="J438" s="29">
        <f>LOOKUP(I438,{0,4,5,6,7,8,9,10,11,12,13,14,15,16,17,18},{0,10,20,30,40,50,60,64,68,72,76,80,85,90,95,100})</f>
        <v>72</v>
      </c>
      <c r="K438" s="44"/>
      <c r="L438" s="35"/>
      <c r="M438" s="35">
        <f t="shared" si="117"/>
        <v>72</v>
      </c>
      <c r="N438" s="35">
        <v>7.3</v>
      </c>
      <c r="O438" s="36">
        <f t="shared" si="118"/>
        <v>10.7</v>
      </c>
      <c r="P438" s="29">
        <f>LOOKUP(O438,{0,7.8,8,8.2,8.4,8.6,8.8,9,9.2,9.4,9.6,9.8,10,10.2,10.4,10.6,10.8,10.9,11,11.1,11.2},{0,10,20,30,40,50,60,62,64,66,68,70,72,74,76,78,80,85,90,95,100})</f>
        <v>78</v>
      </c>
      <c r="Q438" s="5">
        <v>3.36</v>
      </c>
      <c r="R438" s="36">
        <f t="shared" si="119"/>
        <v>6.64</v>
      </c>
      <c r="S438" s="29">
        <f>LOOKUP(R438,{0,3.85,4.45,4.65,4.85,5.45,5.65,5.7,5.75,5.8,5.85,5.9,5.95,6,6.45,6.5,6.55,6.63,6.7,6.75,6.8},{0,10,20,30,40,50,60,62,64,66,68,70,72,74,76,78,80,85,90,95,100})</f>
        <v>85</v>
      </c>
      <c r="T438" s="27"/>
      <c r="U438" s="27"/>
      <c r="V438" s="27">
        <f t="shared" si="120"/>
        <v>85</v>
      </c>
      <c r="W438" s="27"/>
      <c r="X438" s="19">
        <f t="shared" si="121"/>
        <v>53.6</v>
      </c>
      <c r="Y438" s="13">
        <f t="shared" si="122"/>
        <v>76.5714285714286</v>
      </c>
    </row>
    <row r="439" ht="15.6" spans="1:26">
      <c r="A439" s="27">
        <v>310</v>
      </c>
      <c r="B439" s="27">
        <v>33</v>
      </c>
      <c r="C439" s="28" t="s">
        <v>493</v>
      </c>
      <c r="D439" s="28" t="s">
        <v>12</v>
      </c>
      <c r="E439" s="27"/>
      <c r="F439" s="29"/>
      <c r="G439" s="27"/>
      <c r="H439" s="29"/>
      <c r="I439" s="27"/>
      <c r="J439" s="35"/>
      <c r="K439" s="44"/>
      <c r="L439" s="35"/>
      <c r="M439" s="35"/>
      <c r="N439" s="35"/>
      <c r="O439" s="5"/>
      <c r="P439" s="5"/>
      <c r="Q439" s="5"/>
      <c r="R439" s="27"/>
      <c r="S439" s="27"/>
      <c r="T439" s="27"/>
      <c r="U439" s="27"/>
      <c r="V439" s="27"/>
      <c r="W439" s="27">
        <v>50</v>
      </c>
      <c r="X439" s="19"/>
      <c r="Y439" s="19">
        <v>50</v>
      </c>
      <c r="Z439" s="19"/>
    </row>
    <row r="440" ht="15.6" spans="1:26">
      <c r="A440" s="27">
        <v>310</v>
      </c>
      <c r="B440" s="27">
        <v>34</v>
      </c>
      <c r="C440" s="28" t="s">
        <v>494</v>
      </c>
      <c r="D440" s="28" t="s">
        <v>12</v>
      </c>
      <c r="E440" s="27">
        <v>1</v>
      </c>
      <c r="F440" s="29">
        <f>LOOKUP(E440,{0,-1.8,-0.8,0.2,1.2,2.2,3.2,4.6,6,7.4,8.8,10.2,11.6,13,14.4,15.8,17.2,19.1,21,22.8,24.6},{0,10,20,30,40,50,60,62,64,66,68,70,72,74,76,78,80,85,90,95,100})</f>
        <v>30</v>
      </c>
      <c r="G440" s="27">
        <v>210</v>
      </c>
      <c r="H440" s="29">
        <f>LOOKUP(G440,{0,180,185,190,195,200,205,209,213,217,221,225,229,233,237,241,245,253,260,265,270},{0,10,20,30,40,50,60,62,64,66,68,70,72,74,76,78,80,85,90,95,100})</f>
        <v>62</v>
      </c>
      <c r="I440" s="27">
        <v>2</v>
      </c>
      <c r="J440" s="29">
        <f>LOOKUP(I440,{0,4,5,6,7,8,9,10,11,12,13,14,15,16,17,18},{0,10,20,30,40,50,60,64,68,72,76,80,85,90,95,100})</f>
        <v>0</v>
      </c>
      <c r="K440" s="44"/>
      <c r="L440" s="35"/>
      <c r="M440" s="35">
        <f t="shared" ref="M440:M448" si="123">J440+L440</f>
        <v>0</v>
      </c>
      <c r="N440" s="35">
        <v>7.3</v>
      </c>
      <c r="O440" s="36">
        <f t="shared" ref="O440:O448" si="124">18-N440</f>
        <v>10.7</v>
      </c>
      <c r="P440" s="29">
        <f>LOOKUP(O440,{0,7.8,8,8.2,8.4,8.6,8.8,9,9.2,9.4,9.6,9.8,10,10.2,10.4,10.6,10.8,10.9,11,11.1,11.2},{0,10,20,30,40,50,60,62,64,66,68,70,72,74,76,78,80,85,90,95,100})</f>
        <v>78</v>
      </c>
      <c r="Q440" s="5">
        <v>3.32</v>
      </c>
      <c r="R440" s="36">
        <f t="shared" ref="R440:R448" si="125">10-Q440</f>
        <v>6.68</v>
      </c>
      <c r="S440" s="29">
        <f>LOOKUP(R440,{0,3.85,4.45,4.65,4.85,5.45,5.65,5.7,5.75,5.8,5.85,5.9,5.95,6,6.45,6.5,6.55,6.63,6.7,6.75,6.8},{0,10,20,30,40,50,60,62,64,66,68,70,72,74,76,78,80,85,90,95,100})</f>
        <v>85</v>
      </c>
      <c r="T440" s="27"/>
      <c r="U440" s="27"/>
      <c r="V440" s="27">
        <f t="shared" ref="V440:V448" si="126">S440+U440</f>
        <v>85</v>
      </c>
      <c r="W440" s="27"/>
      <c r="X440" s="19">
        <f t="shared" ref="X440:X448" si="127">F440*0.1+H440*0.1+J440*0.1+P440*0.2+S440*0.2</f>
        <v>41.8</v>
      </c>
      <c r="Y440" s="13">
        <f t="shared" ref="Y440:Y448" si="128">X440/0.7+L440+U440</f>
        <v>59.7142857142857</v>
      </c>
      <c r="Z440" s="19"/>
    </row>
    <row r="441" ht="15.6" spans="1:26">
      <c r="A441" s="27">
        <v>310</v>
      </c>
      <c r="B441" s="27">
        <v>35</v>
      </c>
      <c r="C441" s="28" t="s">
        <v>495</v>
      </c>
      <c r="D441" s="28" t="s">
        <v>12</v>
      </c>
      <c r="E441" s="27">
        <v>16.7</v>
      </c>
      <c r="F441" s="29">
        <f>LOOKUP(E441,{0,-1.8,-0.8,0.2,1.2,2.2,3.2,4.6,6,7.4,8.8,10.2,11.6,13,14.4,15.8,17.2,19.1,21,22.8,24.6},{0,10,20,30,40,50,60,62,64,66,68,70,72,74,76,78,80,85,90,95,100})</f>
        <v>78</v>
      </c>
      <c r="G441" s="27">
        <v>168</v>
      </c>
      <c r="H441" s="29">
        <f>LOOKUP(G441,{0,180,185,190,195,200,205,209,213,217,221,225,229,233,237,241,245,253,260,265,270},{0,10,20,30,40,50,60,62,64,66,68,70,72,74,76,78,80,85,90,95,100})</f>
        <v>0</v>
      </c>
      <c r="I441" s="27">
        <v>3</v>
      </c>
      <c r="J441" s="29">
        <f>LOOKUP(I441,{0,4,5,6,7,8,9,10,11,12,13,14,15,16,17,18},{0,10,20,30,40,50,60,64,68,72,76,80,85,90,95,100})</f>
        <v>0</v>
      </c>
      <c r="K441" s="44"/>
      <c r="L441" s="35"/>
      <c r="M441" s="35">
        <f t="shared" si="123"/>
        <v>0</v>
      </c>
      <c r="N441" s="35">
        <v>8.2</v>
      </c>
      <c r="O441" s="36">
        <f t="shared" si="124"/>
        <v>9.8</v>
      </c>
      <c r="P441" s="29">
        <f>LOOKUP(O441,{0,7.8,8,8.2,8.4,8.6,8.8,9,9.2,9.4,9.6,9.8,10,10.2,10.4,10.6,10.8,10.9,11,11.1,11.2},{0,10,20,30,40,50,60,62,64,66,68,70,72,74,76,78,80,85,90,95,100})</f>
        <v>70</v>
      </c>
      <c r="Q441" s="5">
        <v>4.11</v>
      </c>
      <c r="R441" s="36">
        <f t="shared" si="125"/>
        <v>5.89</v>
      </c>
      <c r="S441" s="29">
        <f>LOOKUP(R441,{0,3.85,4.45,4.65,4.85,5.45,5.65,5.7,5.75,5.8,5.85,5.9,5.95,6,6.45,6.5,6.55,6.63,6.7,6.75,6.8},{0,10,20,30,40,50,60,62,64,66,68,70,72,74,76,78,80,85,90,95,100})</f>
        <v>68</v>
      </c>
      <c r="T441" s="27"/>
      <c r="U441" s="27"/>
      <c r="V441" s="27">
        <f t="shared" si="126"/>
        <v>68</v>
      </c>
      <c r="W441" s="27"/>
      <c r="X441" s="19">
        <f t="shared" si="127"/>
        <v>35.4</v>
      </c>
      <c r="Y441" s="13">
        <f t="shared" si="128"/>
        <v>50.5714285714286</v>
      </c>
      <c r="Z441" s="19"/>
    </row>
    <row r="442" ht="15.6" spans="1:26">
      <c r="A442" s="27">
        <v>310</v>
      </c>
      <c r="B442" s="27">
        <v>36</v>
      </c>
      <c r="C442" s="28" t="s">
        <v>496</v>
      </c>
      <c r="D442" s="28" t="s">
        <v>12</v>
      </c>
      <c r="E442" s="27">
        <v>11.2</v>
      </c>
      <c r="F442" s="29">
        <f>LOOKUP(E442,{0,-1.8,-0.8,0.2,1.2,2.2,3.2,4.6,6,7.4,8.8,10.2,11.6,13,14.4,15.8,17.2,19.1,21,22.8,24.6},{0,10,20,30,40,50,60,62,64,66,68,70,72,74,76,78,80,85,90,95,100})</f>
        <v>70</v>
      </c>
      <c r="G442" s="27">
        <v>215</v>
      </c>
      <c r="H442" s="29">
        <f>LOOKUP(G442,{0,180,185,190,195,200,205,209,213,217,221,225,229,233,237,241,245,253,260,265,270},{0,10,20,30,40,50,60,62,64,66,68,70,72,74,76,78,80,85,90,95,100})</f>
        <v>64</v>
      </c>
      <c r="I442" s="27">
        <v>6</v>
      </c>
      <c r="J442" s="29">
        <f>LOOKUP(I442,{0,4,5,6,7,8,9,10,11,12,13,14,15,16,17,18},{0,10,20,30,40,50,60,64,68,72,76,80,85,90,95,100})</f>
        <v>30</v>
      </c>
      <c r="K442" s="44"/>
      <c r="L442" s="35"/>
      <c r="M442" s="35">
        <f t="shared" si="123"/>
        <v>30</v>
      </c>
      <c r="N442" s="35">
        <v>7.7</v>
      </c>
      <c r="O442" s="36">
        <f t="shared" si="124"/>
        <v>10.3</v>
      </c>
      <c r="P442" s="29">
        <f>LOOKUP(O442,{0,7.8,8,8.2,8.4,8.6,8.8,9,9.2,9.4,9.6,9.8,10,10.2,10.4,10.6,10.8,10.9,11,11.1,11.2},{0,10,20,30,40,50,60,62,64,66,68,70,72,74,76,78,80,85,90,95,100})</f>
        <v>74</v>
      </c>
      <c r="Q442" s="5">
        <v>5.58</v>
      </c>
      <c r="R442" s="36">
        <f t="shared" si="125"/>
        <v>4.42</v>
      </c>
      <c r="S442" s="29">
        <f>LOOKUP(R442,{0,3.85,4.45,4.65,4.85,5.45,5.65,5.7,5.75,5.8,5.85,5.9,5.95,6,6.45,6.5,6.55,6.63,6.7,6.75,6.8},{0,10,20,30,40,50,60,62,64,66,68,70,72,74,76,78,80,85,90,95,100})</f>
        <v>10</v>
      </c>
      <c r="T442" s="27"/>
      <c r="U442" s="27"/>
      <c r="V442" s="27">
        <f t="shared" si="126"/>
        <v>10</v>
      </c>
      <c r="W442" s="27"/>
      <c r="X442" s="19">
        <f t="shared" si="127"/>
        <v>33.2</v>
      </c>
      <c r="Y442" s="13">
        <f t="shared" si="128"/>
        <v>47.4285714285714</v>
      </c>
      <c r="Z442" s="20"/>
    </row>
    <row r="443" ht="15.6" spans="1:26">
      <c r="A443" s="27">
        <v>310</v>
      </c>
      <c r="B443" s="27">
        <v>37</v>
      </c>
      <c r="C443" s="28" t="s">
        <v>497</v>
      </c>
      <c r="D443" s="28" t="s">
        <v>12</v>
      </c>
      <c r="E443" s="27">
        <v>25.3</v>
      </c>
      <c r="F443" s="29">
        <f>LOOKUP(E443,{0,-1.8,-0.8,0.2,1.2,2.2,3.2,4.6,6,7.4,8.8,10.2,11.6,13,14.4,15.8,17.2,19.1,21,22.8,24.6},{0,10,20,30,40,50,60,62,64,66,68,70,72,74,76,78,80,85,90,95,100})</f>
        <v>100</v>
      </c>
      <c r="G443" s="27">
        <v>245</v>
      </c>
      <c r="H443" s="29">
        <f>LOOKUP(G443,{0,180,185,190,195,200,205,209,213,217,221,225,229,233,237,241,245,253,260,265,270},{0,10,20,30,40,50,60,62,64,66,68,70,72,74,76,78,80,85,90,95,100})</f>
        <v>80</v>
      </c>
      <c r="I443" s="27">
        <v>4</v>
      </c>
      <c r="J443" s="29">
        <f>LOOKUP(I443,{0,4,5,6,7,8,9,10,11,12,13,14,15,16,17,18},{0,10,20,30,40,50,60,64,68,72,76,80,85,90,95,100})</f>
        <v>10</v>
      </c>
      <c r="K443" s="44"/>
      <c r="L443" s="35"/>
      <c r="M443" s="35">
        <f t="shared" si="123"/>
        <v>10</v>
      </c>
      <c r="N443" s="35">
        <v>7.3</v>
      </c>
      <c r="O443" s="36">
        <f t="shared" si="124"/>
        <v>10.7</v>
      </c>
      <c r="P443" s="29">
        <f>LOOKUP(O443,{0,7.8,8,8.2,8.4,8.6,8.8,9,9.2,9.4,9.6,9.8,10,10.2,10.4,10.6,10.8,10.9,11,11.1,11.2},{0,10,20,30,40,50,60,62,64,66,68,70,72,74,76,78,80,85,90,95,100})</f>
        <v>78</v>
      </c>
      <c r="Q443" s="5">
        <v>3.58</v>
      </c>
      <c r="R443" s="36">
        <f t="shared" si="125"/>
        <v>6.42</v>
      </c>
      <c r="S443" s="29">
        <f>LOOKUP(R443,{0,3.85,4.45,4.65,4.85,5.45,5.65,5.7,5.75,5.8,5.85,5.9,5.95,6,6.45,6.5,6.55,6.63,6.7,6.75,6.8},{0,10,20,30,40,50,60,62,64,66,68,70,72,74,76,78,80,85,90,95,100})</f>
        <v>74</v>
      </c>
      <c r="T443" s="27"/>
      <c r="U443" s="27"/>
      <c r="V443" s="27">
        <f t="shared" si="126"/>
        <v>74</v>
      </c>
      <c r="W443" s="27"/>
      <c r="X443" s="19">
        <f t="shared" si="127"/>
        <v>49.4</v>
      </c>
      <c r="Y443" s="13">
        <f t="shared" si="128"/>
        <v>70.5714285714286</v>
      </c>
      <c r="Z443" s="19"/>
    </row>
    <row r="444" ht="15.6" spans="1:26">
      <c r="A444" s="27">
        <v>310</v>
      </c>
      <c r="B444" s="27">
        <v>38</v>
      </c>
      <c r="C444" s="28" t="s">
        <v>498</v>
      </c>
      <c r="D444" s="28" t="s">
        <v>12</v>
      </c>
      <c r="E444" s="27">
        <v>20.6</v>
      </c>
      <c r="F444" s="29">
        <f>LOOKUP(E444,{0,-1.8,-0.8,0.2,1.2,2.2,3.2,4.6,6,7.4,8.8,10.2,11.6,13,14.4,15.8,17.2,19.1,21,22.8,24.6},{0,10,20,30,40,50,60,62,64,66,68,70,72,74,76,78,80,85,90,95,100})</f>
        <v>85</v>
      </c>
      <c r="G444" s="27">
        <v>215</v>
      </c>
      <c r="H444" s="29">
        <f>LOOKUP(G444,{0,180,185,190,195,200,205,209,213,217,221,225,229,233,237,241,245,253,260,265,270},{0,10,20,30,40,50,60,62,64,66,68,70,72,74,76,78,80,85,90,95,100})</f>
        <v>64</v>
      </c>
      <c r="I444" s="27">
        <v>1</v>
      </c>
      <c r="J444" s="29">
        <f>LOOKUP(I444,{0,4,5,6,7,8,9,10,11,12,13,14,15,16,17,18},{0,10,20,30,40,50,60,64,68,72,76,80,85,90,95,100})</f>
        <v>0</v>
      </c>
      <c r="K444" s="44"/>
      <c r="L444" s="39"/>
      <c r="M444" s="35">
        <f t="shared" si="123"/>
        <v>0</v>
      </c>
      <c r="N444" s="35">
        <v>7.8</v>
      </c>
      <c r="O444" s="36">
        <f t="shared" si="124"/>
        <v>10.2</v>
      </c>
      <c r="P444" s="29">
        <f>LOOKUP(O444,{0,7.8,8,8.2,8.4,8.6,8.8,9,9.2,9.4,9.6,9.8,10,10.2,10.4,10.6,10.8,10.9,11,11.1,11.2},{0,10,20,30,40,50,60,62,64,66,68,70,72,74,76,78,80,85,90,95,100})</f>
        <v>74</v>
      </c>
      <c r="Q444" s="5">
        <v>4.14</v>
      </c>
      <c r="R444" s="36">
        <f t="shared" si="125"/>
        <v>5.86</v>
      </c>
      <c r="S444" s="29">
        <f>LOOKUP(R444,{0,3.85,4.45,4.65,4.85,5.45,5.65,5.7,5.75,5.8,5.85,5.9,5.95,6,6.45,6.5,6.55,6.63,6.7,6.75,6.8},{0,10,20,30,40,50,60,62,64,66,68,70,72,74,76,78,80,85,90,95,100})</f>
        <v>68</v>
      </c>
      <c r="T444" s="27"/>
      <c r="U444" s="27"/>
      <c r="V444" s="27">
        <f t="shared" si="126"/>
        <v>68</v>
      </c>
      <c r="W444" s="27"/>
      <c r="X444" s="19">
        <f t="shared" si="127"/>
        <v>43.3</v>
      </c>
      <c r="Y444" s="13">
        <f t="shared" si="128"/>
        <v>61.8571428571429</v>
      </c>
      <c r="Z444" s="19"/>
    </row>
    <row r="445" ht="15.6" spans="1:26">
      <c r="A445" s="27">
        <v>310</v>
      </c>
      <c r="B445" s="27">
        <v>39</v>
      </c>
      <c r="C445" s="28" t="s">
        <v>499</v>
      </c>
      <c r="D445" s="28" t="s">
        <v>12</v>
      </c>
      <c r="E445" s="27">
        <v>23</v>
      </c>
      <c r="F445" s="29">
        <f>LOOKUP(E445,{0,-1.8,-0.8,0.2,1.2,2.2,3.2,4.6,6,7.4,8.8,10.2,11.6,13,14.4,15.8,17.2,19.1,21,22.8,24.6},{0,10,20,30,40,50,60,62,64,66,68,70,72,74,76,78,80,85,90,95,100})</f>
        <v>95</v>
      </c>
      <c r="G445" s="27">
        <v>205</v>
      </c>
      <c r="H445" s="29">
        <f>LOOKUP(G445,{0,180,185,190,195,200,205,209,213,217,221,225,229,233,237,241,245,253,260,265,270},{0,10,20,30,40,50,60,62,64,66,68,70,72,74,76,78,80,85,90,95,100})</f>
        <v>60</v>
      </c>
      <c r="I445" s="27">
        <v>3</v>
      </c>
      <c r="J445" s="29">
        <f>LOOKUP(I445,{0,4,5,6,7,8,9,10,11,12,13,14,15,16,17,18},{0,10,20,30,40,50,60,64,68,72,76,80,85,90,95,100})</f>
        <v>0</v>
      </c>
      <c r="K445" s="44"/>
      <c r="L445" s="35"/>
      <c r="M445" s="35">
        <f t="shared" si="123"/>
        <v>0</v>
      </c>
      <c r="N445" s="35">
        <v>8</v>
      </c>
      <c r="O445" s="36">
        <f t="shared" si="124"/>
        <v>10</v>
      </c>
      <c r="P445" s="29">
        <f>LOOKUP(O445,{0,7.8,8,8.2,8.4,8.6,8.8,9,9.2,9.4,9.6,9.8,10,10.2,10.4,10.6,10.8,10.9,11,11.1,11.2},{0,10,20,30,40,50,60,62,64,66,68,70,72,74,76,78,80,85,90,95,100})</f>
        <v>72</v>
      </c>
      <c r="Q445" s="5">
        <v>3.48</v>
      </c>
      <c r="R445" s="36">
        <f t="shared" si="125"/>
        <v>6.52</v>
      </c>
      <c r="S445" s="29">
        <f>LOOKUP(R445,{0,3.85,4.45,4.65,4.85,5.45,5.65,5.7,5.75,5.8,5.85,5.9,5.95,6,6.45,6.5,6.55,6.63,6.7,6.75,6.8},{0,10,20,30,40,50,60,62,64,66,68,70,72,74,76,78,80,85,90,95,100})</f>
        <v>78</v>
      </c>
      <c r="T445" s="27"/>
      <c r="U445" s="27"/>
      <c r="V445" s="27">
        <f t="shared" si="126"/>
        <v>78</v>
      </c>
      <c r="W445" s="27"/>
      <c r="X445" s="19">
        <f t="shared" si="127"/>
        <v>45.5</v>
      </c>
      <c r="Y445" s="13">
        <f t="shared" si="128"/>
        <v>65</v>
      </c>
      <c r="Z445" s="19"/>
    </row>
    <row r="446" ht="15.6" spans="1:26">
      <c r="A446" s="27">
        <v>310</v>
      </c>
      <c r="B446" s="27">
        <v>40</v>
      </c>
      <c r="C446" s="28" t="s">
        <v>500</v>
      </c>
      <c r="D446" s="28" t="s">
        <v>12</v>
      </c>
      <c r="E446" s="27">
        <v>6.4</v>
      </c>
      <c r="F446" s="29">
        <f>LOOKUP(E446,{0,-1.8,-0.8,0.2,1.2,2.2,3.2,4.6,6,7.4,8.8,10.2,11.6,13,14.4,15.8,17.2,19.1,21,22.8,24.6},{0,10,20,30,40,50,60,62,64,66,68,70,72,74,76,78,80,85,90,95,100})</f>
        <v>64</v>
      </c>
      <c r="G446" s="27">
        <v>200</v>
      </c>
      <c r="H446" s="29">
        <f>LOOKUP(G446,{0,180,185,190,195,200,205,209,213,217,221,225,229,233,237,241,245,253,260,265,270},{0,10,20,30,40,50,60,62,64,66,68,70,72,74,76,78,80,85,90,95,100})</f>
        <v>50</v>
      </c>
      <c r="I446" s="27">
        <v>0</v>
      </c>
      <c r="J446" s="29">
        <f>LOOKUP(I446,{0,4,5,6,7,8,9,10,11,12,13,14,15,16,17,18},{0,10,20,30,40,50,60,64,68,72,76,80,85,90,95,100})</f>
        <v>0</v>
      </c>
      <c r="K446" s="44"/>
      <c r="L446" s="35"/>
      <c r="M446" s="35">
        <f t="shared" si="123"/>
        <v>0</v>
      </c>
      <c r="N446" s="35">
        <v>7.4</v>
      </c>
      <c r="O446" s="36">
        <f t="shared" si="124"/>
        <v>10.6</v>
      </c>
      <c r="P446" s="29">
        <f>LOOKUP(O446,{0,7.8,8,8.2,8.4,8.6,8.8,9,9.2,9.4,9.6,9.8,10,10.2,10.4,10.6,10.8,10.9,11,11.1,11.2},{0,10,20,30,40,50,60,62,64,66,68,70,72,74,76,78,80,85,90,95,100})</f>
        <v>78</v>
      </c>
      <c r="Q446" s="5">
        <v>5.15</v>
      </c>
      <c r="R446" s="36">
        <f t="shared" si="125"/>
        <v>4.85</v>
      </c>
      <c r="S446" s="29">
        <f>LOOKUP(R446,{0,3.85,4.45,4.65,4.85,5.45,5.65,5.7,5.75,5.8,5.85,5.9,5.95,6,6.45,6.5,6.55,6.63,6.7,6.75,6.8},{0,10,20,30,40,50,60,62,64,66,68,70,72,74,76,78,80,85,90,95,100})</f>
        <v>40</v>
      </c>
      <c r="T446" s="27"/>
      <c r="U446" s="27"/>
      <c r="V446" s="27">
        <f t="shared" si="126"/>
        <v>40</v>
      </c>
      <c r="W446" s="27"/>
      <c r="X446" s="19">
        <f t="shared" si="127"/>
        <v>35</v>
      </c>
      <c r="Y446" s="13">
        <f t="shared" si="128"/>
        <v>50</v>
      </c>
      <c r="Z446" s="19"/>
    </row>
    <row r="447" ht="15.6" spans="1:26">
      <c r="A447" s="27">
        <v>310</v>
      </c>
      <c r="B447" s="27">
        <v>41</v>
      </c>
      <c r="C447" s="28" t="s">
        <v>501</v>
      </c>
      <c r="D447" s="28" t="s">
        <v>12</v>
      </c>
      <c r="E447" s="27">
        <v>4.4</v>
      </c>
      <c r="F447" s="29">
        <f>LOOKUP(E447,{0,-1.8,-0.8,0.2,1.2,2.2,3.2,4.6,6,7.4,8.8,10.2,11.6,13,14.4,15.8,17.2,19.1,21,22.8,24.6},{0,10,20,30,40,50,60,62,64,66,68,70,72,74,76,78,80,85,90,95,100})</f>
        <v>60</v>
      </c>
      <c r="G447" s="27">
        <v>205</v>
      </c>
      <c r="H447" s="29">
        <f>LOOKUP(G447,{0,180,185,190,195,200,205,209,213,217,221,225,229,233,237,241,245,253,260,265,270},{0,10,20,30,40,50,60,62,64,66,68,70,72,74,76,78,80,85,90,95,100})</f>
        <v>60</v>
      </c>
      <c r="I447" s="27">
        <v>1</v>
      </c>
      <c r="J447" s="29">
        <f>LOOKUP(I447,{0,4,5,6,7,8,9,10,11,12,13,14,15,16,17,18},{0,10,20,30,40,50,60,64,68,72,76,80,85,90,95,100})</f>
        <v>0</v>
      </c>
      <c r="K447" s="44"/>
      <c r="L447" s="35"/>
      <c r="M447" s="35">
        <f t="shared" si="123"/>
        <v>0</v>
      </c>
      <c r="N447" s="35">
        <v>8.3</v>
      </c>
      <c r="O447" s="36">
        <f t="shared" si="124"/>
        <v>9.7</v>
      </c>
      <c r="P447" s="29">
        <f>LOOKUP(O447,{0,7.8,8,8.2,8.4,8.6,8.8,9,9.2,9.4,9.6,9.8,10,10.2,10.4,10.6,10.8,10.9,11,11.1,11.2},{0,10,20,30,40,50,60,62,64,66,68,70,72,74,76,78,80,85,90,95,100})</f>
        <v>68</v>
      </c>
      <c r="Q447" s="5">
        <v>4.38</v>
      </c>
      <c r="R447" s="36">
        <f t="shared" si="125"/>
        <v>5.62</v>
      </c>
      <c r="S447" s="29">
        <f>LOOKUP(R447,{0,3.85,4.45,4.65,4.85,5.45,5.65,5.7,5.75,5.8,5.85,5.9,5.95,6,6.45,6.5,6.55,6.63,6.7,6.75,6.8},{0,10,20,30,40,50,60,62,64,66,68,70,72,74,76,78,80,85,90,95,100})</f>
        <v>50</v>
      </c>
      <c r="T447" s="27"/>
      <c r="U447" s="27"/>
      <c r="V447" s="27">
        <f t="shared" si="126"/>
        <v>50</v>
      </c>
      <c r="W447" s="27"/>
      <c r="X447" s="19">
        <f t="shared" si="127"/>
        <v>35.6</v>
      </c>
      <c r="Y447" s="13">
        <f t="shared" si="128"/>
        <v>50.8571428571429</v>
      </c>
      <c r="Z447" s="19"/>
    </row>
    <row r="448" ht="15.6" spans="1:26">
      <c r="A448" s="27">
        <v>310</v>
      </c>
      <c r="B448" s="27">
        <v>42</v>
      </c>
      <c r="C448" s="27" t="s">
        <v>502</v>
      </c>
      <c r="D448" s="27" t="s">
        <v>12</v>
      </c>
      <c r="E448" s="27">
        <v>2.5</v>
      </c>
      <c r="F448" s="29">
        <f>LOOKUP(E448,{0,-1.8,-0.8,0.2,1.2,2.2,3.2,4.6,6,7.4,8.8,10.2,11.6,13,14.4,15.8,17.2,19.1,21,22.8,24.6},{0,10,20,30,40,50,60,62,64,66,68,70,72,74,76,78,80,85,90,95,100})</f>
        <v>50</v>
      </c>
      <c r="G448" s="27">
        <v>220</v>
      </c>
      <c r="H448" s="29">
        <f>LOOKUP(G448,{0,180,185,190,195,200,205,209,213,217,221,225,229,233,237,241,245,253,260,265,270},{0,10,20,30,40,50,60,62,64,66,68,70,72,74,76,78,80,85,90,95,100})</f>
        <v>66</v>
      </c>
      <c r="I448" s="27">
        <v>4</v>
      </c>
      <c r="J448" s="29">
        <f>LOOKUP(I448,{0,4,5,6,7,8,9,10,11,12,13,14,15,16,17,18},{0,10,20,30,40,50,60,64,68,72,76,80,85,90,95,100})</f>
        <v>10</v>
      </c>
      <c r="K448" s="44"/>
      <c r="L448" s="35"/>
      <c r="M448" s="35">
        <f t="shared" si="123"/>
        <v>10</v>
      </c>
      <c r="N448" s="35">
        <v>7.6</v>
      </c>
      <c r="O448" s="36">
        <f t="shared" si="124"/>
        <v>10.4</v>
      </c>
      <c r="P448" s="29">
        <f>LOOKUP(O448,{0,7.8,8,8.2,8.4,8.6,8.8,9,9.2,9.4,9.6,9.8,10,10.2,10.4,10.6,10.8,10.9,11,11.1,11.2},{0,10,20,30,40,50,60,62,64,66,68,70,72,74,76,78,80,85,90,95,100})</f>
        <v>76</v>
      </c>
      <c r="Q448" s="5">
        <v>4.24</v>
      </c>
      <c r="R448" s="36">
        <f t="shared" si="125"/>
        <v>5.76</v>
      </c>
      <c r="S448" s="29">
        <f>LOOKUP(R448,{0,3.85,4.45,4.65,4.85,5.45,5.65,5.7,5.75,5.8,5.85,5.9,5.95,6,6.45,6.5,6.55,6.63,6.7,6.75,6.8},{0,10,20,30,40,50,60,62,64,66,68,70,72,74,76,78,80,85,90,95,100})</f>
        <v>64</v>
      </c>
      <c r="T448" s="27"/>
      <c r="U448" s="27"/>
      <c r="V448" s="27">
        <f t="shared" si="126"/>
        <v>64</v>
      </c>
      <c r="W448" s="27"/>
      <c r="X448" s="19">
        <f t="shared" si="127"/>
        <v>40.6</v>
      </c>
      <c r="Y448" s="13">
        <f t="shared" si="128"/>
        <v>58</v>
      </c>
      <c r="Z448" s="19"/>
    </row>
    <row r="449" spans="1:26">
      <c r="A449" s="27">
        <v>310</v>
      </c>
      <c r="B449" s="27">
        <v>43</v>
      </c>
      <c r="C449" s="30" t="s">
        <v>504</v>
      </c>
      <c r="D449" s="28" t="s">
        <v>46</v>
      </c>
      <c r="E449" s="27"/>
      <c r="F449" s="27"/>
      <c r="G449" s="27"/>
      <c r="H449" s="27"/>
      <c r="I449" s="27"/>
      <c r="J449" s="35"/>
      <c r="K449" s="35"/>
      <c r="L449" s="35"/>
      <c r="M449" s="35"/>
      <c r="N449" s="35"/>
      <c r="O449" s="5"/>
      <c r="P449" s="5"/>
      <c r="Q449" s="5"/>
      <c r="R449" s="27"/>
      <c r="S449" s="27"/>
      <c r="T449" s="27"/>
      <c r="U449" s="27"/>
      <c r="V449" s="27"/>
      <c r="W449" s="27">
        <v>50</v>
      </c>
      <c r="X449" s="19"/>
      <c r="Y449" s="19">
        <v>50</v>
      </c>
      <c r="Z449" s="19"/>
    </row>
    <row r="450" spans="1:26">
      <c r="A450" s="27">
        <v>310</v>
      </c>
      <c r="B450" s="27">
        <v>44</v>
      </c>
      <c r="C450" s="28" t="s">
        <v>505</v>
      </c>
      <c r="D450" s="28" t="s">
        <v>46</v>
      </c>
      <c r="E450" s="27"/>
      <c r="F450" s="27"/>
      <c r="G450" s="27"/>
      <c r="H450" s="27"/>
      <c r="I450" s="27"/>
      <c r="J450" s="35"/>
      <c r="K450" s="35"/>
      <c r="L450" s="35"/>
      <c r="M450" s="35"/>
      <c r="N450" s="35"/>
      <c r="O450" s="5"/>
      <c r="P450" s="5"/>
      <c r="Q450" s="5"/>
      <c r="R450" s="27"/>
      <c r="S450" s="27"/>
      <c r="T450" s="27"/>
      <c r="U450" s="27"/>
      <c r="V450" s="27"/>
      <c r="W450" s="27">
        <v>50</v>
      </c>
      <c r="X450" s="19"/>
      <c r="Y450" s="19">
        <v>50</v>
      </c>
      <c r="Z450" s="19"/>
    </row>
    <row r="451" ht="15.6" spans="1:26">
      <c r="A451" s="27">
        <v>310</v>
      </c>
      <c r="B451" s="27">
        <v>45</v>
      </c>
      <c r="C451" s="28" t="s">
        <v>506</v>
      </c>
      <c r="D451" s="28" t="s">
        <v>46</v>
      </c>
      <c r="E451" s="27">
        <v>22.8</v>
      </c>
      <c r="F451" s="29">
        <f>LOOKUP(E451,{0,1.5,2.3,3.1,3.9,4.7,5.5,6.8,8.1,9.4,10.7,12,13.3,14.6,15.9,17.2,18.5,20.2,21.9,23.6,25.3},{0,10,20,30,40,50,60,62,64,66,68,70,72,74,76,78,80,85,90,95,100})</f>
        <v>90</v>
      </c>
      <c r="G451" s="27">
        <v>187</v>
      </c>
      <c r="H451" s="29">
        <f>LOOKUP(G451,{0,125,130,135,140,145,150,153,156,159,162,165,168,171,174,177,180,187,194,200,206},{0,10,20,30,40,50,60,62,64,66,68,70,72,74,76,78,80,85,90,95,100})</f>
        <v>85</v>
      </c>
      <c r="I451" s="27">
        <v>38</v>
      </c>
      <c r="J451" s="29">
        <f>LOOKUP(I451,{0,15,17,19,21,23,25,27,29,31,33,35,37,39,41,43,45,48,51,53,55},{0,10,20,30,40,50,60,62,64,66,68,70,72,74,76,78,80,85,90,95,100})</f>
        <v>72</v>
      </c>
      <c r="K451" s="35"/>
      <c r="L451" s="35"/>
      <c r="M451" s="35">
        <f t="shared" ref="M451:M456" si="129">J451+L451</f>
        <v>72</v>
      </c>
      <c r="N451" s="35">
        <v>8.8</v>
      </c>
      <c r="O451" s="36">
        <f t="shared" ref="O451:O456" si="130">18-N451</f>
        <v>9.2</v>
      </c>
      <c r="P451" s="29">
        <f>LOOKUP(O451,{0,6.6,6.8,7,7.2,7.4,7.6,7.8,8,8.2,8.4,8.6,8.8,9,9.2,9.4,9.6,9.9,10.2,10.3,10.4},{0,10,20,30,40,50,60,62,64,66,68,70,72,74,76,78,80,85,90,95,100})</f>
        <v>76</v>
      </c>
      <c r="Q451" s="5">
        <v>4.44</v>
      </c>
      <c r="R451" s="36">
        <f t="shared" ref="R451:R456" si="131">10-Q451</f>
        <v>5.56</v>
      </c>
      <c r="S451" s="29">
        <f>LOOKUP(R451,{0,4.74,4.84,4.94,5.44,5.54,5.64,5.69,5.74,5.79,5.84,5.89,5.94,5.99,6.44,6.49,6.54,6.61,6.68,6.74,6.8},{0,10,20,30,40,50,60,62,64,66,68,70,72,74,76,78,80,85,90,95,100})</f>
        <v>50</v>
      </c>
      <c r="T451" s="27"/>
      <c r="U451" s="27"/>
      <c r="V451" s="27">
        <f t="shared" ref="V451:V456" si="132">S451+U451</f>
        <v>50</v>
      </c>
      <c r="W451" s="27"/>
      <c r="X451" s="19">
        <f t="shared" ref="X451:X456" si="133">F451*0.1+H451*0.1+J451*0.1+P451*0.2+S451*0.2</f>
        <v>49.9</v>
      </c>
      <c r="Y451" s="13">
        <f t="shared" ref="Y451:Y456" si="134">X451/0.7+L451+U451</f>
        <v>71.2857142857143</v>
      </c>
      <c r="Z451" s="19"/>
    </row>
    <row r="452" ht="15.6" spans="1:26">
      <c r="A452" s="27">
        <v>310</v>
      </c>
      <c r="B452" s="27">
        <v>46</v>
      </c>
      <c r="C452" s="28" t="s">
        <v>507</v>
      </c>
      <c r="D452" s="28" t="s">
        <v>46</v>
      </c>
      <c r="E452" s="27">
        <v>16</v>
      </c>
      <c r="F452" s="29">
        <f>LOOKUP(E452,{0,1.5,2.3,3.1,3.9,4.7,5.5,6.8,8.1,9.4,10.7,12,13.3,14.6,15.9,17.2,18.5,20.2,21.9,23.6,25.3},{0,10,20,30,40,50,60,62,64,66,68,70,72,74,76,78,80,85,90,95,100})</f>
        <v>76</v>
      </c>
      <c r="G452" s="27">
        <v>174</v>
      </c>
      <c r="H452" s="29">
        <f>LOOKUP(G452,{0,125,130,135,140,145,150,153,156,159,162,165,168,171,174,177,180,187,194,200,206},{0,10,20,30,40,50,60,62,64,66,68,70,72,74,76,78,80,85,90,95,100})</f>
        <v>76</v>
      </c>
      <c r="I452" s="27">
        <v>50</v>
      </c>
      <c r="J452" s="29">
        <f>LOOKUP(I452,{0,15,17,19,21,23,25,27,29,31,33,35,37,39,41,43,45,48,51,53,55},{0,10,20,30,40,50,60,62,64,66,68,70,72,74,76,78,80,85,90,95,100})</f>
        <v>85</v>
      </c>
      <c r="K452" s="35"/>
      <c r="L452" s="39"/>
      <c r="M452" s="35">
        <f t="shared" si="129"/>
        <v>85</v>
      </c>
      <c r="N452" s="35">
        <v>9.1</v>
      </c>
      <c r="O452" s="36">
        <f t="shared" si="130"/>
        <v>8.9</v>
      </c>
      <c r="P452" s="29">
        <f>LOOKUP(O452,{0,6.6,6.8,7,7.2,7.4,7.6,7.8,8,8.2,8.4,8.6,8.8,9,9.2,9.4,9.6,9.9,10.2,10.3,10.4},{0,10,20,30,40,50,60,62,64,66,68,70,72,74,76,78,80,85,90,95,100})</f>
        <v>72</v>
      </c>
      <c r="Q452" s="5">
        <v>4.42</v>
      </c>
      <c r="R452" s="36">
        <f t="shared" si="131"/>
        <v>5.58</v>
      </c>
      <c r="S452" s="29">
        <f>LOOKUP(R452,{0,4.74,4.84,4.94,5.44,5.54,5.64,5.69,5.74,5.79,5.84,5.89,5.94,5.99,6.44,6.49,6.54,6.61,6.68,6.74,6.8},{0,10,20,30,40,50,60,62,64,66,68,70,72,74,76,78,80,85,90,95,100})</f>
        <v>50</v>
      </c>
      <c r="T452" s="27"/>
      <c r="U452" s="27"/>
      <c r="V452" s="27">
        <f t="shared" si="132"/>
        <v>50</v>
      </c>
      <c r="W452" s="27"/>
      <c r="X452" s="19">
        <f t="shared" si="133"/>
        <v>48.1</v>
      </c>
      <c r="Y452" s="13">
        <f t="shared" si="134"/>
        <v>68.7142857142857</v>
      </c>
      <c r="Z452" s="19"/>
    </row>
    <row r="453" ht="15.6" spans="1:26">
      <c r="A453" s="27">
        <v>310</v>
      </c>
      <c r="B453" s="27">
        <v>47</v>
      </c>
      <c r="C453" s="28" t="s">
        <v>508</v>
      </c>
      <c r="D453" s="28" t="s">
        <v>46</v>
      </c>
      <c r="E453" s="27">
        <v>24</v>
      </c>
      <c r="F453" s="29">
        <f>LOOKUP(E453,{0,1.5,2.3,3.1,3.9,4.7,5.5,6.8,8.1,9.4,10.7,12,13.3,14.6,15.9,17.2,18.5,20.2,21.9,23.6,25.3},{0,10,20,30,40,50,60,62,64,66,68,70,72,74,76,78,80,85,90,95,100})</f>
        <v>95</v>
      </c>
      <c r="G453" s="27">
        <v>168</v>
      </c>
      <c r="H453" s="29">
        <f>LOOKUP(G453,{0,125,130,135,140,145,150,153,156,159,162,165,168,171,174,177,180,187,194,200,206},{0,10,20,30,40,50,60,62,64,66,68,70,72,74,76,78,80,85,90,95,100})</f>
        <v>72</v>
      </c>
      <c r="I453" s="27">
        <v>55</v>
      </c>
      <c r="J453" s="29">
        <f>LOOKUP(I453,{0,15,17,19,21,23,25,27,29,31,33,35,37,39,41,43,45,48,51,53,55},{0,10,20,30,40,50,60,62,64,66,68,70,72,74,76,78,80,85,90,95,100})</f>
        <v>100</v>
      </c>
      <c r="K453" s="35"/>
      <c r="L453" s="35"/>
      <c r="M453" s="35">
        <f t="shared" si="129"/>
        <v>100</v>
      </c>
      <c r="N453" s="35">
        <v>8.6</v>
      </c>
      <c r="O453" s="36">
        <f t="shared" si="130"/>
        <v>9.4</v>
      </c>
      <c r="P453" s="29">
        <f>LOOKUP(O453,{0,6.6,6.8,7,7.2,7.4,7.6,7.8,8,8.2,8.4,8.6,8.8,9,9.2,9.4,9.6,9.9,10.2,10.3,10.4},{0,10,20,30,40,50,60,62,64,66,68,70,72,74,76,78,80,85,90,95,100})</f>
        <v>78</v>
      </c>
      <c r="Q453" s="5">
        <v>4.07</v>
      </c>
      <c r="R453" s="36">
        <f t="shared" si="131"/>
        <v>5.93</v>
      </c>
      <c r="S453" s="29">
        <f>LOOKUP(R453,{0,4.74,4.84,4.94,5.44,5.54,5.64,5.69,5.74,5.79,5.84,5.89,5.94,5.99,6.44,6.49,6.54,6.61,6.68,6.74,6.8},{0,10,20,30,40,50,60,62,64,66,68,70,72,74,76,78,80,85,90,95,100})</f>
        <v>70</v>
      </c>
      <c r="T453" s="27"/>
      <c r="U453" s="27"/>
      <c r="V453" s="27">
        <f t="shared" si="132"/>
        <v>70</v>
      </c>
      <c r="W453" s="27"/>
      <c r="X453" s="19">
        <f t="shared" si="133"/>
        <v>56.3</v>
      </c>
      <c r="Y453" s="13">
        <f t="shared" si="134"/>
        <v>80.4285714285714</v>
      </c>
      <c r="Z453" s="19"/>
    </row>
    <row r="454" ht="15.6" spans="1:26">
      <c r="A454" s="27">
        <v>310</v>
      </c>
      <c r="B454" s="27">
        <v>48</v>
      </c>
      <c r="C454" s="28" t="s">
        <v>509</v>
      </c>
      <c r="D454" s="28" t="s">
        <v>46</v>
      </c>
      <c r="E454" s="27">
        <v>11</v>
      </c>
      <c r="F454" s="29">
        <f>LOOKUP(E454,{0,1.5,2.3,3.1,3.9,4.7,5.5,6.8,8.1,9.4,10.7,12,13.3,14.6,15.9,17.2,18.5,20.2,21.9,23.6,25.3},{0,10,20,30,40,50,60,62,64,66,68,70,72,74,76,78,80,85,90,95,100})</f>
        <v>68</v>
      </c>
      <c r="G454" s="27">
        <v>156</v>
      </c>
      <c r="H454" s="29">
        <f>LOOKUP(G454,{0,125,130,135,140,145,150,153,156,159,162,165,168,171,174,177,180,187,194,200,206},{0,10,20,30,40,50,60,62,64,66,68,70,72,74,76,78,80,85,90,95,100})</f>
        <v>64</v>
      </c>
      <c r="I454" s="27">
        <v>37</v>
      </c>
      <c r="J454" s="29">
        <f>LOOKUP(I454,{0,15,17,19,21,23,25,27,29,31,33,35,37,39,41,43,45,48,51,53,55},{0,10,20,30,40,50,60,62,64,66,68,70,72,74,76,78,80,85,90,95,100})</f>
        <v>72</v>
      </c>
      <c r="K454" s="35"/>
      <c r="L454" s="35"/>
      <c r="M454" s="35">
        <f t="shared" si="129"/>
        <v>72</v>
      </c>
      <c r="N454" s="35">
        <v>9.8</v>
      </c>
      <c r="O454" s="36">
        <f t="shared" si="130"/>
        <v>8.2</v>
      </c>
      <c r="P454" s="29">
        <f>LOOKUP(O454,{0,6.6,6.8,7,7.2,7.4,7.6,7.8,8,8.2,8.4,8.6,8.8,9,9.2,9.4,9.6,9.9,10.2,10.3,10.4},{0,10,20,30,40,50,60,62,64,66,68,70,72,74,76,78,80,85,90,95,100})</f>
        <v>66</v>
      </c>
      <c r="Q454" s="5">
        <v>4.43</v>
      </c>
      <c r="R454" s="36">
        <f t="shared" si="131"/>
        <v>5.57</v>
      </c>
      <c r="S454" s="29">
        <f>LOOKUP(R454,{0,4.74,4.84,4.94,5.44,5.54,5.64,5.69,5.74,5.79,5.84,5.89,5.94,5.99,6.44,6.49,6.54,6.61,6.68,6.74,6.8},{0,10,20,30,40,50,60,62,64,66,68,70,72,74,76,78,80,85,90,95,100})</f>
        <v>50</v>
      </c>
      <c r="T454" s="27"/>
      <c r="U454" s="27"/>
      <c r="V454" s="27">
        <f t="shared" si="132"/>
        <v>50</v>
      </c>
      <c r="W454" s="27"/>
      <c r="X454" s="19">
        <f t="shared" si="133"/>
        <v>43.6</v>
      </c>
      <c r="Y454" s="13">
        <f t="shared" si="134"/>
        <v>62.2857142857143</v>
      </c>
      <c r="Z454" s="19"/>
    </row>
    <row r="455" ht="15.6" spans="1:26">
      <c r="A455" s="27">
        <v>310</v>
      </c>
      <c r="B455" s="27">
        <v>49</v>
      </c>
      <c r="C455" s="28" t="s">
        <v>510</v>
      </c>
      <c r="D455" s="28" t="s">
        <v>46</v>
      </c>
      <c r="E455" s="27">
        <v>14.5</v>
      </c>
      <c r="F455" s="29">
        <f>LOOKUP(E455,{0,1.5,2.3,3.1,3.9,4.7,5.5,6.8,8.1,9.4,10.7,12,13.3,14.6,15.9,17.2,18.5,20.2,21.9,23.6,25.3},{0,10,20,30,40,50,60,62,64,66,68,70,72,74,76,78,80,85,90,95,100})</f>
        <v>72</v>
      </c>
      <c r="G455" s="27">
        <v>202</v>
      </c>
      <c r="H455" s="29">
        <f>LOOKUP(G455,{0,125,130,135,140,145,150,153,156,159,162,165,168,171,174,177,180,187,194,200,206},{0,10,20,30,40,50,60,62,64,66,68,70,72,74,76,78,80,85,90,95,100})</f>
        <v>95</v>
      </c>
      <c r="I455" s="27">
        <v>46</v>
      </c>
      <c r="J455" s="29">
        <f>LOOKUP(I455,{0,15,17,19,21,23,25,27,29,31,33,35,37,39,41,43,45,48,51,53,55},{0,10,20,30,40,50,60,62,64,66,68,70,72,74,76,78,80,85,90,95,100})</f>
        <v>80</v>
      </c>
      <c r="K455" s="35"/>
      <c r="L455" s="35"/>
      <c r="M455" s="35">
        <f t="shared" si="129"/>
        <v>80</v>
      </c>
      <c r="N455" s="35">
        <v>8.6</v>
      </c>
      <c r="O455" s="36">
        <f t="shared" si="130"/>
        <v>9.4</v>
      </c>
      <c r="P455" s="29">
        <f>LOOKUP(O455,{0,6.6,6.8,7,7.2,7.4,7.6,7.8,8,8.2,8.4,8.6,8.8,9,9.2,9.4,9.6,9.9,10.2,10.3,10.4},{0,10,20,30,40,50,60,62,64,66,68,70,72,74,76,78,80,85,90,95,100})</f>
        <v>78</v>
      </c>
      <c r="Q455" s="5">
        <v>3.22</v>
      </c>
      <c r="R455" s="36">
        <f t="shared" si="131"/>
        <v>6.78</v>
      </c>
      <c r="S455" s="29">
        <f>LOOKUP(R455,{0,4.74,4.84,4.94,5.44,5.54,5.64,5.69,5.74,5.79,5.84,5.89,5.94,5.99,6.44,6.49,6.54,6.61,6.68,6.74,6.8},{0,10,20,30,40,50,60,62,64,66,68,70,72,74,76,78,80,85,90,95,100})</f>
        <v>95</v>
      </c>
      <c r="T455" s="27"/>
      <c r="U455" s="27"/>
      <c r="V455" s="27">
        <f t="shared" si="132"/>
        <v>95</v>
      </c>
      <c r="W455" s="27"/>
      <c r="X455" s="19">
        <f t="shared" si="133"/>
        <v>59.3</v>
      </c>
      <c r="Y455" s="13">
        <f t="shared" si="134"/>
        <v>84.7142857142857</v>
      </c>
      <c r="Z455" s="19"/>
    </row>
    <row r="456" ht="15.6" spans="1:26">
      <c r="A456" s="27">
        <v>310</v>
      </c>
      <c r="B456" s="27">
        <v>50</v>
      </c>
      <c r="C456" s="28" t="s">
        <v>511</v>
      </c>
      <c r="D456" s="28" t="s">
        <v>46</v>
      </c>
      <c r="E456" s="27">
        <v>13.7</v>
      </c>
      <c r="F456" s="29">
        <f>LOOKUP(E456,{0,1.5,2.3,3.1,3.9,4.7,5.5,6.8,8.1,9.4,10.7,12,13.3,14.6,15.9,17.2,18.5,20.2,21.9,23.6,25.3},{0,10,20,30,40,50,60,62,64,66,68,70,72,74,76,78,80,85,90,95,100})</f>
        <v>72</v>
      </c>
      <c r="G456" s="27">
        <v>186</v>
      </c>
      <c r="H456" s="29">
        <f>LOOKUP(G456,{0,125,130,135,140,145,150,153,156,159,162,165,168,171,174,177,180,187,194,200,206},{0,10,20,30,40,50,60,62,64,66,68,70,72,74,76,78,80,85,90,95,100})</f>
        <v>80</v>
      </c>
      <c r="I456" s="27">
        <v>46</v>
      </c>
      <c r="J456" s="29">
        <f>LOOKUP(I456,{0,15,17,19,21,23,25,27,29,31,33,35,37,39,41,43,45,48,51,53,55},{0,10,20,30,40,50,60,62,64,66,68,70,72,74,76,78,80,85,90,95,100})</f>
        <v>80</v>
      </c>
      <c r="K456" s="35"/>
      <c r="L456" s="35"/>
      <c r="M456" s="35">
        <f t="shared" si="129"/>
        <v>80</v>
      </c>
      <c r="N456" s="35">
        <v>8.2</v>
      </c>
      <c r="O456" s="36">
        <f t="shared" si="130"/>
        <v>9.8</v>
      </c>
      <c r="P456" s="29">
        <f>LOOKUP(O456,{0,6.6,6.8,7,7.2,7.4,7.6,7.8,8,8.2,8.4,8.6,8.8,9,9.2,9.4,9.6,9.9,10.2,10.3,10.4},{0,10,20,30,40,50,60,62,64,66,68,70,72,74,76,78,80,85,90,95,100})</f>
        <v>80</v>
      </c>
      <c r="Q456" s="5">
        <v>3.57</v>
      </c>
      <c r="R456" s="36">
        <f t="shared" si="131"/>
        <v>6.43</v>
      </c>
      <c r="S456" s="29">
        <f>LOOKUP(R456,{0,4.74,4.84,4.94,5.44,5.54,5.64,5.69,5.74,5.79,5.84,5.89,5.94,5.99,6.44,6.49,6.54,6.61,6.68,6.74,6.8},{0,10,20,30,40,50,60,62,64,66,68,70,72,74,76,78,80,85,90,95,100})</f>
        <v>74</v>
      </c>
      <c r="T456" s="27"/>
      <c r="U456" s="27"/>
      <c r="V456" s="27">
        <f t="shared" si="132"/>
        <v>74</v>
      </c>
      <c r="W456" s="27"/>
      <c r="X456" s="19">
        <f t="shared" si="133"/>
        <v>54</v>
      </c>
      <c r="Y456" s="13">
        <f t="shared" si="134"/>
        <v>77.1428571428572</v>
      </c>
      <c r="Z456" s="19"/>
    </row>
    <row r="457" spans="1:26">
      <c r="A457" s="27">
        <v>310</v>
      </c>
      <c r="B457" s="27">
        <v>51</v>
      </c>
      <c r="C457" s="28" t="s">
        <v>512</v>
      </c>
      <c r="D457" s="28" t="s">
        <v>46</v>
      </c>
      <c r="E457" s="27"/>
      <c r="F457" s="27"/>
      <c r="G457" s="27"/>
      <c r="H457" s="27"/>
      <c r="I457" s="27"/>
      <c r="J457" s="35"/>
      <c r="K457" s="35"/>
      <c r="L457" s="35"/>
      <c r="M457" s="35"/>
      <c r="N457" s="35"/>
      <c r="O457" s="5"/>
      <c r="P457" s="5"/>
      <c r="Q457" s="5"/>
      <c r="R457" s="27"/>
      <c r="S457" s="27"/>
      <c r="T457" s="27"/>
      <c r="U457" s="27"/>
      <c r="V457" s="27"/>
      <c r="W457" s="27">
        <v>50</v>
      </c>
      <c r="X457" s="19"/>
      <c r="Y457" s="19">
        <v>50</v>
      </c>
      <c r="Z457" s="19"/>
    </row>
    <row r="458" ht="15.6" spans="1:26">
      <c r="A458" s="27">
        <v>311</v>
      </c>
      <c r="B458" s="27">
        <v>1</v>
      </c>
      <c r="C458" s="30" t="s">
        <v>514</v>
      </c>
      <c r="D458" s="28" t="s">
        <v>12</v>
      </c>
      <c r="E458" s="27">
        <v>0</v>
      </c>
      <c r="F458" s="29">
        <f>LOOKUP(E458,{0,-1.8,-0.8,0.2,1.2,2.2,3.2,4.6,6,7.4,8.8,10.2,11.6,13,14.4,15.8,17.2,19.1,21,22.8,24.6},{0,10,20,30,40,50,60,62,64,66,68,70,72,74,76,78,80,85,90,95,100})</f>
        <v>20</v>
      </c>
      <c r="G458" s="27">
        <v>246</v>
      </c>
      <c r="H458" s="29">
        <f>LOOKUP(G458,{0,180,185,190,195,200,205,209,213,217,221,225,229,233,237,241,245,253,260,265,270},{0,10,20,30,40,50,60,62,64,66,68,70,72,74,76,78,80,85,90,95,100})</f>
        <v>80</v>
      </c>
      <c r="I458" s="27">
        <v>3</v>
      </c>
      <c r="J458" s="29">
        <f>LOOKUP(I458,{0,4,5,6,7,8,9,10,11,12,13,14,15,16,17,18},{0,10,20,30,40,50,60,64,68,72,76,80,85,90,95,100})</f>
        <v>0</v>
      </c>
      <c r="K458" s="44"/>
      <c r="L458" s="35"/>
      <c r="M458" s="35">
        <f t="shared" ref="M458:M491" si="135">J458+L458</f>
        <v>0</v>
      </c>
      <c r="N458" s="35">
        <v>7.1</v>
      </c>
      <c r="O458" s="36">
        <f t="shared" ref="O458:O491" si="136">18-N458</f>
        <v>10.9</v>
      </c>
      <c r="P458" s="29">
        <f>LOOKUP(O458,{0,7.8,8,8.2,8.4,8.6,8.8,9,9.2,9.4,9.6,9.8,10,10.2,10.4,10.6,10.8,10.9,11,11.1,11.2},{0,10,20,30,40,50,60,62,64,66,68,70,72,74,76,78,80,85,90,95,100})</f>
        <v>85</v>
      </c>
      <c r="Q458" s="5">
        <v>4.34</v>
      </c>
      <c r="R458" s="36">
        <f t="shared" ref="R458:R491" si="137">10-Q458</f>
        <v>5.66</v>
      </c>
      <c r="S458" s="29">
        <f>LOOKUP(R458,{0,3.85,4.45,4.65,4.85,5.45,5.65,5.7,5.75,5.8,5.85,5.9,5.95,6,6.45,6.5,6.55,6.63,6.7,6.75,6.8},{0,10,20,30,40,50,60,62,64,66,68,70,72,74,76,78,80,85,90,95,100})</f>
        <v>60</v>
      </c>
      <c r="T458" s="27"/>
      <c r="U458" s="27"/>
      <c r="V458" s="27">
        <f t="shared" ref="V458:V491" si="138">S458+U458</f>
        <v>60</v>
      </c>
      <c r="W458" s="27"/>
      <c r="X458" s="19">
        <f t="shared" ref="X458:X491" si="139">F458*0.1+H458*0.1+J458*0.1+P458*0.2+S458*0.2</f>
        <v>39</v>
      </c>
      <c r="Y458" s="13">
        <f t="shared" ref="Y458:Y491" si="140">X458/0.7+L458+U458</f>
        <v>55.7142857142857</v>
      </c>
      <c r="Z458" s="20"/>
    </row>
    <row r="459" ht="15.6" spans="1:26">
      <c r="A459" s="27">
        <v>311</v>
      </c>
      <c r="B459" s="27">
        <v>2</v>
      </c>
      <c r="C459" s="28" t="s">
        <v>515</v>
      </c>
      <c r="D459" s="28" t="s">
        <v>12</v>
      </c>
      <c r="E459" s="27">
        <v>19.5</v>
      </c>
      <c r="F459" s="29">
        <f>LOOKUP(E459,{0,-1.8,-0.8,0.2,1.2,2.2,3.2,4.6,6,7.4,8.8,10.2,11.6,13,14.4,15.8,17.2,19.1,21,22.8,24.6},{0,10,20,30,40,50,60,62,64,66,68,70,72,74,76,78,80,85,90,95,100})</f>
        <v>85</v>
      </c>
      <c r="G459" s="27">
        <v>260</v>
      </c>
      <c r="H459" s="29">
        <f>LOOKUP(G459,{0,180,185,190,195,200,205,209,213,217,221,225,229,233,237,241,245,253,260,265,270},{0,10,20,30,40,50,60,62,64,66,68,70,72,74,76,78,80,85,90,95,100})</f>
        <v>90</v>
      </c>
      <c r="I459" s="27">
        <v>4</v>
      </c>
      <c r="J459" s="29">
        <f>LOOKUP(I459,{0,4,5,6,7,8,9,10,11,12,13,14,15,16,17,18},{0,10,20,30,40,50,60,64,68,72,76,80,85,90,95,100})</f>
        <v>10</v>
      </c>
      <c r="K459" s="44"/>
      <c r="L459" s="35"/>
      <c r="M459" s="35">
        <f t="shared" si="135"/>
        <v>10</v>
      </c>
      <c r="N459" s="35">
        <v>7.4</v>
      </c>
      <c r="O459" s="36">
        <f t="shared" si="136"/>
        <v>10.6</v>
      </c>
      <c r="P459" s="29">
        <f>LOOKUP(O459,{0,7.8,8,8.2,8.4,8.6,8.8,9,9.2,9.4,9.6,9.8,10,10.2,10.4,10.6,10.8,10.9,11,11.1,11.2},{0,10,20,30,40,50,60,62,64,66,68,70,72,74,76,78,80,85,90,95,100})</f>
        <v>78</v>
      </c>
      <c r="Q459" s="5">
        <v>4.31</v>
      </c>
      <c r="R459" s="36">
        <f t="shared" si="137"/>
        <v>5.69</v>
      </c>
      <c r="S459" s="29">
        <f>LOOKUP(R459,{0,3.85,4.45,4.65,4.85,5.45,5.65,5.7,5.75,5.8,5.85,5.9,5.95,6,6.45,6.5,6.55,6.63,6.7,6.75,6.8},{0,10,20,30,40,50,60,62,64,66,68,70,72,74,76,78,80,85,90,95,100})</f>
        <v>60</v>
      </c>
      <c r="T459" s="27"/>
      <c r="U459" s="27"/>
      <c r="V459" s="27">
        <f t="shared" si="138"/>
        <v>60</v>
      </c>
      <c r="W459" s="27"/>
      <c r="X459" s="19">
        <f t="shared" si="139"/>
        <v>46.1</v>
      </c>
      <c r="Y459" s="13">
        <f t="shared" si="140"/>
        <v>65.8571428571429</v>
      </c>
      <c r="Z459" s="19"/>
    </row>
    <row r="460" ht="15.6" spans="1:26">
      <c r="A460" s="27">
        <v>311</v>
      </c>
      <c r="B460" s="27">
        <v>3</v>
      </c>
      <c r="C460" s="28" t="s">
        <v>516</v>
      </c>
      <c r="D460" s="28" t="s">
        <v>12</v>
      </c>
      <c r="E460" s="27">
        <v>16</v>
      </c>
      <c r="F460" s="29">
        <f>LOOKUP(E460,{0,-1.8,-0.8,0.2,1.2,2.2,3.2,4.6,6,7.4,8.8,10.2,11.6,13,14.4,15.8,17.2,19.1,21,22.8,24.6},{0,10,20,30,40,50,60,62,64,66,68,70,72,74,76,78,80,85,90,95,100})</f>
        <v>78</v>
      </c>
      <c r="G460" s="27">
        <v>245</v>
      </c>
      <c r="H460" s="29">
        <f>LOOKUP(G460,{0,180,185,190,195,200,205,209,213,217,221,225,229,233,237,241,245,253,260,265,270},{0,10,20,30,40,50,60,62,64,66,68,70,72,74,76,78,80,85,90,95,100})</f>
        <v>80</v>
      </c>
      <c r="I460" s="27">
        <v>25</v>
      </c>
      <c r="J460" s="29">
        <f>LOOKUP(I460,{0,4,5,6,7,8,9,10,11,12,13,14,15,16,17,18},{0,10,20,30,40,50,60,64,68,72,76,80,85,90,95,100})</f>
        <v>100</v>
      </c>
      <c r="K460" s="44">
        <f>I460-18</f>
        <v>7</v>
      </c>
      <c r="L460" s="29">
        <f>LOOKUP(K460,{0,1,2,3,4,5,6,7,8,9,10},{0,1,2,3,4,5,6,7,8,9,10})</f>
        <v>7</v>
      </c>
      <c r="M460" s="35">
        <f t="shared" si="135"/>
        <v>107</v>
      </c>
      <c r="N460" s="35">
        <v>7.2</v>
      </c>
      <c r="O460" s="36">
        <f t="shared" si="136"/>
        <v>10.8</v>
      </c>
      <c r="P460" s="29">
        <f>LOOKUP(O460,{0,7.8,8,8.2,8.4,8.6,8.8,9,9.2,9.4,9.6,9.8,10,10.2,10.4,10.6,10.8,10.9,11,11.1,11.2},{0,10,20,30,40,50,60,62,64,66,68,70,72,74,76,78,80,85,90,95,100})</f>
        <v>80</v>
      </c>
      <c r="Q460" s="5">
        <v>4.25</v>
      </c>
      <c r="R460" s="36">
        <f t="shared" si="137"/>
        <v>5.75</v>
      </c>
      <c r="S460" s="29">
        <f>LOOKUP(R460,{0,3.85,4.45,4.65,4.85,5.45,5.65,5.7,5.75,5.8,5.85,5.9,5.95,6,6.45,6.5,6.55,6.63,6.7,6.75,6.8},{0,10,20,30,40,50,60,62,64,66,68,70,72,74,76,78,80,85,90,95,100})</f>
        <v>64</v>
      </c>
      <c r="T460" s="27"/>
      <c r="U460" s="27"/>
      <c r="V460" s="27">
        <f t="shared" si="138"/>
        <v>64</v>
      </c>
      <c r="W460" s="27"/>
      <c r="X460" s="19">
        <f t="shared" si="139"/>
        <v>54.6</v>
      </c>
      <c r="Y460" s="13">
        <f t="shared" si="140"/>
        <v>85</v>
      </c>
      <c r="Z460" s="19"/>
    </row>
    <row r="461" ht="15.6" spans="1:26">
      <c r="A461" s="27">
        <v>311</v>
      </c>
      <c r="B461" s="27">
        <v>4</v>
      </c>
      <c r="C461" s="28" t="s">
        <v>517</v>
      </c>
      <c r="D461" s="28" t="s">
        <v>12</v>
      </c>
      <c r="E461" s="27">
        <v>7</v>
      </c>
      <c r="F461" s="29">
        <f>LOOKUP(E461,{0,-1.8,-0.8,0.2,1.2,2.2,3.2,4.6,6,7.4,8.8,10.2,11.6,13,14.4,15.8,17.2,19.1,21,22.8,24.6},{0,10,20,30,40,50,60,62,64,66,68,70,72,74,76,78,80,85,90,95,100})</f>
        <v>64</v>
      </c>
      <c r="G461" s="27">
        <v>235</v>
      </c>
      <c r="H461" s="29">
        <f>LOOKUP(G461,{0,180,185,190,195,200,205,209,213,217,221,225,229,233,237,241,245,253,260,265,270},{0,10,20,30,40,50,60,62,64,66,68,70,72,74,76,78,80,85,90,95,100})</f>
        <v>74</v>
      </c>
      <c r="I461" s="27">
        <v>1</v>
      </c>
      <c r="J461" s="29">
        <f>LOOKUP(I461,{0,4,5,6,7,8,9,10,11,12,13,14,15,16,17,18},{0,10,20,30,40,50,60,64,68,72,76,80,85,90,95,100})</f>
        <v>0</v>
      </c>
      <c r="K461" s="44"/>
      <c r="L461" s="35"/>
      <c r="M461" s="35">
        <f t="shared" si="135"/>
        <v>0</v>
      </c>
      <c r="N461" s="35">
        <v>8</v>
      </c>
      <c r="O461" s="36">
        <f t="shared" si="136"/>
        <v>10</v>
      </c>
      <c r="P461" s="29">
        <f>LOOKUP(O461,{0,7.8,8,8.2,8.4,8.6,8.8,9,9.2,9.4,9.6,9.8,10,10.2,10.4,10.6,10.8,10.9,11,11.1,11.2},{0,10,20,30,40,50,60,62,64,66,68,70,72,74,76,78,80,85,90,95,100})</f>
        <v>72</v>
      </c>
      <c r="Q461" s="5">
        <v>4.33</v>
      </c>
      <c r="R461" s="36">
        <f t="shared" si="137"/>
        <v>5.67</v>
      </c>
      <c r="S461" s="29">
        <f>LOOKUP(R461,{0,3.85,4.45,4.65,4.85,5.45,5.65,5.7,5.75,5.8,5.85,5.9,5.95,6,6.45,6.5,6.55,6.63,6.7,6.75,6.8},{0,10,20,30,40,50,60,62,64,66,68,70,72,74,76,78,80,85,90,95,100})</f>
        <v>60</v>
      </c>
      <c r="T461" s="27"/>
      <c r="U461" s="27"/>
      <c r="V461" s="27">
        <f t="shared" si="138"/>
        <v>60</v>
      </c>
      <c r="W461" s="27"/>
      <c r="X461" s="19">
        <f t="shared" si="139"/>
        <v>40.2</v>
      </c>
      <c r="Y461" s="13">
        <f t="shared" si="140"/>
        <v>57.4285714285714</v>
      </c>
      <c r="Z461" s="19"/>
    </row>
    <row r="462" ht="15.6" spans="1:26">
      <c r="A462" s="27">
        <v>311</v>
      </c>
      <c r="B462" s="27">
        <v>5</v>
      </c>
      <c r="C462" s="28" t="s">
        <v>518</v>
      </c>
      <c r="D462" s="28" t="s">
        <v>12</v>
      </c>
      <c r="E462" s="27">
        <v>-6</v>
      </c>
      <c r="F462" s="29">
        <v>0</v>
      </c>
      <c r="G462" s="27">
        <v>220</v>
      </c>
      <c r="H462" s="29">
        <f>LOOKUP(G462,{0,180,185,190,195,200,205,209,213,217,221,225,229,233,237,241,245,253,260,265,270},{0,10,20,30,40,50,60,62,64,66,68,70,72,74,76,78,80,85,90,95,100})</f>
        <v>66</v>
      </c>
      <c r="I462" s="27">
        <v>0</v>
      </c>
      <c r="J462" s="29">
        <f>LOOKUP(I462,{0,4,5,6,7,8,9,10,11,12,13,14,15,16,17,18},{0,10,20,30,40,50,60,64,68,72,76,80,85,90,95,100})</f>
        <v>0</v>
      </c>
      <c r="K462" s="44"/>
      <c r="L462" s="35"/>
      <c r="M462" s="35">
        <f t="shared" si="135"/>
        <v>0</v>
      </c>
      <c r="N462" s="35">
        <v>7.5</v>
      </c>
      <c r="O462" s="36">
        <f t="shared" si="136"/>
        <v>10.5</v>
      </c>
      <c r="P462" s="29">
        <f>LOOKUP(O462,{0,7.8,8,8.2,8.4,8.6,8.8,9,9.2,9.4,9.6,9.8,10,10.2,10.4,10.6,10.8,10.9,11,11.1,11.2},{0,10,20,30,40,50,60,62,64,66,68,70,72,74,76,78,80,85,90,95,100})</f>
        <v>76</v>
      </c>
      <c r="Q462" s="5">
        <v>4.33</v>
      </c>
      <c r="R462" s="36">
        <f t="shared" si="137"/>
        <v>5.67</v>
      </c>
      <c r="S462" s="29">
        <f>LOOKUP(R462,{0,3.85,4.45,4.65,4.85,5.45,5.65,5.7,5.75,5.8,5.85,5.9,5.95,6,6.45,6.5,6.55,6.63,6.7,6.75,6.8},{0,10,20,30,40,50,60,62,64,66,68,70,72,74,76,78,80,85,90,95,100})</f>
        <v>60</v>
      </c>
      <c r="T462" s="27"/>
      <c r="U462" s="27"/>
      <c r="V462" s="27">
        <f t="shared" si="138"/>
        <v>60</v>
      </c>
      <c r="W462" s="27"/>
      <c r="X462" s="19">
        <f t="shared" si="139"/>
        <v>33.8</v>
      </c>
      <c r="Y462" s="13">
        <f t="shared" si="140"/>
        <v>48.2857142857143</v>
      </c>
      <c r="Z462" s="19"/>
    </row>
    <row r="463" ht="15.6" spans="1:26">
      <c r="A463" s="27">
        <v>311</v>
      </c>
      <c r="B463" s="27">
        <v>6</v>
      </c>
      <c r="C463" s="28" t="s">
        <v>519</v>
      </c>
      <c r="D463" s="28" t="s">
        <v>12</v>
      </c>
      <c r="E463" s="27">
        <v>11</v>
      </c>
      <c r="F463" s="29">
        <f>LOOKUP(E463,{0,-1.8,-0.8,0.2,1.2,2.2,3.2,4.6,6,7.4,8.8,10.2,11.6,13,14.4,15.8,17.2,19.1,21,22.8,24.6},{0,10,20,30,40,50,60,62,64,66,68,70,72,74,76,78,80,85,90,95,100})</f>
        <v>70</v>
      </c>
      <c r="G463" s="27">
        <v>270</v>
      </c>
      <c r="H463" s="29">
        <f>LOOKUP(G463,{0,180,185,190,195,200,205,209,213,217,221,225,229,233,237,241,245,253,260,265,270},{0,10,20,30,40,50,60,62,64,66,68,70,72,74,76,78,80,85,90,95,100})</f>
        <v>100</v>
      </c>
      <c r="I463" s="27">
        <v>7</v>
      </c>
      <c r="J463" s="29">
        <f>LOOKUP(I463,{0,4,5,6,7,8,9,10,11,12,13,14,15,16,17,18},{0,10,20,30,40,50,60,64,68,72,76,80,85,90,95,100})</f>
        <v>40</v>
      </c>
      <c r="K463" s="44"/>
      <c r="L463" s="35"/>
      <c r="M463" s="35">
        <f t="shared" si="135"/>
        <v>40</v>
      </c>
      <c r="N463" s="35">
        <v>6.8</v>
      </c>
      <c r="O463" s="36">
        <f t="shared" si="136"/>
        <v>11.2</v>
      </c>
      <c r="P463" s="29">
        <f>LOOKUP(O463,{0,7.8,8,8.2,8.4,8.6,8.8,9,9.2,9.4,9.6,9.8,10,10.2,10.4,10.6,10.8,10.9,11,11.1,11.2},{0,10,20,30,40,50,60,62,64,66,68,70,72,74,76,78,80,85,90,95,100})</f>
        <v>100</v>
      </c>
      <c r="Q463" s="5">
        <v>4.47</v>
      </c>
      <c r="R463" s="36">
        <f t="shared" si="137"/>
        <v>5.53</v>
      </c>
      <c r="S463" s="29">
        <f>LOOKUP(R463,{0,3.85,4.45,4.65,4.85,5.45,5.65,5.7,5.75,5.8,5.85,5.9,5.95,6,6.45,6.5,6.55,6.63,6.7,6.75,6.8},{0,10,20,30,40,50,60,62,64,66,68,70,72,74,76,78,80,85,90,95,100})</f>
        <v>50</v>
      </c>
      <c r="T463" s="27"/>
      <c r="U463" s="27"/>
      <c r="V463" s="27">
        <f t="shared" si="138"/>
        <v>50</v>
      </c>
      <c r="W463" s="27"/>
      <c r="X463" s="19">
        <f t="shared" si="139"/>
        <v>51</v>
      </c>
      <c r="Y463" s="13">
        <f t="shared" si="140"/>
        <v>72.8571428571429</v>
      </c>
      <c r="Z463" s="19"/>
    </row>
    <row r="464" ht="15.6" spans="1:26">
      <c r="A464" s="27">
        <v>311</v>
      </c>
      <c r="B464" s="27">
        <v>7</v>
      </c>
      <c r="C464" s="28" t="s">
        <v>520</v>
      </c>
      <c r="D464" s="28" t="s">
        <v>12</v>
      </c>
      <c r="E464" s="27">
        <v>5.5</v>
      </c>
      <c r="F464" s="29">
        <f>LOOKUP(E464,{0,-1.8,-0.8,0.2,1.2,2.2,3.2,4.6,6,7.4,8.8,10.2,11.6,13,14.4,15.8,17.2,19.1,21,22.8,24.6},{0,10,20,30,40,50,60,62,64,66,68,70,72,74,76,78,80,85,90,95,100})</f>
        <v>62</v>
      </c>
      <c r="G464" s="27">
        <v>225</v>
      </c>
      <c r="H464" s="29">
        <f>LOOKUP(G464,{0,180,185,190,195,200,205,209,213,217,221,225,229,233,237,241,245,253,260,265,270},{0,10,20,30,40,50,60,62,64,66,68,70,72,74,76,78,80,85,90,95,100})</f>
        <v>70</v>
      </c>
      <c r="I464" s="27">
        <v>20</v>
      </c>
      <c r="J464" s="29">
        <f>LOOKUP(I464,{0,4,5,6,7,8,9,10,11,12,13,14,15,16,17,18},{0,10,20,30,40,50,60,64,68,72,76,80,85,90,95,100})</f>
        <v>100</v>
      </c>
      <c r="K464" s="44">
        <f>I464-18</f>
        <v>2</v>
      </c>
      <c r="L464" s="29">
        <f>LOOKUP(K464,{0,1,2,3,4,5,6,7,8,9,10},{0,1,2,3,4,5,6,7,8,9,10})</f>
        <v>2</v>
      </c>
      <c r="M464" s="35">
        <f t="shared" si="135"/>
        <v>102</v>
      </c>
      <c r="N464" s="35">
        <v>6.6</v>
      </c>
      <c r="O464" s="36">
        <f t="shared" si="136"/>
        <v>11.4</v>
      </c>
      <c r="P464" s="29">
        <f>LOOKUP(O464,{0,7.8,8,8.2,8.4,8.6,8.8,9,9.2,9.4,9.6,9.8,10,10.2,10.4,10.6,10.8,10.9,11,11.1,11.2},{0,10,20,30,40,50,60,62,64,66,68,70,72,74,76,78,80,85,90,95,100})</f>
        <v>100</v>
      </c>
      <c r="Q464" s="5">
        <v>4.35</v>
      </c>
      <c r="R464" s="36">
        <f t="shared" si="137"/>
        <v>5.65</v>
      </c>
      <c r="S464" s="29">
        <f>LOOKUP(R464,{0,3.85,4.45,4.65,4.85,5.45,5.65,5.7,5.75,5.8,5.85,5.9,5.95,6,6.45,6.5,6.55,6.63,6.7,6.75,6.8},{0,10,20,30,40,50,60,62,64,66,68,70,72,74,76,78,80,85,90,95,100})</f>
        <v>60</v>
      </c>
      <c r="T464" s="27"/>
      <c r="U464" s="27"/>
      <c r="V464" s="27">
        <f t="shared" si="138"/>
        <v>60</v>
      </c>
      <c r="W464" s="27"/>
      <c r="X464" s="19">
        <f t="shared" si="139"/>
        <v>55.2</v>
      </c>
      <c r="Y464" s="13">
        <f t="shared" si="140"/>
        <v>80.8571428571429</v>
      </c>
      <c r="Z464" s="19"/>
    </row>
    <row r="465" ht="15.6" spans="1:26">
      <c r="A465" s="27">
        <v>311</v>
      </c>
      <c r="B465" s="27">
        <v>8</v>
      </c>
      <c r="C465" s="28" t="s">
        <v>521</v>
      </c>
      <c r="D465" s="28" t="s">
        <v>12</v>
      </c>
      <c r="E465" s="27">
        <v>6.5</v>
      </c>
      <c r="F465" s="29">
        <f>LOOKUP(E465,{0,-1.8,-0.8,0.2,1.2,2.2,3.2,4.6,6,7.4,8.8,10.2,11.6,13,14.4,15.8,17.2,19.1,21,22.8,24.6},{0,10,20,30,40,50,60,62,64,66,68,70,72,74,76,78,80,85,90,95,100})</f>
        <v>64</v>
      </c>
      <c r="G465" s="27">
        <v>220</v>
      </c>
      <c r="H465" s="29">
        <f>LOOKUP(G465,{0,180,185,190,195,200,205,209,213,217,221,225,229,233,237,241,245,253,260,265,270},{0,10,20,30,40,50,60,62,64,66,68,70,72,74,76,78,80,85,90,95,100})</f>
        <v>66</v>
      </c>
      <c r="I465" s="27">
        <v>1</v>
      </c>
      <c r="J465" s="29">
        <f>LOOKUP(I465,{0,4,5,6,7,8,9,10,11,12,13,14,15,16,17,18},{0,10,20,30,40,50,60,64,68,72,76,80,85,90,95,100})</f>
        <v>0</v>
      </c>
      <c r="K465" s="44"/>
      <c r="L465" s="35"/>
      <c r="M465" s="35">
        <f t="shared" si="135"/>
        <v>0</v>
      </c>
      <c r="N465" s="35">
        <v>7.6</v>
      </c>
      <c r="O465" s="36">
        <f t="shared" si="136"/>
        <v>10.4</v>
      </c>
      <c r="P465" s="29">
        <f>LOOKUP(O465,{0,7.8,8,8.2,8.4,8.6,8.8,9,9.2,9.4,9.6,9.8,10,10.2,10.4,10.6,10.8,10.9,11,11.1,11.2},{0,10,20,30,40,50,60,62,64,66,68,70,72,74,76,78,80,85,90,95,100})</f>
        <v>76</v>
      </c>
      <c r="Q465" s="5">
        <v>5.28</v>
      </c>
      <c r="R465" s="36">
        <f t="shared" si="137"/>
        <v>4.72</v>
      </c>
      <c r="S465" s="29">
        <f>LOOKUP(R465,{0,3.85,4.45,4.65,4.85,5.45,5.65,5.7,5.75,5.8,5.85,5.9,5.95,6,6.45,6.5,6.55,6.63,6.7,6.75,6.8},{0,10,20,30,40,50,60,62,64,66,68,70,72,74,76,78,80,85,90,95,100})</f>
        <v>30</v>
      </c>
      <c r="T465" s="27"/>
      <c r="U465" s="27"/>
      <c r="V465" s="27">
        <f t="shared" si="138"/>
        <v>30</v>
      </c>
      <c r="W465" s="27"/>
      <c r="X465" s="19">
        <f t="shared" si="139"/>
        <v>34.2</v>
      </c>
      <c r="Y465" s="13">
        <f t="shared" si="140"/>
        <v>48.8571428571429</v>
      </c>
      <c r="Z465" s="19"/>
    </row>
    <row r="466" ht="15.6" spans="1:26">
      <c r="A466" s="27">
        <v>311</v>
      </c>
      <c r="B466" s="27">
        <v>9</v>
      </c>
      <c r="C466" s="28" t="s">
        <v>522</v>
      </c>
      <c r="D466" s="28" t="s">
        <v>12</v>
      </c>
      <c r="E466" s="27">
        <v>9.7</v>
      </c>
      <c r="F466" s="29">
        <f>LOOKUP(E466,{0,-1.8,-0.8,0.2,1.2,2.2,3.2,4.6,6,7.4,8.8,10.2,11.6,13,14.4,15.8,17.2,19.1,21,22.8,24.6},{0,10,20,30,40,50,60,62,64,66,68,70,72,74,76,78,80,85,90,95,100})</f>
        <v>68</v>
      </c>
      <c r="G466" s="27">
        <v>240</v>
      </c>
      <c r="H466" s="29">
        <f>LOOKUP(G466,{0,180,185,190,195,200,205,209,213,217,221,225,229,233,237,241,245,253,260,265,270},{0,10,20,30,40,50,60,62,64,66,68,70,72,74,76,78,80,85,90,95,100})</f>
        <v>76</v>
      </c>
      <c r="I466" s="27">
        <v>16</v>
      </c>
      <c r="J466" s="29">
        <f>LOOKUP(I466,{0,4,5,6,7,8,9,10,11,12,13,14,15,16,17,18},{0,10,20,30,40,50,60,64,68,72,76,80,85,90,95,100})</f>
        <v>90</v>
      </c>
      <c r="K466" s="44"/>
      <c r="L466" s="35"/>
      <c r="M466" s="35">
        <f t="shared" si="135"/>
        <v>90</v>
      </c>
      <c r="N466" s="35">
        <v>7.5</v>
      </c>
      <c r="O466" s="36">
        <f t="shared" si="136"/>
        <v>10.5</v>
      </c>
      <c r="P466" s="29">
        <f>LOOKUP(O466,{0,7.8,8,8.2,8.4,8.6,8.8,9,9.2,9.4,9.6,9.8,10,10.2,10.4,10.6,10.8,10.9,11,11.1,11.2},{0,10,20,30,40,50,60,62,64,66,68,70,72,74,76,78,80,85,90,95,100})</f>
        <v>76</v>
      </c>
      <c r="Q466" s="5">
        <v>4.32</v>
      </c>
      <c r="R466" s="36">
        <f t="shared" si="137"/>
        <v>5.68</v>
      </c>
      <c r="S466" s="29">
        <f>LOOKUP(R466,{0,3.85,4.45,4.65,4.85,5.45,5.65,5.7,5.75,5.8,5.85,5.9,5.95,6,6.45,6.5,6.55,6.63,6.7,6.75,6.8},{0,10,20,30,40,50,60,62,64,66,68,70,72,74,76,78,80,85,90,95,100})</f>
        <v>60</v>
      </c>
      <c r="T466" s="27"/>
      <c r="U466" s="27"/>
      <c r="V466" s="27">
        <f t="shared" si="138"/>
        <v>60</v>
      </c>
      <c r="W466" s="27"/>
      <c r="X466" s="19">
        <f t="shared" si="139"/>
        <v>50.6</v>
      </c>
      <c r="Y466" s="13">
        <f t="shared" si="140"/>
        <v>72.2857142857143</v>
      </c>
      <c r="Z466" s="19"/>
    </row>
    <row r="467" ht="15.6" spans="1:26">
      <c r="A467" s="27">
        <v>311</v>
      </c>
      <c r="B467" s="27">
        <v>10</v>
      </c>
      <c r="C467" s="28" t="s">
        <v>523</v>
      </c>
      <c r="D467" s="28" t="s">
        <v>12</v>
      </c>
      <c r="E467" s="27">
        <v>2</v>
      </c>
      <c r="F467" s="29">
        <f>LOOKUP(E467,{0,-1.8,-0.8,0.2,1.2,2.2,3.2,4.6,6,7.4,8.8,10.2,11.6,13,14.4,15.8,17.2,19.1,21,22.8,24.6},{0,10,20,30,40,50,60,62,64,66,68,70,72,74,76,78,80,85,90,95,100})</f>
        <v>40</v>
      </c>
      <c r="G467" s="27">
        <v>202</v>
      </c>
      <c r="H467" s="29">
        <f>LOOKUP(G467,{0,180,185,190,195,200,205,209,213,217,221,225,229,233,237,241,245,253,260,265,270},{0,10,20,30,40,50,60,62,64,66,68,70,72,74,76,78,80,85,90,95,100})</f>
        <v>50</v>
      </c>
      <c r="I467" s="27">
        <v>1</v>
      </c>
      <c r="J467" s="29">
        <f>LOOKUP(I467,{0,4,5,6,7,8,9,10,11,12,13,14,15,16,17,18},{0,10,20,30,40,50,60,64,68,72,76,80,85,90,95,100})</f>
        <v>0</v>
      </c>
      <c r="K467" s="44"/>
      <c r="L467" s="35"/>
      <c r="M467" s="35">
        <f t="shared" si="135"/>
        <v>0</v>
      </c>
      <c r="N467" s="35">
        <v>7.9</v>
      </c>
      <c r="O467" s="36">
        <f t="shared" si="136"/>
        <v>10.1</v>
      </c>
      <c r="P467" s="29">
        <f>LOOKUP(O467,{0,7.8,8,8.2,8.4,8.6,8.8,9,9.2,9.4,9.6,9.8,10,10.2,10.4,10.6,10.8,10.9,11,11.1,11.2},{0,10,20,30,40,50,60,62,64,66,68,70,72,74,76,78,80,85,90,95,100})</f>
        <v>72</v>
      </c>
      <c r="Q467" s="5">
        <v>4.46</v>
      </c>
      <c r="R467" s="36">
        <f t="shared" si="137"/>
        <v>5.54</v>
      </c>
      <c r="S467" s="29">
        <f>LOOKUP(R467,{0,3.85,4.45,4.65,4.85,5.45,5.65,5.7,5.75,5.8,5.85,5.9,5.95,6,6.45,6.5,6.55,6.63,6.7,6.75,6.8},{0,10,20,30,40,50,60,62,64,66,68,70,72,74,76,78,80,85,90,95,100})</f>
        <v>50</v>
      </c>
      <c r="T467" s="27"/>
      <c r="U467" s="27"/>
      <c r="V467" s="27">
        <f t="shared" si="138"/>
        <v>50</v>
      </c>
      <c r="W467" s="27"/>
      <c r="X467" s="19">
        <f t="shared" si="139"/>
        <v>33.4</v>
      </c>
      <c r="Y467" s="13">
        <f t="shared" si="140"/>
        <v>47.7142857142857</v>
      </c>
      <c r="Z467" s="19"/>
    </row>
    <row r="468" ht="15.6" spans="1:26">
      <c r="A468" s="27">
        <v>311</v>
      </c>
      <c r="B468" s="27">
        <v>11</v>
      </c>
      <c r="C468" s="28" t="s">
        <v>524</v>
      </c>
      <c r="D468" s="28" t="s">
        <v>12</v>
      </c>
      <c r="E468" s="27">
        <v>10.5</v>
      </c>
      <c r="F468" s="29">
        <f>LOOKUP(E468,{0,-1.8,-0.8,0.2,1.2,2.2,3.2,4.6,6,7.4,8.8,10.2,11.6,13,14.4,15.8,17.2,19.1,21,22.8,24.6},{0,10,20,30,40,50,60,62,64,66,68,70,72,74,76,78,80,85,90,95,100})</f>
        <v>70</v>
      </c>
      <c r="G468" s="27">
        <v>210</v>
      </c>
      <c r="H468" s="29">
        <f>LOOKUP(G468,{0,180,185,190,195,200,205,209,213,217,221,225,229,233,237,241,245,253,260,265,270},{0,10,20,30,40,50,60,62,64,66,68,70,72,74,76,78,80,85,90,95,100})</f>
        <v>62</v>
      </c>
      <c r="I468" s="27">
        <v>5</v>
      </c>
      <c r="J468" s="29">
        <f>LOOKUP(I468,{0,4,5,6,7,8,9,10,11,12,13,14,15,16,17,18},{0,10,20,30,40,50,60,64,68,72,76,80,85,90,95,100})</f>
        <v>20</v>
      </c>
      <c r="K468" s="44"/>
      <c r="L468" s="35"/>
      <c r="M468" s="35">
        <f t="shared" si="135"/>
        <v>20</v>
      </c>
      <c r="N468" s="35">
        <v>8.1</v>
      </c>
      <c r="O468" s="36">
        <f t="shared" si="136"/>
        <v>9.9</v>
      </c>
      <c r="P468" s="29">
        <f>LOOKUP(O468,{0,7.8,8,8.2,8.4,8.6,8.8,9,9.2,9.4,9.6,9.8,10,10.2,10.4,10.6,10.8,10.9,11,11.1,11.2},{0,10,20,30,40,50,60,62,64,66,68,70,72,74,76,78,80,85,90,95,100})</f>
        <v>70</v>
      </c>
      <c r="Q468" s="5">
        <v>5.19</v>
      </c>
      <c r="R468" s="36">
        <f t="shared" si="137"/>
        <v>4.81</v>
      </c>
      <c r="S468" s="29">
        <f>LOOKUP(R468,{0,3.85,4.45,4.65,4.85,5.45,5.65,5.7,5.75,5.8,5.85,5.9,5.95,6,6.45,6.5,6.55,6.63,6.7,6.75,6.8},{0,10,20,30,40,50,60,62,64,66,68,70,72,74,76,78,80,85,90,95,100})</f>
        <v>30</v>
      </c>
      <c r="T468" s="27"/>
      <c r="U468" s="27"/>
      <c r="V468" s="27">
        <f t="shared" si="138"/>
        <v>30</v>
      </c>
      <c r="W468" s="27"/>
      <c r="X468" s="19">
        <f t="shared" si="139"/>
        <v>35.2</v>
      </c>
      <c r="Y468" s="13">
        <f t="shared" si="140"/>
        <v>50.2857142857143</v>
      </c>
      <c r="Z468" s="19"/>
    </row>
    <row r="469" ht="15.6" spans="1:26">
      <c r="A469" s="27">
        <v>311</v>
      </c>
      <c r="B469" s="27">
        <v>12</v>
      </c>
      <c r="C469" s="28" t="s">
        <v>525</v>
      </c>
      <c r="D469" s="28" t="s">
        <v>12</v>
      </c>
      <c r="E469" s="27">
        <v>15</v>
      </c>
      <c r="F469" s="29">
        <f>LOOKUP(E469,{0,-1.8,-0.8,0.2,1.2,2.2,3.2,4.6,6,7.4,8.8,10.2,11.6,13,14.4,15.8,17.2,19.1,21,22.8,24.6},{0,10,20,30,40,50,60,62,64,66,68,70,72,74,76,78,80,85,90,95,100})</f>
        <v>76</v>
      </c>
      <c r="G469" s="27">
        <v>250</v>
      </c>
      <c r="H469" s="29">
        <f>LOOKUP(G469,{0,180,185,190,195,200,205,209,213,217,221,225,229,233,237,241,245,253,260,265,270},{0,10,20,30,40,50,60,62,64,66,68,70,72,74,76,78,80,85,90,95,100})</f>
        <v>80</v>
      </c>
      <c r="I469" s="27">
        <v>18</v>
      </c>
      <c r="J469" s="29">
        <f>LOOKUP(I469,{0,4,5,6,7,8,9,10,11,12,13,14,15,16,17,18},{0,10,20,30,40,50,60,64,68,72,76,80,85,90,95,100})</f>
        <v>100</v>
      </c>
      <c r="K469" s="44"/>
      <c r="L469" s="35"/>
      <c r="M469" s="35">
        <f t="shared" si="135"/>
        <v>100</v>
      </c>
      <c r="N469" s="35">
        <v>6.8</v>
      </c>
      <c r="O469" s="36">
        <f t="shared" si="136"/>
        <v>11.2</v>
      </c>
      <c r="P469" s="29">
        <f>LOOKUP(O469,{0,7.8,8,8.2,8.4,8.6,8.8,9,9.2,9.4,9.6,9.8,10,10.2,10.4,10.6,10.8,10.9,11,11.1,11.2},{0,10,20,30,40,50,60,62,64,66,68,70,72,74,76,78,80,85,90,95,100})</f>
        <v>100</v>
      </c>
      <c r="Q469" s="5">
        <v>4.16</v>
      </c>
      <c r="R469" s="36">
        <f t="shared" si="137"/>
        <v>5.84</v>
      </c>
      <c r="S469" s="29">
        <f>LOOKUP(R469,{0,3.85,4.45,4.65,4.85,5.45,5.65,5.7,5.75,5.8,5.85,5.9,5.95,6,6.45,6.5,6.55,6.63,6.7,6.75,6.8},{0,10,20,30,40,50,60,62,64,66,68,70,72,74,76,78,80,85,90,95,100})</f>
        <v>66</v>
      </c>
      <c r="T469" s="27"/>
      <c r="U469" s="27"/>
      <c r="V469" s="27">
        <f t="shared" si="138"/>
        <v>66</v>
      </c>
      <c r="W469" s="27"/>
      <c r="X469" s="19">
        <f t="shared" si="139"/>
        <v>58.8</v>
      </c>
      <c r="Y469" s="13">
        <f t="shared" si="140"/>
        <v>84</v>
      </c>
      <c r="Z469" s="19"/>
    </row>
    <row r="470" ht="15.6" spans="1:26">
      <c r="A470" s="27">
        <v>311</v>
      </c>
      <c r="B470" s="27">
        <v>13</v>
      </c>
      <c r="C470" s="30" t="s">
        <v>527</v>
      </c>
      <c r="D470" s="28" t="s">
        <v>12</v>
      </c>
      <c r="E470" s="27">
        <v>15.6</v>
      </c>
      <c r="F470" s="29">
        <f>LOOKUP(E470,{0,-1.8,-0.8,0.2,1.2,2.2,3.2,4.6,6,7.4,8.8,10.2,11.6,13,14.4,15.8,17.2,19.1,21,22.8,24.6},{0,10,20,30,40,50,60,62,64,66,68,70,72,74,76,78,80,85,90,95,100})</f>
        <v>76</v>
      </c>
      <c r="G470" s="27">
        <v>268</v>
      </c>
      <c r="H470" s="29">
        <f>LOOKUP(G470,{0,180,185,190,195,200,205,209,213,217,221,225,229,233,237,241,245,253,260,265,270},{0,10,20,30,40,50,60,62,64,66,68,70,72,74,76,78,80,85,90,95,100})</f>
        <v>95</v>
      </c>
      <c r="I470" s="27">
        <v>9</v>
      </c>
      <c r="J470" s="29">
        <f>LOOKUP(I470,{0,4,5,6,7,8,9,10,11,12,13,14,15,16,17,18},{0,10,20,30,40,50,60,64,68,72,76,80,85,90,95,100})</f>
        <v>60</v>
      </c>
      <c r="K470" s="44"/>
      <c r="L470" s="35"/>
      <c r="M470" s="35">
        <f t="shared" si="135"/>
        <v>60</v>
      </c>
      <c r="N470" s="35">
        <v>6.8</v>
      </c>
      <c r="O470" s="36">
        <f t="shared" si="136"/>
        <v>11.2</v>
      </c>
      <c r="P470" s="29">
        <f>LOOKUP(O470,{0,7.8,8,8.2,8.4,8.6,8.8,9,9.2,9.4,9.6,9.8,10,10.2,10.4,10.6,10.8,10.9,11,11.1,11.2},{0,10,20,30,40,50,60,62,64,66,68,70,72,74,76,78,80,85,90,95,100})</f>
        <v>100</v>
      </c>
      <c r="Q470" s="5">
        <v>4.17</v>
      </c>
      <c r="R470" s="36">
        <f t="shared" si="137"/>
        <v>5.83</v>
      </c>
      <c r="S470" s="29">
        <f>LOOKUP(R470,{0,3.85,4.45,4.65,4.85,5.45,5.65,5.7,5.75,5.8,5.85,5.9,5.95,6,6.45,6.5,6.55,6.63,6.7,6.75,6.8},{0,10,20,30,40,50,60,62,64,66,68,70,72,74,76,78,80,85,90,95,100})</f>
        <v>66</v>
      </c>
      <c r="T470" s="27"/>
      <c r="U470" s="27"/>
      <c r="V470" s="27">
        <f t="shared" si="138"/>
        <v>66</v>
      </c>
      <c r="W470" s="27"/>
      <c r="X470" s="19">
        <f t="shared" si="139"/>
        <v>56.3</v>
      </c>
      <c r="Y470" s="13">
        <f t="shared" si="140"/>
        <v>80.4285714285714</v>
      </c>
      <c r="Z470" s="19"/>
    </row>
    <row r="471" ht="15.6" spans="1:26">
      <c r="A471" s="27">
        <v>311</v>
      </c>
      <c r="B471" s="27">
        <v>14</v>
      </c>
      <c r="C471" s="28" t="s">
        <v>528</v>
      </c>
      <c r="D471" s="28" t="s">
        <v>12</v>
      </c>
      <c r="E471" s="27">
        <v>5</v>
      </c>
      <c r="F471" s="29">
        <f>LOOKUP(E471,{0,-1.8,-0.8,0.2,1.2,2.2,3.2,4.6,6,7.4,8.8,10.2,11.6,13,14.4,15.8,17.2,19.1,21,22.8,24.6},{0,10,20,30,40,50,60,62,64,66,68,70,72,74,76,78,80,85,90,95,100})</f>
        <v>62</v>
      </c>
      <c r="G471" s="27">
        <v>230</v>
      </c>
      <c r="H471" s="29">
        <f>LOOKUP(G471,{0,180,185,190,195,200,205,209,213,217,221,225,229,233,237,241,245,253,260,265,270},{0,10,20,30,40,50,60,62,64,66,68,70,72,74,76,78,80,85,90,95,100})</f>
        <v>72</v>
      </c>
      <c r="I471" s="27">
        <v>1</v>
      </c>
      <c r="J471" s="29">
        <f>LOOKUP(I471,{0,4,5,6,7,8,9,10,11,12,13,14,15,16,17,18},{0,10,20,30,40,50,60,64,68,72,76,80,85,90,95,100})</f>
        <v>0</v>
      </c>
      <c r="K471" s="44"/>
      <c r="L471" s="35"/>
      <c r="M471" s="35">
        <f t="shared" si="135"/>
        <v>0</v>
      </c>
      <c r="N471" s="35">
        <v>7.6</v>
      </c>
      <c r="O471" s="36">
        <f t="shared" si="136"/>
        <v>10.4</v>
      </c>
      <c r="P471" s="29">
        <f>LOOKUP(O471,{0,7.8,8,8.2,8.4,8.6,8.8,9,9.2,9.4,9.6,9.8,10,10.2,10.4,10.6,10.8,10.9,11,11.1,11.2},{0,10,20,30,40,50,60,62,64,66,68,70,72,74,76,78,80,85,90,95,100})</f>
        <v>76</v>
      </c>
      <c r="Q471" s="5">
        <v>4.33</v>
      </c>
      <c r="R471" s="36">
        <f t="shared" si="137"/>
        <v>5.67</v>
      </c>
      <c r="S471" s="29">
        <f>LOOKUP(R471,{0,3.85,4.45,4.65,4.85,5.45,5.65,5.7,5.75,5.8,5.85,5.9,5.95,6,6.45,6.5,6.55,6.63,6.7,6.75,6.8},{0,10,20,30,40,50,60,62,64,66,68,70,72,74,76,78,80,85,90,95,100})</f>
        <v>60</v>
      </c>
      <c r="T471" s="27"/>
      <c r="U471" s="27"/>
      <c r="V471" s="27">
        <f t="shared" si="138"/>
        <v>60</v>
      </c>
      <c r="W471" s="27"/>
      <c r="X471" s="19">
        <f t="shared" si="139"/>
        <v>40.6</v>
      </c>
      <c r="Y471" s="13">
        <f t="shared" si="140"/>
        <v>58</v>
      </c>
      <c r="Z471" s="19"/>
    </row>
    <row r="472" ht="15.6" spans="1:26">
      <c r="A472" s="27">
        <v>311</v>
      </c>
      <c r="B472" s="27">
        <v>15</v>
      </c>
      <c r="C472" s="28" t="s">
        <v>529</v>
      </c>
      <c r="D472" s="28" t="s">
        <v>12</v>
      </c>
      <c r="E472" s="27">
        <v>10.7</v>
      </c>
      <c r="F472" s="29">
        <f>LOOKUP(E472,{0,-1.8,-0.8,0.2,1.2,2.2,3.2,4.6,6,7.4,8.8,10.2,11.6,13,14.4,15.8,17.2,19.1,21,22.8,24.6},{0,10,20,30,40,50,60,62,64,66,68,70,72,74,76,78,80,85,90,95,100})</f>
        <v>70</v>
      </c>
      <c r="G472" s="27">
        <v>220</v>
      </c>
      <c r="H472" s="29">
        <f>LOOKUP(G472,{0,180,185,190,195,200,205,209,213,217,221,225,229,233,237,241,245,253,260,265,270},{0,10,20,30,40,50,60,62,64,66,68,70,72,74,76,78,80,85,90,95,100})</f>
        <v>66</v>
      </c>
      <c r="I472" s="27">
        <v>1</v>
      </c>
      <c r="J472" s="29">
        <f>LOOKUP(I472,{0,4,5,6,7,8,9,10,11,12,13,14,15,16,17,18},{0,10,20,30,40,50,60,64,68,72,76,80,85,90,95,100})</f>
        <v>0</v>
      </c>
      <c r="K472" s="44"/>
      <c r="L472" s="35"/>
      <c r="M472" s="35">
        <f t="shared" si="135"/>
        <v>0</v>
      </c>
      <c r="N472" s="35">
        <v>7.8</v>
      </c>
      <c r="O472" s="36">
        <f t="shared" si="136"/>
        <v>10.2</v>
      </c>
      <c r="P472" s="29">
        <f>LOOKUP(O472,{0,7.8,8,8.2,8.4,8.6,8.8,9,9.2,9.4,9.6,9.8,10,10.2,10.4,10.6,10.8,10.9,11,11.1,11.2},{0,10,20,30,40,50,60,62,64,66,68,70,72,74,76,78,80,85,90,95,100})</f>
        <v>74</v>
      </c>
      <c r="Q472" s="5">
        <v>5.02</v>
      </c>
      <c r="R472" s="36">
        <f t="shared" si="137"/>
        <v>4.98</v>
      </c>
      <c r="S472" s="29">
        <f>LOOKUP(R472,{0,3.85,4.45,4.65,4.85,5.45,5.65,5.7,5.75,5.8,5.85,5.9,5.95,6,6.45,6.5,6.55,6.63,6.7,6.75,6.8},{0,10,20,30,40,50,60,62,64,66,68,70,72,74,76,78,80,85,90,95,100})</f>
        <v>40</v>
      </c>
      <c r="T472" s="27"/>
      <c r="U472" s="27"/>
      <c r="V472" s="27">
        <f t="shared" si="138"/>
        <v>40</v>
      </c>
      <c r="W472" s="27"/>
      <c r="X472" s="19">
        <f t="shared" si="139"/>
        <v>36.4</v>
      </c>
      <c r="Y472" s="13">
        <f t="shared" si="140"/>
        <v>52</v>
      </c>
      <c r="Z472" s="19"/>
    </row>
    <row r="473" ht="15.6" spans="1:26">
      <c r="A473" s="27">
        <v>311</v>
      </c>
      <c r="B473" s="27">
        <v>16</v>
      </c>
      <c r="C473" s="28" t="s">
        <v>530</v>
      </c>
      <c r="D473" s="28" t="s">
        <v>12</v>
      </c>
      <c r="E473" s="27">
        <v>-5</v>
      </c>
      <c r="F473" s="29">
        <v>0</v>
      </c>
      <c r="G473" s="27">
        <v>225</v>
      </c>
      <c r="H473" s="29">
        <f>LOOKUP(G473,{0,180,185,190,195,200,205,209,213,217,221,225,229,233,237,241,245,253,260,265,270},{0,10,20,30,40,50,60,62,64,66,68,70,72,74,76,78,80,85,90,95,100})</f>
        <v>70</v>
      </c>
      <c r="I473" s="27">
        <v>5</v>
      </c>
      <c r="J473" s="29">
        <f>LOOKUP(I473,{0,4,5,6,7,8,9,10,11,12,13,14,15,16,17,18},{0,10,20,30,40,50,60,64,68,72,76,80,85,90,95,100})</f>
        <v>20</v>
      </c>
      <c r="K473" s="44"/>
      <c r="L473" s="35"/>
      <c r="M473" s="35">
        <f t="shared" si="135"/>
        <v>20</v>
      </c>
      <c r="N473" s="35">
        <v>7.1</v>
      </c>
      <c r="O473" s="36">
        <f t="shared" si="136"/>
        <v>10.9</v>
      </c>
      <c r="P473" s="29">
        <f>LOOKUP(O473,{0,7.8,8,8.2,8.4,8.6,8.8,9,9.2,9.4,9.6,9.8,10,10.2,10.4,10.6,10.8,10.9,11,11.1,11.2},{0,10,20,30,40,50,60,62,64,66,68,70,72,74,76,78,80,85,90,95,100})</f>
        <v>85</v>
      </c>
      <c r="Q473" s="5">
        <v>5.28</v>
      </c>
      <c r="R473" s="36">
        <f t="shared" si="137"/>
        <v>4.72</v>
      </c>
      <c r="S473" s="29">
        <f>LOOKUP(R473,{0,3.85,4.45,4.65,4.85,5.45,5.65,5.7,5.75,5.8,5.85,5.9,5.95,6,6.45,6.5,6.55,6.63,6.7,6.75,6.8},{0,10,20,30,40,50,60,62,64,66,68,70,72,74,76,78,80,85,90,95,100})</f>
        <v>30</v>
      </c>
      <c r="T473" s="27"/>
      <c r="U473" s="27"/>
      <c r="V473" s="27">
        <f t="shared" si="138"/>
        <v>30</v>
      </c>
      <c r="W473" s="27"/>
      <c r="X473" s="19">
        <f t="shared" si="139"/>
        <v>32</v>
      </c>
      <c r="Y473" s="13">
        <f t="shared" si="140"/>
        <v>45.7142857142857</v>
      </c>
      <c r="Z473" s="19"/>
    </row>
    <row r="474" ht="15.6" spans="1:26">
      <c r="A474" s="27">
        <v>311</v>
      </c>
      <c r="B474" s="27">
        <v>17</v>
      </c>
      <c r="C474" s="28" t="s">
        <v>531</v>
      </c>
      <c r="D474" s="28" t="s">
        <v>12</v>
      </c>
      <c r="E474" s="27">
        <v>9.5</v>
      </c>
      <c r="F474" s="29">
        <f>LOOKUP(E474,{0,-1.8,-0.8,0.2,1.2,2.2,3.2,4.6,6,7.4,8.8,10.2,11.6,13,14.4,15.8,17.2,19.1,21,22.8,24.6},{0,10,20,30,40,50,60,62,64,66,68,70,72,74,76,78,80,85,90,95,100})</f>
        <v>68</v>
      </c>
      <c r="G474" s="27">
        <v>235</v>
      </c>
      <c r="H474" s="29">
        <f>LOOKUP(G474,{0,180,185,190,195,200,205,209,213,217,221,225,229,233,237,241,245,253,260,265,270},{0,10,20,30,40,50,60,62,64,66,68,70,72,74,76,78,80,85,90,95,100})</f>
        <v>74</v>
      </c>
      <c r="I474" s="27">
        <v>1</v>
      </c>
      <c r="J474" s="29">
        <f>LOOKUP(I474,{0,4,5,6,7,8,9,10,11,12,13,14,15,16,17,18},{0,10,20,30,40,50,60,64,68,72,76,80,85,90,95,100})</f>
        <v>0</v>
      </c>
      <c r="K474" s="44"/>
      <c r="L474" s="35"/>
      <c r="M474" s="35">
        <f t="shared" si="135"/>
        <v>0</v>
      </c>
      <c r="N474" s="35">
        <v>8.2</v>
      </c>
      <c r="O474" s="36">
        <f t="shared" si="136"/>
        <v>9.8</v>
      </c>
      <c r="P474" s="29">
        <f>LOOKUP(O474,{0,7.8,8,8.2,8.4,8.6,8.8,9,9.2,9.4,9.6,9.8,10,10.2,10.4,10.6,10.8,10.9,11,11.1,11.2},{0,10,20,30,40,50,60,62,64,66,68,70,72,74,76,78,80,85,90,95,100})</f>
        <v>70</v>
      </c>
      <c r="Q474" s="5">
        <v>5.28</v>
      </c>
      <c r="R474" s="36">
        <f t="shared" si="137"/>
        <v>4.72</v>
      </c>
      <c r="S474" s="29">
        <f>LOOKUP(R474,{0,3.85,4.45,4.65,4.85,5.45,5.65,5.7,5.75,5.8,5.85,5.9,5.95,6,6.45,6.5,6.55,6.63,6.7,6.75,6.8},{0,10,20,30,40,50,60,62,64,66,68,70,72,74,76,78,80,85,90,95,100})</f>
        <v>30</v>
      </c>
      <c r="T474" s="27"/>
      <c r="U474" s="27"/>
      <c r="V474" s="27">
        <f t="shared" si="138"/>
        <v>30</v>
      </c>
      <c r="W474" s="27"/>
      <c r="X474" s="19">
        <f t="shared" si="139"/>
        <v>34.2</v>
      </c>
      <c r="Y474" s="13">
        <f t="shared" si="140"/>
        <v>48.8571428571429</v>
      </c>
      <c r="Z474" s="19"/>
    </row>
    <row r="475" ht="15.6" spans="1:26">
      <c r="A475" s="27">
        <v>311</v>
      </c>
      <c r="B475" s="27">
        <v>18</v>
      </c>
      <c r="C475" s="28" t="s">
        <v>532</v>
      </c>
      <c r="D475" s="28" t="s">
        <v>12</v>
      </c>
      <c r="E475" s="27">
        <v>2</v>
      </c>
      <c r="F475" s="29">
        <f>LOOKUP(E475,{0,-1.8,-0.8,0.2,1.2,2.2,3.2,4.6,6,7.4,8.8,10.2,11.6,13,14.4,15.8,17.2,19.1,21,22.8,24.6},{0,10,20,30,40,50,60,62,64,66,68,70,72,74,76,78,80,85,90,95,100})</f>
        <v>40</v>
      </c>
      <c r="G475" s="27">
        <v>245</v>
      </c>
      <c r="H475" s="29">
        <f>LOOKUP(G475,{0,180,185,190,195,200,205,209,213,217,221,225,229,233,237,241,245,253,260,265,270},{0,10,20,30,40,50,60,62,64,66,68,70,72,74,76,78,80,85,90,95,100})</f>
        <v>80</v>
      </c>
      <c r="I475" s="27">
        <v>18</v>
      </c>
      <c r="J475" s="29">
        <f>LOOKUP(I475,{0,4,5,6,7,8,9,10,11,12,13,14,15,16,17,18},{0,10,20,30,40,50,60,64,68,72,76,80,85,90,95,100})</f>
        <v>100</v>
      </c>
      <c r="K475" s="44"/>
      <c r="L475" s="35"/>
      <c r="M475" s="35">
        <f t="shared" si="135"/>
        <v>100</v>
      </c>
      <c r="N475" s="35">
        <v>7.5</v>
      </c>
      <c r="O475" s="36">
        <f t="shared" si="136"/>
        <v>10.5</v>
      </c>
      <c r="P475" s="29">
        <f>LOOKUP(O475,{0,7.8,8,8.2,8.4,8.6,8.8,9,9.2,9.4,9.6,9.8,10,10.2,10.4,10.6,10.8,10.9,11,11.1,11.2},{0,10,20,30,40,50,60,62,64,66,68,70,72,74,76,78,80,85,90,95,100})</f>
        <v>76</v>
      </c>
      <c r="Q475" s="5">
        <v>4.52</v>
      </c>
      <c r="R475" s="36">
        <f t="shared" si="137"/>
        <v>5.48</v>
      </c>
      <c r="S475" s="29">
        <f>LOOKUP(R475,{0,3.85,4.45,4.65,4.85,5.45,5.65,5.7,5.75,5.8,5.85,5.9,5.95,6,6.45,6.5,6.55,6.63,6.7,6.75,6.8},{0,10,20,30,40,50,60,62,64,66,68,70,72,74,76,78,80,85,90,95,100})</f>
        <v>50</v>
      </c>
      <c r="T475" s="27"/>
      <c r="U475" s="27"/>
      <c r="V475" s="27">
        <f t="shared" si="138"/>
        <v>50</v>
      </c>
      <c r="W475" s="27"/>
      <c r="X475" s="19">
        <f t="shared" si="139"/>
        <v>47.2</v>
      </c>
      <c r="Y475" s="13">
        <f t="shared" si="140"/>
        <v>67.4285714285714</v>
      </c>
      <c r="Z475" s="19"/>
    </row>
    <row r="476" ht="15.6" spans="1:26">
      <c r="A476" s="27">
        <v>311</v>
      </c>
      <c r="B476" s="27">
        <v>19</v>
      </c>
      <c r="C476" s="28" t="s">
        <v>533</v>
      </c>
      <c r="D476" s="28" t="s">
        <v>12</v>
      </c>
      <c r="E476" s="27">
        <v>13</v>
      </c>
      <c r="F476" s="29">
        <f>LOOKUP(E476,{0,-1.8,-0.8,0.2,1.2,2.2,3.2,4.6,6,7.4,8.8,10.2,11.6,13,14.4,15.8,17.2,19.1,21,22.8,24.6},{0,10,20,30,40,50,60,62,64,66,68,70,72,74,76,78,80,85,90,95,100})</f>
        <v>74</v>
      </c>
      <c r="G476" s="27">
        <v>240</v>
      </c>
      <c r="H476" s="29">
        <f>LOOKUP(G476,{0,180,185,190,195,200,205,209,213,217,221,225,229,233,237,241,245,253,260,265,270},{0,10,20,30,40,50,60,62,64,66,68,70,72,74,76,78,80,85,90,95,100})</f>
        <v>76</v>
      </c>
      <c r="I476" s="27">
        <v>11</v>
      </c>
      <c r="J476" s="29">
        <f>LOOKUP(I476,{0,4,5,6,7,8,9,10,11,12,13,14,15,16,17,18},{0,10,20,30,40,50,60,64,68,72,76,80,85,90,95,100})</f>
        <v>68</v>
      </c>
      <c r="K476" s="44"/>
      <c r="L476" s="35"/>
      <c r="M476" s="35">
        <f t="shared" si="135"/>
        <v>68</v>
      </c>
      <c r="N476" s="35">
        <v>7.4</v>
      </c>
      <c r="O476" s="36">
        <f t="shared" si="136"/>
        <v>10.6</v>
      </c>
      <c r="P476" s="29">
        <f>LOOKUP(O476,{0,7.8,8,8.2,8.4,8.6,8.8,9,9.2,9.4,9.6,9.8,10,10.2,10.4,10.6,10.8,10.9,11,11.1,11.2},{0,10,20,30,40,50,60,62,64,66,68,70,72,74,76,78,80,85,90,95,100})</f>
        <v>78</v>
      </c>
      <c r="Q476" s="5">
        <v>4.32</v>
      </c>
      <c r="R476" s="36">
        <f t="shared" si="137"/>
        <v>5.68</v>
      </c>
      <c r="S476" s="29">
        <f>LOOKUP(R476,{0,3.85,4.45,4.65,4.85,5.45,5.65,5.7,5.75,5.8,5.85,5.9,5.95,6,6.45,6.5,6.55,6.63,6.7,6.75,6.8},{0,10,20,30,40,50,60,62,64,66,68,70,72,74,76,78,80,85,90,95,100})</f>
        <v>60</v>
      </c>
      <c r="T476" s="27"/>
      <c r="U476" s="27"/>
      <c r="V476" s="27">
        <f t="shared" si="138"/>
        <v>60</v>
      </c>
      <c r="W476" s="27"/>
      <c r="X476" s="19">
        <f t="shared" si="139"/>
        <v>49.4</v>
      </c>
      <c r="Y476" s="13">
        <f t="shared" si="140"/>
        <v>70.5714285714286</v>
      </c>
      <c r="Z476" s="19"/>
    </row>
    <row r="477" ht="15.6" spans="1:26">
      <c r="A477" s="27">
        <v>311</v>
      </c>
      <c r="B477" s="27">
        <v>20</v>
      </c>
      <c r="C477" s="28" t="s">
        <v>534</v>
      </c>
      <c r="D477" s="28" t="s">
        <v>12</v>
      </c>
      <c r="E477" s="27">
        <v>4.2</v>
      </c>
      <c r="F477" s="29">
        <f>LOOKUP(E477,{0,-1.8,-0.8,0.2,1.2,2.2,3.2,4.6,6,7.4,8.8,10.2,11.6,13,14.4,15.8,17.2,19.1,21,22.8,24.6},{0,10,20,30,40,50,60,62,64,66,68,70,72,74,76,78,80,85,90,95,100})</f>
        <v>60</v>
      </c>
      <c r="G477" s="27">
        <v>235</v>
      </c>
      <c r="H477" s="29">
        <f>LOOKUP(G477,{0,180,185,190,195,200,205,209,213,217,221,225,229,233,237,241,245,253,260,265,270},{0,10,20,30,40,50,60,62,64,66,68,70,72,74,76,78,80,85,90,95,100})</f>
        <v>74</v>
      </c>
      <c r="I477" s="27">
        <v>6</v>
      </c>
      <c r="J477" s="29">
        <f>LOOKUP(I477,{0,4,5,6,7,8,9,10,11,12,13,14,15,16,17,18},{0,10,20,30,40,50,60,64,68,72,76,80,85,90,95,100})</f>
        <v>30</v>
      </c>
      <c r="K477" s="44"/>
      <c r="L477" s="35"/>
      <c r="M477" s="35">
        <f t="shared" si="135"/>
        <v>30</v>
      </c>
      <c r="N477" s="35">
        <v>7.7</v>
      </c>
      <c r="O477" s="36">
        <f t="shared" si="136"/>
        <v>10.3</v>
      </c>
      <c r="P477" s="29">
        <f>LOOKUP(O477,{0,7.8,8,8.2,8.4,8.6,8.8,9,9.2,9.4,9.6,9.8,10,10.2,10.4,10.6,10.8,10.9,11,11.1,11.2},{0,10,20,30,40,50,60,62,64,66,68,70,72,74,76,78,80,85,90,95,100})</f>
        <v>74</v>
      </c>
      <c r="Q477" s="5">
        <v>5.29</v>
      </c>
      <c r="R477" s="36">
        <f t="shared" si="137"/>
        <v>4.71</v>
      </c>
      <c r="S477" s="29">
        <f>LOOKUP(R477,{0,3.85,4.45,4.65,4.85,5.45,5.65,5.7,5.75,5.8,5.85,5.9,5.95,6,6.45,6.5,6.55,6.63,6.7,6.75,6.8},{0,10,20,30,40,50,60,62,64,66,68,70,72,74,76,78,80,85,90,95,100})</f>
        <v>30</v>
      </c>
      <c r="T477" s="27"/>
      <c r="U477" s="27"/>
      <c r="V477" s="27">
        <f t="shared" si="138"/>
        <v>30</v>
      </c>
      <c r="W477" s="27"/>
      <c r="X477" s="19">
        <f t="shared" si="139"/>
        <v>37.2</v>
      </c>
      <c r="Y477" s="13">
        <f t="shared" si="140"/>
        <v>53.1428571428572</v>
      </c>
      <c r="Z477" s="20"/>
    </row>
    <row r="478" ht="15.6" spans="1:26">
      <c r="A478" s="27">
        <v>311</v>
      </c>
      <c r="B478" s="27">
        <v>21</v>
      </c>
      <c r="C478" s="28" t="s">
        <v>535</v>
      </c>
      <c r="D478" s="28" t="s">
        <v>12</v>
      </c>
      <c r="E478" s="27">
        <v>-4.9</v>
      </c>
      <c r="F478" s="29">
        <v>0</v>
      </c>
      <c r="G478" s="27">
        <v>215</v>
      </c>
      <c r="H478" s="29">
        <f>LOOKUP(G478,{0,180,185,190,195,200,205,209,213,217,221,225,229,233,237,241,245,253,260,265,270},{0,10,20,30,40,50,60,62,64,66,68,70,72,74,76,78,80,85,90,95,100})</f>
        <v>64</v>
      </c>
      <c r="I478" s="27">
        <v>18</v>
      </c>
      <c r="J478" s="29">
        <f>LOOKUP(I478,{0,4,5,6,7,8,9,10,11,12,13,14,15,16,17,18},{0,10,20,30,40,50,60,64,68,72,76,80,85,90,95,100})</f>
        <v>100</v>
      </c>
      <c r="K478" s="44"/>
      <c r="L478" s="39"/>
      <c r="M478" s="35">
        <f t="shared" si="135"/>
        <v>100</v>
      </c>
      <c r="N478" s="35">
        <v>7.6</v>
      </c>
      <c r="O478" s="36">
        <f t="shared" si="136"/>
        <v>10.4</v>
      </c>
      <c r="P478" s="29">
        <f>LOOKUP(O478,{0,7.8,8,8.2,8.4,8.6,8.8,9,9.2,9.4,9.6,9.8,10,10.2,10.4,10.6,10.8,10.9,11,11.1,11.2},{0,10,20,30,40,50,60,62,64,66,68,70,72,74,76,78,80,85,90,95,100})</f>
        <v>76</v>
      </c>
      <c r="Q478" s="5">
        <v>5.28</v>
      </c>
      <c r="R478" s="36">
        <f t="shared" si="137"/>
        <v>4.72</v>
      </c>
      <c r="S478" s="29">
        <f>LOOKUP(R478,{0,3.85,4.45,4.65,4.85,5.45,5.65,5.7,5.75,5.8,5.85,5.9,5.95,6,6.45,6.5,6.55,6.63,6.7,6.75,6.8},{0,10,20,30,40,50,60,62,64,66,68,70,72,74,76,78,80,85,90,95,100})</f>
        <v>30</v>
      </c>
      <c r="T478" s="27"/>
      <c r="U478" s="27"/>
      <c r="V478" s="27">
        <f t="shared" si="138"/>
        <v>30</v>
      </c>
      <c r="W478" s="27"/>
      <c r="X478" s="19">
        <f t="shared" si="139"/>
        <v>37.6</v>
      </c>
      <c r="Y478" s="13">
        <f t="shared" si="140"/>
        <v>53.7142857142857</v>
      </c>
      <c r="Z478" s="19"/>
    </row>
    <row r="479" ht="15.6" spans="1:26">
      <c r="A479" s="27">
        <v>311</v>
      </c>
      <c r="B479" s="27">
        <v>22</v>
      </c>
      <c r="C479" s="28" t="s">
        <v>536</v>
      </c>
      <c r="D479" s="28" t="s">
        <v>12</v>
      </c>
      <c r="E479" s="27">
        <v>7</v>
      </c>
      <c r="F479" s="29">
        <f>LOOKUP(E479,{0,-1.8,-0.8,0.2,1.2,2.2,3.2,4.6,6,7.4,8.8,10.2,11.6,13,14.4,15.8,17.2,19.1,21,22.8,24.6},{0,10,20,30,40,50,60,62,64,66,68,70,72,74,76,78,80,85,90,95,100})</f>
        <v>64</v>
      </c>
      <c r="G479" s="27">
        <v>242</v>
      </c>
      <c r="H479" s="29">
        <f>LOOKUP(G479,{0,180,185,190,195,200,205,209,213,217,221,225,229,233,237,241,245,253,260,265,270},{0,10,20,30,40,50,60,62,64,66,68,70,72,74,76,78,80,85,90,95,100})</f>
        <v>78</v>
      </c>
      <c r="I479" s="27">
        <v>2</v>
      </c>
      <c r="J479" s="29">
        <f>LOOKUP(I479,{0,4,5,6,7,8,9,10,11,12,13,14,15,16,17,18},{0,10,20,30,40,50,60,64,68,72,76,80,85,90,95,100})</f>
        <v>0</v>
      </c>
      <c r="K479" s="44"/>
      <c r="L479" s="35"/>
      <c r="M479" s="35">
        <f t="shared" si="135"/>
        <v>0</v>
      </c>
      <c r="N479" s="35">
        <v>7.4</v>
      </c>
      <c r="O479" s="36">
        <f t="shared" si="136"/>
        <v>10.6</v>
      </c>
      <c r="P479" s="29">
        <f>LOOKUP(O479,{0,7.8,8,8.2,8.4,8.6,8.8,9,9.2,9.4,9.6,9.8,10,10.2,10.4,10.6,10.8,10.9,11,11.1,11.2},{0,10,20,30,40,50,60,62,64,66,68,70,72,74,76,78,80,85,90,95,100})</f>
        <v>78</v>
      </c>
      <c r="Q479" s="5">
        <v>5.3</v>
      </c>
      <c r="R479" s="36">
        <f t="shared" si="137"/>
        <v>4.7</v>
      </c>
      <c r="S479" s="29">
        <f>LOOKUP(R479,{0,3.85,4.45,4.65,4.85,5.45,5.65,5.7,5.75,5.8,5.85,5.9,5.95,6,6.45,6.5,6.55,6.63,6.7,6.75,6.8},{0,10,20,30,40,50,60,62,64,66,68,70,72,74,76,78,80,85,90,95,100})</f>
        <v>30</v>
      </c>
      <c r="T479" s="27"/>
      <c r="U479" s="27"/>
      <c r="V479" s="27">
        <f t="shared" si="138"/>
        <v>30</v>
      </c>
      <c r="W479" s="27"/>
      <c r="X479" s="19">
        <f t="shared" si="139"/>
        <v>35.8</v>
      </c>
      <c r="Y479" s="13">
        <f t="shared" si="140"/>
        <v>51.1428571428572</v>
      </c>
      <c r="Z479" s="19"/>
    </row>
    <row r="480" ht="15.6" spans="1:26">
      <c r="A480" s="27">
        <v>311</v>
      </c>
      <c r="B480" s="27">
        <v>23</v>
      </c>
      <c r="C480" s="28" t="s">
        <v>537</v>
      </c>
      <c r="D480" s="28" t="s">
        <v>12</v>
      </c>
      <c r="E480" s="27">
        <v>5.5</v>
      </c>
      <c r="F480" s="29">
        <f>LOOKUP(E480,{0,-1.8,-0.8,0.2,1.2,2.2,3.2,4.6,6,7.4,8.8,10.2,11.6,13,14.4,15.8,17.2,19.1,21,22.8,24.6},{0,10,20,30,40,50,60,62,64,66,68,70,72,74,76,78,80,85,90,95,100})</f>
        <v>62</v>
      </c>
      <c r="G480" s="27">
        <v>238</v>
      </c>
      <c r="H480" s="29">
        <f>LOOKUP(G480,{0,180,185,190,195,200,205,209,213,217,221,225,229,233,237,241,245,253,260,265,270},{0,10,20,30,40,50,60,62,64,66,68,70,72,74,76,78,80,85,90,95,100})</f>
        <v>76</v>
      </c>
      <c r="I480" s="27">
        <v>1</v>
      </c>
      <c r="J480" s="29">
        <f>LOOKUP(I480,{0,4,5,6,7,8,9,10,11,12,13,14,15,16,17,18},{0,10,20,30,40,50,60,64,68,72,76,80,85,90,95,100})</f>
        <v>0</v>
      </c>
      <c r="K480" s="44"/>
      <c r="L480" s="35"/>
      <c r="M480" s="35">
        <f t="shared" si="135"/>
        <v>0</v>
      </c>
      <c r="N480" s="35">
        <v>7.5</v>
      </c>
      <c r="O480" s="36">
        <f t="shared" si="136"/>
        <v>10.5</v>
      </c>
      <c r="P480" s="29">
        <f>LOOKUP(O480,{0,7.8,8,8.2,8.4,8.6,8.8,9,9.2,9.4,9.6,9.8,10,10.2,10.4,10.6,10.8,10.9,11,11.1,11.2},{0,10,20,30,40,50,60,62,64,66,68,70,72,74,76,78,80,85,90,95,100})</f>
        <v>76</v>
      </c>
      <c r="Q480" s="5">
        <v>4.33</v>
      </c>
      <c r="R480" s="36">
        <f t="shared" si="137"/>
        <v>5.67</v>
      </c>
      <c r="S480" s="29">
        <f>LOOKUP(R480,{0,3.85,4.45,4.65,4.85,5.45,5.65,5.7,5.75,5.8,5.85,5.9,5.95,6,6.45,6.5,6.55,6.63,6.7,6.75,6.8},{0,10,20,30,40,50,60,62,64,66,68,70,72,74,76,78,80,85,90,95,100})</f>
        <v>60</v>
      </c>
      <c r="T480" s="27"/>
      <c r="U480" s="27"/>
      <c r="V480" s="27">
        <f t="shared" si="138"/>
        <v>60</v>
      </c>
      <c r="W480" s="27"/>
      <c r="X480" s="19">
        <f t="shared" si="139"/>
        <v>41</v>
      </c>
      <c r="Y480" s="13">
        <f t="shared" si="140"/>
        <v>58.5714285714286</v>
      </c>
      <c r="Z480" s="19"/>
    </row>
    <row r="481" ht="15.6" spans="1:26">
      <c r="A481" s="27">
        <v>311</v>
      </c>
      <c r="B481" s="27">
        <v>24</v>
      </c>
      <c r="C481" s="28" t="s">
        <v>538</v>
      </c>
      <c r="D481" s="28" t="s">
        <v>12</v>
      </c>
      <c r="E481" s="27">
        <v>11</v>
      </c>
      <c r="F481" s="29">
        <f>LOOKUP(E481,{0,-1.8,-0.8,0.2,1.2,2.2,3.2,4.6,6,7.4,8.8,10.2,11.6,13,14.4,15.8,17.2,19.1,21,22.8,24.6},{0,10,20,30,40,50,60,62,64,66,68,70,72,74,76,78,80,85,90,95,100})</f>
        <v>70</v>
      </c>
      <c r="G481" s="27">
        <v>228</v>
      </c>
      <c r="H481" s="29">
        <f>LOOKUP(G481,{0,180,185,190,195,200,205,209,213,217,221,225,229,233,237,241,245,253,260,265,270},{0,10,20,30,40,50,60,62,64,66,68,70,72,74,76,78,80,85,90,95,100})</f>
        <v>70</v>
      </c>
      <c r="I481" s="27">
        <v>15</v>
      </c>
      <c r="J481" s="29">
        <f>LOOKUP(I481,{0,4,5,6,7,8,9,10,11,12,13,14,15,16,17,18},{0,10,20,30,40,50,60,64,68,72,76,80,85,90,95,100})</f>
        <v>85</v>
      </c>
      <c r="K481" s="44"/>
      <c r="L481" s="35"/>
      <c r="M481" s="35">
        <f t="shared" si="135"/>
        <v>85</v>
      </c>
      <c r="N481" s="35">
        <v>7.4</v>
      </c>
      <c r="O481" s="36">
        <f t="shared" si="136"/>
        <v>10.6</v>
      </c>
      <c r="P481" s="29">
        <f>LOOKUP(O481,{0,7.8,8,8.2,8.4,8.6,8.8,9,9.2,9.4,9.6,9.8,10,10.2,10.4,10.6,10.8,10.9,11,11.1,11.2},{0,10,20,30,40,50,60,62,64,66,68,70,72,74,76,78,80,85,90,95,100})</f>
        <v>78</v>
      </c>
      <c r="Q481" s="5">
        <v>4.18</v>
      </c>
      <c r="R481" s="36">
        <f t="shared" si="137"/>
        <v>5.82</v>
      </c>
      <c r="S481" s="29">
        <f>LOOKUP(R481,{0,3.85,4.45,4.65,4.85,5.45,5.65,5.7,5.75,5.8,5.85,5.9,5.95,6,6.45,6.5,6.55,6.63,6.7,6.75,6.8},{0,10,20,30,40,50,60,62,64,66,68,70,72,74,76,78,80,85,90,95,100})</f>
        <v>66</v>
      </c>
      <c r="T481" s="27"/>
      <c r="U481" s="27"/>
      <c r="V481" s="27">
        <f t="shared" si="138"/>
        <v>66</v>
      </c>
      <c r="W481" s="27"/>
      <c r="X481" s="19">
        <f t="shared" si="139"/>
        <v>51.3</v>
      </c>
      <c r="Y481" s="13">
        <f t="shared" si="140"/>
        <v>73.2857142857143</v>
      </c>
      <c r="Z481" s="19"/>
    </row>
    <row r="482" ht="15.6" spans="1:26">
      <c r="A482" s="27">
        <v>311</v>
      </c>
      <c r="B482" s="27">
        <v>25</v>
      </c>
      <c r="C482" s="30" t="s">
        <v>540</v>
      </c>
      <c r="D482" s="28" t="s">
        <v>12</v>
      </c>
      <c r="E482" s="27">
        <v>9.5</v>
      </c>
      <c r="F482" s="29">
        <f>LOOKUP(E482,{0,-1.8,-0.8,0.2,1.2,2.2,3.2,4.6,6,7.4,8.8,10.2,11.6,13,14.4,15.8,17.2,19.1,21,22.8,24.6},{0,10,20,30,40,50,60,62,64,66,68,70,72,74,76,78,80,85,90,95,100})</f>
        <v>68</v>
      </c>
      <c r="G482" s="27">
        <v>210</v>
      </c>
      <c r="H482" s="29">
        <f>LOOKUP(G482,{0,180,185,190,195,200,205,209,213,217,221,225,229,233,237,241,245,253,260,265,270},{0,10,20,30,40,50,60,62,64,66,68,70,72,74,76,78,80,85,90,95,100})</f>
        <v>62</v>
      </c>
      <c r="I482" s="27">
        <v>1</v>
      </c>
      <c r="J482" s="29">
        <f>LOOKUP(I482,{0,4,5,6,7,8,9,10,11,12,13,14,15,16,17,18},{0,10,20,30,40,50,60,64,68,72,76,80,85,90,95,100})</f>
        <v>0</v>
      </c>
      <c r="K482" s="44"/>
      <c r="L482" s="35"/>
      <c r="M482" s="35">
        <f t="shared" si="135"/>
        <v>0</v>
      </c>
      <c r="N482" s="35">
        <v>7.8</v>
      </c>
      <c r="O482" s="36">
        <f t="shared" si="136"/>
        <v>10.2</v>
      </c>
      <c r="P482" s="29">
        <f>LOOKUP(O482,{0,7.8,8,8.2,8.4,8.6,8.8,9,9.2,9.4,9.6,9.8,10,10.2,10.4,10.6,10.8,10.9,11,11.1,11.2},{0,10,20,30,40,50,60,62,64,66,68,70,72,74,76,78,80,85,90,95,100})</f>
        <v>74</v>
      </c>
      <c r="Q482" s="5">
        <v>5.27</v>
      </c>
      <c r="R482" s="36">
        <f t="shared" si="137"/>
        <v>4.73</v>
      </c>
      <c r="S482" s="29">
        <f>LOOKUP(R482,{0,3.85,4.45,4.65,4.85,5.45,5.65,5.7,5.75,5.8,5.85,5.9,5.95,6,6.45,6.5,6.55,6.63,6.7,6.75,6.8},{0,10,20,30,40,50,60,62,64,66,68,70,72,74,76,78,80,85,90,95,100})</f>
        <v>30</v>
      </c>
      <c r="T482" s="27"/>
      <c r="U482" s="27"/>
      <c r="V482" s="27">
        <f t="shared" si="138"/>
        <v>30</v>
      </c>
      <c r="W482" s="27"/>
      <c r="X482" s="19">
        <f t="shared" si="139"/>
        <v>33.8</v>
      </c>
      <c r="Y482" s="13">
        <f t="shared" si="140"/>
        <v>48.2857142857143</v>
      </c>
      <c r="Z482" s="19"/>
    </row>
    <row r="483" ht="15.6" spans="1:26">
      <c r="A483" s="27">
        <v>311</v>
      </c>
      <c r="B483" s="27">
        <v>26</v>
      </c>
      <c r="C483" s="28" t="s">
        <v>541</v>
      </c>
      <c r="D483" s="28" t="s">
        <v>12</v>
      </c>
      <c r="E483" s="27">
        <v>20.5</v>
      </c>
      <c r="F483" s="29">
        <f>LOOKUP(E483,{0,-1.8,-0.8,0.2,1.2,2.2,3.2,4.6,6,7.4,8.8,10.2,11.6,13,14.4,15.8,17.2,19.1,21,22.8,24.6},{0,10,20,30,40,50,60,62,64,66,68,70,72,74,76,78,80,85,90,95,100})</f>
        <v>85</v>
      </c>
      <c r="G483" s="27">
        <v>225</v>
      </c>
      <c r="H483" s="29">
        <f>LOOKUP(G483,{0,180,185,190,195,200,205,209,213,217,221,225,229,233,237,241,245,253,260,265,270},{0,10,20,30,40,50,60,62,64,66,68,70,72,74,76,78,80,85,90,95,100})</f>
        <v>70</v>
      </c>
      <c r="I483" s="27">
        <v>12</v>
      </c>
      <c r="J483" s="29">
        <f>LOOKUP(I483,{0,4,5,6,7,8,9,10,11,12,13,14,15,16,17,18},{0,10,20,30,40,50,60,64,68,72,76,80,85,90,95,100})</f>
        <v>72</v>
      </c>
      <c r="K483" s="44"/>
      <c r="L483" s="39"/>
      <c r="M483" s="35">
        <f t="shared" si="135"/>
        <v>72</v>
      </c>
      <c r="N483" s="35">
        <v>7.5</v>
      </c>
      <c r="O483" s="36">
        <f t="shared" si="136"/>
        <v>10.5</v>
      </c>
      <c r="P483" s="29">
        <f>LOOKUP(O483,{0,7.8,8,8.2,8.4,8.6,8.8,9,9.2,9.4,9.6,9.8,10,10.2,10.4,10.6,10.8,10.9,11,11.1,11.2},{0,10,20,30,40,50,60,62,64,66,68,70,72,74,76,78,80,85,90,95,100})</f>
        <v>76</v>
      </c>
      <c r="Q483" s="5">
        <v>5.19</v>
      </c>
      <c r="R483" s="36">
        <f t="shared" si="137"/>
        <v>4.81</v>
      </c>
      <c r="S483" s="29">
        <f>LOOKUP(R483,{0,3.85,4.45,4.65,4.85,5.45,5.65,5.7,5.75,5.8,5.85,5.9,5.95,6,6.45,6.5,6.55,6.63,6.7,6.75,6.8},{0,10,20,30,40,50,60,62,64,66,68,70,72,74,76,78,80,85,90,95,100})</f>
        <v>30</v>
      </c>
      <c r="T483" s="27"/>
      <c r="U483" s="27"/>
      <c r="V483" s="27">
        <f t="shared" si="138"/>
        <v>30</v>
      </c>
      <c r="W483" s="27"/>
      <c r="X483" s="19">
        <f t="shared" si="139"/>
        <v>43.9</v>
      </c>
      <c r="Y483" s="13">
        <f t="shared" si="140"/>
        <v>62.7142857142857</v>
      </c>
      <c r="Z483" s="19"/>
    </row>
    <row r="484" ht="15.6" spans="1:26">
      <c r="A484" s="27">
        <v>311</v>
      </c>
      <c r="B484" s="27">
        <v>27</v>
      </c>
      <c r="C484" s="28" t="s">
        <v>542</v>
      </c>
      <c r="D484" s="28" t="s">
        <v>12</v>
      </c>
      <c r="E484" s="27">
        <v>15</v>
      </c>
      <c r="F484" s="29">
        <f>LOOKUP(E484,{0,-1.8,-0.8,0.2,1.2,2.2,3.2,4.6,6,7.4,8.8,10.2,11.6,13,14.4,15.8,17.2,19.1,21,22.8,24.6},{0,10,20,30,40,50,60,62,64,66,68,70,72,74,76,78,80,85,90,95,100})</f>
        <v>76</v>
      </c>
      <c r="G484" s="27">
        <v>235</v>
      </c>
      <c r="H484" s="29">
        <f>LOOKUP(G484,{0,180,185,190,195,200,205,209,213,217,221,225,229,233,237,241,245,253,260,265,270},{0,10,20,30,40,50,60,62,64,66,68,70,72,74,76,78,80,85,90,95,100})</f>
        <v>74</v>
      </c>
      <c r="I484" s="27">
        <v>16</v>
      </c>
      <c r="J484" s="29">
        <f>LOOKUP(I484,{0,4,5,6,7,8,9,10,11,12,13,14,15,16,17,18},{0,10,20,30,40,50,60,64,68,72,76,80,85,90,95,100})</f>
        <v>90</v>
      </c>
      <c r="K484" s="44"/>
      <c r="L484" s="39"/>
      <c r="M484" s="35">
        <f t="shared" si="135"/>
        <v>90</v>
      </c>
      <c r="N484" s="35">
        <v>7</v>
      </c>
      <c r="O484" s="36">
        <f t="shared" si="136"/>
        <v>11</v>
      </c>
      <c r="P484" s="29">
        <f>LOOKUP(O484,{0,7.8,8,8.2,8.4,8.6,8.8,9,9.2,9.4,9.6,9.8,10,10.2,10.4,10.6,10.8,10.9,11,11.1,11.2},{0,10,20,30,40,50,60,62,64,66,68,70,72,74,76,78,80,85,90,95,100})</f>
        <v>90</v>
      </c>
      <c r="Q484" s="5">
        <v>4.04</v>
      </c>
      <c r="R484" s="36">
        <f t="shared" si="137"/>
        <v>5.96</v>
      </c>
      <c r="S484" s="29">
        <f>LOOKUP(R484,{0,3.85,4.45,4.65,4.85,5.45,5.65,5.7,5.75,5.8,5.85,5.9,5.95,6,6.45,6.5,6.55,6.63,6.7,6.75,6.8},{0,10,20,30,40,50,60,62,64,66,68,70,72,74,76,78,80,85,90,95,100})</f>
        <v>72</v>
      </c>
      <c r="T484" s="27"/>
      <c r="U484" s="27"/>
      <c r="V484" s="27">
        <f t="shared" si="138"/>
        <v>72</v>
      </c>
      <c r="W484" s="27"/>
      <c r="X484" s="19">
        <f t="shared" si="139"/>
        <v>56.4</v>
      </c>
      <c r="Y484" s="13">
        <f t="shared" si="140"/>
        <v>80.5714285714286</v>
      </c>
      <c r="Z484" s="19"/>
    </row>
    <row r="485" ht="15.6" spans="1:26">
      <c r="A485" s="27">
        <v>311</v>
      </c>
      <c r="B485" s="27">
        <v>28</v>
      </c>
      <c r="C485" s="28" t="s">
        <v>543</v>
      </c>
      <c r="D485" s="28" t="s">
        <v>12</v>
      </c>
      <c r="E485" s="27">
        <v>15.5</v>
      </c>
      <c r="F485" s="29">
        <f>LOOKUP(E485,{0,-1.8,-0.8,0.2,1.2,2.2,3.2,4.6,6,7.4,8.8,10.2,11.6,13,14.4,15.8,17.2,19.1,21,22.8,24.6},{0,10,20,30,40,50,60,62,64,66,68,70,72,74,76,78,80,85,90,95,100})</f>
        <v>76</v>
      </c>
      <c r="G485" s="27">
        <v>215</v>
      </c>
      <c r="H485" s="29">
        <f>LOOKUP(G485,{0,180,185,190,195,200,205,209,213,217,221,225,229,233,237,241,245,253,260,265,270},{0,10,20,30,40,50,60,62,64,66,68,70,72,74,76,78,80,85,90,95,100})</f>
        <v>64</v>
      </c>
      <c r="I485" s="27">
        <v>0</v>
      </c>
      <c r="J485" s="29">
        <f>LOOKUP(I485,{0,4,5,6,7,8,9,10,11,12,13,14,15,16,17,18},{0,10,20,30,40,50,60,64,68,72,76,80,85,90,95,100})</f>
        <v>0</v>
      </c>
      <c r="K485" s="44"/>
      <c r="L485" s="35"/>
      <c r="M485" s="35">
        <f t="shared" si="135"/>
        <v>0</v>
      </c>
      <c r="N485" s="35">
        <v>7.9</v>
      </c>
      <c r="O485" s="36">
        <f t="shared" si="136"/>
        <v>10.1</v>
      </c>
      <c r="P485" s="29">
        <f>LOOKUP(O485,{0,7.8,8,8.2,8.4,8.6,8.8,9,9.2,9.4,9.6,9.8,10,10.2,10.4,10.6,10.8,10.9,11,11.1,11.2},{0,10,20,30,40,50,60,62,64,66,68,70,72,74,76,78,80,85,90,95,100})</f>
        <v>72</v>
      </c>
      <c r="Q485" s="5">
        <v>4.29</v>
      </c>
      <c r="R485" s="36">
        <f t="shared" si="137"/>
        <v>5.71</v>
      </c>
      <c r="S485" s="29">
        <f>LOOKUP(R485,{0,3.85,4.45,4.65,4.85,5.45,5.65,5.7,5.75,5.8,5.85,5.9,5.95,6,6.45,6.5,6.55,6.63,6.7,6.75,6.8},{0,10,20,30,40,50,60,62,64,66,68,70,72,74,76,78,80,85,90,95,100})</f>
        <v>62</v>
      </c>
      <c r="T485" s="27"/>
      <c r="U485" s="27"/>
      <c r="V485" s="27">
        <f t="shared" si="138"/>
        <v>62</v>
      </c>
      <c r="W485" s="27"/>
      <c r="X485" s="19">
        <f t="shared" si="139"/>
        <v>40.8</v>
      </c>
      <c r="Y485" s="13">
        <f t="shared" si="140"/>
        <v>58.2857142857143</v>
      </c>
      <c r="Z485" s="19"/>
    </row>
    <row r="486" ht="15.6" spans="1:26">
      <c r="A486" s="27">
        <v>311</v>
      </c>
      <c r="B486" s="27">
        <v>29</v>
      </c>
      <c r="C486" s="27" t="s">
        <v>544</v>
      </c>
      <c r="D486" s="38" t="s">
        <v>12</v>
      </c>
      <c r="E486" s="27">
        <v>11</v>
      </c>
      <c r="F486" s="29">
        <f>LOOKUP(E486,{0,-1.8,-0.8,0.2,1.2,2.2,3.2,4.6,6,7.4,8.8,10.2,11.6,13,14.4,15.8,17.2,19.1,21,22.8,24.6},{0,10,20,30,40,50,60,62,64,66,68,70,72,74,76,78,80,85,90,95,100})</f>
        <v>70</v>
      </c>
      <c r="G486" s="27">
        <v>230</v>
      </c>
      <c r="H486" s="29">
        <f>LOOKUP(G486,{0,180,185,190,195,200,205,209,213,217,221,225,229,233,237,241,245,253,260,265,270},{0,10,20,30,40,50,60,62,64,66,68,70,72,74,76,78,80,85,90,95,100})</f>
        <v>72</v>
      </c>
      <c r="I486" s="27">
        <v>27</v>
      </c>
      <c r="J486" s="29">
        <f>LOOKUP(I486,{0,4,5,6,7,8,9,10,11,12,13,14,15,16,17,18},{0,10,20,30,40,50,60,64,68,72,76,80,85,90,95,100})</f>
        <v>100</v>
      </c>
      <c r="K486" s="44">
        <f>I486-18</f>
        <v>9</v>
      </c>
      <c r="L486" s="29">
        <f>LOOKUP(K486,{0,1,2,3,4,5,6,7,8,9,10},{0,1,2,3,4,5,6,7,8,9,10})</f>
        <v>9</v>
      </c>
      <c r="M486" s="35">
        <f t="shared" si="135"/>
        <v>109</v>
      </c>
      <c r="N486" s="35">
        <v>7.1</v>
      </c>
      <c r="O486" s="36">
        <f t="shared" si="136"/>
        <v>10.9</v>
      </c>
      <c r="P486" s="29">
        <f>LOOKUP(O486,{0,7.8,8,8.2,8.4,8.6,8.8,9,9.2,9.4,9.6,9.8,10,10.2,10.4,10.6,10.8,10.9,11,11.1,11.2},{0,10,20,30,40,50,60,62,64,66,68,70,72,74,76,78,80,85,90,95,100})</f>
        <v>85</v>
      </c>
      <c r="Q486" s="5">
        <v>3.44</v>
      </c>
      <c r="R486" s="36">
        <f t="shared" si="137"/>
        <v>6.56</v>
      </c>
      <c r="S486" s="29">
        <f>LOOKUP(R486,{0,3.85,4.45,4.65,4.85,5.45,5.65,5.7,5.75,5.8,5.85,5.9,5.95,6,6.45,6.5,6.55,6.63,6.7,6.75,6.8},{0,10,20,30,40,50,60,62,64,66,68,70,72,74,76,78,80,85,90,95,100})</f>
        <v>80</v>
      </c>
      <c r="T486" s="27"/>
      <c r="U486" s="27"/>
      <c r="V486" s="27">
        <f t="shared" si="138"/>
        <v>80</v>
      </c>
      <c r="W486" s="27"/>
      <c r="X486" s="19">
        <f t="shared" si="139"/>
        <v>57.2</v>
      </c>
      <c r="Y486" s="13">
        <f t="shared" si="140"/>
        <v>90.7142857142857</v>
      </c>
      <c r="Z486" s="19"/>
    </row>
    <row r="487" ht="15.6" spans="1:26">
      <c r="A487" s="27">
        <v>311</v>
      </c>
      <c r="B487" s="27">
        <v>30</v>
      </c>
      <c r="C487" s="27" t="s">
        <v>545</v>
      </c>
      <c r="D487" s="27" t="s">
        <v>12</v>
      </c>
      <c r="E487" s="27">
        <v>30.5</v>
      </c>
      <c r="F487" s="29">
        <f>LOOKUP(E487,{0,-1.8,-0.8,0.2,1.2,2.2,3.2,4.6,6,7.4,8.8,10.2,11.6,13,14.4,15.8,17.2,19.1,21,22.8,24.6},{0,10,20,30,40,50,60,62,64,66,68,70,72,74,76,78,80,85,90,95,100})</f>
        <v>100</v>
      </c>
      <c r="G487" s="27">
        <v>215</v>
      </c>
      <c r="H487" s="29">
        <f>LOOKUP(G487,{0,180,185,190,195,200,205,209,213,217,221,225,229,233,237,241,245,253,260,265,270},{0,10,20,30,40,50,60,62,64,66,68,70,72,74,76,78,80,85,90,95,100})</f>
        <v>64</v>
      </c>
      <c r="I487" s="27">
        <v>20</v>
      </c>
      <c r="J487" s="29">
        <f>LOOKUP(I487,{0,4,5,6,7,8,9,10,11,12,13,14,15,16,17,18},{0,10,20,30,40,50,60,64,68,72,76,80,85,90,95,100})</f>
        <v>100</v>
      </c>
      <c r="K487" s="44">
        <f>I487-18</f>
        <v>2</v>
      </c>
      <c r="L487" s="29">
        <f>LOOKUP(K487,{0,1,2,3,4,5,6,7,8,9,10},{0,1,2,3,4,5,6,7,8,9,10})</f>
        <v>2</v>
      </c>
      <c r="M487" s="35">
        <f t="shared" si="135"/>
        <v>102</v>
      </c>
      <c r="N487" s="35">
        <v>7.6</v>
      </c>
      <c r="O487" s="36">
        <f t="shared" si="136"/>
        <v>10.4</v>
      </c>
      <c r="P487" s="29">
        <f>LOOKUP(O487,{0,7.8,8,8.2,8.4,8.6,8.8,9,9.2,9.4,9.6,9.8,10,10.2,10.4,10.6,10.8,10.9,11,11.1,11.2},{0,10,20,30,40,50,60,62,64,66,68,70,72,74,76,78,80,85,90,95,100})</f>
        <v>76</v>
      </c>
      <c r="Q487" s="5">
        <v>3.45</v>
      </c>
      <c r="R487" s="36">
        <f t="shared" si="137"/>
        <v>6.55</v>
      </c>
      <c r="S487" s="29">
        <f>LOOKUP(R487,{0,3.85,4.45,4.65,4.85,5.45,5.65,5.7,5.75,5.8,5.85,5.9,5.95,6,6.45,6.5,6.55,6.63,6.7,6.75,6.8},{0,10,20,30,40,50,60,62,64,66,68,70,72,74,76,78,80,85,90,95,100})</f>
        <v>80</v>
      </c>
      <c r="T487" s="27"/>
      <c r="U487" s="27"/>
      <c r="V487" s="27">
        <f t="shared" si="138"/>
        <v>80</v>
      </c>
      <c r="W487" s="27"/>
      <c r="X487" s="19">
        <f t="shared" si="139"/>
        <v>57.6</v>
      </c>
      <c r="Y487" s="13">
        <f t="shared" si="140"/>
        <v>84.2857142857143</v>
      </c>
      <c r="Z487" s="19"/>
    </row>
    <row r="488" ht="15.6" spans="1:26">
      <c r="A488" s="27">
        <v>311</v>
      </c>
      <c r="B488" s="27">
        <v>31</v>
      </c>
      <c r="C488" s="28" t="s">
        <v>546</v>
      </c>
      <c r="D488" s="28" t="s">
        <v>12</v>
      </c>
      <c r="E488" s="27">
        <v>0</v>
      </c>
      <c r="F488" s="29">
        <f>LOOKUP(E488,{0,-1.8,-0.8,0.2,1.2,2.2,3.2,4.6,6,7.4,8.8,10.2,11.6,13,14.4,15.8,17.2,19.1,21,22.8,24.6},{0,10,20,30,40,50,60,62,64,66,68,70,72,74,76,78,80,85,90,95,100})</f>
        <v>20</v>
      </c>
      <c r="G488" s="27">
        <v>225</v>
      </c>
      <c r="H488" s="29">
        <f>LOOKUP(G488,{0,180,185,190,195,200,205,209,213,217,221,225,229,233,237,241,245,253,260,265,270},{0,10,20,30,40,50,60,62,64,66,68,70,72,74,76,78,80,85,90,95,100})</f>
        <v>70</v>
      </c>
      <c r="I488" s="27">
        <v>0</v>
      </c>
      <c r="J488" s="29">
        <f>LOOKUP(I488,{0,4,5,6,7,8,9,10,11,12,13,14,15,16,17,18},{0,10,20,30,40,50,60,64,68,72,76,80,85,90,95,100})</f>
        <v>0</v>
      </c>
      <c r="K488" s="44"/>
      <c r="L488" s="35"/>
      <c r="M488" s="35">
        <f t="shared" si="135"/>
        <v>0</v>
      </c>
      <c r="N488" s="35">
        <v>7.4</v>
      </c>
      <c r="O488" s="36">
        <f t="shared" si="136"/>
        <v>10.6</v>
      </c>
      <c r="P488" s="29">
        <f>LOOKUP(O488,{0,7.8,8,8.2,8.4,8.6,8.8,9,9.2,9.4,9.6,9.8,10,10.2,10.4,10.6,10.8,10.9,11,11.1,11.2},{0,10,20,30,40,50,60,62,64,66,68,70,72,74,76,78,80,85,90,95,100})</f>
        <v>78</v>
      </c>
      <c r="Q488" s="5">
        <v>5.27</v>
      </c>
      <c r="R488" s="36">
        <f t="shared" si="137"/>
        <v>4.73</v>
      </c>
      <c r="S488" s="29">
        <f>LOOKUP(R488,{0,3.85,4.45,4.65,4.85,5.45,5.65,5.7,5.75,5.8,5.85,5.9,5.95,6,6.45,6.5,6.55,6.63,6.7,6.75,6.8},{0,10,20,30,40,50,60,62,64,66,68,70,72,74,76,78,80,85,90,95,100})</f>
        <v>30</v>
      </c>
      <c r="T488" s="27"/>
      <c r="U488" s="27"/>
      <c r="V488" s="27">
        <f t="shared" si="138"/>
        <v>30</v>
      </c>
      <c r="W488" s="27"/>
      <c r="X488" s="19">
        <f t="shared" si="139"/>
        <v>30.6</v>
      </c>
      <c r="Y488" s="13">
        <f t="shared" si="140"/>
        <v>43.7142857142857</v>
      </c>
      <c r="Z488" s="19"/>
    </row>
    <row r="489" ht="15.6" spans="1:26">
      <c r="A489" s="27">
        <v>311</v>
      </c>
      <c r="B489" s="27">
        <v>32</v>
      </c>
      <c r="C489" s="28" t="s">
        <v>547</v>
      </c>
      <c r="D489" s="28" t="s">
        <v>12</v>
      </c>
      <c r="E489" s="27">
        <v>11.5</v>
      </c>
      <c r="F489" s="29">
        <f>LOOKUP(E489,{0,-1.8,-0.8,0.2,1.2,2.2,3.2,4.6,6,7.4,8.8,10.2,11.6,13,14.4,15.8,17.2,19.1,21,22.8,24.6},{0,10,20,30,40,50,60,62,64,66,68,70,72,74,76,78,80,85,90,95,100})</f>
        <v>70</v>
      </c>
      <c r="G489" s="27">
        <v>210</v>
      </c>
      <c r="H489" s="29">
        <f>LOOKUP(G489,{0,180,185,190,195,200,205,209,213,217,221,225,229,233,237,241,245,253,260,265,270},{0,10,20,30,40,50,60,62,64,66,68,70,72,74,76,78,80,85,90,95,100})</f>
        <v>62</v>
      </c>
      <c r="I489" s="27">
        <v>0</v>
      </c>
      <c r="J489" s="29">
        <f>LOOKUP(I489,{0,4,5,6,7,8,9,10,11,12,13,14,15,16,17,18},{0,10,20,30,40,50,60,64,68,72,76,80,85,90,95,100})</f>
        <v>0</v>
      </c>
      <c r="K489" s="44"/>
      <c r="L489" s="35"/>
      <c r="M489" s="35">
        <f t="shared" si="135"/>
        <v>0</v>
      </c>
      <c r="N489" s="35">
        <v>8.5</v>
      </c>
      <c r="O489" s="36">
        <f t="shared" si="136"/>
        <v>9.5</v>
      </c>
      <c r="P489" s="29">
        <f>LOOKUP(O489,{0,7.8,8,8.2,8.4,8.6,8.8,9,9.2,9.4,9.6,9.8,10,10.2,10.4,10.6,10.8,10.9,11,11.1,11.2},{0,10,20,30,40,50,60,62,64,66,68,70,72,74,76,78,80,85,90,95,100})</f>
        <v>66</v>
      </c>
      <c r="Q489" s="5">
        <v>4.37</v>
      </c>
      <c r="R489" s="36">
        <f t="shared" si="137"/>
        <v>5.63</v>
      </c>
      <c r="S489" s="29">
        <f>LOOKUP(R489,{0,3.85,4.45,4.65,4.85,5.45,5.65,5.7,5.75,5.8,5.85,5.9,5.95,6,6.45,6.5,6.55,6.63,6.7,6.75,6.8},{0,10,20,30,40,50,60,62,64,66,68,70,72,74,76,78,80,85,90,95,100})</f>
        <v>50</v>
      </c>
      <c r="T489" s="27"/>
      <c r="U489" s="27"/>
      <c r="V489" s="27">
        <f t="shared" si="138"/>
        <v>50</v>
      </c>
      <c r="W489" s="27"/>
      <c r="X489" s="19">
        <f t="shared" si="139"/>
        <v>36.4</v>
      </c>
      <c r="Y489" s="13">
        <f t="shared" si="140"/>
        <v>52</v>
      </c>
      <c r="Z489" s="19"/>
    </row>
    <row r="490" ht="15.6" spans="1:26">
      <c r="A490" s="27">
        <v>311</v>
      </c>
      <c r="B490" s="27">
        <v>33</v>
      </c>
      <c r="C490" s="27" t="s">
        <v>548</v>
      </c>
      <c r="D490" s="27" t="s">
        <v>12</v>
      </c>
      <c r="E490" s="27">
        <v>7.5</v>
      </c>
      <c r="F490" s="29">
        <f>LOOKUP(E490,{0,-1.8,-0.8,0.2,1.2,2.2,3.2,4.6,6,7.4,8.8,10.2,11.6,13,14.4,15.8,17.2,19.1,21,22.8,24.6},{0,10,20,30,40,50,60,62,64,66,68,70,72,74,76,78,80,85,90,95,100})</f>
        <v>66</v>
      </c>
      <c r="G490" s="27">
        <v>270</v>
      </c>
      <c r="H490" s="29">
        <f>LOOKUP(G490,{0,180,185,190,195,200,205,209,213,217,221,225,229,233,237,241,245,253,260,265,270},{0,10,20,30,40,50,60,62,64,66,68,70,72,74,76,78,80,85,90,95,100})</f>
        <v>100</v>
      </c>
      <c r="I490" s="27">
        <v>28</v>
      </c>
      <c r="J490" s="29">
        <f>LOOKUP(I490,{0,4,5,6,7,8,9,10,11,12,13,14,15,16,17,18},{0,10,20,30,40,50,60,64,68,72,76,80,85,90,95,100})</f>
        <v>100</v>
      </c>
      <c r="K490" s="44">
        <f>I490-18</f>
        <v>10</v>
      </c>
      <c r="L490" s="29">
        <f>LOOKUP(K490,{0,1,2,3,4,5,6,7,8,9,10},{0,1,2,3,4,5,6,7,8,9,10})</f>
        <v>10</v>
      </c>
      <c r="M490" s="35">
        <f t="shared" si="135"/>
        <v>110</v>
      </c>
      <c r="N490" s="35">
        <v>6.8</v>
      </c>
      <c r="O490" s="36">
        <f t="shared" si="136"/>
        <v>11.2</v>
      </c>
      <c r="P490" s="29">
        <f>LOOKUP(O490,{0,7.8,8,8.2,8.4,8.6,8.8,9,9.2,9.4,9.6,9.8,10,10.2,10.4,10.6,10.8,10.9,11,11.1,11.2},{0,10,20,30,40,50,60,62,64,66,68,70,72,74,76,78,80,85,90,95,100})</f>
        <v>100</v>
      </c>
      <c r="Q490" s="5">
        <v>3.43</v>
      </c>
      <c r="R490" s="36">
        <f t="shared" si="137"/>
        <v>6.57</v>
      </c>
      <c r="S490" s="29">
        <f>LOOKUP(R490,{0,3.85,4.45,4.65,4.85,5.45,5.65,5.7,5.75,5.8,5.85,5.9,5.95,6,6.45,6.5,6.55,6.63,6.7,6.75,6.8},{0,10,20,30,40,50,60,62,64,66,68,70,72,74,76,78,80,85,90,95,100})</f>
        <v>80</v>
      </c>
      <c r="T490" s="27"/>
      <c r="U490" s="27"/>
      <c r="V490" s="27">
        <f t="shared" si="138"/>
        <v>80</v>
      </c>
      <c r="W490" s="27"/>
      <c r="X490" s="19">
        <f t="shared" si="139"/>
        <v>62.6</v>
      </c>
      <c r="Y490" s="13">
        <f t="shared" si="140"/>
        <v>99.4285714285714</v>
      </c>
      <c r="Z490" s="19"/>
    </row>
    <row r="491" ht="15.6" spans="1:26">
      <c r="A491" s="27">
        <v>311</v>
      </c>
      <c r="B491" s="27">
        <v>34</v>
      </c>
      <c r="C491" s="28" t="s">
        <v>549</v>
      </c>
      <c r="D491" s="28" t="s">
        <v>12</v>
      </c>
      <c r="E491" s="27">
        <v>14</v>
      </c>
      <c r="F491" s="29">
        <f>LOOKUP(E491,{0,-1.8,-0.8,0.2,1.2,2.2,3.2,4.6,6,7.4,8.8,10.2,11.6,13,14.4,15.8,17.2,19.1,21,22.8,24.6},{0,10,20,30,40,50,60,62,64,66,68,70,72,74,76,78,80,85,90,95,100})</f>
        <v>74</v>
      </c>
      <c r="G491" s="27">
        <v>230</v>
      </c>
      <c r="H491" s="29">
        <f>LOOKUP(G491,{0,180,185,190,195,200,205,209,213,217,221,225,229,233,237,241,245,253,260,265,270},{0,10,20,30,40,50,60,62,64,66,68,70,72,74,76,78,80,85,90,95,100})</f>
        <v>72</v>
      </c>
      <c r="I491" s="27">
        <v>35</v>
      </c>
      <c r="J491" s="29">
        <f>LOOKUP(I491,{0,4,5,6,7,8,9,10,11,12,13,14,15,16,17,18},{0,10,20,30,40,50,60,64,68,72,76,80,85,90,95,100})</f>
        <v>100</v>
      </c>
      <c r="K491" s="44">
        <f>I491-18</f>
        <v>17</v>
      </c>
      <c r="L491" s="29">
        <f>LOOKUP(K491,{0,1,2,3,4,5,6,7,8,9,10},{0,1,2,3,4,5,6,7,8,9,10})</f>
        <v>10</v>
      </c>
      <c r="M491" s="35">
        <f t="shared" si="135"/>
        <v>110</v>
      </c>
      <c r="N491" s="35">
        <v>7.7</v>
      </c>
      <c r="O491" s="36">
        <f t="shared" si="136"/>
        <v>10.3</v>
      </c>
      <c r="P491" s="29">
        <f>LOOKUP(O491,{0,7.8,8,8.2,8.4,8.6,8.8,9,9.2,9.4,9.6,9.8,10,10.2,10.4,10.6,10.8,10.9,11,11.1,11.2},{0,10,20,30,40,50,60,62,64,66,68,70,72,74,76,78,80,85,90,95,100})</f>
        <v>74</v>
      </c>
      <c r="Q491" s="5">
        <v>4.48</v>
      </c>
      <c r="R491" s="36">
        <f t="shared" si="137"/>
        <v>5.52</v>
      </c>
      <c r="S491" s="29">
        <f>LOOKUP(R491,{0,3.85,4.45,4.65,4.85,5.45,5.65,5.7,5.75,5.8,5.85,5.9,5.95,6,6.45,6.5,6.55,6.63,6.7,6.75,6.8},{0,10,20,30,40,50,60,62,64,66,68,70,72,74,76,78,80,85,90,95,100})</f>
        <v>50</v>
      </c>
      <c r="T491" s="27"/>
      <c r="U491" s="27"/>
      <c r="V491" s="27">
        <f t="shared" si="138"/>
        <v>50</v>
      </c>
      <c r="W491" s="27"/>
      <c r="X491" s="19">
        <f t="shared" si="139"/>
        <v>49.4</v>
      </c>
      <c r="Y491" s="13">
        <f t="shared" si="140"/>
        <v>80.5714285714286</v>
      </c>
      <c r="Z491" s="19"/>
    </row>
    <row r="492" ht="15.6" spans="1:26">
      <c r="A492" s="27">
        <v>311</v>
      </c>
      <c r="B492" s="27">
        <v>35</v>
      </c>
      <c r="C492" s="28" t="s">
        <v>550</v>
      </c>
      <c r="D492" s="28" t="s">
        <v>12</v>
      </c>
      <c r="E492" s="27"/>
      <c r="F492" s="29"/>
      <c r="G492" s="27"/>
      <c r="H492" s="29"/>
      <c r="I492" s="27"/>
      <c r="J492" s="35"/>
      <c r="K492" s="44"/>
      <c r="L492" s="35"/>
      <c r="M492" s="35"/>
      <c r="N492" s="35"/>
      <c r="O492" s="5"/>
      <c r="P492" s="5"/>
      <c r="Q492" s="5"/>
      <c r="R492" s="27"/>
      <c r="S492" s="27"/>
      <c r="T492" s="27"/>
      <c r="U492" s="27"/>
      <c r="V492" s="27"/>
      <c r="W492" s="27">
        <v>50</v>
      </c>
      <c r="X492" s="19"/>
      <c r="Y492" s="19">
        <v>50</v>
      </c>
      <c r="Z492" s="20"/>
    </row>
    <row r="493" ht="15.6" spans="1:26">
      <c r="A493" s="27">
        <v>311</v>
      </c>
      <c r="B493" s="27">
        <v>36</v>
      </c>
      <c r="C493" s="28" t="s">
        <v>551</v>
      </c>
      <c r="D493" s="28" t="s">
        <v>12</v>
      </c>
      <c r="E493" s="27">
        <v>15.5</v>
      </c>
      <c r="F493" s="29">
        <f>LOOKUP(E493,{0,-1.8,-0.8,0.2,1.2,2.2,3.2,4.6,6,7.4,8.8,10.2,11.6,13,14.4,15.8,17.2,19.1,21,22.8,24.6},{0,10,20,30,40,50,60,62,64,66,68,70,72,74,76,78,80,85,90,95,100})</f>
        <v>76</v>
      </c>
      <c r="G493" s="27">
        <v>210</v>
      </c>
      <c r="H493" s="29">
        <f>LOOKUP(G493,{0,180,185,190,195,200,205,209,213,217,221,225,229,233,237,241,245,253,260,265,270},{0,10,20,30,40,50,60,62,64,66,68,70,72,74,76,78,80,85,90,95,100})</f>
        <v>62</v>
      </c>
      <c r="I493" s="27">
        <v>3</v>
      </c>
      <c r="J493" s="29">
        <f>LOOKUP(I493,{0,4,5,6,7,8,9,10,11,12,13,14,15,16,17,18},{0,10,20,30,40,50,60,64,68,72,76,80,85,90,95,100})</f>
        <v>0</v>
      </c>
      <c r="K493" s="44"/>
      <c r="L493" s="35"/>
      <c r="M493" s="35">
        <f t="shared" ref="M493:M513" si="141">J493+L493</f>
        <v>0</v>
      </c>
      <c r="N493" s="35">
        <v>8.6</v>
      </c>
      <c r="O493" s="36">
        <f t="shared" ref="O493:O513" si="142">18-N493</f>
        <v>9.4</v>
      </c>
      <c r="P493" s="29">
        <f>LOOKUP(O493,{0,7.8,8,8.2,8.4,8.6,8.8,9,9.2,9.4,9.6,9.8,10,10.2,10.4,10.6,10.8,10.9,11,11.1,11.2},{0,10,20,30,40,50,60,62,64,66,68,70,72,74,76,78,80,85,90,95,100})</f>
        <v>66</v>
      </c>
      <c r="Q493" s="5">
        <v>5.18</v>
      </c>
      <c r="R493" s="36">
        <f t="shared" ref="R493:R513" si="143">10-Q493</f>
        <v>4.82</v>
      </c>
      <c r="S493" s="29">
        <f>LOOKUP(R493,{0,3.85,4.45,4.65,4.85,5.45,5.65,5.7,5.75,5.8,5.85,5.9,5.95,6,6.45,6.5,6.55,6.63,6.7,6.75,6.8},{0,10,20,30,40,50,60,62,64,66,68,70,72,74,76,78,80,85,90,95,100})</f>
        <v>30</v>
      </c>
      <c r="T493" s="27"/>
      <c r="U493" s="27"/>
      <c r="V493" s="27">
        <f t="shared" ref="V493:V513" si="144">S493+U493</f>
        <v>30</v>
      </c>
      <c r="W493" s="27"/>
      <c r="X493" s="19">
        <f t="shared" ref="X493:X513" si="145">F493*0.1+H493*0.1+J493*0.1+P493*0.2+S493*0.2</f>
        <v>33</v>
      </c>
      <c r="Y493" s="13">
        <f t="shared" ref="Y493:Y513" si="146">X493/0.7+L493+U493</f>
        <v>47.1428571428571</v>
      </c>
      <c r="Z493" s="19"/>
    </row>
    <row r="494" ht="15.6" spans="1:26">
      <c r="A494" s="27">
        <v>311</v>
      </c>
      <c r="B494" s="27">
        <v>37</v>
      </c>
      <c r="C494" s="30" t="s">
        <v>553</v>
      </c>
      <c r="D494" s="28" t="s">
        <v>12</v>
      </c>
      <c r="E494" s="27">
        <v>16.7</v>
      </c>
      <c r="F494" s="29">
        <f>LOOKUP(E494,{0,-1.8,-0.8,0.2,1.2,2.2,3.2,4.6,6,7.4,8.8,10.2,11.6,13,14.4,15.8,17.2,19.1,21,22.8,24.6},{0,10,20,30,40,50,60,62,64,66,68,70,72,74,76,78,80,85,90,95,100})</f>
        <v>78</v>
      </c>
      <c r="G494" s="27">
        <v>300</v>
      </c>
      <c r="H494" s="29">
        <f>LOOKUP(G494,{0,180,185,190,195,200,205,209,213,217,221,225,229,233,237,241,245,253,260,265,270},{0,10,20,30,40,50,60,62,64,66,68,70,72,74,76,78,80,85,90,95,100})</f>
        <v>100</v>
      </c>
      <c r="I494" s="27">
        <v>11</v>
      </c>
      <c r="J494" s="29">
        <f>LOOKUP(I494,{0,4,5,6,7,8,9,10,11,12,13,14,15,16,17,18},{0,10,20,30,40,50,60,64,68,72,76,80,85,90,95,100})</f>
        <v>68</v>
      </c>
      <c r="K494" s="44"/>
      <c r="L494" s="35"/>
      <c r="M494" s="35">
        <f t="shared" si="141"/>
        <v>68</v>
      </c>
      <c r="N494" s="35">
        <v>6.2</v>
      </c>
      <c r="O494" s="36">
        <f t="shared" si="142"/>
        <v>11.8</v>
      </c>
      <c r="P494" s="29">
        <f>LOOKUP(O494,{0,7.8,8,8.2,8.4,8.6,8.8,9,9.2,9.4,9.6,9.8,10,10.2,10.4,10.6,10.8,10.9,11,11.1,11.2},{0,10,20,30,40,50,60,62,64,66,68,70,72,74,76,78,80,85,90,95,100})</f>
        <v>100</v>
      </c>
      <c r="Q494" s="5">
        <v>3.29</v>
      </c>
      <c r="R494" s="36">
        <f t="shared" si="143"/>
        <v>6.71</v>
      </c>
      <c r="S494" s="29">
        <f>LOOKUP(R494,{0,3.85,4.45,4.65,4.85,5.45,5.65,5.7,5.75,5.8,5.85,5.9,5.95,6,6.45,6.5,6.55,6.63,6.7,6.75,6.8},{0,10,20,30,40,50,60,62,64,66,68,70,72,74,76,78,80,85,90,95,100})</f>
        <v>90</v>
      </c>
      <c r="T494" s="27"/>
      <c r="U494" s="27"/>
      <c r="V494" s="27">
        <f t="shared" si="144"/>
        <v>90</v>
      </c>
      <c r="W494" s="27"/>
      <c r="X494" s="19">
        <f t="shared" si="145"/>
        <v>62.6</v>
      </c>
      <c r="Y494" s="13">
        <f t="shared" si="146"/>
        <v>89.4285714285714</v>
      </c>
      <c r="Z494" s="19"/>
    </row>
    <row r="495" ht="15.6" spans="1:26">
      <c r="A495" s="27">
        <v>311</v>
      </c>
      <c r="B495" s="27">
        <v>38</v>
      </c>
      <c r="C495" s="28" t="s">
        <v>554</v>
      </c>
      <c r="D495" s="28" t="s">
        <v>12</v>
      </c>
      <c r="E495" s="27">
        <v>6.8</v>
      </c>
      <c r="F495" s="29">
        <f>LOOKUP(E495,{0,-1.8,-0.8,0.2,1.2,2.2,3.2,4.6,6,7.4,8.8,10.2,11.6,13,14.4,15.8,17.2,19.1,21,22.8,24.6},{0,10,20,30,40,50,60,62,64,66,68,70,72,74,76,78,80,85,90,95,100})</f>
        <v>64</v>
      </c>
      <c r="G495" s="27">
        <v>208</v>
      </c>
      <c r="H495" s="29">
        <f>LOOKUP(G495,{0,180,185,190,195,200,205,209,213,217,221,225,229,233,237,241,245,253,260,265,270},{0,10,20,30,40,50,60,62,64,66,68,70,72,74,76,78,80,85,90,95,100})</f>
        <v>60</v>
      </c>
      <c r="I495" s="27">
        <v>10</v>
      </c>
      <c r="J495" s="29">
        <f>LOOKUP(I495,{0,4,5,6,7,8,9,10,11,12,13,14,15,16,17,18},{0,10,20,30,40,50,60,64,68,72,76,80,85,90,95,100})</f>
        <v>64</v>
      </c>
      <c r="K495" s="44"/>
      <c r="L495" s="35"/>
      <c r="M495" s="35">
        <f t="shared" si="141"/>
        <v>64</v>
      </c>
      <c r="N495" s="35">
        <v>8.1</v>
      </c>
      <c r="O495" s="36">
        <f t="shared" si="142"/>
        <v>9.9</v>
      </c>
      <c r="P495" s="29">
        <f>LOOKUP(O495,{0,7.8,8,8.2,8.4,8.6,8.8,9,9.2,9.4,9.6,9.8,10,10.2,10.4,10.6,10.8,10.9,11,11.1,11.2},{0,10,20,30,40,50,60,62,64,66,68,70,72,74,76,78,80,85,90,95,100})</f>
        <v>70</v>
      </c>
      <c r="Q495" s="5">
        <v>4.48</v>
      </c>
      <c r="R495" s="36">
        <f t="shared" si="143"/>
        <v>5.52</v>
      </c>
      <c r="S495" s="29">
        <f>LOOKUP(R495,{0,3.85,4.45,4.65,4.85,5.45,5.65,5.7,5.75,5.8,5.85,5.9,5.95,6,6.45,6.5,6.55,6.63,6.7,6.75,6.8},{0,10,20,30,40,50,60,62,64,66,68,70,72,74,76,78,80,85,90,95,100})</f>
        <v>50</v>
      </c>
      <c r="T495" s="27"/>
      <c r="U495" s="27"/>
      <c r="V495" s="27">
        <f t="shared" si="144"/>
        <v>50</v>
      </c>
      <c r="W495" s="27"/>
      <c r="X495" s="19">
        <f t="shared" si="145"/>
        <v>42.8</v>
      </c>
      <c r="Y495" s="13">
        <f t="shared" si="146"/>
        <v>61.1428571428571</v>
      </c>
      <c r="Z495" s="19"/>
    </row>
    <row r="496" ht="15.6" spans="1:26">
      <c r="A496" s="27">
        <v>311</v>
      </c>
      <c r="B496" s="27">
        <v>39</v>
      </c>
      <c r="C496" s="28" t="s">
        <v>555</v>
      </c>
      <c r="D496" s="28" t="s">
        <v>12</v>
      </c>
      <c r="E496" s="27">
        <v>-6</v>
      </c>
      <c r="F496" s="29">
        <v>0</v>
      </c>
      <c r="G496" s="27">
        <v>255</v>
      </c>
      <c r="H496" s="29">
        <f>LOOKUP(G496,{0,180,185,190,195,200,205,209,213,217,221,225,229,233,237,241,245,253,260,265,270},{0,10,20,30,40,50,60,62,64,66,68,70,72,74,76,78,80,85,90,95,100})</f>
        <v>85</v>
      </c>
      <c r="I496" s="27">
        <v>11</v>
      </c>
      <c r="J496" s="29">
        <f>LOOKUP(I496,{0,4,5,6,7,8,9,10,11,12,13,14,15,16,17,18},{0,10,20,30,40,50,60,64,68,72,76,80,85,90,95,100})</f>
        <v>68</v>
      </c>
      <c r="K496" s="44"/>
      <c r="L496" s="35"/>
      <c r="M496" s="35">
        <f t="shared" si="141"/>
        <v>68</v>
      </c>
      <c r="N496" s="35">
        <v>6.6</v>
      </c>
      <c r="O496" s="36">
        <f t="shared" si="142"/>
        <v>11.4</v>
      </c>
      <c r="P496" s="29">
        <f>LOOKUP(O496,{0,7.8,8,8.2,8.4,8.6,8.8,9,9.2,9.4,9.6,9.8,10,10.2,10.4,10.6,10.8,10.9,11,11.1,11.2},{0,10,20,30,40,50,60,62,64,66,68,70,72,74,76,78,80,85,90,95,100})</f>
        <v>100</v>
      </c>
      <c r="Q496" s="5">
        <v>3.41</v>
      </c>
      <c r="R496" s="36">
        <f t="shared" si="143"/>
        <v>6.59</v>
      </c>
      <c r="S496" s="29">
        <f>LOOKUP(R496,{0,3.85,4.45,4.65,4.85,5.45,5.65,5.7,5.75,5.8,5.85,5.9,5.95,6,6.45,6.5,6.55,6.63,6.7,6.75,6.8},{0,10,20,30,40,50,60,62,64,66,68,70,72,74,76,78,80,85,90,95,100})</f>
        <v>80</v>
      </c>
      <c r="T496" s="27"/>
      <c r="U496" s="27"/>
      <c r="V496" s="27">
        <f t="shared" si="144"/>
        <v>80</v>
      </c>
      <c r="W496" s="27"/>
      <c r="X496" s="19">
        <f t="shared" si="145"/>
        <v>51.3</v>
      </c>
      <c r="Y496" s="13">
        <f t="shared" si="146"/>
        <v>73.2857142857143</v>
      </c>
      <c r="Z496" s="19"/>
    </row>
    <row r="497" ht="15.6" spans="1:26">
      <c r="A497" s="27">
        <v>311</v>
      </c>
      <c r="B497" s="27">
        <v>40</v>
      </c>
      <c r="C497" s="28" t="s">
        <v>556</v>
      </c>
      <c r="D497" s="28" t="s">
        <v>12</v>
      </c>
      <c r="E497" s="27">
        <v>-12</v>
      </c>
      <c r="F497" s="29">
        <v>0</v>
      </c>
      <c r="G497" s="27">
        <v>204</v>
      </c>
      <c r="H497" s="29">
        <f>LOOKUP(G497,{0,180,185,190,195,200,205,209,213,217,221,225,229,233,237,241,245,253,260,265,270},{0,10,20,30,40,50,60,62,64,66,68,70,72,74,76,78,80,85,90,95,100})</f>
        <v>50</v>
      </c>
      <c r="I497" s="27">
        <v>0</v>
      </c>
      <c r="J497" s="29">
        <f>LOOKUP(I497,{0,4,5,6,7,8,9,10,11,12,13,14,15,16,17,18},{0,10,20,30,40,50,60,64,68,72,76,80,85,90,95,100})</f>
        <v>0</v>
      </c>
      <c r="K497" s="44"/>
      <c r="L497" s="35"/>
      <c r="M497" s="35">
        <f t="shared" si="141"/>
        <v>0</v>
      </c>
      <c r="N497" s="35">
        <v>8.1</v>
      </c>
      <c r="O497" s="36">
        <f t="shared" si="142"/>
        <v>9.9</v>
      </c>
      <c r="P497" s="29">
        <f>LOOKUP(O497,{0,7.8,8,8.2,8.4,8.6,8.8,9,9.2,9.4,9.6,9.8,10,10.2,10.4,10.6,10.8,10.9,11,11.1,11.2},{0,10,20,30,40,50,60,62,64,66,68,70,72,74,76,78,80,85,90,95,100})</f>
        <v>70</v>
      </c>
      <c r="Q497" s="5">
        <v>4.48</v>
      </c>
      <c r="R497" s="36">
        <f t="shared" si="143"/>
        <v>5.52</v>
      </c>
      <c r="S497" s="29">
        <f>LOOKUP(R497,{0,3.85,4.45,4.65,4.85,5.45,5.65,5.7,5.75,5.8,5.85,5.9,5.95,6,6.45,6.5,6.55,6.63,6.7,6.75,6.8},{0,10,20,30,40,50,60,62,64,66,68,70,72,74,76,78,80,85,90,95,100})</f>
        <v>50</v>
      </c>
      <c r="T497" s="27"/>
      <c r="U497" s="27"/>
      <c r="V497" s="27">
        <f t="shared" si="144"/>
        <v>50</v>
      </c>
      <c r="W497" s="27"/>
      <c r="X497" s="19">
        <f t="shared" si="145"/>
        <v>29</v>
      </c>
      <c r="Y497" s="13">
        <f t="shared" si="146"/>
        <v>41.4285714285714</v>
      </c>
      <c r="Z497" s="19"/>
    </row>
    <row r="498" ht="15.6" spans="1:26">
      <c r="A498" s="27">
        <v>311</v>
      </c>
      <c r="B498" s="27">
        <v>41</v>
      </c>
      <c r="C498" s="28" t="s">
        <v>557</v>
      </c>
      <c r="D498" s="28" t="s">
        <v>12</v>
      </c>
      <c r="E498" s="27">
        <v>17</v>
      </c>
      <c r="F498" s="29">
        <f>LOOKUP(E498,{0,-1.8,-0.8,0.2,1.2,2.2,3.2,4.6,6,7.4,8.8,10.2,11.6,13,14.4,15.8,17.2,19.1,21,22.8,24.6},{0,10,20,30,40,50,60,62,64,66,68,70,72,74,76,78,80,85,90,95,100})</f>
        <v>78</v>
      </c>
      <c r="G498" s="27">
        <v>239</v>
      </c>
      <c r="H498" s="29">
        <f>LOOKUP(G498,{0,180,185,190,195,200,205,209,213,217,221,225,229,233,237,241,245,253,260,265,270},{0,10,20,30,40,50,60,62,64,66,68,70,72,74,76,78,80,85,90,95,100})</f>
        <v>76</v>
      </c>
      <c r="I498" s="27">
        <v>6</v>
      </c>
      <c r="J498" s="29">
        <f>LOOKUP(I498,{0,4,5,6,7,8,9,10,11,12,13,14,15,16,17,18},{0,10,20,30,40,50,60,64,68,72,76,80,85,90,95,100})</f>
        <v>30</v>
      </c>
      <c r="K498" s="44"/>
      <c r="L498" s="35"/>
      <c r="M498" s="35">
        <f t="shared" si="141"/>
        <v>30</v>
      </c>
      <c r="N498" s="35">
        <v>7.4</v>
      </c>
      <c r="O498" s="36">
        <f t="shared" si="142"/>
        <v>10.6</v>
      </c>
      <c r="P498" s="29">
        <f>LOOKUP(O498,{0,7.8,8,8.2,8.4,8.6,8.8,9,9.2,9.4,9.6,9.8,10,10.2,10.4,10.6,10.8,10.9,11,11.1,11.2},{0,10,20,30,40,50,60,62,64,66,68,70,72,74,76,78,80,85,90,95,100})</f>
        <v>78</v>
      </c>
      <c r="Q498" s="5">
        <v>4.48</v>
      </c>
      <c r="R498" s="36">
        <f t="shared" si="143"/>
        <v>5.52</v>
      </c>
      <c r="S498" s="29">
        <f>LOOKUP(R498,{0,3.85,4.45,4.65,4.85,5.45,5.65,5.7,5.75,5.8,5.85,5.9,5.95,6,6.45,6.5,6.55,6.63,6.7,6.75,6.8},{0,10,20,30,40,50,60,62,64,66,68,70,72,74,76,78,80,85,90,95,100})</f>
        <v>50</v>
      </c>
      <c r="T498" s="27"/>
      <c r="U498" s="27"/>
      <c r="V498" s="27">
        <f t="shared" si="144"/>
        <v>50</v>
      </c>
      <c r="W498" s="27"/>
      <c r="X498" s="19">
        <f t="shared" si="145"/>
        <v>44</v>
      </c>
      <c r="Y498" s="13">
        <f t="shared" si="146"/>
        <v>62.8571428571429</v>
      </c>
      <c r="Z498" s="19"/>
    </row>
    <row r="499" ht="15.6" spans="1:26">
      <c r="A499" s="27">
        <v>311</v>
      </c>
      <c r="B499" s="27">
        <v>42</v>
      </c>
      <c r="C499" s="28" t="s">
        <v>558</v>
      </c>
      <c r="D499" s="28" t="s">
        <v>12</v>
      </c>
      <c r="E499" s="27">
        <v>10.4</v>
      </c>
      <c r="F499" s="29">
        <f>LOOKUP(E499,{0,-1.8,-0.8,0.2,1.2,2.2,3.2,4.6,6,7.4,8.8,10.2,11.6,13,14.4,15.8,17.2,19.1,21,22.8,24.6},{0,10,20,30,40,50,60,62,64,66,68,70,72,74,76,78,80,85,90,95,100})</f>
        <v>70</v>
      </c>
      <c r="G499" s="27">
        <v>237</v>
      </c>
      <c r="H499" s="29">
        <f>LOOKUP(G499,{0,180,185,190,195,200,205,209,213,217,221,225,229,233,237,241,245,253,260,265,270},{0,10,20,30,40,50,60,62,64,66,68,70,72,74,76,78,80,85,90,95,100})</f>
        <v>76</v>
      </c>
      <c r="I499" s="27">
        <v>11</v>
      </c>
      <c r="J499" s="29">
        <f>LOOKUP(I499,{0,4,5,6,7,8,9,10,11,12,13,14,15,16,17,18},{0,10,20,30,40,50,60,64,68,72,76,80,85,90,95,100})</f>
        <v>68</v>
      </c>
      <c r="K499" s="44"/>
      <c r="L499" s="35"/>
      <c r="M499" s="35">
        <f t="shared" si="141"/>
        <v>68</v>
      </c>
      <c r="N499" s="35">
        <v>7.4</v>
      </c>
      <c r="O499" s="36">
        <f t="shared" si="142"/>
        <v>10.6</v>
      </c>
      <c r="P499" s="29">
        <f>LOOKUP(O499,{0,7.8,8,8.2,8.4,8.6,8.8,9,9.2,9.4,9.6,9.8,10,10.2,10.4,10.6,10.8,10.9,11,11.1,11.2},{0,10,20,30,40,50,60,62,64,66,68,70,72,74,76,78,80,85,90,95,100})</f>
        <v>78</v>
      </c>
      <c r="Q499" s="5">
        <v>4.14</v>
      </c>
      <c r="R499" s="36">
        <f t="shared" si="143"/>
        <v>5.86</v>
      </c>
      <c r="S499" s="29">
        <f>LOOKUP(R499,{0,3.85,4.45,4.65,4.85,5.45,5.65,5.7,5.75,5.8,5.85,5.9,5.95,6,6.45,6.5,6.55,6.63,6.7,6.75,6.8},{0,10,20,30,40,50,60,62,64,66,68,70,72,74,76,78,80,85,90,95,100})</f>
        <v>68</v>
      </c>
      <c r="T499" s="27"/>
      <c r="U499" s="27"/>
      <c r="V499" s="27">
        <f t="shared" si="144"/>
        <v>68</v>
      </c>
      <c r="W499" s="27"/>
      <c r="X499" s="19">
        <f t="shared" si="145"/>
        <v>50.6</v>
      </c>
      <c r="Y499" s="13">
        <f t="shared" si="146"/>
        <v>72.2857142857143</v>
      </c>
      <c r="Z499" s="19"/>
    </row>
    <row r="500" ht="15.6" spans="1:26">
      <c r="A500" s="27">
        <v>311</v>
      </c>
      <c r="B500" s="27">
        <v>43</v>
      </c>
      <c r="C500" s="28" t="s">
        <v>559</v>
      </c>
      <c r="D500" s="28" t="s">
        <v>12</v>
      </c>
      <c r="E500" s="27">
        <v>-5.5</v>
      </c>
      <c r="F500" s="29">
        <v>0</v>
      </c>
      <c r="G500" s="27">
        <v>280</v>
      </c>
      <c r="H500" s="29">
        <f>LOOKUP(G500,{0,180,185,190,195,200,205,209,213,217,221,225,229,233,237,241,245,253,260,265,270},{0,10,20,30,40,50,60,62,64,66,68,70,72,74,76,78,80,85,90,95,100})</f>
        <v>100</v>
      </c>
      <c r="I500" s="27">
        <v>7</v>
      </c>
      <c r="J500" s="29">
        <f>LOOKUP(I500,{0,4,5,6,7,8,9,10,11,12,13,14,15,16,17,18},{0,10,20,30,40,50,60,64,68,72,76,80,85,90,95,100})</f>
        <v>40</v>
      </c>
      <c r="K500" s="44"/>
      <c r="L500" s="35"/>
      <c r="M500" s="35">
        <f t="shared" si="141"/>
        <v>40</v>
      </c>
      <c r="N500" s="35">
        <v>6.9</v>
      </c>
      <c r="O500" s="36">
        <f t="shared" si="142"/>
        <v>11.1</v>
      </c>
      <c r="P500" s="29">
        <f>LOOKUP(O500,{0,7.8,8,8.2,8.4,8.6,8.8,9,9.2,9.4,9.6,9.8,10,10.2,10.4,10.6,10.8,10.9,11,11.1,11.2},{0,10,20,30,40,50,60,62,64,66,68,70,72,74,76,78,80,85,90,95,100})</f>
        <v>95</v>
      </c>
      <c r="Q500" s="5">
        <v>4.48</v>
      </c>
      <c r="R500" s="36">
        <f t="shared" si="143"/>
        <v>5.52</v>
      </c>
      <c r="S500" s="29">
        <f>LOOKUP(R500,{0,3.85,4.45,4.65,4.85,5.45,5.65,5.7,5.75,5.8,5.85,5.9,5.95,6,6.45,6.5,6.55,6.63,6.7,6.75,6.8},{0,10,20,30,40,50,60,62,64,66,68,70,72,74,76,78,80,85,90,95,100})</f>
        <v>50</v>
      </c>
      <c r="T500" s="27"/>
      <c r="U500" s="27"/>
      <c r="V500" s="27">
        <f t="shared" si="144"/>
        <v>50</v>
      </c>
      <c r="W500" s="27"/>
      <c r="X500" s="19">
        <f t="shared" si="145"/>
        <v>43</v>
      </c>
      <c r="Y500" s="13">
        <f t="shared" si="146"/>
        <v>61.4285714285714</v>
      </c>
      <c r="Z500" s="19"/>
    </row>
    <row r="501" ht="15.6" spans="1:26">
      <c r="A501" s="27">
        <v>311</v>
      </c>
      <c r="B501" s="27">
        <v>44</v>
      </c>
      <c r="C501" s="28" t="s">
        <v>560</v>
      </c>
      <c r="D501" s="28" t="s">
        <v>12</v>
      </c>
      <c r="E501" s="27">
        <v>10</v>
      </c>
      <c r="F501" s="29">
        <f>LOOKUP(E501,{0,-1.8,-0.8,0.2,1.2,2.2,3.2,4.6,6,7.4,8.8,10.2,11.6,13,14.4,15.8,17.2,19.1,21,22.8,24.6},{0,10,20,30,40,50,60,62,64,66,68,70,72,74,76,78,80,85,90,95,100})</f>
        <v>68</v>
      </c>
      <c r="G501" s="27">
        <v>241</v>
      </c>
      <c r="H501" s="29">
        <f>LOOKUP(G501,{0,180,185,190,195,200,205,209,213,217,221,225,229,233,237,241,245,253,260,265,270},{0,10,20,30,40,50,60,62,64,66,68,70,72,74,76,78,80,85,90,95,100})</f>
        <v>78</v>
      </c>
      <c r="I501" s="27">
        <v>11</v>
      </c>
      <c r="J501" s="29">
        <f>LOOKUP(I501,{0,4,5,6,7,8,9,10,11,12,13,14,15,16,17,18},{0,10,20,30,40,50,60,64,68,72,76,80,85,90,95,100})</f>
        <v>68</v>
      </c>
      <c r="K501" s="44"/>
      <c r="L501" s="35"/>
      <c r="M501" s="35">
        <f t="shared" si="141"/>
        <v>68</v>
      </c>
      <c r="N501" s="35">
        <v>7.7</v>
      </c>
      <c r="O501" s="36">
        <f t="shared" si="142"/>
        <v>10.3</v>
      </c>
      <c r="P501" s="29">
        <f>LOOKUP(O501,{0,7.8,8,8.2,8.4,8.6,8.8,9,9.2,9.4,9.6,9.8,10,10.2,10.4,10.6,10.8,10.9,11,11.1,11.2},{0,10,20,30,40,50,60,62,64,66,68,70,72,74,76,78,80,85,90,95,100})</f>
        <v>74</v>
      </c>
      <c r="Q501" s="5">
        <v>4.22</v>
      </c>
      <c r="R501" s="36">
        <f t="shared" si="143"/>
        <v>5.78</v>
      </c>
      <c r="S501" s="29">
        <f>LOOKUP(R501,{0,3.85,4.45,4.65,4.85,5.45,5.65,5.7,5.75,5.8,5.85,5.9,5.95,6,6.45,6.5,6.55,6.63,6.7,6.75,6.8},{0,10,20,30,40,50,60,62,64,66,68,70,72,74,76,78,80,85,90,95,100})</f>
        <v>64</v>
      </c>
      <c r="T501" s="27"/>
      <c r="U501" s="27"/>
      <c r="V501" s="27">
        <f t="shared" si="144"/>
        <v>64</v>
      </c>
      <c r="W501" s="27"/>
      <c r="X501" s="19">
        <f t="shared" si="145"/>
        <v>49</v>
      </c>
      <c r="Y501" s="13">
        <f t="shared" si="146"/>
        <v>70</v>
      </c>
      <c r="Z501" s="19"/>
    </row>
    <row r="502" ht="15.6" spans="1:26">
      <c r="A502" s="27">
        <v>311</v>
      </c>
      <c r="B502" s="27">
        <v>45</v>
      </c>
      <c r="C502" s="28" t="s">
        <v>561</v>
      </c>
      <c r="D502" s="28" t="s">
        <v>12</v>
      </c>
      <c r="E502" s="27">
        <v>-11</v>
      </c>
      <c r="F502" s="29">
        <v>0</v>
      </c>
      <c r="G502" s="27">
        <v>206</v>
      </c>
      <c r="H502" s="29">
        <f>LOOKUP(G502,{0,180,185,190,195,200,205,209,213,217,221,225,229,233,237,241,245,253,260,265,270},{0,10,20,30,40,50,60,62,64,66,68,70,72,74,76,78,80,85,90,95,100})</f>
        <v>60</v>
      </c>
      <c r="I502" s="27">
        <v>1</v>
      </c>
      <c r="J502" s="29">
        <f>LOOKUP(I502,{0,4,5,6,7,8,9,10,11,12,13,14,15,16,17,18},{0,10,20,30,40,50,60,64,68,72,76,80,85,90,95,100})</f>
        <v>0</v>
      </c>
      <c r="K502" s="44"/>
      <c r="L502" s="35"/>
      <c r="M502" s="35">
        <f t="shared" si="141"/>
        <v>0</v>
      </c>
      <c r="N502" s="35">
        <v>7.1</v>
      </c>
      <c r="O502" s="36">
        <f t="shared" si="142"/>
        <v>10.9</v>
      </c>
      <c r="P502" s="29">
        <f>LOOKUP(O502,{0,7.8,8,8.2,8.4,8.6,8.8,9,9.2,9.4,9.6,9.8,10,10.2,10.4,10.6,10.8,10.9,11,11.1,11.2},{0,10,20,30,40,50,60,62,64,66,68,70,72,74,76,78,80,85,90,95,100})</f>
        <v>85</v>
      </c>
      <c r="Q502" s="5">
        <v>4.29</v>
      </c>
      <c r="R502" s="36">
        <f t="shared" si="143"/>
        <v>5.71</v>
      </c>
      <c r="S502" s="29">
        <f>LOOKUP(R502,{0,3.85,4.45,4.65,4.85,5.45,5.65,5.7,5.75,5.8,5.85,5.9,5.95,6,6.45,6.5,6.55,6.63,6.7,6.75,6.8},{0,10,20,30,40,50,60,62,64,66,68,70,72,74,76,78,80,85,90,95,100})</f>
        <v>62</v>
      </c>
      <c r="T502" s="27"/>
      <c r="U502" s="27"/>
      <c r="V502" s="27">
        <f t="shared" si="144"/>
        <v>62</v>
      </c>
      <c r="W502" s="27"/>
      <c r="X502" s="19">
        <f t="shared" si="145"/>
        <v>35.4</v>
      </c>
      <c r="Y502" s="13">
        <f t="shared" si="146"/>
        <v>50.5714285714286</v>
      </c>
      <c r="Z502" s="19"/>
    </row>
    <row r="503" ht="15.6" spans="1:26">
      <c r="A503" s="27">
        <v>311</v>
      </c>
      <c r="B503" s="27">
        <v>46</v>
      </c>
      <c r="C503" s="28" t="s">
        <v>562</v>
      </c>
      <c r="D503" s="28" t="s">
        <v>12</v>
      </c>
      <c r="E503" s="27">
        <v>16</v>
      </c>
      <c r="F503" s="29">
        <f>LOOKUP(E503,{0,-1.8,-0.8,0.2,1.2,2.2,3.2,4.6,6,7.4,8.8,10.2,11.6,13,14.4,15.8,17.2,19.1,21,22.8,24.6},{0,10,20,30,40,50,60,62,64,66,68,70,72,74,76,78,80,85,90,95,100})</f>
        <v>78</v>
      </c>
      <c r="G503" s="27">
        <v>270</v>
      </c>
      <c r="H503" s="29">
        <f>LOOKUP(G503,{0,180,185,190,195,200,205,209,213,217,221,225,229,233,237,241,245,253,260,265,270},{0,10,20,30,40,50,60,62,64,66,68,70,72,74,76,78,80,85,90,95,100})</f>
        <v>100</v>
      </c>
      <c r="I503" s="27">
        <v>20</v>
      </c>
      <c r="J503" s="29">
        <f>LOOKUP(I503,{0,4,5,6,7,8,9,10,11,12,13,14,15,16,17,18},{0,10,20,30,40,50,60,64,68,72,76,80,85,90,95,100})</f>
        <v>100</v>
      </c>
      <c r="K503" s="44">
        <f>I503-18</f>
        <v>2</v>
      </c>
      <c r="L503" s="29">
        <f>LOOKUP(K503,{0,1,2,3,4,5,6,7,8,9,10},{0,1,2,3,4,5,6,7,8,9,10})</f>
        <v>2</v>
      </c>
      <c r="M503" s="35">
        <f t="shared" si="141"/>
        <v>102</v>
      </c>
      <c r="N503" s="35">
        <v>6.6</v>
      </c>
      <c r="O503" s="36">
        <f t="shared" si="142"/>
        <v>11.4</v>
      </c>
      <c r="P503" s="29">
        <f>LOOKUP(O503,{0,7.8,8,8.2,8.4,8.6,8.8,9,9.2,9.4,9.6,9.8,10,10.2,10.4,10.6,10.8,10.9,11,11.1,11.2},{0,10,20,30,40,50,60,62,64,66,68,70,72,74,76,78,80,85,90,95,100})</f>
        <v>100</v>
      </c>
      <c r="Q503" s="5">
        <v>4.09</v>
      </c>
      <c r="R503" s="36">
        <f t="shared" si="143"/>
        <v>5.91</v>
      </c>
      <c r="S503" s="29">
        <f>LOOKUP(R503,{0,3.85,4.45,4.65,4.85,5.45,5.65,5.7,5.75,5.8,5.85,5.9,5.95,6,6.45,6.5,6.55,6.63,6.7,6.75,6.8},{0,10,20,30,40,50,60,62,64,66,68,70,72,74,76,78,80,85,90,95,100})</f>
        <v>70</v>
      </c>
      <c r="T503" s="27"/>
      <c r="U503" s="27"/>
      <c r="V503" s="27">
        <f t="shared" si="144"/>
        <v>70</v>
      </c>
      <c r="W503" s="27"/>
      <c r="X503" s="19">
        <f t="shared" si="145"/>
        <v>61.8</v>
      </c>
      <c r="Y503" s="13">
        <f t="shared" si="146"/>
        <v>90.2857142857143</v>
      </c>
      <c r="Z503" s="19"/>
    </row>
    <row r="504" ht="15.6" spans="1:26">
      <c r="A504" s="27">
        <v>311</v>
      </c>
      <c r="B504" s="27">
        <v>47</v>
      </c>
      <c r="C504" s="28" t="s">
        <v>563</v>
      </c>
      <c r="D504" s="28" t="s">
        <v>12</v>
      </c>
      <c r="E504" s="27">
        <v>2.3</v>
      </c>
      <c r="F504" s="29">
        <f>LOOKUP(E504,{0,-1.8,-0.8,0.2,1.2,2.2,3.2,4.6,6,7.4,8.8,10.2,11.6,13,14.4,15.8,17.2,19.1,21,22.8,24.6},{0,10,20,30,40,50,60,62,64,66,68,70,72,74,76,78,80,85,90,95,100})</f>
        <v>50</v>
      </c>
      <c r="G504" s="27">
        <v>210</v>
      </c>
      <c r="H504" s="29">
        <f>LOOKUP(G504,{0,180,185,190,195,200,205,209,213,217,221,225,229,233,237,241,245,253,260,265,270},{0,10,20,30,40,50,60,62,64,66,68,70,72,74,76,78,80,85,90,95,100})</f>
        <v>62</v>
      </c>
      <c r="I504" s="27">
        <v>1</v>
      </c>
      <c r="J504" s="29">
        <f>LOOKUP(I504,{0,4,5,6,7,8,9,10,11,12,13,14,15,16,17,18},{0,10,20,30,40,50,60,64,68,72,76,80,85,90,95,100})</f>
        <v>0</v>
      </c>
      <c r="K504" s="44"/>
      <c r="L504" s="35"/>
      <c r="M504" s="35">
        <f t="shared" si="141"/>
        <v>0</v>
      </c>
      <c r="N504" s="35">
        <v>7.4</v>
      </c>
      <c r="O504" s="36">
        <f t="shared" si="142"/>
        <v>10.6</v>
      </c>
      <c r="P504" s="29">
        <f>LOOKUP(O504,{0,7.8,8,8.2,8.4,8.6,8.8,9,9.2,9.4,9.6,9.8,10,10.2,10.4,10.6,10.8,10.9,11,11.1,11.2},{0,10,20,30,40,50,60,62,64,66,68,70,72,74,76,78,80,85,90,95,100})</f>
        <v>78</v>
      </c>
      <c r="Q504" s="5">
        <v>5.06</v>
      </c>
      <c r="R504" s="36">
        <f t="shared" si="143"/>
        <v>4.94</v>
      </c>
      <c r="S504" s="29">
        <f>LOOKUP(R504,{0,3.85,4.45,4.65,4.85,5.45,5.65,5.7,5.75,5.8,5.85,5.9,5.95,6,6.45,6.5,6.55,6.63,6.7,6.75,6.8},{0,10,20,30,40,50,60,62,64,66,68,70,72,74,76,78,80,85,90,95,100})</f>
        <v>40</v>
      </c>
      <c r="T504" s="27"/>
      <c r="U504" s="27"/>
      <c r="V504" s="27">
        <f t="shared" si="144"/>
        <v>40</v>
      </c>
      <c r="W504" s="27"/>
      <c r="X504" s="19">
        <f t="shared" si="145"/>
        <v>34.8</v>
      </c>
      <c r="Y504" s="13">
        <f t="shared" si="146"/>
        <v>49.7142857142857</v>
      </c>
      <c r="Z504" s="19"/>
    </row>
    <row r="505" ht="15.6" spans="1:26">
      <c r="A505" s="27">
        <v>311</v>
      </c>
      <c r="B505" s="27">
        <v>48</v>
      </c>
      <c r="C505" s="28" t="s">
        <v>564</v>
      </c>
      <c r="D505" s="28" t="s">
        <v>12</v>
      </c>
      <c r="E505" s="27">
        <v>17</v>
      </c>
      <c r="F505" s="29">
        <f>LOOKUP(E505,{0,-1.8,-0.8,0.2,1.2,2.2,3.2,4.6,6,7.4,8.8,10.2,11.6,13,14.4,15.8,17.2,19.1,21,22.8,24.6},{0,10,20,30,40,50,60,62,64,66,68,70,72,74,76,78,80,85,90,95,100})</f>
        <v>78</v>
      </c>
      <c r="G505" s="27">
        <v>269</v>
      </c>
      <c r="H505" s="29">
        <f>LOOKUP(G505,{0,180,185,190,195,200,205,209,213,217,221,225,229,233,237,241,245,253,260,265,270},{0,10,20,30,40,50,60,62,64,66,68,70,72,74,76,78,80,85,90,95,100})</f>
        <v>95</v>
      </c>
      <c r="I505" s="27">
        <v>3</v>
      </c>
      <c r="J505" s="29">
        <f>LOOKUP(I505,{0,4,5,6,7,8,9,10,11,12,13,14,15,16,17,18},{0,10,20,30,40,50,60,64,68,72,76,80,85,90,95,100})</f>
        <v>0</v>
      </c>
      <c r="K505" s="44"/>
      <c r="L505" s="35"/>
      <c r="M505" s="35">
        <f t="shared" si="141"/>
        <v>0</v>
      </c>
      <c r="N505" s="35">
        <v>7</v>
      </c>
      <c r="O505" s="36">
        <f t="shared" si="142"/>
        <v>11</v>
      </c>
      <c r="P505" s="29">
        <f>LOOKUP(O505,{0,7.8,8,8.2,8.4,8.6,8.8,9,9.2,9.4,9.6,9.8,10,10.2,10.4,10.6,10.8,10.9,11,11.1,11.2},{0,10,20,30,40,50,60,62,64,66,68,70,72,74,76,78,80,85,90,95,100})</f>
        <v>90</v>
      </c>
      <c r="Q505" s="5">
        <v>4.48</v>
      </c>
      <c r="R505" s="36">
        <f t="shared" si="143"/>
        <v>5.52</v>
      </c>
      <c r="S505" s="29">
        <f>LOOKUP(R505,{0,3.85,4.45,4.65,4.85,5.45,5.65,5.7,5.75,5.8,5.85,5.9,5.95,6,6.45,6.5,6.55,6.63,6.7,6.75,6.8},{0,10,20,30,40,50,60,62,64,66,68,70,72,74,76,78,80,85,90,95,100})</f>
        <v>50</v>
      </c>
      <c r="T505" s="27"/>
      <c r="U505" s="27"/>
      <c r="V505" s="27">
        <f t="shared" si="144"/>
        <v>50</v>
      </c>
      <c r="W505" s="27"/>
      <c r="X505" s="19">
        <f t="shared" si="145"/>
        <v>45.3</v>
      </c>
      <c r="Y505" s="13">
        <f t="shared" si="146"/>
        <v>64.7142857142857</v>
      </c>
      <c r="Z505" s="19"/>
    </row>
    <row r="506" ht="15.6" spans="1:26">
      <c r="A506" s="27">
        <v>311</v>
      </c>
      <c r="B506" s="27">
        <v>49</v>
      </c>
      <c r="C506" s="30" t="s">
        <v>566</v>
      </c>
      <c r="D506" s="28" t="s">
        <v>46</v>
      </c>
      <c r="E506" s="27">
        <v>23.5</v>
      </c>
      <c r="F506" s="29">
        <f>LOOKUP(E506,{0,1.5,2.3,3.1,3.9,4.7,5.5,6.8,8.1,9.4,10.7,12,13.3,14.6,15.9,17.2,18.5,20.2,21.9,23.6,25.3},{0,10,20,30,40,50,60,62,64,66,68,70,72,74,76,78,80,85,90,95,100})</f>
        <v>90</v>
      </c>
      <c r="G506" s="27">
        <v>182</v>
      </c>
      <c r="H506" s="29">
        <f>LOOKUP(G506,{0,125,130,135,140,145,150,153,156,159,162,165,168,171,174,177,180,187,194,200,206},{0,10,20,30,40,50,60,62,64,66,68,70,72,74,76,78,80,85,90,95,100})</f>
        <v>80</v>
      </c>
      <c r="I506" s="27">
        <v>49</v>
      </c>
      <c r="J506" s="29">
        <f>LOOKUP(I506,{0,15,17,19,21,23,25,27,29,31,33,35,37,39,41,43,45,48,51,53,55},{0,10,20,30,40,50,60,62,64,66,68,70,72,74,76,78,80,85,90,95,100})</f>
        <v>85</v>
      </c>
      <c r="K506" s="35"/>
      <c r="L506" s="35"/>
      <c r="M506" s="35">
        <f t="shared" si="141"/>
        <v>85</v>
      </c>
      <c r="N506" s="35">
        <v>8.6</v>
      </c>
      <c r="O506" s="36">
        <f t="shared" si="142"/>
        <v>9.4</v>
      </c>
      <c r="P506" s="29">
        <f>LOOKUP(O506,{0,6.6,6.8,7,7.2,7.4,7.6,7.8,8,8.2,8.4,8.6,8.8,9,9.2,9.4,9.6,9.9,10.2,10.3,10.4},{0,10,20,30,40,50,60,62,64,66,68,70,72,74,76,78,80,85,90,95,100})</f>
        <v>78</v>
      </c>
      <c r="Q506" s="5">
        <v>3.28</v>
      </c>
      <c r="R506" s="36">
        <f t="shared" si="143"/>
        <v>6.72</v>
      </c>
      <c r="S506" s="29">
        <f>LOOKUP(R506,{0,4.74,4.84,4.94,5.44,5.54,5.64,5.69,5.74,5.79,5.84,5.89,5.94,5.99,6.44,6.49,6.54,6.61,6.68,6.74,6.8},{0,10,20,30,40,50,60,62,64,66,68,70,72,74,76,78,80,85,90,95,100})</f>
        <v>90</v>
      </c>
      <c r="T506" s="27"/>
      <c r="U506" s="27"/>
      <c r="V506" s="27">
        <f t="shared" si="144"/>
        <v>90</v>
      </c>
      <c r="W506" s="27"/>
      <c r="X506" s="19">
        <f t="shared" si="145"/>
        <v>59.1</v>
      </c>
      <c r="Y506" s="13">
        <f t="shared" si="146"/>
        <v>84.4285714285714</v>
      </c>
      <c r="Z506" s="19"/>
    </row>
    <row r="507" ht="15.6" spans="1:26">
      <c r="A507" s="27">
        <v>311</v>
      </c>
      <c r="B507" s="27">
        <v>50</v>
      </c>
      <c r="C507" s="28" t="s">
        <v>567</v>
      </c>
      <c r="D507" s="28" t="s">
        <v>46</v>
      </c>
      <c r="E507" s="27">
        <v>19</v>
      </c>
      <c r="F507" s="29">
        <f>LOOKUP(E507,{0,1.5,2.3,3.1,3.9,4.7,5.5,6.8,8.1,9.4,10.7,12,13.3,14.6,15.9,17.2,18.5,20.2,21.9,23.6,25.3},{0,10,20,30,40,50,60,62,64,66,68,70,72,74,76,78,80,85,90,95,100})</f>
        <v>80</v>
      </c>
      <c r="G507" s="27">
        <v>180</v>
      </c>
      <c r="H507" s="29">
        <f>LOOKUP(G507,{0,125,130,135,140,145,150,153,156,159,162,165,168,171,174,177,180,187,194,200,206},{0,10,20,30,40,50,60,62,64,66,68,70,72,74,76,78,80,85,90,95,100})</f>
        <v>80</v>
      </c>
      <c r="I507" s="27">
        <v>50</v>
      </c>
      <c r="J507" s="29">
        <f>LOOKUP(I507,{0,15,17,19,21,23,25,27,29,31,33,35,37,39,41,43,45,48,51,53,55},{0,10,20,30,40,50,60,62,64,66,68,70,72,74,76,78,80,85,90,95,100})</f>
        <v>85</v>
      </c>
      <c r="K507" s="35"/>
      <c r="L507" s="35"/>
      <c r="M507" s="35">
        <f t="shared" si="141"/>
        <v>85</v>
      </c>
      <c r="N507" s="35">
        <v>9</v>
      </c>
      <c r="O507" s="36">
        <f t="shared" si="142"/>
        <v>9</v>
      </c>
      <c r="P507" s="29">
        <f>LOOKUP(O507,{0,6.6,6.8,7,7.2,7.4,7.6,7.8,8,8.2,8.4,8.6,8.8,9,9.2,9.4,9.6,9.9,10.2,10.3,10.4},{0,10,20,30,40,50,60,62,64,66,68,70,72,74,76,78,80,85,90,95,100})</f>
        <v>74</v>
      </c>
      <c r="Q507" s="5">
        <v>4.55</v>
      </c>
      <c r="R507" s="36">
        <f t="shared" si="143"/>
        <v>5.45</v>
      </c>
      <c r="S507" s="29">
        <f>LOOKUP(R507,{0,4.74,4.84,4.94,5.44,5.54,5.64,5.69,5.74,5.79,5.84,5.89,5.94,5.99,6.44,6.49,6.54,6.61,6.68,6.74,6.8},{0,10,20,30,40,50,60,62,64,66,68,70,72,74,76,78,80,85,90,95,100})</f>
        <v>40</v>
      </c>
      <c r="T507" s="27"/>
      <c r="U507" s="27"/>
      <c r="V507" s="27">
        <f t="shared" si="144"/>
        <v>40</v>
      </c>
      <c r="W507" s="27"/>
      <c r="X507" s="19">
        <f t="shared" si="145"/>
        <v>47.3</v>
      </c>
      <c r="Y507" s="13">
        <f t="shared" si="146"/>
        <v>67.5714285714286</v>
      </c>
      <c r="Z507" s="19"/>
    </row>
    <row r="508" ht="15.6" spans="1:26">
      <c r="A508" s="27">
        <v>311</v>
      </c>
      <c r="B508" s="27">
        <v>51</v>
      </c>
      <c r="C508" s="27" t="s">
        <v>568</v>
      </c>
      <c r="D508" s="27" t="s">
        <v>46</v>
      </c>
      <c r="E508" s="27">
        <v>18</v>
      </c>
      <c r="F508" s="29">
        <f>LOOKUP(E508,{0,1.5,2.3,3.1,3.9,4.7,5.5,6.8,8.1,9.4,10.7,12,13.3,14.6,15.9,17.2,18.5,20.2,21.9,23.6,25.3},{0,10,20,30,40,50,60,62,64,66,68,70,72,74,76,78,80,85,90,95,100})</f>
        <v>78</v>
      </c>
      <c r="G508" s="27">
        <v>210</v>
      </c>
      <c r="H508" s="29">
        <f>LOOKUP(G508,{0,125,130,135,140,145,150,153,156,159,162,165,168,171,174,177,180,187,194,200,206},{0,10,20,30,40,50,60,62,64,66,68,70,72,74,76,78,80,85,90,95,100})</f>
        <v>100</v>
      </c>
      <c r="I508" s="27">
        <v>53</v>
      </c>
      <c r="J508" s="29">
        <f>LOOKUP(I508,{0,15,17,19,21,23,25,27,29,31,33,35,37,39,41,43,45,48,51,53,55},{0,10,20,30,40,50,60,62,64,66,68,70,72,74,76,78,80,85,90,95,100})</f>
        <v>95</v>
      </c>
      <c r="K508" s="35"/>
      <c r="L508" s="35"/>
      <c r="M508" s="35">
        <f t="shared" si="141"/>
        <v>95</v>
      </c>
      <c r="N508" s="35">
        <v>7.8</v>
      </c>
      <c r="O508" s="36">
        <f t="shared" si="142"/>
        <v>10.2</v>
      </c>
      <c r="P508" s="29">
        <f>LOOKUP(O508,{0,6.6,6.8,7,7.2,7.4,7.6,7.8,8,8.2,8.4,8.6,8.8,9,9.2,9.4,9.6,9.9,10.2,10.3,10.4},{0,10,20,30,40,50,60,62,64,66,68,70,72,74,76,78,80,85,90,95,100})</f>
        <v>90</v>
      </c>
      <c r="Q508" s="5">
        <v>3.38</v>
      </c>
      <c r="R508" s="36">
        <f t="shared" si="143"/>
        <v>6.62</v>
      </c>
      <c r="S508" s="29">
        <f>LOOKUP(R508,{0,4.74,4.84,4.94,5.44,5.54,5.64,5.69,5.74,5.79,5.84,5.89,5.94,5.99,6.44,6.49,6.54,6.61,6.68,6.74,6.8},{0,10,20,30,40,50,60,62,64,66,68,70,72,74,76,78,80,85,90,95,100})</f>
        <v>85</v>
      </c>
      <c r="T508" s="27"/>
      <c r="U508" s="27"/>
      <c r="V508" s="27">
        <f t="shared" si="144"/>
        <v>85</v>
      </c>
      <c r="W508" s="27"/>
      <c r="X508" s="19">
        <f t="shared" si="145"/>
        <v>62.3</v>
      </c>
      <c r="Y508" s="13">
        <f t="shared" si="146"/>
        <v>89</v>
      </c>
      <c r="Z508" s="19"/>
    </row>
    <row r="509" ht="15.6" spans="1:26">
      <c r="A509" s="27">
        <v>311</v>
      </c>
      <c r="B509" s="27">
        <v>52</v>
      </c>
      <c r="C509" s="28" t="s">
        <v>569</v>
      </c>
      <c r="D509" s="28" t="s">
        <v>46</v>
      </c>
      <c r="E509" s="27">
        <v>17</v>
      </c>
      <c r="F509" s="29">
        <f>LOOKUP(E509,{0,1.5,2.3,3.1,3.9,4.7,5.5,6.8,8.1,9.4,10.7,12,13.3,14.6,15.9,17.2,18.5,20.2,21.9,23.6,25.3},{0,10,20,30,40,50,60,62,64,66,68,70,72,74,76,78,80,85,90,95,100})</f>
        <v>76</v>
      </c>
      <c r="G509" s="27">
        <v>155</v>
      </c>
      <c r="H509" s="29">
        <f>LOOKUP(G509,{0,125,130,135,140,145,150,153,156,159,162,165,168,171,174,177,180,187,194,200,206},{0,10,20,30,40,50,60,62,64,66,68,70,72,74,76,78,80,85,90,95,100})</f>
        <v>62</v>
      </c>
      <c r="I509" s="27">
        <v>33</v>
      </c>
      <c r="J509" s="29">
        <f>LOOKUP(I509,{0,15,17,19,21,23,25,27,29,31,33,35,37,39,41,43,45,48,51,53,55},{0,10,20,30,40,50,60,62,64,66,68,70,72,74,76,78,80,85,90,95,100})</f>
        <v>68</v>
      </c>
      <c r="K509" s="35"/>
      <c r="L509" s="35"/>
      <c r="M509" s="35">
        <f t="shared" si="141"/>
        <v>68</v>
      </c>
      <c r="N509" s="35">
        <v>9.5</v>
      </c>
      <c r="O509" s="36">
        <f t="shared" si="142"/>
        <v>8.5</v>
      </c>
      <c r="P509" s="29">
        <f>LOOKUP(O509,{0,6.6,6.8,7,7.2,7.4,7.6,7.8,8,8.2,8.4,8.6,8.8,9,9.2,9.4,9.6,9.9,10.2,10.3,10.4},{0,10,20,30,40,50,60,62,64,66,68,70,72,74,76,78,80,85,90,95,100})</f>
        <v>68</v>
      </c>
      <c r="Q509" s="5">
        <v>4.58</v>
      </c>
      <c r="R509" s="36">
        <f t="shared" si="143"/>
        <v>5.42</v>
      </c>
      <c r="S509" s="29">
        <f>LOOKUP(R509,{0,4.74,4.84,4.94,5.44,5.54,5.64,5.69,5.74,5.79,5.84,5.89,5.94,5.99,6.44,6.49,6.54,6.61,6.68,6.74,6.8},{0,10,20,30,40,50,60,62,64,66,68,70,72,74,76,78,80,85,90,95,100})</f>
        <v>30</v>
      </c>
      <c r="T509" s="27"/>
      <c r="U509" s="27"/>
      <c r="V509" s="27">
        <f t="shared" si="144"/>
        <v>30</v>
      </c>
      <c r="W509" s="27"/>
      <c r="X509" s="19">
        <f t="shared" si="145"/>
        <v>40.2</v>
      </c>
      <c r="Y509" s="13">
        <f t="shared" si="146"/>
        <v>57.4285714285714</v>
      </c>
      <c r="Z509" s="19"/>
    </row>
    <row r="510" ht="15.6" spans="1:26">
      <c r="A510" s="27">
        <v>311</v>
      </c>
      <c r="B510" s="27">
        <v>53</v>
      </c>
      <c r="C510" s="27" t="s">
        <v>570</v>
      </c>
      <c r="D510" s="27" t="s">
        <v>46</v>
      </c>
      <c r="E510" s="27">
        <v>8.5</v>
      </c>
      <c r="F510" s="29">
        <f>LOOKUP(E510,{0,1.5,2.3,3.1,3.9,4.7,5.5,6.8,8.1,9.4,10.7,12,13.3,14.6,15.9,17.2,18.5,20.2,21.9,23.6,25.3},{0,10,20,30,40,50,60,62,64,66,68,70,72,74,76,78,80,85,90,95,100})</f>
        <v>64</v>
      </c>
      <c r="G510" s="27">
        <v>160</v>
      </c>
      <c r="H510" s="29">
        <f>LOOKUP(G510,{0,125,130,135,140,145,150,153,156,159,162,165,168,171,174,177,180,187,194,200,206},{0,10,20,30,40,50,60,62,64,66,68,70,72,74,76,78,80,85,90,95,100})</f>
        <v>66</v>
      </c>
      <c r="I510" s="27">
        <v>47</v>
      </c>
      <c r="J510" s="29">
        <f>LOOKUP(I510,{0,15,17,19,21,23,25,27,29,31,33,35,37,39,41,43,45,48,51,53,55},{0,10,20,30,40,50,60,62,64,66,68,70,72,74,76,78,80,85,90,95,100})</f>
        <v>80</v>
      </c>
      <c r="K510" s="35"/>
      <c r="L510" s="35"/>
      <c r="M510" s="35">
        <f t="shared" si="141"/>
        <v>80</v>
      </c>
      <c r="N510" s="35">
        <v>8.6</v>
      </c>
      <c r="O510" s="36">
        <f t="shared" si="142"/>
        <v>9.4</v>
      </c>
      <c r="P510" s="29">
        <f>LOOKUP(O510,{0,6.6,6.8,7,7.2,7.4,7.6,7.8,8,8.2,8.4,8.6,8.8,9,9.2,9.4,9.6,9.9,10.2,10.3,10.4},{0,10,20,30,40,50,60,62,64,66,68,70,72,74,76,78,80,85,90,95,100})</f>
        <v>78</v>
      </c>
      <c r="Q510" s="5">
        <v>4.55</v>
      </c>
      <c r="R510" s="36">
        <f t="shared" si="143"/>
        <v>5.45</v>
      </c>
      <c r="S510" s="29">
        <f>LOOKUP(R510,{0,4.74,4.84,4.94,5.44,5.54,5.64,5.69,5.74,5.79,5.84,5.89,5.94,5.99,6.44,6.49,6.54,6.61,6.68,6.74,6.8},{0,10,20,30,40,50,60,62,64,66,68,70,72,74,76,78,80,85,90,95,100})</f>
        <v>40</v>
      </c>
      <c r="T510" s="27"/>
      <c r="U510" s="27"/>
      <c r="V510" s="27">
        <f t="shared" si="144"/>
        <v>40</v>
      </c>
      <c r="W510" s="27"/>
      <c r="X510" s="19">
        <f t="shared" si="145"/>
        <v>44.6</v>
      </c>
      <c r="Y510" s="13">
        <f t="shared" si="146"/>
        <v>63.7142857142857</v>
      </c>
      <c r="Z510" s="19"/>
    </row>
    <row r="511" ht="15.6" spans="1:26">
      <c r="A511" s="27">
        <v>311</v>
      </c>
      <c r="B511" s="27">
        <v>54</v>
      </c>
      <c r="C511" s="28" t="s">
        <v>571</v>
      </c>
      <c r="D511" s="28" t="s">
        <v>46</v>
      </c>
      <c r="E511" s="27">
        <v>15.5</v>
      </c>
      <c r="F511" s="29">
        <f>LOOKUP(E511,{0,1.5,2.3,3.1,3.9,4.7,5.5,6.8,8.1,9.4,10.7,12,13.3,14.6,15.9,17.2,18.5,20.2,21.9,23.6,25.3},{0,10,20,30,40,50,60,62,64,66,68,70,72,74,76,78,80,85,90,95,100})</f>
        <v>74</v>
      </c>
      <c r="G511" s="27">
        <v>175</v>
      </c>
      <c r="H511" s="29">
        <f>LOOKUP(G511,{0,125,130,135,140,145,150,153,156,159,162,165,168,171,174,177,180,187,194,200,206},{0,10,20,30,40,50,60,62,64,66,68,70,72,74,76,78,80,85,90,95,100})</f>
        <v>76</v>
      </c>
      <c r="I511" s="27">
        <v>45</v>
      </c>
      <c r="J511" s="29">
        <f>LOOKUP(I511,{0,15,17,19,21,23,25,27,29,31,33,35,37,39,41,43,45,48,51,53,55},{0,10,20,30,40,50,60,62,64,66,68,70,72,74,76,78,80,85,90,95,100})</f>
        <v>80</v>
      </c>
      <c r="K511" s="35"/>
      <c r="L511" s="35"/>
      <c r="M511" s="35">
        <f t="shared" si="141"/>
        <v>80</v>
      </c>
      <c r="N511" s="35">
        <v>10.6</v>
      </c>
      <c r="O511" s="36">
        <f t="shared" si="142"/>
        <v>7.4</v>
      </c>
      <c r="P511" s="29">
        <f>LOOKUP(O511,{0,6.6,6.8,7,7.2,7.4,7.6,7.8,8,8.2,8.4,8.6,8.8,9,9.2,9.4,9.6,9.9,10.2,10.3,10.4},{0,10,20,30,40,50,60,62,64,66,68,70,72,74,76,78,80,85,90,95,100})</f>
        <v>50</v>
      </c>
      <c r="Q511" s="5">
        <v>4.26</v>
      </c>
      <c r="R511" s="36">
        <f t="shared" si="143"/>
        <v>5.74</v>
      </c>
      <c r="S511" s="29">
        <f>LOOKUP(R511,{0,4.74,4.84,4.94,5.44,5.54,5.64,5.69,5.74,5.79,5.84,5.89,5.94,5.99,6.44,6.49,6.54,6.61,6.68,6.74,6.8},{0,10,20,30,40,50,60,62,64,66,68,70,72,74,76,78,80,85,90,95,100})</f>
        <v>64</v>
      </c>
      <c r="T511" s="27"/>
      <c r="U511" s="27"/>
      <c r="V511" s="27">
        <f t="shared" si="144"/>
        <v>64</v>
      </c>
      <c r="W511" s="27"/>
      <c r="X511" s="19">
        <f t="shared" si="145"/>
        <v>45.8</v>
      </c>
      <c r="Y511" s="13">
        <f t="shared" si="146"/>
        <v>65.4285714285714</v>
      </c>
      <c r="Z511" s="19"/>
    </row>
    <row r="512" ht="15.6" spans="1:26">
      <c r="A512" s="27">
        <v>311</v>
      </c>
      <c r="B512" s="27">
        <v>55</v>
      </c>
      <c r="C512" s="28" t="s">
        <v>572</v>
      </c>
      <c r="D512" s="28" t="s">
        <v>46</v>
      </c>
      <c r="E512" s="27">
        <v>17</v>
      </c>
      <c r="F512" s="29">
        <f>LOOKUP(E512,{0,1.5,2.3,3.1,3.9,4.7,5.5,6.8,8.1,9.4,10.7,12,13.3,14.6,15.9,17.2,18.5,20.2,21.9,23.6,25.3},{0,10,20,30,40,50,60,62,64,66,68,70,72,74,76,78,80,85,90,95,100})</f>
        <v>76</v>
      </c>
      <c r="G512" s="27">
        <v>185</v>
      </c>
      <c r="H512" s="29">
        <f>LOOKUP(G512,{0,125,130,135,140,145,150,153,156,159,162,165,168,171,174,177,180,187,194,200,206},{0,10,20,30,40,50,60,62,64,66,68,70,72,74,76,78,80,85,90,95,100})</f>
        <v>80</v>
      </c>
      <c r="I512" s="27">
        <v>48</v>
      </c>
      <c r="J512" s="29">
        <f>LOOKUP(I512,{0,15,17,19,21,23,25,27,29,31,33,35,37,39,41,43,45,48,51,53,55},{0,10,20,30,40,50,60,62,64,66,68,70,72,74,76,78,80,85,90,95,100})</f>
        <v>85</v>
      </c>
      <c r="K512" s="35"/>
      <c r="L512" s="35"/>
      <c r="M512" s="35">
        <f t="shared" si="141"/>
        <v>85</v>
      </c>
      <c r="N512" s="35">
        <v>9.3</v>
      </c>
      <c r="O512" s="36">
        <f t="shared" si="142"/>
        <v>8.7</v>
      </c>
      <c r="P512" s="29">
        <f>LOOKUP(O512,{0,6.6,6.8,7,7.2,7.4,7.6,7.8,8,8.2,8.4,8.6,8.8,9,9.2,9.4,9.6,9.9,10.2,10.3,10.4},{0,10,20,30,40,50,60,62,64,66,68,70,72,74,76,78,80,85,90,95,100})</f>
        <v>70</v>
      </c>
      <c r="Q512" s="5">
        <v>4.26</v>
      </c>
      <c r="R512" s="36">
        <f t="shared" si="143"/>
        <v>5.74</v>
      </c>
      <c r="S512" s="29">
        <f>LOOKUP(R512,{0,4.74,4.84,4.94,5.44,5.54,5.64,5.69,5.74,5.79,5.84,5.89,5.94,5.99,6.44,6.49,6.54,6.61,6.68,6.74,6.8},{0,10,20,30,40,50,60,62,64,66,68,70,72,74,76,78,80,85,90,95,100})</f>
        <v>64</v>
      </c>
      <c r="T512" s="27"/>
      <c r="U512" s="27"/>
      <c r="V512" s="27">
        <f t="shared" si="144"/>
        <v>64</v>
      </c>
      <c r="W512" s="27"/>
      <c r="X512" s="19">
        <f t="shared" si="145"/>
        <v>50.9</v>
      </c>
      <c r="Y512" s="13">
        <f t="shared" si="146"/>
        <v>72.7142857142857</v>
      </c>
      <c r="Z512" s="19"/>
    </row>
    <row r="513" ht="15.6" spans="1:26">
      <c r="A513" s="27">
        <v>312</v>
      </c>
      <c r="B513" s="27">
        <v>1</v>
      </c>
      <c r="C513" s="30" t="s">
        <v>574</v>
      </c>
      <c r="D513" s="28" t="s">
        <v>12</v>
      </c>
      <c r="E513" s="27">
        <v>12.5</v>
      </c>
      <c r="F513" s="29">
        <f>LOOKUP(E513,{0,-1.8,-0.8,0.2,1.2,2.2,3.2,4.6,6,7.4,8.8,10.2,11.6,13,14.4,15.8,17.2,19.1,21,22.8,24.6},{0,10,20,30,40,50,60,62,64,66,68,70,72,74,76,78,80,85,90,95,100})</f>
        <v>72</v>
      </c>
      <c r="G513" s="27">
        <v>195</v>
      </c>
      <c r="H513" s="29">
        <f>LOOKUP(G513,{0,180,185,190,195,200,205,209,213,217,221,225,229,233,237,241,245,253,260,265,270},{0,10,20,30,40,50,60,62,64,66,68,70,72,74,76,78,80,85,90,95,100})</f>
        <v>40</v>
      </c>
      <c r="I513" s="27">
        <v>0</v>
      </c>
      <c r="J513" s="29">
        <f>LOOKUP(I513,{0,4,5,6,7,8,9,10,11,12,13,14,15,16,17,18},{0,10,20,30,40,50,60,64,68,72,76,80,85,90,95,100})</f>
        <v>0</v>
      </c>
      <c r="K513" s="44"/>
      <c r="L513" s="35"/>
      <c r="M513" s="35">
        <f t="shared" si="141"/>
        <v>0</v>
      </c>
      <c r="N513" s="35">
        <v>7.9</v>
      </c>
      <c r="O513" s="36">
        <f t="shared" si="142"/>
        <v>10.1</v>
      </c>
      <c r="P513" s="29">
        <f>LOOKUP(O513,{0,7.8,8,8.2,8.4,8.6,8.8,9,9.2,9.4,9.6,9.8,10,10.2,10.4,10.6,10.8,10.9,11,11.1,11.2},{0,10,20,30,40,50,60,62,64,66,68,70,72,74,76,78,80,85,90,95,100})</f>
        <v>72</v>
      </c>
      <c r="Q513" s="5">
        <v>5.5</v>
      </c>
      <c r="R513" s="36">
        <f t="shared" si="143"/>
        <v>4.5</v>
      </c>
      <c r="S513" s="29">
        <f>LOOKUP(R513,{0,3.85,4.45,4.65,4.85,5.45,5.65,5.7,5.75,5.8,5.85,5.9,5.95,6,6.45,6.5,6.55,6.63,6.7,6.75,6.8},{0,10,20,30,40,50,60,62,64,66,68,70,72,74,76,78,80,85,90,95,100})</f>
        <v>20</v>
      </c>
      <c r="T513" s="27"/>
      <c r="U513" s="27"/>
      <c r="V513" s="27">
        <f t="shared" si="144"/>
        <v>20</v>
      </c>
      <c r="W513" s="27"/>
      <c r="X513" s="19">
        <f t="shared" si="145"/>
        <v>29.6</v>
      </c>
      <c r="Y513" s="13">
        <f t="shared" si="146"/>
        <v>42.2857142857143</v>
      </c>
      <c r="Z513" s="19"/>
    </row>
    <row r="514" ht="15.6" spans="1:26">
      <c r="A514" s="27">
        <v>312</v>
      </c>
      <c r="B514" s="27">
        <v>2</v>
      </c>
      <c r="C514" s="28" t="s">
        <v>575</v>
      </c>
      <c r="D514" s="28" t="s">
        <v>12</v>
      </c>
      <c r="E514" s="27"/>
      <c r="F514" s="29"/>
      <c r="G514" s="27"/>
      <c r="H514" s="29"/>
      <c r="I514" s="27"/>
      <c r="J514" s="35"/>
      <c r="K514" s="44"/>
      <c r="L514" s="35"/>
      <c r="M514" s="35"/>
      <c r="N514" s="35"/>
      <c r="O514" s="5"/>
      <c r="P514" s="5"/>
      <c r="Q514" s="5"/>
      <c r="R514" s="27"/>
      <c r="S514" s="27"/>
      <c r="T514" s="27"/>
      <c r="U514" s="27"/>
      <c r="V514" s="27"/>
      <c r="W514" s="27">
        <v>50</v>
      </c>
      <c r="X514" s="19"/>
      <c r="Y514" s="19">
        <v>50</v>
      </c>
      <c r="Z514" s="19"/>
    </row>
    <row r="515" ht="15.6" spans="1:26">
      <c r="A515" s="27">
        <v>312</v>
      </c>
      <c r="B515" s="27">
        <v>3</v>
      </c>
      <c r="C515" s="28" t="s">
        <v>576</v>
      </c>
      <c r="D515" s="28" t="s">
        <v>12</v>
      </c>
      <c r="E515" s="27"/>
      <c r="F515" s="29"/>
      <c r="G515" s="27"/>
      <c r="H515" s="29"/>
      <c r="I515" s="27"/>
      <c r="J515" s="35"/>
      <c r="K515" s="44"/>
      <c r="L515" s="35"/>
      <c r="M515" s="35"/>
      <c r="N515" s="35"/>
      <c r="O515" s="5"/>
      <c r="P515" s="5"/>
      <c r="Q515" s="5"/>
      <c r="R515" s="27"/>
      <c r="S515" s="27"/>
      <c r="T515" s="27"/>
      <c r="U515" s="27"/>
      <c r="V515" s="27"/>
      <c r="W515" s="27">
        <v>50</v>
      </c>
      <c r="X515" s="19"/>
      <c r="Y515" s="19">
        <v>50</v>
      </c>
      <c r="Z515" s="19"/>
    </row>
    <row r="516" ht="15.6" spans="1:26">
      <c r="A516" s="27">
        <v>312</v>
      </c>
      <c r="B516" s="27">
        <v>4</v>
      </c>
      <c r="C516" s="28" t="s">
        <v>577</v>
      </c>
      <c r="D516" s="28" t="s">
        <v>12</v>
      </c>
      <c r="E516" s="27">
        <v>10.8</v>
      </c>
      <c r="F516" s="29">
        <f>LOOKUP(E516,{0,-1.8,-0.8,0.2,1.2,2.2,3.2,4.6,6,7.4,8.8,10.2,11.6,13,14.4,15.8,17.2,19.1,21,22.8,24.6},{0,10,20,30,40,50,60,62,64,66,68,70,72,74,76,78,80,85,90,95,100})</f>
        <v>70</v>
      </c>
      <c r="G516" s="27">
        <v>225</v>
      </c>
      <c r="H516" s="29">
        <f>LOOKUP(G516,{0,180,185,190,195,200,205,209,213,217,221,225,229,233,237,241,245,253,260,265,270},{0,10,20,30,40,50,60,62,64,66,68,70,72,74,76,78,80,85,90,95,100})</f>
        <v>70</v>
      </c>
      <c r="I516" s="27">
        <v>19</v>
      </c>
      <c r="J516" s="29">
        <f>LOOKUP(I516,{0,4,5,6,7,8,9,10,11,12,13,14,15,16,17,18},{0,10,20,30,40,50,60,64,68,72,76,80,85,90,95,100})</f>
        <v>100</v>
      </c>
      <c r="K516" s="44">
        <f>I516-18</f>
        <v>1</v>
      </c>
      <c r="L516" s="29">
        <f>LOOKUP(K516,{0,1,2,3,4,5,6,7,8,9,10},{0,1,2,3,4,5,6,7,8,9,10})</f>
        <v>1</v>
      </c>
      <c r="M516" s="35">
        <f t="shared" ref="M516:M540" si="147">J516+L516</f>
        <v>101</v>
      </c>
      <c r="N516" s="35">
        <v>8.1</v>
      </c>
      <c r="O516" s="36">
        <f t="shared" ref="O516:O540" si="148">18-N516</f>
        <v>9.9</v>
      </c>
      <c r="P516" s="29">
        <f>LOOKUP(O516,{0,7.8,8,8.2,8.4,8.6,8.8,9,9.2,9.4,9.6,9.8,10,10.2,10.4,10.6,10.8,10.9,11,11.1,11.2},{0,10,20,30,40,50,60,62,64,66,68,70,72,74,76,78,80,85,90,95,100})</f>
        <v>70</v>
      </c>
      <c r="Q516" s="5">
        <v>5.05</v>
      </c>
      <c r="R516" s="36">
        <f t="shared" ref="R516:R540" si="149">10-Q516</f>
        <v>4.95</v>
      </c>
      <c r="S516" s="29">
        <f>LOOKUP(R516,{0,3.85,4.45,4.65,4.85,5.45,5.65,5.7,5.75,5.8,5.85,5.9,5.95,6,6.45,6.5,6.55,6.63,6.7,6.75,6.8},{0,10,20,30,40,50,60,62,64,66,68,70,72,74,76,78,80,85,90,95,100})</f>
        <v>40</v>
      </c>
      <c r="T516" s="27"/>
      <c r="U516" s="27"/>
      <c r="V516" s="27">
        <f t="shared" ref="V516:V540" si="150">S516+U516</f>
        <v>40</v>
      </c>
      <c r="W516" s="27"/>
      <c r="X516" s="19">
        <f t="shared" ref="X516:X540" si="151">F516*0.1+H516*0.1+J516*0.1+P516*0.2+S516*0.2</f>
        <v>46</v>
      </c>
      <c r="Y516" s="13">
        <f t="shared" ref="Y516:Y540" si="152">X516/0.7+L516+U516</f>
        <v>66.7142857142857</v>
      </c>
      <c r="Z516" s="19"/>
    </row>
    <row r="517" ht="15.6" spans="1:26">
      <c r="A517" s="27">
        <v>312</v>
      </c>
      <c r="B517" s="27">
        <v>5</v>
      </c>
      <c r="C517" s="28" t="s">
        <v>578</v>
      </c>
      <c r="D517" s="28" t="s">
        <v>12</v>
      </c>
      <c r="E517" s="27">
        <v>9</v>
      </c>
      <c r="F517" s="29">
        <f>LOOKUP(E517,{0,-1.8,-0.8,0.2,1.2,2.2,3.2,4.6,6,7.4,8.8,10.2,11.6,13,14.4,15.8,17.2,19.1,21,22.8,24.6},{0,10,20,30,40,50,60,62,64,66,68,70,72,74,76,78,80,85,90,95,100})</f>
        <v>68</v>
      </c>
      <c r="G517" s="27">
        <v>260</v>
      </c>
      <c r="H517" s="29">
        <f>LOOKUP(G517,{0,180,185,190,195,200,205,209,213,217,221,225,229,233,237,241,245,253,260,265,270},{0,10,20,30,40,50,60,62,64,66,68,70,72,74,76,78,80,85,90,95,100})</f>
        <v>90</v>
      </c>
      <c r="I517" s="27">
        <v>19</v>
      </c>
      <c r="J517" s="29">
        <f>LOOKUP(I517,{0,4,5,6,7,8,9,10,11,12,13,14,15,16,17,18},{0,10,20,30,40,50,60,64,68,72,76,80,85,90,95,100})</f>
        <v>100</v>
      </c>
      <c r="K517" s="44">
        <f>I517-18</f>
        <v>1</v>
      </c>
      <c r="L517" s="29">
        <f>LOOKUP(K517,{0,1,2,3,4,5,6,7,8,9,10},{0,1,2,3,4,5,6,7,8,9,10})</f>
        <v>1</v>
      </c>
      <c r="M517" s="35">
        <f t="shared" si="147"/>
        <v>101</v>
      </c>
      <c r="N517" s="35">
        <v>7.4</v>
      </c>
      <c r="O517" s="36">
        <f t="shared" si="148"/>
        <v>10.6</v>
      </c>
      <c r="P517" s="29">
        <f>LOOKUP(O517,{0,7.8,8,8.2,8.4,8.6,8.8,9,9.2,9.4,9.6,9.8,10,10.2,10.4,10.6,10.8,10.9,11,11.1,11.2},{0,10,20,30,40,50,60,62,64,66,68,70,72,74,76,78,80,85,90,95,100})</f>
        <v>78</v>
      </c>
      <c r="Q517" s="5">
        <v>4.09</v>
      </c>
      <c r="R517" s="36">
        <f t="shared" si="149"/>
        <v>5.91</v>
      </c>
      <c r="S517" s="29">
        <f>LOOKUP(R517,{0,3.85,4.45,4.65,4.85,5.45,5.65,5.7,5.75,5.8,5.85,5.9,5.95,6,6.45,6.5,6.55,6.63,6.7,6.75,6.8},{0,10,20,30,40,50,60,62,64,66,68,70,72,74,76,78,80,85,90,95,100})</f>
        <v>70</v>
      </c>
      <c r="T517" s="27"/>
      <c r="U517" s="27"/>
      <c r="V517" s="27">
        <f t="shared" si="150"/>
        <v>70</v>
      </c>
      <c r="W517" s="27"/>
      <c r="X517" s="19">
        <f t="shared" si="151"/>
        <v>55.4</v>
      </c>
      <c r="Y517" s="13">
        <f t="shared" si="152"/>
        <v>80.1428571428572</v>
      </c>
      <c r="Z517" s="20"/>
    </row>
    <row r="518" ht="15.6" spans="1:26">
      <c r="A518" s="27">
        <v>312</v>
      </c>
      <c r="B518" s="27">
        <v>6</v>
      </c>
      <c r="C518" s="28" t="s">
        <v>579</v>
      </c>
      <c r="D518" s="28" t="s">
        <v>12</v>
      </c>
      <c r="E518" s="27">
        <v>9</v>
      </c>
      <c r="F518" s="29">
        <f>LOOKUP(E518,{0,-1.8,-0.8,0.2,1.2,2.2,3.2,4.6,6,7.4,8.8,10.2,11.6,13,14.4,15.8,17.2,19.1,21,22.8,24.6},{0,10,20,30,40,50,60,62,64,66,68,70,72,74,76,78,80,85,90,95,100})</f>
        <v>68</v>
      </c>
      <c r="G518" s="27">
        <v>220</v>
      </c>
      <c r="H518" s="29">
        <f>LOOKUP(G518,{0,180,185,190,195,200,205,209,213,217,221,225,229,233,237,241,245,253,260,265,270},{0,10,20,30,40,50,60,62,64,66,68,70,72,74,76,78,80,85,90,95,100})</f>
        <v>66</v>
      </c>
      <c r="I518" s="27">
        <v>4</v>
      </c>
      <c r="J518" s="29">
        <f>LOOKUP(I518,{0,4,5,6,7,8,9,10,11,12,13,14,15,16,17,18},{0,10,20,30,40,50,60,64,68,72,76,80,85,90,95,100})</f>
        <v>10</v>
      </c>
      <c r="K518" s="44"/>
      <c r="L518" s="35"/>
      <c r="M518" s="35">
        <f t="shared" si="147"/>
        <v>10</v>
      </c>
      <c r="N518" s="35">
        <v>7.2</v>
      </c>
      <c r="O518" s="36">
        <f t="shared" si="148"/>
        <v>10.8</v>
      </c>
      <c r="P518" s="29">
        <f>LOOKUP(O518,{0,7.8,8,8.2,8.4,8.6,8.8,9,9.2,9.4,9.6,9.8,10,10.2,10.4,10.6,10.8,10.9,11,11.1,11.2},{0,10,20,30,40,50,60,62,64,66,68,70,72,74,76,78,80,85,90,95,100})</f>
        <v>80</v>
      </c>
      <c r="Q518" s="5">
        <v>5.07</v>
      </c>
      <c r="R518" s="36">
        <f t="shared" si="149"/>
        <v>4.93</v>
      </c>
      <c r="S518" s="29">
        <f>LOOKUP(R518,{0,3.85,4.45,4.65,4.85,5.45,5.65,5.7,5.75,5.8,5.85,5.9,5.95,6,6.45,6.5,6.55,6.63,6.7,6.75,6.8},{0,10,20,30,40,50,60,62,64,66,68,70,72,74,76,78,80,85,90,95,100})</f>
        <v>40</v>
      </c>
      <c r="T518" s="27"/>
      <c r="U518" s="27"/>
      <c r="V518" s="27">
        <f t="shared" si="150"/>
        <v>40</v>
      </c>
      <c r="W518" s="27"/>
      <c r="X518" s="19">
        <f t="shared" si="151"/>
        <v>38.4</v>
      </c>
      <c r="Y518" s="13">
        <f t="shared" si="152"/>
        <v>54.8571428571429</v>
      </c>
      <c r="Z518" s="19"/>
    </row>
    <row r="519" ht="15.6" spans="1:26">
      <c r="A519" s="27">
        <v>312</v>
      </c>
      <c r="B519" s="27">
        <v>7</v>
      </c>
      <c r="C519" s="28" t="s">
        <v>580</v>
      </c>
      <c r="D519" s="28" t="s">
        <v>12</v>
      </c>
      <c r="E519" s="27">
        <v>9</v>
      </c>
      <c r="F519" s="29">
        <f>LOOKUP(E519,{0,-1.8,-0.8,0.2,1.2,2.2,3.2,4.6,6,7.4,8.8,10.2,11.6,13,14.4,15.8,17.2,19.1,21,22.8,24.6},{0,10,20,30,40,50,60,62,64,66,68,70,72,74,76,78,80,85,90,95,100})</f>
        <v>68</v>
      </c>
      <c r="G519" s="27">
        <v>200</v>
      </c>
      <c r="H519" s="29">
        <f>LOOKUP(G519,{0,180,185,190,195,200,205,209,213,217,221,225,229,233,237,241,245,253,260,265,270},{0,10,20,30,40,50,60,62,64,66,68,70,72,74,76,78,80,85,90,95,100})</f>
        <v>50</v>
      </c>
      <c r="I519" s="27">
        <v>0</v>
      </c>
      <c r="J519" s="29">
        <f>LOOKUP(I519,{0,4,5,6,7,8,9,10,11,12,13,14,15,16,17,18},{0,10,20,30,40,50,60,64,68,72,76,80,85,90,95,100})</f>
        <v>0</v>
      </c>
      <c r="K519" s="44"/>
      <c r="L519" s="35"/>
      <c r="M519" s="35">
        <f t="shared" si="147"/>
        <v>0</v>
      </c>
      <c r="N519" s="35">
        <v>6.8</v>
      </c>
      <c r="O519" s="36">
        <f t="shared" si="148"/>
        <v>11.2</v>
      </c>
      <c r="P519" s="29">
        <f>LOOKUP(O519,{0,7.8,8,8.2,8.4,8.6,8.8,9,9.2,9.4,9.6,9.8,10,10.2,10.4,10.6,10.8,10.9,11,11.1,11.2},{0,10,20,30,40,50,60,62,64,66,68,70,72,74,76,78,80,85,90,95,100})</f>
        <v>100</v>
      </c>
      <c r="Q519" s="5">
        <v>5.5</v>
      </c>
      <c r="R519" s="36">
        <f t="shared" si="149"/>
        <v>4.5</v>
      </c>
      <c r="S519" s="29">
        <f>LOOKUP(R519,{0,3.85,4.45,4.65,4.85,5.45,5.65,5.7,5.75,5.8,5.85,5.9,5.95,6,6.45,6.5,6.55,6.63,6.7,6.75,6.8},{0,10,20,30,40,50,60,62,64,66,68,70,72,74,76,78,80,85,90,95,100})</f>
        <v>20</v>
      </c>
      <c r="T519" s="27"/>
      <c r="U519" s="27"/>
      <c r="V519" s="27">
        <f t="shared" si="150"/>
        <v>20</v>
      </c>
      <c r="W519" s="27"/>
      <c r="X519" s="19">
        <f t="shared" si="151"/>
        <v>35.8</v>
      </c>
      <c r="Y519" s="13">
        <f t="shared" si="152"/>
        <v>51.1428571428571</v>
      </c>
      <c r="Z519" s="19"/>
    </row>
    <row r="520" ht="15.6" spans="1:26">
      <c r="A520" s="27">
        <v>312</v>
      </c>
      <c r="B520" s="27">
        <v>8</v>
      </c>
      <c r="C520" s="28" t="s">
        <v>581</v>
      </c>
      <c r="D520" s="28" t="s">
        <v>12</v>
      </c>
      <c r="E520" s="27">
        <v>15.3</v>
      </c>
      <c r="F520" s="29">
        <f>LOOKUP(E520,{0,-1.8,-0.8,0.2,1.2,2.2,3.2,4.6,6,7.4,8.8,10.2,11.6,13,14.4,15.8,17.2,19.1,21,22.8,24.6},{0,10,20,30,40,50,60,62,64,66,68,70,72,74,76,78,80,85,90,95,100})</f>
        <v>76</v>
      </c>
      <c r="G520" s="27">
        <v>255</v>
      </c>
      <c r="H520" s="29">
        <f>LOOKUP(G520,{0,180,185,190,195,200,205,209,213,217,221,225,229,233,237,241,245,253,260,265,270},{0,10,20,30,40,50,60,62,64,66,68,70,72,74,76,78,80,85,90,95,100})</f>
        <v>85</v>
      </c>
      <c r="I520" s="27">
        <v>14</v>
      </c>
      <c r="J520" s="29">
        <f>LOOKUP(I520,{0,4,5,6,7,8,9,10,11,12,13,14,15,16,17,18},{0,10,20,30,40,50,60,64,68,72,76,80,85,90,95,100})</f>
        <v>80</v>
      </c>
      <c r="K520" s="44"/>
      <c r="L520" s="35"/>
      <c r="M520" s="35">
        <f t="shared" si="147"/>
        <v>80</v>
      </c>
      <c r="N520" s="35">
        <v>7.8</v>
      </c>
      <c r="O520" s="36">
        <f t="shared" si="148"/>
        <v>10.2</v>
      </c>
      <c r="P520" s="29">
        <f>LOOKUP(O520,{0,7.8,8,8.2,8.4,8.6,8.8,9,9.2,9.4,9.6,9.8,10,10.2,10.4,10.6,10.8,10.9,11,11.1,11.2},{0,10,20,30,40,50,60,62,64,66,68,70,72,74,76,78,80,85,90,95,100})</f>
        <v>74</v>
      </c>
      <c r="Q520" s="5">
        <v>3.24</v>
      </c>
      <c r="R520" s="36">
        <f t="shared" si="149"/>
        <v>6.76</v>
      </c>
      <c r="S520" s="29">
        <f>LOOKUP(R520,{0,3.85,4.45,4.65,4.85,5.45,5.65,5.7,5.75,5.8,5.85,5.9,5.95,6,6.45,6.5,6.55,6.63,6.7,6.75,6.8},{0,10,20,30,40,50,60,62,64,66,68,70,72,74,76,78,80,85,90,95,100})</f>
        <v>95</v>
      </c>
      <c r="T520" s="27"/>
      <c r="U520" s="27"/>
      <c r="V520" s="27">
        <f t="shared" si="150"/>
        <v>95</v>
      </c>
      <c r="W520" s="27"/>
      <c r="X520" s="19">
        <f t="shared" si="151"/>
        <v>57.9</v>
      </c>
      <c r="Y520" s="13">
        <f t="shared" si="152"/>
        <v>82.7142857142857</v>
      </c>
      <c r="Z520" s="19"/>
    </row>
    <row r="521" ht="15.6" spans="1:26">
      <c r="A521" s="27">
        <v>312</v>
      </c>
      <c r="B521" s="27">
        <v>9</v>
      </c>
      <c r="C521" s="28" t="s">
        <v>582</v>
      </c>
      <c r="D521" s="28" t="s">
        <v>12</v>
      </c>
      <c r="E521" s="27">
        <v>8</v>
      </c>
      <c r="F521" s="29">
        <f>LOOKUP(E521,{0,-1.8,-0.8,0.2,1.2,2.2,3.2,4.6,6,7.4,8.8,10.2,11.6,13,14.4,15.8,17.2,19.1,21,22.8,24.6},{0,10,20,30,40,50,60,62,64,66,68,70,72,74,76,78,80,85,90,95,100})</f>
        <v>66</v>
      </c>
      <c r="G521" s="27">
        <v>230</v>
      </c>
      <c r="H521" s="29">
        <f>LOOKUP(G521,{0,180,185,190,195,200,205,209,213,217,221,225,229,233,237,241,245,253,260,265,270},{0,10,20,30,40,50,60,62,64,66,68,70,72,74,76,78,80,85,90,95,100})</f>
        <v>72</v>
      </c>
      <c r="I521" s="27">
        <v>16</v>
      </c>
      <c r="J521" s="29">
        <f>LOOKUP(I521,{0,4,5,6,7,8,9,10,11,12,13,14,15,16,17,18},{0,10,20,30,40,50,60,64,68,72,76,80,85,90,95,100})</f>
        <v>90</v>
      </c>
      <c r="K521" s="44"/>
      <c r="L521" s="35"/>
      <c r="M521" s="35">
        <f t="shared" si="147"/>
        <v>90</v>
      </c>
      <c r="N521" s="35">
        <v>7.8</v>
      </c>
      <c r="O521" s="36">
        <f t="shared" si="148"/>
        <v>10.2</v>
      </c>
      <c r="P521" s="29">
        <f>LOOKUP(O521,{0,7.8,8,8.2,8.4,8.6,8.8,9,9.2,9.4,9.6,9.8,10,10.2,10.4,10.6,10.8,10.9,11,11.1,11.2},{0,10,20,30,40,50,60,62,64,66,68,70,72,74,76,78,80,85,90,95,100})</f>
        <v>74</v>
      </c>
      <c r="Q521" s="5">
        <v>5.17</v>
      </c>
      <c r="R521" s="36">
        <f t="shared" si="149"/>
        <v>4.83</v>
      </c>
      <c r="S521" s="29">
        <f>LOOKUP(R521,{0,3.85,4.45,4.65,4.85,5.45,5.65,5.7,5.75,5.8,5.85,5.9,5.95,6,6.45,6.5,6.55,6.63,6.7,6.75,6.8},{0,10,20,30,40,50,60,62,64,66,68,70,72,74,76,78,80,85,90,95,100})</f>
        <v>30</v>
      </c>
      <c r="T521" s="27"/>
      <c r="U521" s="27"/>
      <c r="V521" s="27">
        <f t="shared" si="150"/>
        <v>30</v>
      </c>
      <c r="W521" s="27"/>
      <c r="X521" s="19">
        <f t="shared" si="151"/>
        <v>43.6</v>
      </c>
      <c r="Y521" s="13">
        <f t="shared" si="152"/>
        <v>62.2857142857143</v>
      </c>
      <c r="Z521" s="19"/>
    </row>
    <row r="522" ht="15.6" spans="1:26">
      <c r="A522" s="27">
        <v>312</v>
      </c>
      <c r="B522" s="27">
        <v>10</v>
      </c>
      <c r="C522" s="28" t="s">
        <v>583</v>
      </c>
      <c r="D522" s="28" t="s">
        <v>12</v>
      </c>
      <c r="E522" s="27">
        <v>18.5</v>
      </c>
      <c r="F522" s="29">
        <f>LOOKUP(E522,{0,-1.8,-0.8,0.2,1.2,2.2,3.2,4.6,6,7.4,8.8,10.2,11.6,13,14.4,15.8,17.2,19.1,21,22.8,24.6},{0,10,20,30,40,50,60,62,64,66,68,70,72,74,76,78,80,85,90,95,100})</f>
        <v>80</v>
      </c>
      <c r="G522" s="27">
        <v>250</v>
      </c>
      <c r="H522" s="29">
        <f>LOOKUP(G522,{0,180,185,190,195,200,205,209,213,217,221,225,229,233,237,241,245,253,260,265,270},{0,10,20,30,40,50,60,62,64,66,68,70,72,74,76,78,80,85,90,95,100})</f>
        <v>80</v>
      </c>
      <c r="I522" s="27">
        <v>5</v>
      </c>
      <c r="J522" s="29">
        <f>LOOKUP(I522,{0,4,5,6,7,8,9,10,11,12,13,14,15,16,17,18},{0,10,20,30,40,50,60,64,68,72,76,80,85,90,95,100})</f>
        <v>20</v>
      </c>
      <c r="K522" s="44"/>
      <c r="L522" s="35"/>
      <c r="M522" s="35">
        <f t="shared" si="147"/>
        <v>20</v>
      </c>
      <c r="N522" s="35">
        <v>7</v>
      </c>
      <c r="O522" s="36">
        <f t="shared" si="148"/>
        <v>11</v>
      </c>
      <c r="P522" s="29">
        <f>LOOKUP(O522,{0,7.8,8,8.2,8.4,8.6,8.8,9,9.2,9.4,9.6,9.8,10,10.2,10.4,10.6,10.8,10.9,11,11.1,11.2},{0,10,20,30,40,50,60,62,64,66,68,70,72,74,76,78,80,85,90,95,100})</f>
        <v>90</v>
      </c>
      <c r="Q522" s="5">
        <v>5.5</v>
      </c>
      <c r="R522" s="36">
        <f t="shared" si="149"/>
        <v>4.5</v>
      </c>
      <c r="S522" s="29">
        <f>LOOKUP(R522,{0,3.85,4.45,4.65,4.85,5.45,5.65,5.7,5.75,5.8,5.85,5.9,5.95,6,6.45,6.5,6.55,6.63,6.7,6.75,6.8},{0,10,20,30,40,50,60,62,64,66,68,70,72,74,76,78,80,85,90,95,100})</f>
        <v>20</v>
      </c>
      <c r="T522" s="27"/>
      <c r="U522" s="27"/>
      <c r="V522" s="27">
        <f t="shared" si="150"/>
        <v>20</v>
      </c>
      <c r="W522" s="27"/>
      <c r="X522" s="19">
        <f t="shared" si="151"/>
        <v>40</v>
      </c>
      <c r="Y522" s="13">
        <f t="shared" si="152"/>
        <v>57.1428571428571</v>
      </c>
      <c r="Z522" s="19"/>
    </row>
    <row r="523" ht="15.6" spans="1:26">
      <c r="A523" s="27">
        <v>312</v>
      </c>
      <c r="B523" s="27">
        <v>11</v>
      </c>
      <c r="C523" s="28" t="s">
        <v>584</v>
      </c>
      <c r="D523" s="28" t="s">
        <v>12</v>
      </c>
      <c r="E523" s="27">
        <v>8.7</v>
      </c>
      <c r="F523" s="29">
        <f>LOOKUP(E523,{0,-1.8,-0.8,0.2,1.2,2.2,3.2,4.6,6,7.4,8.8,10.2,11.6,13,14.4,15.8,17.2,19.1,21,22.8,24.6},{0,10,20,30,40,50,60,62,64,66,68,70,72,74,76,78,80,85,90,95,100})</f>
        <v>66</v>
      </c>
      <c r="G523" s="27">
        <v>205</v>
      </c>
      <c r="H523" s="29">
        <f>LOOKUP(G523,{0,180,185,190,195,200,205,209,213,217,221,225,229,233,237,241,245,253,260,265,270},{0,10,20,30,40,50,60,62,64,66,68,70,72,74,76,78,80,85,90,95,100})</f>
        <v>60</v>
      </c>
      <c r="I523" s="27">
        <v>5</v>
      </c>
      <c r="J523" s="29">
        <f>LOOKUP(I523,{0,4,5,6,7,8,9,10,11,12,13,14,15,16,17,18},{0,10,20,30,40,50,60,64,68,72,76,80,85,90,95,100})</f>
        <v>20</v>
      </c>
      <c r="K523" s="44"/>
      <c r="L523" s="35"/>
      <c r="M523" s="35">
        <f t="shared" si="147"/>
        <v>20</v>
      </c>
      <c r="N523" s="35">
        <v>7.5</v>
      </c>
      <c r="O523" s="36">
        <f t="shared" si="148"/>
        <v>10.5</v>
      </c>
      <c r="P523" s="29">
        <f>LOOKUP(O523,{0,7.8,8,8.2,8.4,8.6,8.8,9,9.2,9.4,9.6,9.8,10,10.2,10.4,10.6,10.8,10.9,11,11.1,11.2},{0,10,20,30,40,50,60,62,64,66,68,70,72,74,76,78,80,85,90,95,100})</f>
        <v>76</v>
      </c>
      <c r="Q523" s="5">
        <v>5.42</v>
      </c>
      <c r="R523" s="36">
        <f t="shared" si="149"/>
        <v>4.58</v>
      </c>
      <c r="S523" s="29">
        <f>LOOKUP(R523,{0,3.85,4.45,4.65,4.85,5.45,5.65,5.7,5.75,5.8,5.85,5.9,5.95,6,6.45,6.5,6.55,6.63,6.7,6.75,6.8},{0,10,20,30,40,50,60,62,64,66,68,70,72,74,76,78,80,85,90,95,100})</f>
        <v>20</v>
      </c>
      <c r="T523" s="27"/>
      <c r="U523" s="27"/>
      <c r="V523" s="27">
        <f t="shared" si="150"/>
        <v>20</v>
      </c>
      <c r="W523" s="27"/>
      <c r="X523" s="19">
        <f t="shared" si="151"/>
        <v>33.8</v>
      </c>
      <c r="Y523" s="13">
        <f t="shared" si="152"/>
        <v>48.2857142857143</v>
      </c>
      <c r="Z523" s="19"/>
    </row>
    <row r="524" ht="15.6" spans="1:26">
      <c r="A524" s="27">
        <v>312</v>
      </c>
      <c r="B524" s="27">
        <v>12</v>
      </c>
      <c r="C524" s="30" t="s">
        <v>586</v>
      </c>
      <c r="D524" s="28" t="s">
        <v>12</v>
      </c>
      <c r="E524" s="27">
        <v>9</v>
      </c>
      <c r="F524" s="29">
        <f>LOOKUP(E524,{0,-1.8,-0.8,0.2,1.2,2.2,3.2,4.6,6,7.4,8.8,10.2,11.6,13,14.4,15.8,17.2,19.1,21,22.8,24.6},{0,10,20,30,40,50,60,62,64,66,68,70,72,74,76,78,80,85,90,95,100})</f>
        <v>68</v>
      </c>
      <c r="G524" s="27">
        <v>228</v>
      </c>
      <c r="H524" s="29">
        <f>LOOKUP(G524,{0,180,185,190,195,200,205,209,213,217,221,225,229,233,237,241,245,253,260,265,270},{0,10,20,30,40,50,60,62,64,66,68,70,72,74,76,78,80,85,90,95,100})</f>
        <v>70</v>
      </c>
      <c r="I524" s="27">
        <v>11</v>
      </c>
      <c r="J524" s="29">
        <f>LOOKUP(I524,{0,4,5,6,7,8,9,10,11,12,13,14,15,16,17,18},{0,10,20,30,40,50,60,64,68,72,76,80,85,90,95,100})</f>
        <v>68</v>
      </c>
      <c r="K524" s="44"/>
      <c r="L524" s="35"/>
      <c r="M524" s="35">
        <f t="shared" si="147"/>
        <v>68</v>
      </c>
      <c r="N524" s="35">
        <v>7.7</v>
      </c>
      <c r="O524" s="36">
        <f t="shared" si="148"/>
        <v>10.3</v>
      </c>
      <c r="P524" s="29">
        <f>LOOKUP(O524,{0,7.8,8,8.2,8.4,8.6,8.8,9,9.2,9.4,9.6,9.8,10,10.2,10.4,10.6,10.8,10.9,11,11.1,11.2},{0,10,20,30,40,50,60,62,64,66,68,70,72,74,76,78,80,85,90,95,100})</f>
        <v>74</v>
      </c>
      <c r="Q524" s="5">
        <v>5.18</v>
      </c>
      <c r="R524" s="36">
        <f t="shared" si="149"/>
        <v>4.82</v>
      </c>
      <c r="S524" s="29">
        <f>LOOKUP(R524,{0,3.85,4.45,4.65,4.85,5.45,5.65,5.7,5.75,5.8,5.85,5.9,5.95,6,6.45,6.5,6.55,6.63,6.7,6.75,6.8},{0,10,20,30,40,50,60,62,64,66,68,70,72,74,76,78,80,85,90,95,100})</f>
        <v>30</v>
      </c>
      <c r="T524" s="27"/>
      <c r="U524" s="27"/>
      <c r="V524" s="27">
        <f t="shared" si="150"/>
        <v>30</v>
      </c>
      <c r="W524" s="27"/>
      <c r="X524" s="19">
        <f t="shared" si="151"/>
        <v>41.4</v>
      </c>
      <c r="Y524" s="13">
        <f t="shared" si="152"/>
        <v>59.1428571428572</v>
      </c>
      <c r="Z524" s="19"/>
    </row>
    <row r="525" ht="15.6" spans="1:26">
      <c r="A525" s="27">
        <v>312</v>
      </c>
      <c r="B525" s="27">
        <v>13</v>
      </c>
      <c r="C525" s="28" t="s">
        <v>587</v>
      </c>
      <c r="D525" s="28" t="s">
        <v>12</v>
      </c>
      <c r="E525" s="27">
        <v>8</v>
      </c>
      <c r="F525" s="29">
        <f>LOOKUP(E525,{0,-1.8,-0.8,0.2,1.2,2.2,3.2,4.6,6,7.4,8.8,10.2,11.6,13,14.4,15.8,17.2,19.1,21,22.8,24.6},{0,10,20,30,40,50,60,62,64,66,68,70,72,74,76,78,80,85,90,95,100})</f>
        <v>66</v>
      </c>
      <c r="G525" s="27">
        <v>265</v>
      </c>
      <c r="H525" s="29">
        <f>LOOKUP(G525,{0,180,185,190,195,200,205,209,213,217,221,225,229,233,237,241,245,253,260,265,270},{0,10,20,30,40,50,60,62,64,66,68,70,72,74,76,78,80,85,90,95,100})</f>
        <v>95</v>
      </c>
      <c r="I525" s="27">
        <v>8</v>
      </c>
      <c r="J525" s="29">
        <f>LOOKUP(I525,{0,4,5,6,7,8,9,10,11,12,13,14,15,16,17,18},{0,10,20,30,40,50,60,64,68,72,76,80,85,90,95,100})</f>
        <v>50</v>
      </c>
      <c r="K525" s="44"/>
      <c r="L525" s="35"/>
      <c r="M525" s="35">
        <f t="shared" si="147"/>
        <v>50</v>
      </c>
      <c r="N525" s="35">
        <v>7.3</v>
      </c>
      <c r="O525" s="36">
        <f t="shared" si="148"/>
        <v>10.7</v>
      </c>
      <c r="P525" s="29">
        <f>LOOKUP(O525,{0,7.8,8,8.2,8.4,8.6,8.8,9,9.2,9.4,9.6,9.8,10,10.2,10.4,10.6,10.8,10.9,11,11.1,11.2},{0,10,20,30,40,50,60,62,64,66,68,70,72,74,76,78,80,85,90,95,100})</f>
        <v>78</v>
      </c>
      <c r="Q525" s="5">
        <v>5.17</v>
      </c>
      <c r="R525" s="36">
        <f t="shared" si="149"/>
        <v>4.83</v>
      </c>
      <c r="S525" s="29">
        <f>LOOKUP(R525,{0,3.85,4.45,4.65,4.85,5.45,5.65,5.7,5.75,5.8,5.85,5.9,5.95,6,6.45,6.5,6.55,6.63,6.7,6.75,6.8},{0,10,20,30,40,50,60,62,64,66,68,70,72,74,76,78,80,85,90,95,100})</f>
        <v>30</v>
      </c>
      <c r="T525" s="27"/>
      <c r="U525" s="27"/>
      <c r="V525" s="27">
        <f t="shared" si="150"/>
        <v>30</v>
      </c>
      <c r="W525" s="27"/>
      <c r="X525" s="19">
        <f t="shared" si="151"/>
        <v>42.7</v>
      </c>
      <c r="Y525" s="13">
        <f t="shared" si="152"/>
        <v>61</v>
      </c>
      <c r="Z525" s="19"/>
    </row>
    <row r="526" ht="15.6" spans="1:26">
      <c r="A526" s="27">
        <v>312</v>
      </c>
      <c r="B526" s="27">
        <v>14</v>
      </c>
      <c r="C526" s="28" t="s">
        <v>588</v>
      </c>
      <c r="D526" s="28" t="s">
        <v>12</v>
      </c>
      <c r="E526" s="27">
        <v>13</v>
      </c>
      <c r="F526" s="29">
        <f>LOOKUP(E526,{0,-1.8,-0.8,0.2,1.2,2.2,3.2,4.6,6,7.4,8.8,10.2,11.6,13,14.4,15.8,17.2,19.1,21,22.8,24.6},{0,10,20,30,40,50,60,62,64,66,68,70,72,74,76,78,80,85,90,95,100})</f>
        <v>74</v>
      </c>
      <c r="G526" s="27">
        <v>210</v>
      </c>
      <c r="H526" s="29">
        <f>LOOKUP(G526,{0,180,185,190,195,200,205,209,213,217,221,225,229,233,237,241,245,253,260,265,270},{0,10,20,30,40,50,60,62,64,66,68,70,72,74,76,78,80,85,90,95,100})</f>
        <v>62</v>
      </c>
      <c r="I526" s="27">
        <v>5</v>
      </c>
      <c r="J526" s="29">
        <f>LOOKUP(I526,{0,4,5,6,7,8,9,10,11,12,13,14,15,16,17,18},{0,10,20,30,40,50,60,64,68,72,76,80,85,90,95,100})</f>
        <v>20</v>
      </c>
      <c r="K526" s="44"/>
      <c r="L526" s="35"/>
      <c r="M526" s="35">
        <f t="shared" si="147"/>
        <v>20</v>
      </c>
      <c r="N526" s="35">
        <v>8.3</v>
      </c>
      <c r="O526" s="36">
        <f t="shared" si="148"/>
        <v>9.7</v>
      </c>
      <c r="P526" s="29">
        <f>LOOKUP(O526,{0,7.8,8,8.2,8.4,8.6,8.8,9,9.2,9.4,9.6,9.8,10,10.2,10.4,10.6,10.8,10.9,11,11.1,11.2},{0,10,20,30,40,50,60,62,64,66,68,70,72,74,76,78,80,85,90,95,100})</f>
        <v>68</v>
      </c>
      <c r="Q526" s="5">
        <v>4.15</v>
      </c>
      <c r="R526" s="36">
        <f t="shared" si="149"/>
        <v>5.85</v>
      </c>
      <c r="S526" s="29">
        <f>LOOKUP(R526,{0,3.85,4.45,4.65,4.85,5.45,5.65,5.7,5.75,5.8,5.85,5.9,5.95,6,6.45,6.5,6.55,6.63,6.7,6.75,6.8},{0,10,20,30,40,50,60,62,64,66,68,70,72,74,76,78,80,85,90,95,100})</f>
        <v>68</v>
      </c>
      <c r="T526" s="27"/>
      <c r="U526" s="27"/>
      <c r="V526" s="27">
        <f t="shared" si="150"/>
        <v>68</v>
      </c>
      <c r="W526" s="27"/>
      <c r="X526" s="19">
        <f t="shared" si="151"/>
        <v>42.8</v>
      </c>
      <c r="Y526" s="13">
        <f t="shared" si="152"/>
        <v>61.1428571428572</v>
      </c>
      <c r="Z526" s="19"/>
    </row>
    <row r="527" ht="15.6" spans="1:26">
      <c r="A527" s="27">
        <v>312</v>
      </c>
      <c r="B527" s="27">
        <v>15</v>
      </c>
      <c r="C527" s="28" t="s">
        <v>589</v>
      </c>
      <c r="D527" s="28" t="s">
        <v>12</v>
      </c>
      <c r="E527" s="27">
        <v>12</v>
      </c>
      <c r="F527" s="29">
        <f>LOOKUP(E527,{0,-1.8,-0.8,0.2,1.2,2.2,3.2,4.6,6,7.4,8.8,10.2,11.6,13,14.4,15.8,17.2,19.1,21,22.8,24.6},{0,10,20,30,40,50,60,62,64,66,68,70,72,74,76,78,80,85,90,95,100})</f>
        <v>72</v>
      </c>
      <c r="G527" s="27">
        <v>235</v>
      </c>
      <c r="H527" s="29">
        <f>LOOKUP(G527,{0,180,185,190,195,200,205,209,213,217,221,225,229,233,237,241,245,253,260,265,270},{0,10,20,30,40,50,60,62,64,66,68,70,72,74,76,78,80,85,90,95,100})</f>
        <v>74</v>
      </c>
      <c r="I527" s="27">
        <v>0</v>
      </c>
      <c r="J527" s="29">
        <f>LOOKUP(I527,{0,4,5,6,7,8,9,10,11,12,13,14,15,16,17,18},{0,10,20,30,40,50,60,64,68,72,76,80,85,90,95,100})</f>
        <v>0</v>
      </c>
      <c r="K527" s="44"/>
      <c r="L527" s="35"/>
      <c r="M527" s="35">
        <f t="shared" si="147"/>
        <v>0</v>
      </c>
      <c r="N527" s="35">
        <v>7.2</v>
      </c>
      <c r="O527" s="36">
        <f t="shared" si="148"/>
        <v>10.8</v>
      </c>
      <c r="P527" s="29">
        <f>LOOKUP(O527,{0,7.8,8,8.2,8.4,8.6,8.8,9,9.2,9.4,9.6,9.8,10,10.2,10.4,10.6,10.8,10.9,11,11.1,11.2},{0,10,20,30,40,50,60,62,64,66,68,70,72,74,76,78,80,85,90,95,100})</f>
        <v>80</v>
      </c>
      <c r="Q527" s="5">
        <v>4.11</v>
      </c>
      <c r="R527" s="36">
        <f t="shared" si="149"/>
        <v>5.89</v>
      </c>
      <c r="S527" s="29">
        <f>LOOKUP(R527,{0,3.85,4.45,4.65,4.85,5.45,5.65,5.7,5.75,5.8,5.85,5.9,5.95,6,6.45,6.5,6.55,6.63,6.7,6.75,6.8},{0,10,20,30,40,50,60,62,64,66,68,70,72,74,76,78,80,85,90,95,100})</f>
        <v>68</v>
      </c>
      <c r="T527" s="27"/>
      <c r="U527" s="27"/>
      <c r="V527" s="27">
        <f t="shared" si="150"/>
        <v>68</v>
      </c>
      <c r="W527" s="27"/>
      <c r="X527" s="19">
        <f t="shared" si="151"/>
        <v>44.2</v>
      </c>
      <c r="Y527" s="13">
        <f t="shared" si="152"/>
        <v>63.1428571428572</v>
      </c>
      <c r="Z527" s="19"/>
    </row>
    <row r="528" ht="15.6" spans="1:26">
      <c r="A528" s="27">
        <v>312</v>
      </c>
      <c r="B528" s="27">
        <v>16</v>
      </c>
      <c r="C528" s="28" t="s">
        <v>590</v>
      </c>
      <c r="D528" s="28" t="s">
        <v>12</v>
      </c>
      <c r="E528" s="27">
        <v>18</v>
      </c>
      <c r="F528" s="29">
        <f>LOOKUP(E528,{0,-1.8,-0.8,0.2,1.2,2.2,3.2,4.6,6,7.4,8.8,10.2,11.6,13,14.4,15.8,17.2,19.1,21,22.8,24.6},{0,10,20,30,40,50,60,62,64,66,68,70,72,74,76,78,80,85,90,95,100})</f>
        <v>80</v>
      </c>
      <c r="G528" s="27">
        <v>245</v>
      </c>
      <c r="H528" s="29">
        <f>LOOKUP(G528,{0,180,185,190,195,200,205,209,213,217,221,225,229,233,237,241,245,253,260,265,270},{0,10,20,30,40,50,60,62,64,66,68,70,72,74,76,78,80,85,90,95,100})</f>
        <v>80</v>
      </c>
      <c r="I528" s="27">
        <v>24</v>
      </c>
      <c r="J528" s="29">
        <f>LOOKUP(I528,{0,4,5,6,7,8,9,10,11,12,13,14,15,16,17,18},{0,10,20,30,40,50,60,64,68,72,76,80,85,90,95,100})</f>
        <v>100</v>
      </c>
      <c r="K528" s="44">
        <f>I528-18</f>
        <v>6</v>
      </c>
      <c r="L528" s="29">
        <f>LOOKUP(K528,{0,1,2,3,4,5,6,7,8,9,10},{0,1,2,3,4,5,6,7,8,9,10})</f>
        <v>6</v>
      </c>
      <c r="M528" s="35">
        <f t="shared" si="147"/>
        <v>106</v>
      </c>
      <c r="N528" s="35">
        <v>7.2</v>
      </c>
      <c r="O528" s="36">
        <f t="shared" si="148"/>
        <v>10.8</v>
      </c>
      <c r="P528" s="29">
        <f>LOOKUP(O528,{0,7.8,8,8.2,8.4,8.6,8.8,9,9.2,9.4,9.6,9.8,10,10.2,10.4,10.6,10.8,10.9,11,11.1,11.2},{0,10,20,30,40,50,60,62,64,66,68,70,72,74,76,78,80,85,90,95,100})</f>
        <v>80</v>
      </c>
      <c r="Q528" s="5">
        <v>3.23</v>
      </c>
      <c r="R528" s="36">
        <f t="shared" si="149"/>
        <v>6.77</v>
      </c>
      <c r="S528" s="29">
        <f>LOOKUP(R528,{0,3.85,4.45,4.65,4.85,5.45,5.65,5.7,5.75,5.8,5.85,5.9,5.95,6,6.45,6.5,6.55,6.63,6.7,6.75,6.8},{0,10,20,30,40,50,60,62,64,66,68,70,72,74,76,78,80,85,90,95,100})</f>
        <v>95</v>
      </c>
      <c r="T528" s="27"/>
      <c r="U528" s="27"/>
      <c r="V528" s="27">
        <f t="shared" si="150"/>
        <v>95</v>
      </c>
      <c r="W528" s="27"/>
      <c r="X528" s="19">
        <f t="shared" si="151"/>
        <v>61</v>
      </c>
      <c r="Y528" s="13">
        <f t="shared" si="152"/>
        <v>93.1428571428572</v>
      </c>
      <c r="Z528" s="19"/>
    </row>
    <row r="529" ht="15.6" spans="1:26">
      <c r="A529" s="27">
        <v>312</v>
      </c>
      <c r="B529" s="27">
        <v>17</v>
      </c>
      <c r="C529" s="28" t="s">
        <v>591</v>
      </c>
      <c r="D529" s="28" t="s">
        <v>12</v>
      </c>
      <c r="E529" s="27">
        <v>3</v>
      </c>
      <c r="F529" s="29">
        <f>LOOKUP(E529,{0,-1.8,-0.8,0.2,1.2,2.2,3.2,4.6,6,7.4,8.8,10.2,11.6,13,14.4,15.8,17.2,19.1,21,22.8,24.6},{0,10,20,30,40,50,60,62,64,66,68,70,72,74,76,78,80,85,90,95,100})</f>
        <v>50</v>
      </c>
      <c r="G529" s="27">
        <v>190</v>
      </c>
      <c r="H529" s="29">
        <f>LOOKUP(G529,{0,180,185,190,195,200,205,209,213,217,221,225,229,233,237,241,245,253,260,265,270},{0,10,20,30,40,50,60,62,64,66,68,70,72,74,76,78,80,85,90,95,100})</f>
        <v>30</v>
      </c>
      <c r="I529" s="27">
        <v>10</v>
      </c>
      <c r="J529" s="29">
        <f>LOOKUP(I529,{0,4,5,6,7,8,9,10,11,12,13,14,15,16,17,18},{0,10,20,30,40,50,60,64,68,72,76,80,85,90,95,100})</f>
        <v>64</v>
      </c>
      <c r="K529" s="44"/>
      <c r="L529" s="35"/>
      <c r="M529" s="35">
        <f t="shared" si="147"/>
        <v>64</v>
      </c>
      <c r="N529" s="35">
        <v>7.8</v>
      </c>
      <c r="O529" s="36">
        <f t="shared" si="148"/>
        <v>10.2</v>
      </c>
      <c r="P529" s="29">
        <f>LOOKUP(O529,{0,7.8,8,8.2,8.4,8.6,8.8,9,9.2,9.4,9.6,9.8,10,10.2,10.4,10.6,10.8,10.9,11,11.1,11.2},{0,10,20,30,40,50,60,62,64,66,68,70,72,74,76,78,80,85,90,95,100})</f>
        <v>74</v>
      </c>
      <c r="Q529" s="5">
        <v>5.5</v>
      </c>
      <c r="R529" s="36">
        <f t="shared" si="149"/>
        <v>4.5</v>
      </c>
      <c r="S529" s="29">
        <f>LOOKUP(R529,{0,3.85,4.45,4.65,4.85,5.45,5.65,5.7,5.75,5.8,5.85,5.9,5.95,6,6.45,6.5,6.55,6.63,6.7,6.75,6.8},{0,10,20,30,40,50,60,62,64,66,68,70,72,74,76,78,80,85,90,95,100})</f>
        <v>20</v>
      </c>
      <c r="T529" s="27"/>
      <c r="U529" s="27"/>
      <c r="V529" s="27">
        <f t="shared" si="150"/>
        <v>20</v>
      </c>
      <c r="W529" s="27"/>
      <c r="X529" s="19">
        <f t="shared" si="151"/>
        <v>33.2</v>
      </c>
      <c r="Y529" s="13">
        <f t="shared" si="152"/>
        <v>47.4285714285714</v>
      </c>
      <c r="Z529" s="19"/>
    </row>
    <row r="530" ht="15.6" spans="1:26">
      <c r="A530" s="27">
        <v>312</v>
      </c>
      <c r="B530" s="27">
        <v>18</v>
      </c>
      <c r="C530" s="28" t="s">
        <v>592</v>
      </c>
      <c r="D530" s="28" t="s">
        <v>12</v>
      </c>
      <c r="E530" s="27">
        <v>12</v>
      </c>
      <c r="F530" s="29">
        <f>LOOKUP(E530,{0,-1.8,-0.8,0.2,1.2,2.2,3.2,4.6,6,7.4,8.8,10.2,11.6,13,14.4,15.8,17.2,19.1,21,22.8,24.6},{0,10,20,30,40,50,60,62,64,66,68,70,72,74,76,78,80,85,90,95,100})</f>
        <v>72</v>
      </c>
      <c r="G530" s="27">
        <v>265</v>
      </c>
      <c r="H530" s="29">
        <f>LOOKUP(G530,{0,180,185,190,195,200,205,209,213,217,221,225,229,233,237,241,245,253,260,265,270},{0,10,20,30,40,50,60,62,64,66,68,70,72,74,76,78,80,85,90,95,100})</f>
        <v>95</v>
      </c>
      <c r="I530" s="27">
        <v>30</v>
      </c>
      <c r="J530" s="29">
        <f>LOOKUP(I530,{0,4,5,6,7,8,9,10,11,12,13,14,15,16,17,18},{0,10,20,30,40,50,60,64,68,72,76,80,85,90,95,100})</f>
        <v>100</v>
      </c>
      <c r="K530" s="44">
        <f>I530-18</f>
        <v>12</v>
      </c>
      <c r="L530" s="29">
        <f>LOOKUP(K530,{0,1,2,3,4,5,6,7,8,9,10},{0,1,2,3,4,5,6,7,8,9,10})</f>
        <v>10</v>
      </c>
      <c r="M530" s="35">
        <f t="shared" si="147"/>
        <v>110</v>
      </c>
      <c r="N530" s="35">
        <v>7.5</v>
      </c>
      <c r="O530" s="36">
        <f t="shared" si="148"/>
        <v>10.5</v>
      </c>
      <c r="P530" s="29">
        <f>LOOKUP(O530,{0,7.8,8,8.2,8.4,8.6,8.8,9,9.2,9.4,9.6,9.8,10,10.2,10.4,10.6,10.8,10.9,11,11.1,11.2},{0,10,20,30,40,50,60,62,64,66,68,70,72,74,76,78,80,85,90,95,100})</f>
        <v>76</v>
      </c>
      <c r="Q530" s="5">
        <v>4.46</v>
      </c>
      <c r="R530" s="36">
        <f t="shared" si="149"/>
        <v>5.54</v>
      </c>
      <c r="S530" s="29">
        <f>LOOKUP(R530,{0,3.85,4.45,4.65,4.85,5.45,5.65,5.7,5.75,5.8,5.85,5.9,5.95,6,6.45,6.5,6.55,6.63,6.7,6.75,6.8},{0,10,20,30,40,50,60,62,64,66,68,70,72,74,76,78,80,85,90,95,100})</f>
        <v>50</v>
      </c>
      <c r="T530" s="27"/>
      <c r="U530" s="27"/>
      <c r="V530" s="27">
        <f t="shared" si="150"/>
        <v>50</v>
      </c>
      <c r="W530" s="27"/>
      <c r="X530" s="19">
        <f t="shared" si="151"/>
        <v>51.9</v>
      </c>
      <c r="Y530" s="13">
        <f t="shared" si="152"/>
        <v>84.1428571428571</v>
      </c>
      <c r="Z530" s="19"/>
    </row>
    <row r="531" ht="15.6" spans="1:26">
      <c r="A531" s="27">
        <v>312</v>
      </c>
      <c r="B531" s="27">
        <v>19</v>
      </c>
      <c r="C531" s="27" t="s">
        <v>593</v>
      </c>
      <c r="D531" s="27" t="s">
        <v>12</v>
      </c>
      <c r="E531" s="27">
        <v>13</v>
      </c>
      <c r="F531" s="29">
        <f>LOOKUP(E531,{0,-1.8,-0.8,0.2,1.2,2.2,3.2,4.6,6,7.4,8.8,10.2,11.6,13,14.4,15.8,17.2,19.1,21,22.8,24.6},{0,10,20,30,40,50,60,62,64,66,68,70,72,74,76,78,80,85,90,95,100})</f>
        <v>74</v>
      </c>
      <c r="G531" s="27">
        <v>260</v>
      </c>
      <c r="H531" s="29">
        <f>LOOKUP(G531,{0,180,185,190,195,200,205,209,213,217,221,225,229,233,237,241,245,253,260,265,270},{0,10,20,30,40,50,60,62,64,66,68,70,72,74,76,78,80,85,90,95,100})</f>
        <v>90</v>
      </c>
      <c r="I531" s="27">
        <v>17</v>
      </c>
      <c r="J531" s="29">
        <f>LOOKUP(I531,{0,4,5,6,7,8,9,10,11,12,13,14,15,16,17,18},{0,10,20,30,40,50,60,64,68,72,76,80,85,90,95,100})</f>
        <v>95</v>
      </c>
      <c r="K531" s="44"/>
      <c r="L531" s="35"/>
      <c r="M531" s="35">
        <f t="shared" si="147"/>
        <v>95</v>
      </c>
      <c r="N531" s="35">
        <v>6.9</v>
      </c>
      <c r="O531" s="36">
        <f t="shared" si="148"/>
        <v>11.1</v>
      </c>
      <c r="P531" s="29">
        <f>LOOKUP(O531,{0,7.8,8,8.2,8.4,8.6,8.8,9,9.2,9.4,9.6,9.8,10,10.2,10.4,10.6,10.8,10.9,11,11.1,11.2},{0,10,20,30,40,50,60,62,64,66,68,70,72,74,76,78,80,85,90,95,100})</f>
        <v>95</v>
      </c>
      <c r="Q531" s="5">
        <v>4.52</v>
      </c>
      <c r="R531" s="36">
        <f t="shared" si="149"/>
        <v>5.48</v>
      </c>
      <c r="S531" s="29">
        <f>LOOKUP(R531,{0,3.85,4.45,4.65,4.85,5.45,5.65,5.7,5.75,5.8,5.85,5.9,5.95,6,6.45,6.5,6.55,6.63,6.7,6.75,6.8},{0,10,20,30,40,50,60,62,64,66,68,70,72,74,76,78,80,85,90,95,100})</f>
        <v>50</v>
      </c>
      <c r="T531" s="27"/>
      <c r="U531" s="27"/>
      <c r="V531" s="27">
        <f t="shared" si="150"/>
        <v>50</v>
      </c>
      <c r="W531" s="27"/>
      <c r="X531" s="19">
        <f t="shared" si="151"/>
        <v>54.9</v>
      </c>
      <c r="Y531" s="13">
        <f t="shared" si="152"/>
        <v>78.4285714285714</v>
      </c>
      <c r="Z531" s="19"/>
    </row>
    <row r="532" ht="15.6" spans="1:26">
      <c r="A532" s="27">
        <v>312</v>
      </c>
      <c r="B532" s="27">
        <v>20</v>
      </c>
      <c r="C532" s="28" t="s">
        <v>594</v>
      </c>
      <c r="D532" s="28" t="s">
        <v>12</v>
      </c>
      <c r="E532" s="27">
        <v>27.5</v>
      </c>
      <c r="F532" s="29">
        <f>LOOKUP(E532,{0,-1.8,-0.8,0.2,1.2,2.2,3.2,4.6,6,7.4,8.8,10.2,11.6,13,14.4,15.8,17.2,19.1,21,22.8,24.6},{0,10,20,30,40,50,60,62,64,66,68,70,72,74,76,78,80,85,90,95,100})</f>
        <v>100</v>
      </c>
      <c r="G532" s="27">
        <v>240</v>
      </c>
      <c r="H532" s="29">
        <f>LOOKUP(G532,{0,180,185,190,195,200,205,209,213,217,221,225,229,233,237,241,245,253,260,265,270},{0,10,20,30,40,50,60,62,64,66,68,70,72,74,76,78,80,85,90,95,100})</f>
        <v>76</v>
      </c>
      <c r="I532" s="27">
        <v>3</v>
      </c>
      <c r="J532" s="29">
        <f>LOOKUP(I532,{0,4,5,6,7,8,9,10,11,12,13,14,15,16,17,18},{0,10,20,30,40,50,60,64,68,72,76,80,85,90,95,100})</f>
        <v>0</v>
      </c>
      <c r="K532" s="44"/>
      <c r="L532" s="35"/>
      <c r="M532" s="35">
        <f t="shared" si="147"/>
        <v>0</v>
      </c>
      <c r="N532" s="35">
        <v>6.9</v>
      </c>
      <c r="O532" s="36">
        <f t="shared" si="148"/>
        <v>11.1</v>
      </c>
      <c r="P532" s="29">
        <f>LOOKUP(O532,{0,7.8,8,8.2,8.4,8.6,8.8,9,9.2,9.4,9.6,9.8,10,10.2,10.4,10.6,10.8,10.9,11,11.1,11.2},{0,10,20,30,40,50,60,62,64,66,68,70,72,74,76,78,80,85,90,95,100})</f>
        <v>95</v>
      </c>
      <c r="Q532" s="5">
        <v>4.47</v>
      </c>
      <c r="R532" s="36">
        <f t="shared" si="149"/>
        <v>5.53</v>
      </c>
      <c r="S532" s="29">
        <f>LOOKUP(R532,{0,3.85,4.45,4.65,4.85,5.45,5.65,5.7,5.75,5.8,5.85,5.9,5.95,6,6.45,6.5,6.55,6.63,6.7,6.75,6.8},{0,10,20,30,40,50,60,62,64,66,68,70,72,74,76,78,80,85,90,95,100})</f>
        <v>50</v>
      </c>
      <c r="T532" s="27"/>
      <c r="U532" s="27"/>
      <c r="V532" s="27">
        <f t="shared" si="150"/>
        <v>50</v>
      </c>
      <c r="W532" s="27"/>
      <c r="X532" s="19">
        <f t="shared" si="151"/>
        <v>46.6</v>
      </c>
      <c r="Y532" s="13">
        <f t="shared" si="152"/>
        <v>66.5714285714286</v>
      </c>
      <c r="Z532" s="19"/>
    </row>
    <row r="533" ht="15.6" spans="1:26">
      <c r="A533" s="27">
        <v>312</v>
      </c>
      <c r="B533" s="27">
        <v>21</v>
      </c>
      <c r="C533" s="28" t="s">
        <v>595</v>
      </c>
      <c r="D533" s="28" t="s">
        <v>12</v>
      </c>
      <c r="E533" s="27">
        <v>23.5</v>
      </c>
      <c r="F533" s="29">
        <f>LOOKUP(E533,{0,-1.8,-0.8,0.2,1.2,2.2,3.2,4.6,6,7.4,8.8,10.2,11.6,13,14.4,15.8,17.2,19.1,21,22.8,24.6},{0,10,20,30,40,50,60,62,64,66,68,70,72,74,76,78,80,85,90,95,100})</f>
        <v>95</v>
      </c>
      <c r="G533" s="27">
        <v>254</v>
      </c>
      <c r="H533" s="29">
        <f>LOOKUP(G533,{0,180,185,190,195,200,205,209,213,217,221,225,229,233,237,241,245,253,260,265,270},{0,10,20,30,40,50,60,62,64,66,68,70,72,74,76,78,80,85,90,95,100})</f>
        <v>85</v>
      </c>
      <c r="I533" s="27">
        <v>26</v>
      </c>
      <c r="J533" s="29">
        <f>LOOKUP(I533,{0,4,5,6,7,8,9,10,11,12,13,14,15,16,17,18},{0,10,20,30,40,50,60,64,68,72,76,80,85,90,95,100})</f>
        <v>100</v>
      </c>
      <c r="K533" s="44">
        <f>I533-18</f>
        <v>8</v>
      </c>
      <c r="L533" s="29">
        <f>LOOKUP(K533,{0,1,2,3,4,5,6,7,8,9,10},{0,1,2,3,4,5,6,7,8,9,10})</f>
        <v>8</v>
      </c>
      <c r="M533" s="35">
        <f t="shared" si="147"/>
        <v>108</v>
      </c>
      <c r="N533" s="35">
        <v>6.9</v>
      </c>
      <c r="O533" s="36">
        <f t="shared" si="148"/>
        <v>11.1</v>
      </c>
      <c r="P533" s="29">
        <f>LOOKUP(O533,{0,7.8,8,8.2,8.4,8.6,8.8,9,9.2,9.4,9.6,9.8,10,10.2,10.4,10.6,10.8,10.9,11,11.1,11.2},{0,10,20,30,40,50,60,62,64,66,68,70,72,74,76,78,80,85,90,95,100})</f>
        <v>95</v>
      </c>
      <c r="Q533" s="5">
        <v>3.55</v>
      </c>
      <c r="R533" s="36">
        <f t="shared" si="149"/>
        <v>6.45</v>
      </c>
      <c r="S533" s="29">
        <f>LOOKUP(R533,{0,3.85,4.45,4.65,4.85,5.45,5.65,5.7,5.75,5.8,5.85,5.9,5.95,6,6.45,6.5,6.55,6.63,6.7,6.75,6.8},{0,10,20,30,40,50,60,62,64,66,68,70,72,74,76,78,80,85,90,95,100})</f>
        <v>76</v>
      </c>
      <c r="T533" s="27"/>
      <c r="U533" s="27"/>
      <c r="V533" s="27">
        <f t="shared" si="150"/>
        <v>76</v>
      </c>
      <c r="W533" s="27"/>
      <c r="X533" s="19">
        <f t="shared" si="151"/>
        <v>62.2</v>
      </c>
      <c r="Y533" s="13">
        <f t="shared" si="152"/>
        <v>96.8571428571429</v>
      </c>
      <c r="Z533" s="19"/>
    </row>
    <row r="534" ht="15.6" spans="1:26">
      <c r="A534" s="27">
        <v>312</v>
      </c>
      <c r="B534" s="27">
        <v>22</v>
      </c>
      <c r="C534" s="28" t="s">
        <v>596</v>
      </c>
      <c r="D534" s="28" t="s">
        <v>12</v>
      </c>
      <c r="E534" s="27">
        <v>13</v>
      </c>
      <c r="F534" s="29">
        <f>LOOKUP(E534,{0,-1.8,-0.8,0.2,1.2,2.2,3.2,4.6,6,7.4,8.8,10.2,11.6,13,14.4,15.8,17.2,19.1,21,22.8,24.6},{0,10,20,30,40,50,60,62,64,66,68,70,72,74,76,78,80,85,90,95,100})</f>
        <v>74</v>
      </c>
      <c r="G534" s="27">
        <v>235</v>
      </c>
      <c r="H534" s="29">
        <f>LOOKUP(G534,{0,180,185,190,195,200,205,209,213,217,221,225,229,233,237,241,245,253,260,265,270},{0,10,20,30,40,50,60,62,64,66,68,70,72,74,76,78,80,85,90,95,100})</f>
        <v>74</v>
      </c>
      <c r="I534" s="27">
        <v>12</v>
      </c>
      <c r="J534" s="29">
        <f>LOOKUP(I534,{0,4,5,6,7,8,9,10,11,12,13,14,15,16,17,18},{0,10,20,30,40,50,60,64,68,72,76,80,85,90,95,100})</f>
        <v>72</v>
      </c>
      <c r="K534" s="44"/>
      <c r="L534" s="35"/>
      <c r="M534" s="35">
        <f t="shared" si="147"/>
        <v>72</v>
      </c>
      <c r="N534" s="35">
        <v>7.5</v>
      </c>
      <c r="O534" s="36">
        <f t="shared" si="148"/>
        <v>10.5</v>
      </c>
      <c r="P534" s="29">
        <f>LOOKUP(O534,{0,7.8,8,8.2,8.4,8.6,8.8,9,9.2,9.4,9.6,9.8,10,10.2,10.4,10.6,10.8,10.9,11,11.1,11.2},{0,10,20,30,40,50,60,62,64,66,68,70,72,74,76,78,80,85,90,95,100})</f>
        <v>76</v>
      </c>
      <c r="Q534" s="5">
        <v>4.48</v>
      </c>
      <c r="R534" s="36">
        <f t="shared" si="149"/>
        <v>5.52</v>
      </c>
      <c r="S534" s="29">
        <f>LOOKUP(R534,{0,3.85,4.45,4.65,4.85,5.45,5.65,5.7,5.75,5.8,5.85,5.9,5.95,6,6.45,6.5,6.55,6.63,6.7,6.75,6.8},{0,10,20,30,40,50,60,62,64,66,68,70,72,74,76,78,80,85,90,95,100})</f>
        <v>50</v>
      </c>
      <c r="T534" s="27"/>
      <c r="U534" s="27"/>
      <c r="V534" s="27">
        <f t="shared" si="150"/>
        <v>50</v>
      </c>
      <c r="W534" s="27"/>
      <c r="X534" s="19">
        <f t="shared" si="151"/>
        <v>47.2</v>
      </c>
      <c r="Y534" s="13">
        <f t="shared" si="152"/>
        <v>67.4285714285714</v>
      </c>
      <c r="Z534" s="20"/>
    </row>
    <row r="535" ht="15.6" spans="1:26">
      <c r="A535" s="27">
        <v>312</v>
      </c>
      <c r="B535" s="27">
        <v>23</v>
      </c>
      <c r="C535" s="30" t="s">
        <v>598</v>
      </c>
      <c r="D535" s="28" t="s">
        <v>12</v>
      </c>
      <c r="E535" s="27">
        <v>21</v>
      </c>
      <c r="F535" s="29">
        <f>LOOKUP(E535,{0,-1.8,-0.8,0.2,1.2,2.2,3.2,4.6,6,7.4,8.8,10.2,11.6,13,14.4,15.8,17.2,19.1,21,22.8,24.6},{0,10,20,30,40,50,60,62,64,66,68,70,72,74,76,78,80,85,90,95,100})</f>
        <v>90</v>
      </c>
      <c r="G535" s="27">
        <v>252</v>
      </c>
      <c r="H535" s="29">
        <f>LOOKUP(G535,{0,180,185,190,195,200,205,209,213,217,221,225,229,233,237,241,245,253,260,265,270},{0,10,20,30,40,50,60,62,64,66,68,70,72,74,76,78,80,85,90,95,100})</f>
        <v>80</v>
      </c>
      <c r="I535" s="27">
        <v>4</v>
      </c>
      <c r="J535" s="29">
        <f>LOOKUP(I535,{0,4,5,6,7,8,9,10,11,12,13,14,15,16,17,18},{0,10,20,30,40,50,60,64,68,72,76,80,85,90,95,100})</f>
        <v>10</v>
      </c>
      <c r="K535" s="44"/>
      <c r="L535" s="35"/>
      <c r="M535" s="35">
        <f t="shared" si="147"/>
        <v>10</v>
      </c>
      <c r="N535" s="35">
        <v>7.5</v>
      </c>
      <c r="O535" s="36">
        <f t="shared" si="148"/>
        <v>10.5</v>
      </c>
      <c r="P535" s="29">
        <f>LOOKUP(O535,{0,7.8,8,8.2,8.4,8.6,8.8,9,9.2,9.4,9.6,9.8,10,10.2,10.4,10.6,10.8,10.9,11,11.1,11.2},{0,10,20,30,40,50,60,62,64,66,68,70,72,74,76,78,80,85,90,95,100})</f>
        <v>76</v>
      </c>
      <c r="Q535" s="5">
        <v>4.26</v>
      </c>
      <c r="R535" s="36">
        <f t="shared" si="149"/>
        <v>5.74</v>
      </c>
      <c r="S535" s="29">
        <f>LOOKUP(R535,{0,3.85,4.45,4.65,4.85,5.45,5.65,5.7,5.75,5.8,5.85,5.9,5.95,6,6.45,6.5,6.55,6.63,6.7,6.75,6.8},{0,10,20,30,40,50,60,62,64,66,68,70,72,74,76,78,80,85,90,95,100})</f>
        <v>62</v>
      </c>
      <c r="T535" s="27"/>
      <c r="U535" s="27"/>
      <c r="V535" s="27">
        <f t="shared" si="150"/>
        <v>62</v>
      </c>
      <c r="W535" s="27"/>
      <c r="X535" s="19">
        <f t="shared" si="151"/>
        <v>45.6</v>
      </c>
      <c r="Y535" s="13">
        <f t="shared" si="152"/>
        <v>65.1428571428572</v>
      </c>
      <c r="Z535" s="19"/>
    </row>
    <row r="536" ht="15.6" spans="1:26">
      <c r="A536" s="27">
        <v>312</v>
      </c>
      <c r="B536" s="27">
        <v>24</v>
      </c>
      <c r="C536" s="28" t="s">
        <v>599</v>
      </c>
      <c r="D536" s="28" t="s">
        <v>12</v>
      </c>
      <c r="E536" s="27">
        <v>16</v>
      </c>
      <c r="F536" s="29">
        <f>LOOKUP(E536,{0,-1.8,-0.8,0.2,1.2,2.2,3.2,4.6,6,7.4,8.8,10.2,11.6,13,14.4,15.8,17.2,19.1,21,22.8,24.6},{0,10,20,30,40,50,60,62,64,66,68,70,72,74,76,78,80,85,90,95,100})</f>
        <v>78</v>
      </c>
      <c r="G536" s="27">
        <v>255</v>
      </c>
      <c r="H536" s="29">
        <f>LOOKUP(G536,{0,180,185,190,195,200,205,209,213,217,221,225,229,233,237,241,245,253,260,265,270},{0,10,20,30,40,50,60,62,64,66,68,70,72,74,76,78,80,85,90,95,100})</f>
        <v>85</v>
      </c>
      <c r="I536" s="27">
        <v>21</v>
      </c>
      <c r="J536" s="29">
        <f>LOOKUP(I536,{0,4,5,6,7,8,9,10,11,12,13,14,15,16,17,18},{0,10,20,30,40,50,60,64,68,72,76,80,85,90,95,100})</f>
        <v>100</v>
      </c>
      <c r="K536" s="44">
        <f>I536-18</f>
        <v>3</v>
      </c>
      <c r="L536" s="29">
        <f>LOOKUP(K536,{0,1,2,3,4,5,6,7,8,9,10},{0,1,2,3,4,5,6,7,8,9,10})</f>
        <v>3</v>
      </c>
      <c r="M536" s="35">
        <f t="shared" si="147"/>
        <v>103</v>
      </c>
      <c r="N536" s="35">
        <v>7.1</v>
      </c>
      <c r="O536" s="36">
        <f t="shared" si="148"/>
        <v>10.9</v>
      </c>
      <c r="P536" s="29">
        <f>LOOKUP(O536,{0,7.8,8,8.2,8.4,8.6,8.8,9,9.2,9.4,9.6,9.8,10,10.2,10.4,10.6,10.8,10.9,11,11.1,11.2},{0,10,20,30,40,50,60,62,64,66,68,70,72,74,76,78,80,85,90,95,100})</f>
        <v>85</v>
      </c>
      <c r="Q536" s="5">
        <v>4.51</v>
      </c>
      <c r="R536" s="36">
        <f t="shared" si="149"/>
        <v>5.49</v>
      </c>
      <c r="S536" s="29">
        <f>LOOKUP(R536,{0,3.85,4.45,4.65,4.85,5.45,5.65,5.7,5.75,5.8,5.85,5.9,5.95,6,6.45,6.5,6.55,6.63,6.7,6.75,6.8},{0,10,20,30,40,50,60,62,64,66,68,70,72,74,76,78,80,85,90,95,100})</f>
        <v>50</v>
      </c>
      <c r="T536" s="27"/>
      <c r="U536" s="27"/>
      <c r="V536" s="27">
        <f t="shared" si="150"/>
        <v>50</v>
      </c>
      <c r="W536" s="27"/>
      <c r="X536" s="19">
        <f t="shared" si="151"/>
        <v>53.3</v>
      </c>
      <c r="Y536" s="13">
        <f t="shared" si="152"/>
        <v>79.1428571428571</v>
      </c>
      <c r="Z536" s="19"/>
    </row>
    <row r="537" ht="15.6" spans="1:26">
      <c r="A537" s="27">
        <v>312</v>
      </c>
      <c r="B537" s="27">
        <v>25</v>
      </c>
      <c r="C537" s="28" t="s">
        <v>600</v>
      </c>
      <c r="D537" s="28" t="s">
        <v>12</v>
      </c>
      <c r="E537" s="27">
        <v>21.5</v>
      </c>
      <c r="F537" s="29">
        <f>LOOKUP(E537,{0,-1.8,-0.8,0.2,1.2,2.2,3.2,4.6,6,7.4,8.8,10.2,11.6,13,14.4,15.8,17.2,19.1,21,22.8,24.6},{0,10,20,30,40,50,60,62,64,66,68,70,72,74,76,78,80,85,90,95,100})</f>
        <v>90</v>
      </c>
      <c r="G537" s="27">
        <v>260</v>
      </c>
      <c r="H537" s="29">
        <f>LOOKUP(G537,{0,180,185,190,195,200,205,209,213,217,221,225,229,233,237,241,245,253,260,265,270},{0,10,20,30,40,50,60,62,64,66,68,70,72,74,76,78,80,85,90,95,100})</f>
        <v>90</v>
      </c>
      <c r="I537" s="27">
        <v>4</v>
      </c>
      <c r="J537" s="29">
        <f>LOOKUP(I537,{0,4,5,6,7,8,9,10,11,12,13,14,15,16,17,18},{0,10,20,30,40,50,60,64,68,72,76,80,85,90,95,100})</f>
        <v>10</v>
      </c>
      <c r="K537" s="44"/>
      <c r="L537" s="35"/>
      <c r="M537" s="35">
        <f t="shared" si="147"/>
        <v>10</v>
      </c>
      <c r="N537" s="35">
        <v>7.1</v>
      </c>
      <c r="O537" s="36">
        <f t="shared" si="148"/>
        <v>10.9</v>
      </c>
      <c r="P537" s="29">
        <f>LOOKUP(O537,{0,7.8,8,8.2,8.4,8.6,8.8,9,9.2,9.4,9.6,9.8,10,10.2,10.4,10.6,10.8,10.9,11,11.1,11.2},{0,10,20,30,40,50,60,62,64,66,68,70,72,74,76,78,80,85,90,95,100})</f>
        <v>85</v>
      </c>
      <c r="Q537" s="5">
        <v>4.47</v>
      </c>
      <c r="R537" s="36">
        <f t="shared" si="149"/>
        <v>5.53</v>
      </c>
      <c r="S537" s="29">
        <f>LOOKUP(R537,{0,3.85,4.45,4.65,4.85,5.45,5.65,5.7,5.75,5.8,5.85,5.9,5.95,6,6.45,6.5,6.55,6.63,6.7,6.75,6.8},{0,10,20,30,40,50,60,62,64,66,68,70,72,74,76,78,80,85,90,95,100})</f>
        <v>50</v>
      </c>
      <c r="T537" s="27"/>
      <c r="U537" s="27"/>
      <c r="V537" s="27">
        <f t="shared" si="150"/>
        <v>50</v>
      </c>
      <c r="W537" s="27"/>
      <c r="X537" s="19">
        <f t="shared" si="151"/>
        <v>46</v>
      </c>
      <c r="Y537" s="13">
        <f t="shared" si="152"/>
        <v>65.7142857142857</v>
      </c>
      <c r="Z537" s="19"/>
    </row>
    <row r="538" ht="15.6" spans="1:26">
      <c r="A538" s="27">
        <v>312</v>
      </c>
      <c r="B538" s="27">
        <v>26</v>
      </c>
      <c r="C538" s="28" t="s">
        <v>601</v>
      </c>
      <c r="D538" s="28" t="s">
        <v>12</v>
      </c>
      <c r="E538" s="27">
        <v>24</v>
      </c>
      <c r="F538" s="29">
        <f>LOOKUP(E538,{0,-1.8,-0.8,0.2,1.2,2.2,3.2,4.6,6,7.4,8.8,10.2,11.6,13,14.4,15.8,17.2,19.1,21,22.8,24.6},{0,10,20,30,40,50,60,62,64,66,68,70,72,74,76,78,80,85,90,95,100})</f>
        <v>95</v>
      </c>
      <c r="G538" s="27">
        <v>245</v>
      </c>
      <c r="H538" s="29">
        <f>LOOKUP(G538,{0,180,185,190,195,200,205,209,213,217,221,225,229,233,237,241,245,253,260,265,270},{0,10,20,30,40,50,60,62,64,66,68,70,72,74,76,78,80,85,90,95,100})</f>
        <v>80</v>
      </c>
      <c r="I538" s="27">
        <v>16</v>
      </c>
      <c r="J538" s="29">
        <f>LOOKUP(I538,{0,4,5,6,7,8,9,10,11,12,13,14,15,16,17,18},{0,10,20,30,40,50,60,64,68,72,76,80,85,90,95,100})</f>
        <v>90</v>
      </c>
      <c r="K538" s="44"/>
      <c r="L538" s="39"/>
      <c r="M538" s="35">
        <f t="shared" si="147"/>
        <v>90</v>
      </c>
      <c r="N538" s="35">
        <v>7.6</v>
      </c>
      <c r="O538" s="36">
        <f t="shared" si="148"/>
        <v>10.4</v>
      </c>
      <c r="P538" s="29">
        <f>LOOKUP(O538,{0,7.8,8,8.2,8.4,8.6,8.8,9,9.2,9.4,9.6,9.8,10,10.2,10.4,10.6,10.8,10.9,11,11.1,11.2},{0,10,20,30,40,50,60,62,64,66,68,70,72,74,76,78,80,85,90,95,100})</f>
        <v>76</v>
      </c>
      <c r="Q538" s="5">
        <v>4.29</v>
      </c>
      <c r="R538" s="36">
        <f t="shared" si="149"/>
        <v>5.71</v>
      </c>
      <c r="S538" s="29">
        <f>LOOKUP(R538,{0,3.85,4.45,4.65,4.85,5.45,5.65,5.7,5.75,5.8,5.85,5.9,5.95,6,6.45,6.5,6.55,6.63,6.7,6.75,6.8},{0,10,20,30,40,50,60,62,64,66,68,70,72,74,76,78,80,85,90,95,100})</f>
        <v>62</v>
      </c>
      <c r="T538" s="27"/>
      <c r="U538" s="27"/>
      <c r="V538" s="27">
        <f t="shared" si="150"/>
        <v>62</v>
      </c>
      <c r="W538" s="27"/>
      <c r="X538" s="19">
        <f t="shared" si="151"/>
        <v>54.1</v>
      </c>
      <c r="Y538" s="13">
        <f t="shared" si="152"/>
        <v>77.2857142857143</v>
      </c>
      <c r="Z538" s="19"/>
    </row>
    <row r="539" ht="15.6" spans="1:26">
      <c r="A539" s="27">
        <v>312</v>
      </c>
      <c r="B539" s="27">
        <v>27</v>
      </c>
      <c r="C539" s="28" t="s">
        <v>602</v>
      </c>
      <c r="D539" s="28" t="s">
        <v>12</v>
      </c>
      <c r="E539" s="27">
        <v>6</v>
      </c>
      <c r="F539" s="29">
        <f>LOOKUP(E539,{0,-1.8,-0.8,0.2,1.2,2.2,3.2,4.6,6,7.4,8.8,10.2,11.6,13,14.4,15.8,17.2,19.1,21,22.8,24.6},{0,10,20,30,40,50,60,62,64,66,68,70,72,74,76,78,80,85,90,95,100})</f>
        <v>64</v>
      </c>
      <c r="G539" s="27">
        <v>235</v>
      </c>
      <c r="H539" s="29">
        <f>LOOKUP(G539,{0,180,185,190,195,200,205,209,213,217,221,225,229,233,237,241,245,253,260,265,270},{0,10,20,30,40,50,60,62,64,66,68,70,72,74,76,78,80,85,90,95,100})</f>
        <v>74</v>
      </c>
      <c r="I539" s="27">
        <v>18</v>
      </c>
      <c r="J539" s="29">
        <f>LOOKUP(I539,{0,4,5,6,7,8,9,10,11,12,13,14,15,16,17,18},{0,10,20,30,40,50,60,64,68,72,76,80,85,90,95,100})</f>
        <v>100</v>
      </c>
      <c r="K539" s="44"/>
      <c r="L539" s="35"/>
      <c r="M539" s="35">
        <f t="shared" si="147"/>
        <v>100</v>
      </c>
      <c r="N539" s="35">
        <v>7.6</v>
      </c>
      <c r="O539" s="36">
        <f t="shared" si="148"/>
        <v>10.4</v>
      </c>
      <c r="P539" s="29">
        <f>LOOKUP(O539,{0,7.8,8,8.2,8.4,8.6,8.8,9,9.2,9.4,9.6,9.8,10,10.2,10.4,10.6,10.8,10.9,11,11.1,11.2},{0,10,20,30,40,50,60,62,64,66,68,70,72,74,76,78,80,85,90,95,100})</f>
        <v>76</v>
      </c>
      <c r="Q539" s="5">
        <v>3.52</v>
      </c>
      <c r="R539" s="36">
        <f t="shared" si="149"/>
        <v>6.48</v>
      </c>
      <c r="S539" s="29">
        <f>LOOKUP(R539,{0,3.85,4.45,4.65,4.85,5.45,5.65,5.7,5.75,5.8,5.85,5.9,5.95,6,6.45,6.5,6.55,6.63,6.7,6.75,6.8},{0,10,20,30,40,50,60,62,64,66,68,70,72,74,76,78,80,85,90,95,100})</f>
        <v>76</v>
      </c>
      <c r="T539" s="27"/>
      <c r="U539" s="27"/>
      <c r="V539" s="27">
        <f t="shared" si="150"/>
        <v>76</v>
      </c>
      <c r="W539" s="27"/>
      <c r="X539" s="19">
        <f t="shared" si="151"/>
        <v>54.2</v>
      </c>
      <c r="Y539" s="13">
        <f t="shared" si="152"/>
        <v>77.4285714285714</v>
      </c>
      <c r="Z539" s="19"/>
    </row>
    <row r="540" ht="15.6" spans="1:26">
      <c r="A540" s="27">
        <v>312</v>
      </c>
      <c r="B540" s="27">
        <v>28</v>
      </c>
      <c r="C540" s="28" t="s">
        <v>603</v>
      </c>
      <c r="D540" s="28" t="s">
        <v>12</v>
      </c>
      <c r="E540" s="27">
        <v>15</v>
      </c>
      <c r="F540" s="29">
        <f>LOOKUP(E540,{0,-1.8,-0.8,0.2,1.2,2.2,3.2,4.6,6,7.4,8.8,10.2,11.6,13,14.4,15.8,17.2,19.1,21,22.8,24.6},{0,10,20,30,40,50,60,62,64,66,68,70,72,74,76,78,80,85,90,95,100})</f>
        <v>76</v>
      </c>
      <c r="G540" s="27">
        <v>230</v>
      </c>
      <c r="H540" s="29">
        <f>LOOKUP(G540,{0,180,185,190,195,200,205,209,213,217,221,225,229,233,237,241,245,253,260,265,270},{0,10,20,30,40,50,60,62,64,66,68,70,72,74,76,78,80,85,90,95,100})</f>
        <v>72</v>
      </c>
      <c r="I540" s="27">
        <v>0</v>
      </c>
      <c r="J540" s="29">
        <f>LOOKUP(I540,{0,4,5,6,7,8,9,10,11,12,13,14,15,16,17,18},{0,10,20,30,40,50,60,64,68,72,76,80,85,90,95,100})</f>
        <v>0</v>
      </c>
      <c r="K540" s="44"/>
      <c r="L540" s="35"/>
      <c r="M540" s="35">
        <f t="shared" si="147"/>
        <v>0</v>
      </c>
      <c r="N540" s="35">
        <v>7.5</v>
      </c>
      <c r="O540" s="36">
        <f t="shared" si="148"/>
        <v>10.5</v>
      </c>
      <c r="P540" s="29">
        <f>LOOKUP(O540,{0,7.8,8,8.2,8.4,8.6,8.8,9,9.2,9.4,9.6,9.8,10,10.2,10.4,10.6,10.8,10.9,11,11.1,11.2},{0,10,20,30,40,50,60,62,64,66,68,70,72,74,76,78,80,85,90,95,100})</f>
        <v>76</v>
      </c>
      <c r="Q540" s="5">
        <v>3.5</v>
      </c>
      <c r="R540" s="36">
        <f t="shared" si="149"/>
        <v>6.5</v>
      </c>
      <c r="S540" s="29">
        <f>LOOKUP(R540,{0,3.85,4.45,4.65,4.85,5.45,5.65,5.7,5.75,5.8,5.85,5.9,5.95,6,6.45,6.5,6.55,6.63,6.7,6.75,6.8},{0,10,20,30,40,50,60,62,64,66,68,70,72,74,76,78,80,85,90,95,100})</f>
        <v>78</v>
      </c>
      <c r="T540" s="27"/>
      <c r="U540" s="27"/>
      <c r="V540" s="27">
        <f t="shared" si="150"/>
        <v>78</v>
      </c>
      <c r="W540" s="27"/>
      <c r="X540" s="19">
        <f t="shared" si="151"/>
        <v>45.6</v>
      </c>
      <c r="Y540" s="13">
        <f t="shared" si="152"/>
        <v>65.1428571428572</v>
      </c>
      <c r="Z540" s="19"/>
    </row>
    <row r="541" ht="15.6" spans="1:26">
      <c r="A541" s="27">
        <v>312</v>
      </c>
      <c r="B541" s="27">
        <v>30</v>
      </c>
      <c r="C541" s="27" t="s">
        <v>604</v>
      </c>
      <c r="D541" s="27" t="s">
        <v>12</v>
      </c>
      <c r="E541" s="27"/>
      <c r="F541" s="29"/>
      <c r="G541" s="27"/>
      <c r="H541" s="29"/>
      <c r="I541" s="27"/>
      <c r="J541" s="35"/>
      <c r="K541" s="44"/>
      <c r="L541" s="35"/>
      <c r="M541" s="35"/>
      <c r="N541" s="35"/>
      <c r="O541" s="5"/>
      <c r="P541" s="5"/>
      <c r="Q541" s="5"/>
      <c r="R541" s="27"/>
      <c r="S541" s="27"/>
      <c r="T541" s="27"/>
      <c r="U541" s="27"/>
      <c r="V541" s="27"/>
      <c r="W541" s="27">
        <v>50</v>
      </c>
      <c r="X541" s="19"/>
      <c r="Y541" s="19">
        <v>50</v>
      </c>
      <c r="Z541" s="19"/>
    </row>
    <row r="542" ht="15.6" spans="1:26">
      <c r="A542" s="27">
        <v>312</v>
      </c>
      <c r="B542" s="27">
        <v>31</v>
      </c>
      <c r="C542" s="28" t="s">
        <v>605</v>
      </c>
      <c r="D542" s="28" t="s">
        <v>12</v>
      </c>
      <c r="E542" s="27"/>
      <c r="F542" s="29"/>
      <c r="G542" s="27"/>
      <c r="H542" s="29"/>
      <c r="I542" s="27"/>
      <c r="J542" s="35"/>
      <c r="K542" s="44"/>
      <c r="L542" s="35"/>
      <c r="M542" s="35"/>
      <c r="N542" s="35"/>
      <c r="O542" s="5"/>
      <c r="P542" s="5"/>
      <c r="Q542" s="5"/>
      <c r="R542" s="27"/>
      <c r="S542" s="27"/>
      <c r="T542" s="27"/>
      <c r="U542" s="27"/>
      <c r="V542" s="27"/>
      <c r="W542" s="27">
        <v>50</v>
      </c>
      <c r="X542" s="19"/>
      <c r="Y542" s="19">
        <v>50</v>
      </c>
      <c r="Z542" s="19"/>
    </row>
    <row r="543" ht="15.6" spans="1:26">
      <c r="A543" s="27">
        <v>312</v>
      </c>
      <c r="B543" s="27">
        <v>32</v>
      </c>
      <c r="C543" s="28" t="s">
        <v>606</v>
      </c>
      <c r="D543" s="28" t="s">
        <v>12</v>
      </c>
      <c r="E543" s="27">
        <v>25</v>
      </c>
      <c r="F543" s="29">
        <f>LOOKUP(E543,{0,-1.8,-0.8,0.2,1.2,2.2,3.2,4.6,6,7.4,8.8,10.2,11.6,13,14.4,15.8,17.2,19.1,21,22.8,24.6},{0,10,20,30,40,50,60,62,64,66,68,70,72,74,76,78,80,85,90,95,100})</f>
        <v>100</v>
      </c>
      <c r="G543" s="27">
        <v>225</v>
      </c>
      <c r="H543" s="29">
        <f>LOOKUP(G543,{0,180,185,190,195,200,205,209,213,217,221,225,229,233,237,241,245,253,260,265,270},{0,10,20,30,40,50,60,62,64,66,68,70,72,74,76,78,80,85,90,95,100})</f>
        <v>70</v>
      </c>
      <c r="I543" s="27">
        <v>2</v>
      </c>
      <c r="J543" s="29">
        <f>LOOKUP(I543,{0,4,5,6,7,8,9,10,11,12,13,14,15,16,17,18},{0,10,20,30,40,50,60,64,68,72,76,80,85,90,95,100})</f>
        <v>0</v>
      </c>
      <c r="K543" s="44"/>
      <c r="L543" s="35"/>
      <c r="M543" s="35">
        <f>J543+L543</f>
        <v>0</v>
      </c>
      <c r="N543" s="35">
        <v>7.8</v>
      </c>
      <c r="O543" s="36">
        <f>18-N543</f>
        <v>10.2</v>
      </c>
      <c r="P543" s="29">
        <f>LOOKUP(O543,{0,7.8,8,8.2,8.4,8.6,8.8,9,9.2,9.4,9.6,9.8,10,10.2,10.4,10.6,10.8,10.9,11,11.1,11.2},{0,10,20,30,40,50,60,62,64,66,68,70,72,74,76,78,80,85,90,95,100})</f>
        <v>74</v>
      </c>
      <c r="Q543" s="5">
        <v>4.53</v>
      </c>
      <c r="R543" s="36">
        <f>10-Q543</f>
        <v>5.47</v>
      </c>
      <c r="S543" s="29">
        <f>LOOKUP(R543,{0,3.85,4.45,4.65,4.85,5.45,5.65,5.7,5.75,5.8,5.85,5.9,5.95,6,6.45,6.5,6.55,6.63,6.7,6.75,6.8},{0,10,20,30,40,50,60,62,64,66,68,70,72,74,76,78,80,85,90,95,100})</f>
        <v>50</v>
      </c>
      <c r="T543" s="27"/>
      <c r="U543" s="27"/>
      <c r="V543" s="27">
        <f>S543+U543</f>
        <v>50</v>
      </c>
      <c r="W543" s="27"/>
      <c r="X543" s="19">
        <f>F543*0.1+H543*0.1+J543*0.1+P543*0.2+S543*0.2</f>
        <v>41.8</v>
      </c>
      <c r="Y543" s="13">
        <f>X543/0.7+L543+U543</f>
        <v>59.7142857142857</v>
      </c>
      <c r="Z543" s="19"/>
    </row>
    <row r="544" ht="15.6" spans="1:26">
      <c r="A544" s="27">
        <v>312</v>
      </c>
      <c r="B544" s="27">
        <v>33</v>
      </c>
      <c r="C544" s="28" t="s">
        <v>607</v>
      </c>
      <c r="D544" s="28" t="s">
        <v>12</v>
      </c>
      <c r="E544" s="27"/>
      <c r="F544" s="29"/>
      <c r="G544" s="27"/>
      <c r="H544" s="29"/>
      <c r="I544" s="27"/>
      <c r="J544" s="35"/>
      <c r="K544" s="44"/>
      <c r="L544" s="35"/>
      <c r="M544" s="35"/>
      <c r="N544" s="35"/>
      <c r="O544" s="5"/>
      <c r="P544" s="5"/>
      <c r="Q544" s="5"/>
      <c r="R544" s="27"/>
      <c r="S544" s="27"/>
      <c r="T544" s="27"/>
      <c r="U544" s="27"/>
      <c r="V544" s="27"/>
      <c r="W544" s="27">
        <v>50</v>
      </c>
      <c r="X544" s="19"/>
      <c r="Y544" s="19">
        <v>50</v>
      </c>
      <c r="Z544" s="19"/>
    </row>
    <row r="545" ht="15.6" spans="1:26">
      <c r="A545" s="27">
        <v>312</v>
      </c>
      <c r="B545" s="27">
        <v>34</v>
      </c>
      <c r="C545" s="30" t="s">
        <v>609</v>
      </c>
      <c r="D545" s="28" t="s">
        <v>46</v>
      </c>
      <c r="E545" s="27">
        <v>7</v>
      </c>
      <c r="F545" s="29">
        <f>LOOKUP(E545,{0,1.5,2.3,3.1,3.9,4.7,5.5,6.8,8.1,9.4,10.7,12,13.3,14.6,15.9,17.2,18.5,20.2,21.9,23.6,25.3},{0,10,20,30,40,50,60,62,64,66,68,70,72,74,76,78,80,85,90,95,100})</f>
        <v>62</v>
      </c>
      <c r="G545" s="27">
        <v>160</v>
      </c>
      <c r="H545" s="29">
        <f>LOOKUP(G545,{0,125,130,135,140,145,150,153,156,159,162,165,168,171,174,177,180,187,194,200,206},{0,10,20,30,40,50,60,62,64,66,68,70,72,74,76,78,80,85,90,95,100})</f>
        <v>66</v>
      </c>
      <c r="I545" s="27">
        <v>34</v>
      </c>
      <c r="J545" s="29">
        <f>LOOKUP(I545,{0,15,17,19,21,23,25,27,29,31,33,35,37,39,41,43,45,48,51,53,55},{0,10,20,30,40,50,60,62,64,66,68,70,72,74,76,78,80,85,90,95,100})</f>
        <v>68</v>
      </c>
      <c r="K545" s="35"/>
      <c r="L545" s="35"/>
      <c r="M545" s="35">
        <f t="shared" ref="M545:M559" si="153">J545+L545</f>
        <v>68</v>
      </c>
      <c r="N545" s="35">
        <v>8.7</v>
      </c>
      <c r="O545" s="36">
        <f t="shared" ref="O545:O559" si="154">18-N545</f>
        <v>9.3</v>
      </c>
      <c r="P545" s="29">
        <f>LOOKUP(O545,{0,6.6,6.8,7,7.2,7.4,7.6,7.8,8,8.2,8.4,8.6,8.8,9,9.2,9.4,9.6,9.9,10.2,10.3,10.4},{0,10,20,30,40,50,60,62,64,66,68,70,72,74,76,78,80,85,90,95,100})</f>
        <v>76</v>
      </c>
      <c r="Q545" s="5">
        <v>3.17</v>
      </c>
      <c r="R545" s="36">
        <f t="shared" ref="R545:R557" si="155">10-Q545</f>
        <v>6.83</v>
      </c>
      <c r="S545" s="29">
        <f>LOOKUP(R545,{0,4.74,4.84,4.94,5.44,5.54,5.64,5.69,5.74,5.79,5.84,5.89,5.94,5.99,6.44,6.49,6.54,6.61,6.68,6.74,6.8},{0,10,20,30,40,50,60,62,64,66,68,70,72,74,76,78,80,85,90,95,100})</f>
        <v>100</v>
      </c>
      <c r="T545" s="36">
        <f>3.2-Q545</f>
        <v>0.0300000000000002</v>
      </c>
      <c r="U545" s="29">
        <f>LOOKUP(T545,{0,0.05,0.1,0.15,0.2,0.25,0.3,0.35,0.4,0.45,0.5},{0,1,2,3,4,5,6,7,8,9,10})</f>
        <v>0</v>
      </c>
      <c r="V545" s="27">
        <f t="shared" ref="V545:V557" si="156">S545+U545</f>
        <v>100</v>
      </c>
      <c r="W545" s="27"/>
      <c r="X545" s="19">
        <f t="shared" ref="X545:X557" si="157">F545*0.1+H545*0.1+J545*0.1+P545*0.2+S545*0.2</f>
        <v>54.8</v>
      </c>
      <c r="Y545" s="13">
        <f t="shared" ref="Y545:Y557" si="158">X545/0.7+L545+U545</f>
        <v>78.2857142857143</v>
      </c>
      <c r="Z545" s="19"/>
    </row>
    <row r="546" ht="15.6" spans="1:26">
      <c r="A546" s="27">
        <v>312</v>
      </c>
      <c r="B546" s="27">
        <v>35</v>
      </c>
      <c r="C546" s="28" t="s">
        <v>610</v>
      </c>
      <c r="D546" s="28" t="s">
        <v>46</v>
      </c>
      <c r="E546" s="27">
        <v>18.5</v>
      </c>
      <c r="F546" s="29">
        <f>LOOKUP(E546,{0,1.5,2.3,3.1,3.9,4.7,5.5,6.8,8.1,9.4,10.7,12,13.3,14.6,15.9,17.2,18.5,20.2,21.9,23.6,25.3},{0,10,20,30,40,50,60,62,64,66,68,70,72,74,76,78,80,85,90,95,100})</f>
        <v>80</v>
      </c>
      <c r="G546" s="27">
        <v>170</v>
      </c>
      <c r="H546" s="29">
        <f>LOOKUP(G546,{0,125,130,135,140,145,150,153,156,159,162,165,168,171,174,177,180,187,194,200,206},{0,10,20,30,40,50,60,62,64,66,68,70,72,74,76,78,80,85,90,95,100})</f>
        <v>72</v>
      </c>
      <c r="I546" s="27">
        <v>46</v>
      </c>
      <c r="J546" s="29">
        <f>LOOKUP(I546,{0,15,17,19,21,23,25,27,29,31,33,35,37,39,41,43,45,48,51,53,55},{0,10,20,30,40,50,60,62,64,66,68,70,72,74,76,78,80,85,90,95,100})</f>
        <v>80</v>
      </c>
      <c r="K546" s="35"/>
      <c r="L546" s="35"/>
      <c r="M546" s="35">
        <f t="shared" si="153"/>
        <v>80</v>
      </c>
      <c r="N546" s="35">
        <v>9.7</v>
      </c>
      <c r="O546" s="36">
        <f t="shared" si="154"/>
        <v>8.3</v>
      </c>
      <c r="P546" s="29">
        <f>LOOKUP(O546,{0,6.6,6.8,7,7.2,7.4,7.6,7.8,8,8.2,8.4,8.6,8.8,9,9.2,9.4,9.6,9.9,10.2,10.3,10.4},{0,10,20,30,40,50,60,62,64,66,68,70,72,74,76,78,80,85,90,95,100})</f>
        <v>66</v>
      </c>
      <c r="Q546" s="5">
        <v>5.02</v>
      </c>
      <c r="R546" s="36">
        <f t="shared" si="155"/>
        <v>4.98</v>
      </c>
      <c r="S546" s="29">
        <f>LOOKUP(R546,{0,4.74,4.84,4.94,5.44,5.54,5.64,5.69,5.74,5.79,5.84,5.89,5.94,5.99,6.44,6.49,6.54,6.61,6.68,6.74,6.8},{0,10,20,30,40,50,60,62,64,66,68,70,72,74,76,78,80,85,90,95,100})</f>
        <v>30</v>
      </c>
      <c r="T546" s="27"/>
      <c r="U546" s="27"/>
      <c r="V546" s="27">
        <f t="shared" si="156"/>
        <v>30</v>
      </c>
      <c r="W546" s="27"/>
      <c r="X546" s="19">
        <f t="shared" si="157"/>
        <v>42.4</v>
      </c>
      <c r="Y546" s="13">
        <f t="shared" si="158"/>
        <v>60.5714285714286</v>
      </c>
      <c r="Z546" s="19"/>
    </row>
    <row r="547" ht="15.6" spans="1:26">
      <c r="A547" s="27">
        <v>312</v>
      </c>
      <c r="B547" s="27">
        <v>36</v>
      </c>
      <c r="C547" s="28" t="s">
        <v>611</v>
      </c>
      <c r="D547" s="28" t="s">
        <v>46</v>
      </c>
      <c r="E547" s="27">
        <v>22</v>
      </c>
      <c r="F547" s="29">
        <f>LOOKUP(E547,{0,1.5,2.3,3.1,3.9,4.7,5.5,6.8,8.1,9.4,10.7,12,13.3,14.6,15.9,17.2,18.5,20.2,21.9,23.6,25.3},{0,10,20,30,40,50,60,62,64,66,68,70,72,74,76,78,80,85,90,95,100})</f>
        <v>90</v>
      </c>
      <c r="G547" s="27">
        <v>180</v>
      </c>
      <c r="H547" s="29">
        <f>LOOKUP(G547,{0,125,130,135,140,145,150,153,156,159,162,165,168,171,174,177,180,187,194,200,206},{0,10,20,30,40,50,60,62,64,66,68,70,72,74,76,78,80,85,90,95,100})</f>
        <v>80</v>
      </c>
      <c r="I547" s="27">
        <v>47</v>
      </c>
      <c r="J547" s="29">
        <f>LOOKUP(I547,{0,15,17,19,21,23,25,27,29,31,33,35,37,39,41,43,45,48,51,53,55},{0,10,20,30,40,50,60,62,64,66,68,70,72,74,76,78,80,85,90,95,100})</f>
        <v>80</v>
      </c>
      <c r="K547" s="35"/>
      <c r="L547" s="35"/>
      <c r="M547" s="35">
        <f t="shared" si="153"/>
        <v>80</v>
      </c>
      <c r="N547" s="35">
        <v>9.4</v>
      </c>
      <c r="O547" s="36">
        <f t="shared" si="154"/>
        <v>8.6</v>
      </c>
      <c r="P547" s="29">
        <f>LOOKUP(O547,{0,6.6,6.8,7,7.2,7.4,7.6,7.8,8,8.2,8.4,8.6,8.8,9,9.2,9.4,9.6,9.9,10.2,10.3,10.4},{0,10,20,30,40,50,60,62,64,66,68,70,72,74,76,78,80,85,90,95,100})</f>
        <v>70</v>
      </c>
      <c r="Q547" s="5">
        <v>4.25</v>
      </c>
      <c r="R547" s="36">
        <f t="shared" si="155"/>
        <v>5.75</v>
      </c>
      <c r="S547" s="29">
        <f>LOOKUP(R547,{0,4.74,4.84,4.94,5.44,5.54,5.64,5.69,5.74,5.79,5.84,5.89,5.94,5.99,6.44,6.49,6.54,6.61,6.68,6.74,6.8},{0,10,20,30,40,50,60,62,64,66,68,70,72,74,76,78,80,85,90,95,100})</f>
        <v>64</v>
      </c>
      <c r="T547" s="27"/>
      <c r="U547" s="27"/>
      <c r="V547" s="27">
        <f t="shared" si="156"/>
        <v>64</v>
      </c>
      <c r="W547" s="27"/>
      <c r="X547" s="19">
        <f t="shared" si="157"/>
        <v>51.8</v>
      </c>
      <c r="Y547" s="13">
        <f t="shared" si="158"/>
        <v>74</v>
      </c>
      <c r="Z547" s="19"/>
    </row>
    <row r="548" ht="15.6" spans="1:26">
      <c r="A548" s="27">
        <v>312</v>
      </c>
      <c r="B548" s="27">
        <v>37</v>
      </c>
      <c r="C548" s="28" t="s">
        <v>612</v>
      </c>
      <c r="D548" s="28" t="s">
        <v>46</v>
      </c>
      <c r="E548" s="27">
        <v>15.5</v>
      </c>
      <c r="F548" s="29">
        <f>LOOKUP(E548,{0,1.5,2.3,3.1,3.9,4.7,5.5,6.8,8.1,9.4,10.7,12,13.3,14.6,15.9,17.2,18.5,20.2,21.9,23.6,25.3},{0,10,20,30,40,50,60,62,64,66,68,70,72,74,76,78,80,85,90,95,100})</f>
        <v>74</v>
      </c>
      <c r="G548" s="27">
        <v>178</v>
      </c>
      <c r="H548" s="29">
        <f>LOOKUP(G548,{0,125,130,135,140,145,150,153,156,159,162,165,168,171,174,177,180,187,194,200,206},{0,10,20,30,40,50,60,62,64,66,68,70,72,74,76,78,80,85,90,95,100})</f>
        <v>78</v>
      </c>
      <c r="I548" s="27">
        <v>40</v>
      </c>
      <c r="J548" s="29">
        <f>LOOKUP(I548,{0,15,17,19,21,23,25,27,29,31,33,35,37,39,41,43,45,48,51,53,55},{0,10,20,30,40,50,60,62,64,66,68,70,72,74,76,78,80,85,90,95,100})</f>
        <v>74</v>
      </c>
      <c r="K548" s="35"/>
      <c r="L548" s="35"/>
      <c r="M548" s="35">
        <f t="shared" si="153"/>
        <v>74</v>
      </c>
      <c r="N548" s="35">
        <v>9.9</v>
      </c>
      <c r="O548" s="36">
        <f t="shared" si="154"/>
        <v>8.1</v>
      </c>
      <c r="P548" s="29">
        <f>LOOKUP(O548,{0,6.6,6.8,7,7.2,7.4,7.6,7.8,8,8.2,8.4,8.6,8.8,9,9.2,9.4,9.6,9.9,10.2,10.3,10.4},{0,10,20,30,40,50,60,62,64,66,68,70,72,74,76,78,80,85,90,95,100})</f>
        <v>64</v>
      </c>
      <c r="Q548" s="5">
        <v>5.13</v>
      </c>
      <c r="R548" s="36">
        <f t="shared" si="155"/>
        <v>4.87</v>
      </c>
      <c r="S548" s="29">
        <f>LOOKUP(R548,{0,4.74,4.84,4.94,5.44,5.54,5.64,5.69,5.74,5.79,5.84,5.89,5.94,5.99,6.44,6.49,6.54,6.61,6.68,6.74,6.8},{0,10,20,30,40,50,60,62,64,66,68,70,72,74,76,78,80,85,90,95,100})</f>
        <v>20</v>
      </c>
      <c r="T548" s="27"/>
      <c r="U548" s="27"/>
      <c r="V548" s="27">
        <f t="shared" si="156"/>
        <v>20</v>
      </c>
      <c r="W548" s="27"/>
      <c r="X548" s="19">
        <f t="shared" si="157"/>
        <v>39.4</v>
      </c>
      <c r="Y548" s="13">
        <f t="shared" si="158"/>
        <v>56.2857142857143</v>
      </c>
      <c r="Z548" s="20"/>
    </row>
    <row r="549" ht="15.6" spans="1:26">
      <c r="A549" s="27">
        <v>312</v>
      </c>
      <c r="B549" s="27">
        <v>38</v>
      </c>
      <c r="C549" s="28" t="s">
        <v>613</v>
      </c>
      <c r="D549" s="28" t="s">
        <v>46</v>
      </c>
      <c r="E549" s="27">
        <v>8.5</v>
      </c>
      <c r="F549" s="29">
        <f>LOOKUP(E549,{0,1.5,2.3,3.1,3.9,4.7,5.5,6.8,8.1,9.4,10.7,12,13.3,14.6,15.9,17.2,18.5,20.2,21.9,23.6,25.3},{0,10,20,30,40,50,60,62,64,66,68,70,72,74,76,78,80,85,90,95,100})</f>
        <v>64</v>
      </c>
      <c r="G549" s="27">
        <v>173</v>
      </c>
      <c r="H549" s="29">
        <f>LOOKUP(G549,{0,125,130,135,140,145,150,153,156,159,162,165,168,171,174,177,180,187,194,200,206},{0,10,20,30,40,50,60,62,64,66,68,70,72,74,76,78,80,85,90,95,100})</f>
        <v>74</v>
      </c>
      <c r="I549" s="27">
        <v>42</v>
      </c>
      <c r="J549" s="29">
        <f>LOOKUP(I549,{0,15,17,19,21,23,25,27,29,31,33,35,37,39,41,43,45,48,51,53,55},{0,10,20,30,40,50,60,62,64,66,68,70,72,74,76,78,80,85,90,95,100})</f>
        <v>76</v>
      </c>
      <c r="K549" s="35"/>
      <c r="L549" s="35"/>
      <c r="M549" s="35">
        <f t="shared" si="153"/>
        <v>76</v>
      </c>
      <c r="N549" s="35">
        <v>9.4</v>
      </c>
      <c r="O549" s="36">
        <f t="shared" si="154"/>
        <v>8.6</v>
      </c>
      <c r="P549" s="29">
        <f>LOOKUP(O549,{0,6.6,6.8,7,7.2,7.4,7.6,7.8,8,8.2,8.4,8.6,8.8,9,9.2,9.4,9.6,9.9,10.2,10.3,10.4},{0,10,20,30,40,50,60,62,64,66,68,70,72,74,76,78,80,85,90,95,100})</f>
        <v>70</v>
      </c>
      <c r="Q549" s="5">
        <v>4.23</v>
      </c>
      <c r="R549" s="36">
        <f t="shared" si="155"/>
        <v>5.77</v>
      </c>
      <c r="S549" s="29">
        <f>LOOKUP(R549,{0,4.74,4.84,4.94,5.44,5.54,5.64,5.69,5.74,5.79,5.84,5.89,5.94,5.99,6.44,6.49,6.54,6.61,6.68,6.74,6.8},{0,10,20,30,40,50,60,62,64,66,68,70,72,74,76,78,80,85,90,95,100})</f>
        <v>64</v>
      </c>
      <c r="T549" s="27"/>
      <c r="U549" s="27"/>
      <c r="V549" s="27">
        <f t="shared" si="156"/>
        <v>64</v>
      </c>
      <c r="W549" s="27"/>
      <c r="X549" s="19">
        <f t="shared" si="157"/>
        <v>48.2</v>
      </c>
      <c r="Y549" s="13">
        <f t="shared" si="158"/>
        <v>68.8571428571429</v>
      </c>
      <c r="Z549" s="19"/>
    </row>
    <row r="550" ht="15.6" spans="1:26">
      <c r="A550" s="27">
        <v>312</v>
      </c>
      <c r="B550" s="27">
        <v>39</v>
      </c>
      <c r="C550" s="28" t="s">
        <v>614</v>
      </c>
      <c r="D550" s="28" t="s">
        <v>46</v>
      </c>
      <c r="E550" s="27">
        <v>9.7</v>
      </c>
      <c r="F550" s="29">
        <f>LOOKUP(E550,{0,1.5,2.3,3.1,3.9,4.7,5.5,6.8,8.1,9.4,10.7,12,13.3,14.6,15.9,17.2,18.5,20.2,21.9,23.6,25.3},{0,10,20,30,40,50,60,62,64,66,68,70,72,74,76,78,80,85,90,95,100})</f>
        <v>66</v>
      </c>
      <c r="G550" s="27">
        <v>182</v>
      </c>
      <c r="H550" s="29">
        <f>LOOKUP(G550,{0,125,130,135,140,145,150,153,156,159,162,165,168,171,174,177,180,187,194,200,206},{0,10,20,30,40,50,60,62,64,66,68,70,72,74,76,78,80,85,90,95,100})</f>
        <v>80</v>
      </c>
      <c r="I550" s="27">
        <v>45</v>
      </c>
      <c r="J550" s="29">
        <f>LOOKUP(I550,{0,15,17,19,21,23,25,27,29,31,33,35,37,39,41,43,45,48,51,53,55},{0,10,20,30,40,50,60,62,64,66,68,70,72,74,76,78,80,85,90,95,100})</f>
        <v>80</v>
      </c>
      <c r="K550" s="35"/>
      <c r="L550" s="35"/>
      <c r="M550" s="35">
        <f t="shared" si="153"/>
        <v>80</v>
      </c>
      <c r="N550" s="35">
        <v>9.2</v>
      </c>
      <c r="O550" s="36">
        <f t="shared" si="154"/>
        <v>8.8</v>
      </c>
      <c r="P550" s="29">
        <f>LOOKUP(O550,{0,6.6,6.8,7,7.2,7.4,7.6,7.8,8,8.2,8.4,8.6,8.8,9,9.2,9.4,9.6,9.9,10.2,10.3,10.4},{0,10,20,30,40,50,60,62,64,66,68,70,72,74,76,78,80,85,90,95,100})</f>
        <v>72</v>
      </c>
      <c r="Q550" s="5">
        <v>5.01</v>
      </c>
      <c r="R550" s="36">
        <f t="shared" si="155"/>
        <v>4.99</v>
      </c>
      <c r="S550" s="29">
        <f>LOOKUP(R550,{0,4.74,4.84,4.94,5.44,5.54,5.64,5.69,5.74,5.79,5.84,5.89,5.94,5.99,6.44,6.49,6.54,6.61,6.68,6.74,6.8},{0,10,20,30,40,50,60,62,64,66,68,70,72,74,76,78,80,85,90,95,100})</f>
        <v>30</v>
      </c>
      <c r="T550" s="27"/>
      <c r="U550" s="27"/>
      <c r="V550" s="27">
        <f t="shared" si="156"/>
        <v>30</v>
      </c>
      <c r="W550" s="27"/>
      <c r="X550" s="19">
        <f t="shared" si="157"/>
        <v>43</v>
      </c>
      <c r="Y550" s="13">
        <f t="shared" si="158"/>
        <v>61.4285714285714</v>
      </c>
      <c r="Z550" s="19"/>
    </row>
    <row r="551" ht="15.6" spans="1:26">
      <c r="A551" s="27">
        <v>312</v>
      </c>
      <c r="B551" s="27">
        <v>40</v>
      </c>
      <c r="C551" s="28" t="s">
        <v>615</v>
      </c>
      <c r="D551" s="28" t="s">
        <v>46</v>
      </c>
      <c r="E551" s="27">
        <v>24</v>
      </c>
      <c r="F551" s="29">
        <f>LOOKUP(E551,{0,1.5,2.3,3.1,3.9,4.7,5.5,6.8,8.1,9.4,10.7,12,13.3,14.6,15.9,17.2,18.5,20.2,21.9,23.6,25.3},{0,10,20,30,40,50,60,62,64,66,68,70,72,74,76,78,80,85,90,95,100})</f>
        <v>95</v>
      </c>
      <c r="G551" s="27">
        <v>165</v>
      </c>
      <c r="H551" s="29">
        <f>LOOKUP(G551,{0,125,130,135,140,145,150,153,156,159,162,165,168,171,174,177,180,187,194,200,206},{0,10,20,30,40,50,60,62,64,66,68,70,72,74,76,78,80,85,90,95,100})</f>
        <v>70</v>
      </c>
      <c r="I551" s="27">
        <v>37</v>
      </c>
      <c r="J551" s="29">
        <f>LOOKUP(I551,{0,15,17,19,21,23,25,27,29,31,33,35,37,39,41,43,45,48,51,53,55},{0,10,20,30,40,50,60,62,64,66,68,70,72,74,76,78,80,85,90,95,100})</f>
        <v>72</v>
      </c>
      <c r="K551" s="35"/>
      <c r="L551" s="35"/>
      <c r="M551" s="35">
        <f t="shared" si="153"/>
        <v>72</v>
      </c>
      <c r="N551" s="35">
        <v>8.6</v>
      </c>
      <c r="O551" s="36">
        <f t="shared" si="154"/>
        <v>9.4</v>
      </c>
      <c r="P551" s="29">
        <f>LOOKUP(O551,{0,6.6,6.8,7,7.2,7.4,7.6,7.8,8,8.2,8.4,8.6,8.8,9,9.2,9.4,9.6,9.9,10.2,10.3,10.4},{0,10,20,30,40,50,60,62,64,66,68,70,72,74,76,78,80,85,90,95,100})</f>
        <v>78</v>
      </c>
      <c r="Q551" s="5">
        <v>4.35</v>
      </c>
      <c r="R551" s="36">
        <f t="shared" si="155"/>
        <v>5.65</v>
      </c>
      <c r="S551" s="29">
        <f>LOOKUP(R551,{0,4.74,4.84,4.94,5.44,5.54,5.64,5.69,5.74,5.79,5.84,5.89,5.94,5.99,6.44,6.49,6.54,6.61,6.68,6.74,6.8},{0,10,20,30,40,50,60,62,64,66,68,70,72,74,76,78,80,85,90,95,100})</f>
        <v>60</v>
      </c>
      <c r="T551" s="27"/>
      <c r="U551" s="27"/>
      <c r="V551" s="27">
        <f t="shared" si="156"/>
        <v>60</v>
      </c>
      <c r="W551" s="27"/>
      <c r="X551" s="19">
        <f t="shared" si="157"/>
        <v>51.3</v>
      </c>
      <c r="Y551" s="13">
        <f t="shared" si="158"/>
        <v>73.2857142857143</v>
      </c>
      <c r="Z551" s="19"/>
    </row>
    <row r="552" ht="15.6" spans="1:26">
      <c r="A552" s="27">
        <v>312</v>
      </c>
      <c r="B552" s="27">
        <v>41</v>
      </c>
      <c r="C552" s="28" t="s">
        <v>616</v>
      </c>
      <c r="D552" s="28" t="s">
        <v>46</v>
      </c>
      <c r="E552" s="27">
        <v>8.5</v>
      </c>
      <c r="F552" s="29">
        <f>LOOKUP(E552,{0,1.5,2.3,3.1,3.9,4.7,5.5,6.8,8.1,9.4,10.7,12,13.3,14.6,15.9,17.2,18.5,20.2,21.9,23.6,25.3},{0,10,20,30,40,50,60,62,64,66,68,70,72,74,76,78,80,85,90,95,100})</f>
        <v>64</v>
      </c>
      <c r="G552" s="27">
        <v>180</v>
      </c>
      <c r="H552" s="29">
        <f>LOOKUP(G552,{0,125,130,135,140,145,150,153,156,159,162,165,168,171,174,177,180,187,194,200,206},{0,10,20,30,40,50,60,62,64,66,68,70,72,74,76,78,80,85,90,95,100})</f>
        <v>80</v>
      </c>
      <c r="I552" s="27">
        <v>30</v>
      </c>
      <c r="J552" s="29">
        <f>LOOKUP(I552,{0,15,17,19,21,23,25,27,29,31,33,35,37,39,41,43,45,48,51,53,55},{0,10,20,30,40,50,60,62,64,66,68,70,72,74,76,78,80,85,90,95,100})</f>
        <v>64</v>
      </c>
      <c r="K552" s="35"/>
      <c r="L552" s="35"/>
      <c r="M552" s="35">
        <f t="shared" si="153"/>
        <v>64</v>
      </c>
      <c r="N552" s="35">
        <v>8.4</v>
      </c>
      <c r="O552" s="36">
        <f t="shared" si="154"/>
        <v>9.6</v>
      </c>
      <c r="P552" s="29">
        <f>LOOKUP(O552,{0,6.6,6.8,7,7.2,7.4,7.6,7.8,8,8.2,8.4,8.6,8.8,9,9.2,9.4,9.6,9.9,10.2,10.3,10.4},{0,10,20,30,40,50,60,62,64,66,68,70,72,74,76,78,80,85,90,95,100})</f>
        <v>80</v>
      </c>
      <c r="Q552" s="5">
        <v>5</v>
      </c>
      <c r="R552" s="36">
        <f t="shared" si="155"/>
        <v>5</v>
      </c>
      <c r="S552" s="29">
        <f>LOOKUP(R552,{0,4.74,4.84,4.94,5.44,5.54,5.64,5.69,5.74,5.79,5.84,5.89,5.94,5.99,6.44,6.49,6.54,6.61,6.68,6.74,6.8},{0,10,20,30,40,50,60,62,64,66,68,70,72,74,76,78,80,85,90,95,100})</f>
        <v>30</v>
      </c>
      <c r="T552" s="27"/>
      <c r="U552" s="27"/>
      <c r="V552" s="27">
        <f t="shared" si="156"/>
        <v>30</v>
      </c>
      <c r="W552" s="27"/>
      <c r="X552" s="19">
        <f t="shared" si="157"/>
        <v>42.8</v>
      </c>
      <c r="Y552" s="13">
        <f t="shared" si="158"/>
        <v>61.1428571428571</v>
      </c>
      <c r="Z552" s="19"/>
    </row>
    <row r="553" ht="15.6" spans="1:26">
      <c r="A553" s="27">
        <v>312</v>
      </c>
      <c r="B553" s="27">
        <v>42</v>
      </c>
      <c r="C553" s="30" t="s">
        <v>618</v>
      </c>
      <c r="D553" s="28" t="s">
        <v>46</v>
      </c>
      <c r="E553" s="27">
        <v>24</v>
      </c>
      <c r="F553" s="29">
        <f>LOOKUP(E553,{0,1.5,2.3,3.1,3.9,4.7,5.5,6.8,8.1,9.4,10.7,12,13.3,14.6,15.9,17.2,18.5,20.2,21.9,23.6,25.3},{0,10,20,30,40,50,60,62,64,66,68,70,72,74,76,78,80,85,90,95,100})</f>
        <v>95</v>
      </c>
      <c r="G553" s="27">
        <v>147</v>
      </c>
      <c r="H553" s="29">
        <f>LOOKUP(G553,{0,125,130,135,140,145,150,153,156,159,162,165,168,171,174,177,180,187,194,200,206},{0,10,20,30,40,50,60,62,64,66,68,70,72,74,76,78,80,85,90,95,100})</f>
        <v>50</v>
      </c>
      <c r="I553" s="27">
        <v>38</v>
      </c>
      <c r="J553" s="29">
        <f>LOOKUP(I553,{0,15,17,19,21,23,25,27,29,31,33,35,37,39,41,43,45,48,51,53,55},{0,10,20,30,40,50,60,62,64,66,68,70,72,74,76,78,80,85,90,95,100})</f>
        <v>72</v>
      </c>
      <c r="K553" s="35"/>
      <c r="L553" s="35"/>
      <c r="M553" s="35">
        <f t="shared" si="153"/>
        <v>72</v>
      </c>
      <c r="N553" s="35">
        <v>9.5</v>
      </c>
      <c r="O553" s="36">
        <f t="shared" si="154"/>
        <v>8.5</v>
      </c>
      <c r="P553" s="29">
        <f>LOOKUP(O553,{0,6.6,6.8,7,7.2,7.4,7.6,7.8,8,8.2,8.4,8.6,8.8,9,9.2,9.4,9.6,9.9,10.2,10.3,10.4},{0,10,20,30,40,50,60,62,64,66,68,70,72,74,76,78,80,85,90,95,100})</f>
        <v>68</v>
      </c>
      <c r="Q553" s="5">
        <v>5.05</v>
      </c>
      <c r="R553" s="36">
        <f t="shared" si="155"/>
        <v>4.95</v>
      </c>
      <c r="S553" s="29">
        <f>LOOKUP(R553,{0,4.74,4.84,4.94,5.44,5.54,5.64,5.69,5.74,5.79,5.84,5.89,5.94,5.99,6.44,6.49,6.54,6.61,6.68,6.74,6.8},{0,10,20,30,40,50,60,62,64,66,68,70,72,74,76,78,80,85,90,95,100})</f>
        <v>30</v>
      </c>
      <c r="T553" s="27"/>
      <c r="U553" s="27"/>
      <c r="V553" s="27">
        <f t="shared" si="156"/>
        <v>30</v>
      </c>
      <c r="W553" s="27"/>
      <c r="X553" s="19">
        <f t="shared" si="157"/>
        <v>41.3</v>
      </c>
      <c r="Y553" s="13">
        <f t="shared" si="158"/>
        <v>59</v>
      </c>
      <c r="Z553" s="19"/>
    </row>
    <row r="554" ht="15.6" spans="1:26">
      <c r="A554" s="27">
        <v>312</v>
      </c>
      <c r="B554" s="27">
        <v>43</v>
      </c>
      <c r="C554" s="28" t="s">
        <v>619</v>
      </c>
      <c r="D554" s="28" t="s">
        <v>46</v>
      </c>
      <c r="E554" s="27">
        <v>17</v>
      </c>
      <c r="F554" s="29">
        <f>LOOKUP(E554,{0,1.5,2.3,3.1,3.9,4.7,5.5,6.8,8.1,9.4,10.7,12,13.3,14.6,15.9,17.2,18.5,20.2,21.9,23.6,25.3},{0,10,20,30,40,50,60,62,64,66,68,70,72,74,76,78,80,85,90,95,100})</f>
        <v>76</v>
      </c>
      <c r="G554" s="27">
        <v>170</v>
      </c>
      <c r="H554" s="29">
        <f>LOOKUP(G554,{0,125,130,135,140,145,150,153,156,159,162,165,168,171,174,177,180,187,194,200,206},{0,10,20,30,40,50,60,62,64,66,68,70,72,74,76,78,80,85,90,95,100})</f>
        <v>72</v>
      </c>
      <c r="I554" s="27">
        <v>42</v>
      </c>
      <c r="J554" s="29">
        <f>LOOKUP(I554,{0,15,17,19,21,23,25,27,29,31,33,35,37,39,41,43,45,48,51,53,55},{0,10,20,30,40,50,60,62,64,66,68,70,72,74,76,78,80,85,90,95,100})</f>
        <v>76</v>
      </c>
      <c r="K554" s="35"/>
      <c r="L554" s="35"/>
      <c r="M554" s="35">
        <f t="shared" si="153"/>
        <v>76</v>
      </c>
      <c r="N554" s="35">
        <v>9.1</v>
      </c>
      <c r="O554" s="36">
        <f t="shared" si="154"/>
        <v>8.9</v>
      </c>
      <c r="P554" s="29">
        <f>LOOKUP(O554,{0,6.6,6.8,7,7.2,7.4,7.6,7.8,8,8.2,8.4,8.6,8.8,9,9.2,9.4,9.6,9.9,10.2,10.3,10.4},{0,10,20,30,40,50,60,62,64,66,68,70,72,74,76,78,80,85,90,95,100})</f>
        <v>72</v>
      </c>
      <c r="Q554" s="5">
        <v>4.03</v>
      </c>
      <c r="R554" s="36">
        <f t="shared" si="155"/>
        <v>5.97</v>
      </c>
      <c r="S554" s="29">
        <f>LOOKUP(R554,{0,4.74,4.84,4.94,5.44,5.54,5.64,5.69,5.74,5.79,5.84,5.89,5.94,5.99,6.44,6.49,6.54,6.61,6.68,6.74,6.8},{0,10,20,30,40,50,60,62,64,66,68,70,72,74,76,78,80,85,90,95,100})</f>
        <v>72</v>
      </c>
      <c r="T554" s="27"/>
      <c r="U554" s="27"/>
      <c r="V554" s="27">
        <f t="shared" si="156"/>
        <v>72</v>
      </c>
      <c r="W554" s="27"/>
      <c r="X554" s="19">
        <f t="shared" si="157"/>
        <v>51.2</v>
      </c>
      <c r="Y554" s="13">
        <f t="shared" si="158"/>
        <v>73.1428571428572</v>
      </c>
      <c r="Z554" s="19"/>
    </row>
    <row r="555" ht="15.6" spans="1:26">
      <c r="A555" s="27">
        <v>312</v>
      </c>
      <c r="B555" s="27">
        <v>44</v>
      </c>
      <c r="C555" s="28" t="s">
        <v>620</v>
      </c>
      <c r="D555" s="28" t="s">
        <v>46</v>
      </c>
      <c r="E555" s="27">
        <v>21</v>
      </c>
      <c r="F555" s="29">
        <f>LOOKUP(E555,{0,1.5,2.3,3.1,3.9,4.7,5.5,6.8,8.1,9.4,10.7,12,13.3,14.6,15.9,17.2,18.5,20.2,21.9,23.6,25.3},{0,10,20,30,40,50,60,62,64,66,68,70,72,74,76,78,80,85,90,95,100})</f>
        <v>85</v>
      </c>
      <c r="G555" s="27">
        <v>167</v>
      </c>
      <c r="H555" s="29">
        <f>LOOKUP(G555,{0,125,130,135,140,145,150,153,156,159,162,165,168,171,174,177,180,187,194,200,206},{0,10,20,30,40,50,60,62,64,66,68,70,72,74,76,78,80,85,90,95,100})</f>
        <v>70</v>
      </c>
      <c r="I555" s="27">
        <v>53</v>
      </c>
      <c r="J555" s="29">
        <f>LOOKUP(I555,{0,15,17,19,21,23,25,27,29,31,33,35,37,39,41,43,45,48,51,53,55},{0,10,20,30,40,50,60,62,64,66,68,70,72,74,76,78,80,85,90,95,100})</f>
        <v>95</v>
      </c>
      <c r="K555" s="35"/>
      <c r="L555" s="39"/>
      <c r="M555" s="35">
        <f t="shared" si="153"/>
        <v>95</v>
      </c>
      <c r="N555" s="35">
        <v>8.6</v>
      </c>
      <c r="O555" s="36">
        <f t="shared" si="154"/>
        <v>9.4</v>
      </c>
      <c r="P555" s="29">
        <f>LOOKUP(O555,{0,6.6,6.8,7,7.2,7.4,7.6,7.8,8,8.2,8.4,8.6,8.8,9,9.2,9.4,9.6,9.9,10.2,10.3,10.4},{0,10,20,30,40,50,60,62,64,66,68,70,72,74,76,78,80,85,90,95,100})</f>
        <v>78</v>
      </c>
      <c r="Q555" s="5">
        <v>4.12</v>
      </c>
      <c r="R555" s="36">
        <f t="shared" si="155"/>
        <v>5.88</v>
      </c>
      <c r="S555" s="29">
        <f>LOOKUP(R555,{0,4.74,4.84,4.94,5.44,5.54,5.64,5.69,5.74,5.79,5.84,5.89,5.94,5.99,6.44,6.49,6.54,6.61,6.68,6.74,6.8},{0,10,20,30,40,50,60,62,64,66,68,70,72,74,76,78,80,85,90,95,100})</f>
        <v>68</v>
      </c>
      <c r="T555" s="27"/>
      <c r="U555" s="27"/>
      <c r="V555" s="27">
        <f t="shared" si="156"/>
        <v>68</v>
      </c>
      <c r="W555" s="27"/>
      <c r="X555" s="19">
        <f t="shared" si="157"/>
        <v>54.2</v>
      </c>
      <c r="Y555" s="13">
        <f t="shared" si="158"/>
        <v>77.4285714285714</v>
      </c>
      <c r="Z555" s="19"/>
    </row>
    <row r="556" ht="15.6" spans="1:26">
      <c r="A556" s="27">
        <v>312</v>
      </c>
      <c r="B556" s="27">
        <v>45</v>
      </c>
      <c r="C556" s="28" t="s">
        <v>621</v>
      </c>
      <c r="D556" s="28" t="s">
        <v>46</v>
      </c>
      <c r="E556" s="27">
        <v>22</v>
      </c>
      <c r="F556" s="29">
        <f>LOOKUP(E556,{0,1.5,2.3,3.1,3.9,4.7,5.5,6.8,8.1,9.4,10.7,12,13.3,14.6,15.9,17.2,18.5,20.2,21.9,23.6,25.3},{0,10,20,30,40,50,60,62,64,66,68,70,72,74,76,78,80,85,90,95,100})</f>
        <v>90</v>
      </c>
      <c r="G556" s="27">
        <v>125</v>
      </c>
      <c r="H556" s="29">
        <f>LOOKUP(G556,{0,125,130,135,140,145,150,153,156,159,162,165,168,171,174,177,180,187,194,200,206},{0,10,20,30,40,50,60,62,64,66,68,70,72,74,76,78,80,85,90,95,100})</f>
        <v>10</v>
      </c>
      <c r="I556" s="27">
        <v>32</v>
      </c>
      <c r="J556" s="29">
        <f>LOOKUP(I556,{0,15,17,19,21,23,25,27,29,31,33,35,37,39,41,43,45,48,51,53,55},{0,10,20,30,40,50,60,62,64,66,68,70,72,74,76,78,80,85,90,95,100})</f>
        <v>66</v>
      </c>
      <c r="K556" s="35"/>
      <c r="L556" s="35"/>
      <c r="M556" s="35">
        <f t="shared" si="153"/>
        <v>66</v>
      </c>
      <c r="N556" s="35">
        <v>11.1</v>
      </c>
      <c r="O556" s="36">
        <f t="shared" si="154"/>
        <v>6.9</v>
      </c>
      <c r="P556" s="29">
        <f>LOOKUP(O556,{0,6.6,6.8,7,7.2,7.4,7.6,7.8,8,8.2,8.4,8.6,8.8,9,9.2,9.4,9.6,9.9,10.2,10.3,10.4},{0,10,20,30,40,50,60,62,64,66,68,70,72,74,76,78,80,85,90,95,100})</f>
        <v>20</v>
      </c>
      <c r="Q556" s="5">
        <v>5.12</v>
      </c>
      <c r="R556" s="36">
        <f t="shared" si="155"/>
        <v>4.88</v>
      </c>
      <c r="S556" s="29">
        <f>LOOKUP(R556,{0,4.74,4.84,4.94,5.44,5.54,5.64,5.69,5.74,5.79,5.84,5.89,5.94,5.99,6.44,6.49,6.54,6.61,6.68,6.74,6.8},{0,10,20,30,40,50,60,62,64,66,68,70,72,74,76,78,80,85,90,95,100})</f>
        <v>20</v>
      </c>
      <c r="T556" s="27"/>
      <c r="U556" s="27"/>
      <c r="V556" s="27">
        <f t="shared" si="156"/>
        <v>20</v>
      </c>
      <c r="W556" s="27"/>
      <c r="X556" s="19">
        <f t="shared" si="157"/>
        <v>24.6</v>
      </c>
      <c r="Y556" s="13">
        <f t="shared" si="158"/>
        <v>35.1428571428571</v>
      </c>
      <c r="Z556" s="19"/>
    </row>
    <row r="557" ht="15.6" spans="1:26">
      <c r="A557" s="27">
        <v>312</v>
      </c>
      <c r="B557" s="27">
        <v>46</v>
      </c>
      <c r="C557" s="28" t="s">
        <v>622</v>
      </c>
      <c r="D557" s="28" t="s">
        <v>46</v>
      </c>
      <c r="E557" s="27">
        <v>20</v>
      </c>
      <c r="F557" s="29">
        <f>LOOKUP(E557,{0,1.5,2.3,3.1,3.9,4.7,5.5,6.8,8.1,9.4,10.7,12,13.3,14.6,15.9,17.2,18.5,20.2,21.9,23.6,25.3},{0,10,20,30,40,50,60,62,64,66,68,70,72,74,76,78,80,85,90,95,100})</f>
        <v>80</v>
      </c>
      <c r="G557" s="27">
        <v>155</v>
      </c>
      <c r="H557" s="29">
        <f>LOOKUP(G557,{0,125,130,135,140,145,150,153,156,159,162,165,168,171,174,177,180,187,194,200,206},{0,10,20,30,40,50,60,62,64,66,68,70,72,74,76,78,80,85,90,95,100})</f>
        <v>62</v>
      </c>
      <c r="I557" s="27">
        <v>56</v>
      </c>
      <c r="J557" s="29">
        <f>LOOKUP(I557,{0,15,17,19,21,23,25,27,29,31,33,35,37,39,41,43,45,48,51,53,55},{0,10,20,30,40,50,60,62,64,66,68,70,72,74,76,78,80,85,90,95,100})</f>
        <v>100</v>
      </c>
      <c r="K557" s="34">
        <f>I557-55</f>
        <v>1</v>
      </c>
      <c r="L557" s="29">
        <f>LOOKUP(K557,{0,2,4,6,7,8,9,10,11,12,13},{0,1,2,3,4,5,6,7,8,9,10})</f>
        <v>0</v>
      </c>
      <c r="M557" s="35">
        <f t="shared" si="153"/>
        <v>100</v>
      </c>
      <c r="N557" s="35">
        <v>9.9</v>
      </c>
      <c r="O557" s="36">
        <f t="shared" si="154"/>
        <v>8.1</v>
      </c>
      <c r="P557" s="29">
        <f>LOOKUP(O557,{0,6.6,6.8,7,7.2,7.4,7.6,7.8,8,8.2,8.4,8.6,8.8,9,9.2,9.4,9.6,9.9,10.2,10.3,10.4},{0,10,20,30,40,50,60,62,64,66,68,70,72,74,76,78,80,85,90,95,100})</f>
        <v>64</v>
      </c>
      <c r="Q557" s="5">
        <v>4.02</v>
      </c>
      <c r="R557" s="36">
        <f t="shared" si="155"/>
        <v>5.98</v>
      </c>
      <c r="S557" s="29">
        <f>LOOKUP(R557,{0,4.74,4.84,4.94,5.44,5.54,5.64,5.69,5.74,5.79,5.84,5.89,5.94,5.99,6.44,6.49,6.54,6.61,6.68,6.74,6.8},{0,10,20,30,40,50,60,62,64,66,68,70,72,74,76,78,80,85,90,95,100})</f>
        <v>72</v>
      </c>
      <c r="T557" s="27"/>
      <c r="U557" s="27"/>
      <c r="V557" s="27">
        <f t="shared" si="156"/>
        <v>72</v>
      </c>
      <c r="W557" s="27"/>
      <c r="X557" s="19">
        <f t="shared" si="157"/>
        <v>51.4</v>
      </c>
      <c r="Y557" s="13">
        <f t="shared" si="158"/>
        <v>73.4285714285714</v>
      </c>
      <c r="Z557" s="19"/>
    </row>
    <row r="558" ht="15.6" spans="1:26">
      <c r="A558" s="27">
        <v>312</v>
      </c>
      <c r="B558" s="27">
        <v>47</v>
      </c>
      <c r="C558" s="28" t="s">
        <v>623</v>
      </c>
      <c r="D558" s="28" t="s">
        <v>46</v>
      </c>
      <c r="E558" s="27">
        <v>5</v>
      </c>
      <c r="F558" s="29">
        <f>LOOKUP(E558,{0,1.5,2.3,3.1,3.9,4.7,5.5,6.8,8.1,9.4,10.7,12,13.3,14.6,15.9,17.2,18.5,20.2,21.9,23.6,25.3},{0,10,20,30,40,50,60,62,64,66,68,70,72,74,76,78,80,85,90,95,100})</f>
        <v>50</v>
      </c>
      <c r="G558" s="27">
        <v>146</v>
      </c>
      <c r="H558" s="29">
        <f>LOOKUP(G558,{0,125,130,135,140,145,150,153,156,159,162,165,168,171,174,177,180,187,194,200,206},{0,10,20,30,40,50,60,62,64,66,68,70,72,74,76,78,80,85,90,95,100})</f>
        <v>50</v>
      </c>
      <c r="I558" s="27">
        <v>31</v>
      </c>
      <c r="J558" s="29">
        <f>LOOKUP(I558,{0,15,17,19,21,23,25,27,29,31,33,35,37,39,41,43,45,48,51,53,55},{0,10,20,30,40,50,60,62,64,66,68,70,72,74,76,78,80,85,90,95,100})</f>
        <v>66</v>
      </c>
      <c r="K558" s="35"/>
      <c r="L558" s="35"/>
      <c r="M558" s="35">
        <f t="shared" si="153"/>
        <v>66</v>
      </c>
      <c r="N558" s="35">
        <v>10.6</v>
      </c>
      <c r="O558" s="36">
        <f t="shared" si="154"/>
        <v>7.4</v>
      </c>
      <c r="P558" s="29">
        <f>LOOKUP(O558,{0,6.6,6.8,7,7.2,7.4,7.6,7.8,8,8.2,8.4,8.6,8.8,9,9.2,9.4,9.6,9.9,10.2,10.3,10.4},{0,10,20,30,40,50,60,62,64,66,68,70,72,74,76,78,80,85,90,95,100})</f>
        <v>50</v>
      </c>
      <c r="Q558" s="5"/>
      <c r="R558" s="27"/>
      <c r="S558" s="27"/>
      <c r="T558" s="27"/>
      <c r="U558" s="27"/>
      <c r="V558" s="27"/>
      <c r="W558" s="27">
        <v>50</v>
      </c>
      <c r="X558" s="19"/>
      <c r="Y558" s="19">
        <v>50</v>
      </c>
      <c r="Z558" s="19"/>
    </row>
    <row r="559" ht="15.6" spans="1:26">
      <c r="A559" s="27">
        <v>312</v>
      </c>
      <c r="B559" s="27">
        <v>48</v>
      </c>
      <c r="C559" s="28" t="s">
        <v>624</v>
      </c>
      <c r="D559" s="28" t="s">
        <v>46</v>
      </c>
      <c r="E559" s="27">
        <v>25</v>
      </c>
      <c r="F559" s="29">
        <f>LOOKUP(E559,{0,1.5,2.3,3.1,3.9,4.7,5.5,6.8,8.1,9.4,10.7,12,13.3,14.6,15.9,17.2,18.5,20.2,21.9,23.6,25.3},{0,10,20,30,40,50,60,62,64,66,68,70,72,74,76,78,80,85,90,95,100})</f>
        <v>95</v>
      </c>
      <c r="G559" s="27">
        <v>165</v>
      </c>
      <c r="H559" s="29">
        <f>LOOKUP(G559,{0,125,130,135,140,145,150,153,156,159,162,165,168,171,174,177,180,187,194,200,206},{0,10,20,30,40,50,60,62,64,66,68,70,72,74,76,78,80,85,90,95,100})</f>
        <v>70</v>
      </c>
      <c r="I559" s="27">
        <v>51</v>
      </c>
      <c r="J559" s="29">
        <f>LOOKUP(I559,{0,15,17,19,21,23,25,27,29,31,33,35,37,39,41,43,45,48,51,53,55},{0,10,20,30,40,50,60,62,64,66,68,70,72,74,76,78,80,85,90,95,100})</f>
        <v>90</v>
      </c>
      <c r="K559" s="35"/>
      <c r="L559" s="35"/>
      <c r="M559" s="35">
        <f t="shared" si="153"/>
        <v>90</v>
      </c>
      <c r="N559" s="35">
        <v>10.6</v>
      </c>
      <c r="O559" s="36">
        <f t="shared" si="154"/>
        <v>7.4</v>
      </c>
      <c r="P559" s="29">
        <f>LOOKUP(O559,{0,6.6,6.8,7,7.2,7.4,7.6,7.8,8,8.2,8.4,8.6,8.8,9,9.2,9.4,9.6,9.9,10.2,10.3,10.4},{0,10,20,30,40,50,60,62,64,66,68,70,72,74,76,78,80,85,90,95,100})</f>
        <v>50</v>
      </c>
      <c r="Q559" s="5">
        <v>5.11</v>
      </c>
      <c r="R559" s="36">
        <f>10-Q559</f>
        <v>4.89</v>
      </c>
      <c r="S559" s="29">
        <f>LOOKUP(R559,{0,4.74,4.84,4.94,5.44,5.54,5.64,5.69,5.74,5.79,5.84,5.89,5.94,5.99,6.44,6.49,6.54,6.61,6.68,6.74,6.8},{0,10,20,30,40,50,60,62,64,66,68,70,72,74,76,78,80,85,90,95,100})</f>
        <v>20</v>
      </c>
      <c r="T559" s="27"/>
      <c r="U559" s="27"/>
      <c r="V559" s="27">
        <f>S559+U559</f>
        <v>20</v>
      </c>
      <c r="W559" s="27"/>
      <c r="X559" s="19">
        <f>F559*0.1+H559*0.1+J559*0.1+P559*0.2+S559*0.2</f>
        <v>39.5</v>
      </c>
      <c r="Y559" s="13">
        <f>X559/0.7+L559+U559</f>
        <v>56.4285714285714</v>
      </c>
      <c r="Z559" s="19"/>
    </row>
    <row r="560" spans="1:26">
      <c r="A560" s="27">
        <v>312</v>
      </c>
      <c r="B560" s="27">
        <v>49</v>
      </c>
      <c r="C560" s="28" t="s">
        <v>625</v>
      </c>
      <c r="D560" s="28" t="s">
        <v>46</v>
      </c>
      <c r="E560" s="27"/>
      <c r="F560" s="27"/>
      <c r="G560" s="27"/>
      <c r="H560" s="27"/>
      <c r="I560" s="27"/>
      <c r="J560" s="35"/>
      <c r="K560" s="35"/>
      <c r="L560" s="35"/>
      <c r="M560" s="35"/>
      <c r="N560" s="35"/>
      <c r="O560" s="5"/>
      <c r="P560" s="5"/>
      <c r="Q560" s="5"/>
      <c r="R560" s="27"/>
      <c r="S560" s="27"/>
      <c r="T560" s="27"/>
      <c r="U560" s="27"/>
      <c r="V560" s="27"/>
      <c r="W560" s="27">
        <v>50</v>
      </c>
      <c r="X560" s="19"/>
      <c r="Y560" s="19">
        <v>50</v>
      </c>
      <c r="Z560" s="19"/>
    </row>
    <row r="561" ht="15.6" spans="1:26">
      <c r="A561" s="27">
        <v>313</v>
      </c>
      <c r="B561" s="27">
        <v>1</v>
      </c>
      <c r="C561" s="30" t="s">
        <v>627</v>
      </c>
      <c r="D561" s="28" t="s">
        <v>12</v>
      </c>
      <c r="E561" s="27">
        <v>15.5</v>
      </c>
      <c r="F561" s="29">
        <f>LOOKUP(E561,{0,-1.8,-0.8,0.2,1.2,2.2,3.2,4.6,6,7.4,8.8,10.2,11.6,13,14.4,15.8,17.2,19.1,21,22.8,24.6},{0,10,20,30,40,50,60,62,64,66,68,70,72,74,76,78,80,85,90,95,100})</f>
        <v>76</v>
      </c>
      <c r="G561" s="27">
        <v>220</v>
      </c>
      <c r="H561" s="29">
        <f>LOOKUP(G561,{0,180,185,190,195,200,205,209,213,217,221,225,229,233,237,241,245,253,260,265,270},{0,10,20,30,40,50,60,62,64,66,68,70,72,74,76,78,80,85,90,95,100})</f>
        <v>66</v>
      </c>
      <c r="I561" s="27">
        <v>0</v>
      </c>
      <c r="J561" s="29">
        <f>LOOKUP(I561,{0,4,5,6,7,8,9,10,11,12,13,14,15,16,17,18},{0,10,20,30,40,50,60,64,68,72,76,80,85,90,95,100})</f>
        <v>0</v>
      </c>
      <c r="K561" s="44"/>
      <c r="L561" s="35"/>
      <c r="M561" s="35">
        <f>J561+L561</f>
        <v>0</v>
      </c>
      <c r="N561" s="35">
        <v>7.7</v>
      </c>
      <c r="O561" s="36">
        <f>18-N561</f>
        <v>10.3</v>
      </c>
      <c r="P561" s="29">
        <f>LOOKUP(O561,{0,7.8,8,8.2,8.4,8.6,8.8,9,9.2,9.4,9.6,9.8,10,10.2,10.4,10.6,10.8,10.9,11,11.1,11.2},{0,10,20,30,40,50,60,62,64,66,68,70,72,74,76,78,80,85,90,95,100})</f>
        <v>74</v>
      </c>
      <c r="Q561" s="5">
        <v>5.09</v>
      </c>
      <c r="R561" s="36">
        <f>10-Q561</f>
        <v>4.91</v>
      </c>
      <c r="S561" s="29">
        <f>LOOKUP(R561,{0,3.85,4.45,4.65,4.85,5.45,5.65,5.7,5.75,5.8,5.85,5.9,5.95,6,6.45,6.5,6.55,6.63,6.7,6.75,6.8},{0,10,20,30,40,50,60,62,64,66,68,70,72,74,76,78,80,85,90,95,100})</f>
        <v>40</v>
      </c>
      <c r="T561" s="27"/>
      <c r="U561" s="27"/>
      <c r="V561" s="27">
        <f>S561+U561</f>
        <v>40</v>
      </c>
      <c r="W561" s="27"/>
      <c r="X561" s="19">
        <f>F561*0.1+H561*0.1+J561*0.1+P561*0.2+S561*0.2</f>
        <v>37</v>
      </c>
      <c r="Y561" s="13">
        <f>X561/0.7+L561+U561</f>
        <v>52.8571428571429</v>
      </c>
      <c r="Z561" s="19"/>
    </row>
    <row r="562" ht="15.6" spans="1:26">
      <c r="A562" s="27">
        <v>313</v>
      </c>
      <c r="B562" s="27">
        <v>2</v>
      </c>
      <c r="C562" s="28" t="s">
        <v>628</v>
      </c>
      <c r="D562" s="28" t="s">
        <v>12</v>
      </c>
      <c r="E562" s="27"/>
      <c r="F562" s="29"/>
      <c r="G562" s="27"/>
      <c r="H562" s="29"/>
      <c r="I562" s="27"/>
      <c r="J562" s="35"/>
      <c r="K562" s="44"/>
      <c r="L562" s="35"/>
      <c r="M562" s="35"/>
      <c r="N562" s="35"/>
      <c r="O562" s="5"/>
      <c r="P562" s="5"/>
      <c r="Q562" s="5"/>
      <c r="R562" s="27"/>
      <c r="S562" s="27"/>
      <c r="T562" s="27"/>
      <c r="U562" s="27"/>
      <c r="V562" s="27"/>
      <c r="W562" s="27">
        <v>50</v>
      </c>
      <c r="X562" s="19"/>
      <c r="Y562" s="19">
        <v>50</v>
      </c>
      <c r="Z562" s="19"/>
    </row>
    <row r="563" ht="15.6" spans="1:26">
      <c r="A563" s="27">
        <v>313</v>
      </c>
      <c r="B563" s="27">
        <v>3</v>
      </c>
      <c r="C563" s="28" t="s">
        <v>629</v>
      </c>
      <c r="D563" s="28" t="s">
        <v>12</v>
      </c>
      <c r="E563" s="27"/>
      <c r="F563" s="29"/>
      <c r="G563" s="27"/>
      <c r="H563" s="29"/>
      <c r="I563" s="27"/>
      <c r="J563" s="35"/>
      <c r="K563" s="44"/>
      <c r="L563" s="35"/>
      <c r="M563" s="35"/>
      <c r="N563" s="35"/>
      <c r="O563" s="5"/>
      <c r="P563" s="5"/>
      <c r="Q563" s="5"/>
      <c r="R563" s="27"/>
      <c r="S563" s="27"/>
      <c r="T563" s="27"/>
      <c r="U563" s="27"/>
      <c r="V563" s="27"/>
      <c r="W563" s="27">
        <v>50</v>
      </c>
      <c r="X563" s="19"/>
      <c r="Y563" s="19">
        <v>50</v>
      </c>
      <c r="Z563" s="19"/>
    </row>
    <row r="564" ht="15.6" spans="1:26">
      <c r="A564" s="27">
        <v>313</v>
      </c>
      <c r="B564" s="27">
        <v>4</v>
      </c>
      <c r="C564" s="28" t="s">
        <v>630</v>
      </c>
      <c r="D564" s="28" t="s">
        <v>12</v>
      </c>
      <c r="E564" s="27">
        <v>20</v>
      </c>
      <c r="F564" s="29">
        <f>LOOKUP(E564,{0,-1.8,-0.8,0.2,1.2,2.2,3.2,4.6,6,7.4,8.8,10.2,11.6,13,14.4,15.8,17.2,19.1,21,22.8,24.6},{0,10,20,30,40,50,60,62,64,66,68,70,72,74,76,78,80,85,90,95,100})</f>
        <v>85</v>
      </c>
      <c r="G564" s="27">
        <v>240</v>
      </c>
      <c r="H564" s="29">
        <f>LOOKUP(G564,{0,180,185,190,195,200,205,209,213,217,221,225,229,233,237,241,245,253,260,265,270},{0,10,20,30,40,50,60,62,64,66,68,70,72,74,76,78,80,85,90,95,100})</f>
        <v>76</v>
      </c>
      <c r="I564" s="27">
        <v>1</v>
      </c>
      <c r="J564" s="29">
        <f>LOOKUP(I564,{0,4,5,6,7,8,9,10,11,12,13,14,15,16,17,18},{0,10,20,30,40,50,60,64,68,72,76,80,85,90,95,100})</f>
        <v>0</v>
      </c>
      <c r="K564" s="44"/>
      <c r="L564" s="35"/>
      <c r="M564" s="35">
        <f t="shared" ref="M564:M578" si="159">J564+L564</f>
        <v>0</v>
      </c>
      <c r="N564" s="35">
        <v>7.1</v>
      </c>
      <c r="O564" s="36">
        <f t="shared" ref="O564:O578" si="160">18-N564</f>
        <v>10.9</v>
      </c>
      <c r="P564" s="29">
        <f>LOOKUP(O564,{0,7.8,8,8.2,8.4,8.6,8.8,9,9.2,9.4,9.6,9.8,10,10.2,10.4,10.6,10.8,10.9,11,11.1,11.2},{0,10,20,30,40,50,60,62,64,66,68,70,72,74,76,78,80,85,90,95,100})</f>
        <v>85</v>
      </c>
      <c r="Q564" s="5">
        <v>5.09</v>
      </c>
      <c r="R564" s="36">
        <f t="shared" ref="R564:R578" si="161">10-Q564</f>
        <v>4.91</v>
      </c>
      <c r="S564" s="29">
        <f>LOOKUP(R564,{0,3.85,4.45,4.65,4.85,5.45,5.65,5.7,5.75,5.8,5.85,5.9,5.95,6,6.45,6.5,6.55,6.63,6.7,6.75,6.8},{0,10,20,30,40,50,60,62,64,66,68,70,72,74,76,78,80,85,90,95,100})</f>
        <v>40</v>
      </c>
      <c r="T564" s="27"/>
      <c r="U564" s="27"/>
      <c r="V564" s="27">
        <f t="shared" ref="V564:V578" si="162">S564+U564</f>
        <v>40</v>
      </c>
      <c r="W564" s="27"/>
      <c r="X564" s="19">
        <f t="shared" ref="X564:X578" si="163">F564*0.1+H564*0.1+J564*0.1+P564*0.2+S564*0.2</f>
        <v>41.1</v>
      </c>
      <c r="Y564" s="13">
        <f t="shared" ref="Y564:Y578" si="164">X564/0.7+L564+U564</f>
        <v>58.7142857142857</v>
      </c>
      <c r="Z564" s="19"/>
    </row>
    <row r="565" ht="15.6" spans="1:26">
      <c r="A565" s="27">
        <v>313</v>
      </c>
      <c r="B565" s="27">
        <v>5</v>
      </c>
      <c r="C565" s="28" t="s">
        <v>631</v>
      </c>
      <c r="D565" s="28" t="s">
        <v>12</v>
      </c>
      <c r="E565" s="27">
        <v>20.5</v>
      </c>
      <c r="F565" s="29">
        <f>LOOKUP(E565,{0,-1.8,-0.8,0.2,1.2,2.2,3.2,4.6,6,7.4,8.8,10.2,11.6,13,14.4,15.8,17.2,19.1,21,22.8,24.6},{0,10,20,30,40,50,60,62,64,66,68,70,72,74,76,78,80,85,90,95,100})</f>
        <v>85</v>
      </c>
      <c r="G565" s="27">
        <v>284</v>
      </c>
      <c r="H565" s="29">
        <f>LOOKUP(G565,{0,180,185,190,195,200,205,209,213,217,221,225,229,233,237,241,245,253,260,265,270},{0,10,20,30,40,50,60,62,64,66,68,70,72,74,76,78,80,85,90,95,100})</f>
        <v>100</v>
      </c>
      <c r="I565" s="27">
        <v>47</v>
      </c>
      <c r="J565" s="29">
        <f>LOOKUP(I565,{0,4,5,6,7,8,9,10,11,12,13,14,15,16,17,18},{0,10,20,30,40,50,60,64,68,72,76,80,85,90,95,100})</f>
        <v>100</v>
      </c>
      <c r="K565" s="44">
        <f>I565-18</f>
        <v>29</v>
      </c>
      <c r="L565" s="29">
        <f>LOOKUP(K565,{0,1,2,3,4,5,6,7,8,9,10},{0,1,2,3,4,5,6,7,8,9,10})</f>
        <v>10</v>
      </c>
      <c r="M565" s="35">
        <f t="shared" si="159"/>
        <v>110</v>
      </c>
      <c r="N565" s="35">
        <v>6.8</v>
      </c>
      <c r="O565" s="36">
        <f t="shared" si="160"/>
        <v>11.2</v>
      </c>
      <c r="P565" s="29">
        <f>LOOKUP(O565,{0,7.8,8,8.2,8.4,8.6,8.8,9,9.2,9.4,9.6,9.8,10,10.2,10.4,10.6,10.8,10.9,11,11.1,11.2},{0,10,20,30,40,50,60,62,64,66,68,70,72,74,76,78,80,85,90,95,100})</f>
        <v>100</v>
      </c>
      <c r="Q565" s="5">
        <v>3.33</v>
      </c>
      <c r="R565" s="36">
        <f t="shared" si="161"/>
        <v>6.67</v>
      </c>
      <c r="S565" s="29">
        <f>LOOKUP(R565,{0,3.85,4.45,4.65,4.85,5.45,5.65,5.7,5.75,5.8,5.85,5.9,5.95,6,6.45,6.5,6.55,6.63,6.7,6.75,6.8},{0,10,20,30,40,50,60,62,64,66,68,70,72,74,76,78,80,85,90,95,100})</f>
        <v>85</v>
      </c>
      <c r="T565" s="27"/>
      <c r="U565" s="27"/>
      <c r="V565" s="27">
        <f t="shared" si="162"/>
        <v>85</v>
      </c>
      <c r="W565" s="27"/>
      <c r="X565" s="19">
        <f t="shared" si="163"/>
        <v>65.5</v>
      </c>
      <c r="Y565" s="13">
        <f t="shared" si="164"/>
        <v>103.571428571429</v>
      </c>
      <c r="Z565" s="19"/>
    </row>
    <row r="566" ht="15.6" spans="1:26">
      <c r="A566" s="27">
        <v>313</v>
      </c>
      <c r="B566" s="27">
        <v>6</v>
      </c>
      <c r="C566" s="28" t="s">
        <v>632</v>
      </c>
      <c r="D566" s="28" t="s">
        <v>12</v>
      </c>
      <c r="E566" s="27">
        <v>9.5</v>
      </c>
      <c r="F566" s="29">
        <f>LOOKUP(E566,{0,-1.8,-0.8,0.2,1.2,2.2,3.2,4.6,6,7.4,8.8,10.2,11.6,13,14.4,15.8,17.2,19.1,21,22.8,24.6},{0,10,20,30,40,50,60,62,64,66,68,70,72,74,76,78,80,85,90,95,100})</f>
        <v>68</v>
      </c>
      <c r="G566" s="27">
        <v>245</v>
      </c>
      <c r="H566" s="29">
        <f>LOOKUP(G566,{0,180,185,190,195,200,205,209,213,217,221,225,229,233,237,241,245,253,260,265,270},{0,10,20,30,40,50,60,62,64,66,68,70,72,74,76,78,80,85,90,95,100})</f>
        <v>80</v>
      </c>
      <c r="I566" s="27">
        <v>19</v>
      </c>
      <c r="J566" s="29">
        <f>LOOKUP(I566,{0,4,5,6,7,8,9,10,11,12,13,14,15,16,17,18},{0,10,20,30,40,50,60,64,68,72,76,80,85,90,95,100})</f>
        <v>100</v>
      </c>
      <c r="K566" s="44">
        <f>I566-18</f>
        <v>1</v>
      </c>
      <c r="L566" s="29">
        <f>LOOKUP(K566,{0,1,2,3,4,5,6,7,8,9,10},{0,1,2,3,4,5,6,7,8,9,10})</f>
        <v>1</v>
      </c>
      <c r="M566" s="35">
        <f t="shared" si="159"/>
        <v>101</v>
      </c>
      <c r="N566" s="35">
        <v>7.6</v>
      </c>
      <c r="O566" s="36">
        <f t="shared" si="160"/>
        <v>10.4</v>
      </c>
      <c r="P566" s="29">
        <f>LOOKUP(O566,{0,7.8,8,8.2,8.4,8.6,8.8,9,9.2,9.4,9.6,9.8,10,10.2,10.4,10.6,10.8,10.9,11,11.1,11.2},{0,10,20,30,40,50,60,62,64,66,68,70,72,74,76,78,80,85,90,95,100})</f>
        <v>76</v>
      </c>
      <c r="Q566" s="5">
        <v>5.09</v>
      </c>
      <c r="R566" s="36">
        <f t="shared" si="161"/>
        <v>4.91</v>
      </c>
      <c r="S566" s="29">
        <f>LOOKUP(R566,{0,3.85,4.45,4.65,4.85,5.45,5.65,5.7,5.75,5.8,5.85,5.9,5.95,6,6.45,6.5,6.55,6.63,6.7,6.75,6.8},{0,10,20,30,40,50,60,62,64,66,68,70,72,74,76,78,80,85,90,95,100})</f>
        <v>40</v>
      </c>
      <c r="T566" s="27"/>
      <c r="U566" s="27"/>
      <c r="V566" s="27">
        <f t="shared" si="162"/>
        <v>40</v>
      </c>
      <c r="W566" s="27"/>
      <c r="X566" s="19">
        <f t="shared" si="163"/>
        <v>48</v>
      </c>
      <c r="Y566" s="13">
        <f t="shared" si="164"/>
        <v>69.5714285714286</v>
      </c>
      <c r="Z566" s="19"/>
    </row>
    <row r="567" ht="15.6" spans="1:26">
      <c r="A567" s="27">
        <v>313</v>
      </c>
      <c r="B567" s="27">
        <v>7</v>
      </c>
      <c r="C567" s="28" t="s">
        <v>633</v>
      </c>
      <c r="D567" s="28" t="s">
        <v>12</v>
      </c>
      <c r="E567" s="27">
        <v>16.5</v>
      </c>
      <c r="F567" s="29">
        <f>LOOKUP(E567,{0,-1.8,-0.8,0.2,1.2,2.2,3.2,4.6,6,7.4,8.8,10.2,11.6,13,14.4,15.8,17.2,19.1,21,22.8,24.6},{0,10,20,30,40,50,60,62,64,66,68,70,72,74,76,78,80,85,90,95,100})</f>
        <v>78</v>
      </c>
      <c r="G567" s="27">
        <v>260</v>
      </c>
      <c r="H567" s="29">
        <f>LOOKUP(G567,{0,180,185,190,195,200,205,209,213,217,221,225,229,233,237,241,245,253,260,265,270},{0,10,20,30,40,50,60,62,64,66,68,70,72,74,76,78,80,85,90,95,100})</f>
        <v>90</v>
      </c>
      <c r="I567" s="27">
        <v>16</v>
      </c>
      <c r="J567" s="29">
        <f>LOOKUP(I567,{0,4,5,6,7,8,9,10,11,12,13,14,15,16,17,18},{0,10,20,30,40,50,60,64,68,72,76,80,85,90,95,100})</f>
        <v>90</v>
      </c>
      <c r="K567" s="44"/>
      <c r="L567" s="35"/>
      <c r="M567" s="35">
        <f t="shared" si="159"/>
        <v>90</v>
      </c>
      <c r="N567" s="35">
        <v>6.6</v>
      </c>
      <c r="O567" s="36">
        <f t="shared" si="160"/>
        <v>11.4</v>
      </c>
      <c r="P567" s="29">
        <f>LOOKUP(O567,{0,7.8,8,8.2,8.4,8.6,8.8,9,9.2,9.4,9.6,9.8,10,10.2,10.4,10.6,10.8,10.9,11,11.1,11.2},{0,10,20,30,40,50,60,62,64,66,68,70,72,74,76,78,80,85,90,95,100})</f>
        <v>100</v>
      </c>
      <c r="Q567" s="5">
        <v>5.09</v>
      </c>
      <c r="R567" s="36">
        <f t="shared" si="161"/>
        <v>4.91</v>
      </c>
      <c r="S567" s="29">
        <f>LOOKUP(R567,{0,3.85,4.45,4.65,4.85,5.45,5.65,5.7,5.75,5.8,5.85,5.9,5.95,6,6.45,6.5,6.55,6.63,6.7,6.75,6.8},{0,10,20,30,40,50,60,62,64,66,68,70,72,74,76,78,80,85,90,95,100})</f>
        <v>40</v>
      </c>
      <c r="T567" s="27"/>
      <c r="U567" s="27"/>
      <c r="V567" s="27">
        <f t="shared" si="162"/>
        <v>40</v>
      </c>
      <c r="W567" s="27"/>
      <c r="X567" s="19">
        <f t="shared" si="163"/>
        <v>53.8</v>
      </c>
      <c r="Y567" s="13">
        <f t="shared" si="164"/>
        <v>76.8571428571429</v>
      </c>
      <c r="Z567" s="19"/>
    </row>
    <row r="568" ht="15.6" spans="1:26">
      <c r="A568" s="27">
        <v>313</v>
      </c>
      <c r="B568" s="27">
        <v>8</v>
      </c>
      <c r="C568" s="28" t="s">
        <v>634</v>
      </c>
      <c r="D568" s="28" t="s">
        <v>12</v>
      </c>
      <c r="E568" s="27">
        <v>23</v>
      </c>
      <c r="F568" s="29">
        <f>LOOKUP(E568,{0,-1.8,-0.8,0.2,1.2,2.2,3.2,4.6,6,7.4,8.8,10.2,11.6,13,14.4,15.8,17.2,19.1,21,22.8,24.6},{0,10,20,30,40,50,60,62,64,66,68,70,72,74,76,78,80,85,90,95,100})</f>
        <v>95</v>
      </c>
      <c r="G568" s="27">
        <v>240</v>
      </c>
      <c r="H568" s="29">
        <f>LOOKUP(G568,{0,180,185,190,195,200,205,209,213,217,221,225,229,233,237,241,245,253,260,265,270},{0,10,20,30,40,50,60,62,64,66,68,70,72,74,76,78,80,85,90,95,100})</f>
        <v>76</v>
      </c>
      <c r="I568" s="27">
        <v>15</v>
      </c>
      <c r="J568" s="29">
        <f>LOOKUP(I568,{0,4,5,6,7,8,9,10,11,12,13,14,15,16,17,18},{0,10,20,30,40,50,60,64,68,72,76,80,85,90,95,100})</f>
        <v>85</v>
      </c>
      <c r="K568" s="44"/>
      <c r="L568" s="35"/>
      <c r="M568" s="35">
        <f t="shared" si="159"/>
        <v>85</v>
      </c>
      <c r="N568" s="35">
        <v>6.8</v>
      </c>
      <c r="O568" s="36">
        <f t="shared" si="160"/>
        <v>11.2</v>
      </c>
      <c r="P568" s="29">
        <f>LOOKUP(O568,{0,7.8,8,8.2,8.4,8.6,8.8,9,9.2,9.4,9.6,9.8,10,10.2,10.4,10.6,10.8,10.9,11,11.1,11.2},{0,10,20,30,40,50,60,62,64,66,68,70,72,74,76,78,80,85,90,95,100})</f>
        <v>100</v>
      </c>
      <c r="Q568" s="5">
        <v>3.33</v>
      </c>
      <c r="R568" s="36">
        <f t="shared" si="161"/>
        <v>6.67</v>
      </c>
      <c r="S568" s="29">
        <f>LOOKUP(R568,{0,3.85,4.45,4.65,4.85,5.45,5.65,5.7,5.75,5.8,5.85,5.9,5.95,6,6.45,6.5,6.55,6.63,6.7,6.75,6.8},{0,10,20,30,40,50,60,62,64,66,68,70,72,74,76,78,80,85,90,95,100})</f>
        <v>85</v>
      </c>
      <c r="T568" s="27"/>
      <c r="U568" s="27"/>
      <c r="V568" s="27">
        <f t="shared" si="162"/>
        <v>85</v>
      </c>
      <c r="W568" s="27"/>
      <c r="X568" s="19">
        <f t="shared" si="163"/>
        <v>62.6</v>
      </c>
      <c r="Y568" s="13">
        <f t="shared" si="164"/>
        <v>89.4285714285714</v>
      </c>
      <c r="Z568" s="19"/>
    </row>
    <row r="569" ht="15.6" spans="1:26">
      <c r="A569" s="27">
        <v>313</v>
      </c>
      <c r="B569" s="27">
        <v>9</v>
      </c>
      <c r="C569" s="30" t="s">
        <v>636</v>
      </c>
      <c r="D569" s="28" t="s">
        <v>12</v>
      </c>
      <c r="E569" s="27">
        <v>7.5</v>
      </c>
      <c r="F569" s="29">
        <f>LOOKUP(E569,{0,-1.8,-0.8,0.2,1.2,2.2,3.2,4.6,6,7.4,8.8,10.2,11.6,13,14.4,15.8,17.2,19.1,21,22.8,24.6},{0,10,20,30,40,50,60,62,64,66,68,70,72,74,76,78,80,85,90,95,100})</f>
        <v>66</v>
      </c>
      <c r="G569" s="27">
        <v>214</v>
      </c>
      <c r="H569" s="29">
        <f>LOOKUP(G569,{0,180,185,190,195,200,205,209,213,217,221,225,229,233,237,241,245,253,260,265,270},{0,10,20,30,40,50,60,62,64,66,68,70,72,74,76,78,80,85,90,95,100})</f>
        <v>64</v>
      </c>
      <c r="I569" s="27">
        <v>10</v>
      </c>
      <c r="J569" s="29">
        <f>LOOKUP(I569,{0,4,5,6,7,8,9,10,11,12,13,14,15,16,17,18},{0,10,20,30,40,50,60,64,68,72,76,80,85,90,95,100})</f>
        <v>64</v>
      </c>
      <c r="K569" s="44"/>
      <c r="L569" s="35"/>
      <c r="M569" s="35">
        <f t="shared" si="159"/>
        <v>64</v>
      </c>
      <c r="N569" s="35">
        <v>7.3</v>
      </c>
      <c r="O569" s="36">
        <f t="shared" si="160"/>
        <v>10.7</v>
      </c>
      <c r="P569" s="29">
        <f>LOOKUP(O569,{0,7.8,8,8.2,8.4,8.6,8.8,9,9.2,9.4,9.6,9.8,10,10.2,10.4,10.6,10.8,10.9,11,11.1,11.2},{0,10,20,30,40,50,60,62,64,66,68,70,72,74,76,78,80,85,90,95,100})</f>
        <v>78</v>
      </c>
      <c r="Q569" s="5">
        <v>5.09</v>
      </c>
      <c r="R569" s="36">
        <f t="shared" si="161"/>
        <v>4.91</v>
      </c>
      <c r="S569" s="29">
        <f>LOOKUP(R569,{0,3.85,4.45,4.65,4.85,5.45,5.65,5.7,5.75,5.8,5.85,5.9,5.95,6,6.45,6.5,6.55,6.63,6.7,6.75,6.8},{0,10,20,30,40,50,60,62,64,66,68,70,72,74,76,78,80,85,90,95,100})</f>
        <v>40</v>
      </c>
      <c r="T569" s="27"/>
      <c r="U569" s="27"/>
      <c r="V569" s="27">
        <f t="shared" si="162"/>
        <v>40</v>
      </c>
      <c r="W569" s="27"/>
      <c r="X569" s="19">
        <f t="shared" si="163"/>
        <v>43</v>
      </c>
      <c r="Y569" s="13">
        <f t="shared" si="164"/>
        <v>61.4285714285714</v>
      </c>
      <c r="Z569" s="22"/>
    </row>
    <row r="570" ht="15.6" spans="1:26">
      <c r="A570" s="27">
        <v>313</v>
      </c>
      <c r="B570" s="27">
        <v>10</v>
      </c>
      <c r="C570" s="28" t="s">
        <v>637</v>
      </c>
      <c r="D570" s="28" t="s">
        <v>12</v>
      </c>
      <c r="E570" s="27">
        <v>12</v>
      </c>
      <c r="F570" s="29">
        <f>LOOKUP(E570,{0,-1.8,-0.8,0.2,1.2,2.2,3.2,4.6,6,7.4,8.8,10.2,11.6,13,14.4,15.8,17.2,19.1,21,22.8,24.6},{0,10,20,30,40,50,60,62,64,66,68,70,72,74,76,78,80,85,90,95,100})</f>
        <v>72</v>
      </c>
      <c r="G570" s="27">
        <v>257</v>
      </c>
      <c r="H570" s="29">
        <f>LOOKUP(G570,{0,180,185,190,195,200,205,209,213,217,221,225,229,233,237,241,245,253,260,265,270},{0,10,20,30,40,50,60,62,64,66,68,70,72,74,76,78,80,85,90,95,100})</f>
        <v>85</v>
      </c>
      <c r="I570" s="27">
        <v>18</v>
      </c>
      <c r="J570" s="29">
        <f>LOOKUP(I570,{0,4,5,6,7,8,9,10,11,12,13,14,15,16,17,18},{0,10,20,30,40,50,60,64,68,72,76,80,85,90,95,100})</f>
        <v>100</v>
      </c>
      <c r="K570" s="44"/>
      <c r="L570" s="35"/>
      <c r="M570" s="35">
        <f t="shared" si="159"/>
        <v>100</v>
      </c>
      <c r="N570" s="35">
        <v>6.9</v>
      </c>
      <c r="O570" s="36">
        <f t="shared" si="160"/>
        <v>11.1</v>
      </c>
      <c r="P570" s="29">
        <f>LOOKUP(O570,{0,7.8,8,8.2,8.4,8.6,8.8,9,9.2,9.4,9.6,9.8,10,10.2,10.4,10.6,10.8,10.9,11,11.1,11.2},{0,10,20,30,40,50,60,62,64,66,68,70,72,74,76,78,80,85,90,95,100})</f>
        <v>95</v>
      </c>
      <c r="Q570" s="5">
        <v>5.09</v>
      </c>
      <c r="R570" s="36">
        <f t="shared" si="161"/>
        <v>4.91</v>
      </c>
      <c r="S570" s="29">
        <f>LOOKUP(R570,{0,3.85,4.45,4.65,4.85,5.45,5.65,5.7,5.75,5.8,5.85,5.9,5.95,6,6.45,6.5,6.55,6.63,6.7,6.75,6.8},{0,10,20,30,40,50,60,62,64,66,68,70,72,74,76,78,80,85,90,95,100})</f>
        <v>40</v>
      </c>
      <c r="T570" s="27"/>
      <c r="U570" s="27"/>
      <c r="V570" s="27">
        <f t="shared" si="162"/>
        <v>40</v>
      </c>
      <c r="W570" s="27"/>
      <c r="X570" s="19">
        <f t="shared" si="163"/>
        <v>52.7</v>
      </c>
      <c r="Y570" s="13">
        <f t="shared" si="164"/>
        <v>75.2857142857143</v>
      </c>
      <c r="Z570" s="20"/>
    </row>
    <row r="571" ht="15.6" spans="1:26">
      <c r="A571" s="27">
        <v>313</v>
      </c>
      <c r="B571" s="27">
        <v>11</v>
      </c>
      <c r="C571" s="28" t="s">
        <v>638</v>
      </c>
      <c r="D571" s="28" t="s">
        <v>12</v>
      </c>
      <c r="E571" s="27">
        <v>11</v>
      </c>
      <c r="F571" s="29">
        <f>LOOKUP(E571,{0,-1.8,-0.8,0.2,1.2,2.2,3.2,4.6,6,7.4,8.8,10.2,11.6,13,14.4,15.8,17.2,19.1,21,22.8,24.6},{0,10,20,30,40,50,60,62,64,66,68,70,72,74,76,78,80,85,90,95,100})</f>
        <v>70</v>
      </c>
      <c r="G571" s="27">
        <v>260</v>
      </c>
      <c r="H571" s="29">
        <f>LOOKUP(G571,{0,180,185,190,195,200,205,209,213,217,221,225,229,233,237,241,245,253,260,265,270},{0,10,20,30,40,50,60,62,64,66,68,70,72,74,76,78,80,85,90,95,100})</f>
        <v>90</v>
      </c>
      <c r="I571" s="27">
        <v>10</v>
      </c>
      <c r="J571" s="29">
        <f>LOOKUP(I571,{0,4,5,6,7,8,9,10,11,12,13,14,15,16,17,18},{0,10,20,30,40,50,60,64,68,72,76,80,85,90,95,100})</f>
        <v>64</v>
      </c>
      <c r="K571" s="44"/>
      <c r="L571" s="35"/>
      <c r="M571" s="35">
        <f t="shared" si="159"/>
        <v>64</v>
      </c>
      <c r="N571" s="35">
        <v>7.1</v>
      </c>
      <c r="O571" s="36">
        <f t="shared" si="160"/>
        <v>10.9</v>
      </c>
      <c r="P571" s="29">
        <f>LOOKUP(O571,{0,7.8,8,8.2,8.4,8.6,8.8,9,9.2,9.4,9.6,9.8,10,10.2,10.4,10.6,10.8,10.9,11,11.1,11.2},{0,10,20,30,40,50,60,62,64,66,68,70,72,74,76,78,80,85,90,95,100})</f>
        <v>85</v>
      </c>
      <c r="Q571" s="5">
        <v>5.09</v>
      </c>
      <c r="R571" s="36">
        <f t="shared" si="161"/>
        <v>4.91</v>
      </c>
      <c r="S571" s="29">
        <f>LOOKUP(R571,{0,3.85,4.45,4.65,4.85,5.45,5.65,5.7,5.75,5.8,5.85,5.9,5.95,6,6.45,6.5,6.55,6.63,6.7,6.75,6.8},{0,10,20,30,40,50,60,62,64,66,68,70,72,74,76,78,80,85,90,95,100})</f>
        <v>40</v>
      </c>
      <c r="T571" s="27"/>
      <c r="U571" s="27"/>
      <c r="V571" s="27">
        <f t="shared" si="162"/>
        <v>40</v>
      </c>
      <c r="W571" s="27"/>
      <c r="X571" s="19">
        <f t="shared" si="163"/>
        <v>47.4</v>
      </c>
      <c r="Y571" s="13">
        <f t="shared" si="164"/>
        <v>67.7142857142857</v>
      </c>
      <c r="Z571" s="19"/>
    </row>
    <row r="572" ht="15.6" spans="1:26">
      <c r="A572" s="27">
        <v>313</v>
      </c>
      <c r="B572" s="27">
        <v>12</v>
      </c>
      <c r="C572" s="28" t="s">
        <v>639</v>
      </c>
      <c r="D572" s="28" t="s">
        <v>12</v>
      </c>
      <c r="E572" s="27">
        <v>19.7</v>
      </c>
      <c r="F572" s="29">
        <f>LOOKUP(E572,{0,-1.8,-0.8,0.2,1.2,2.2,3.2,4.6,6,7.4,8.8,10.2,11.6,13,14.4,15.8,17.2,19.1,21,22.8,24.6},{0,10,20,30,40,50,60,62,64,66,68,70,72,74,76,78,80,85,90,95,100})</f>
        <v>85</v>
      </c>
      <c r="G572" s="27">
        <v>205</v>
      </c>
      <c r="H572" s="29">
        <f>LOOKUP(G572,{0,180,185,190,195,200,205,209,213,217,221,225,229,233,237,241,245,253,260,265,270},{0,10,20,30,40,50,60,62,64,66,68,70,72,74,76,78,80,85,90,95,100})</f>
        <v>60</v>
      </c>
      <c r="I572" s="27">
        <v>0</v>
      </c>
      <c r="J572" s="29">
        <f>LOOKUP(I572,{0,4,5,6,7,8,9,10,11,12,13,14,15,16,17,18},{0,10,20,30,40,50,60,64,68,72,76,80,85,90,95,100})</f>
        <v>0</v>
      </c>
      <c r="K572" s="44"/>
      <c r="L572" s="35"/>
      <c r="M572" s="35">
        <f t="shared" si="159"/>
        <v>0</v>
      </c>
      <c r="N572" s="35">
        <v>8.2</v>
      </c>
      <c r="O572" s="36">
        <f t="shared" si="160"/>
        <v>9.8</v>
      </c>
      <c r="P572" s="29">
        <f>LOOKUP(O572,{0,7.8,8,8.2,8.4,8.6,8.8,9,9.2,9.4,9.6,9.8,10,10.2,10.4,10.6,10.8,10.9,11,11.1,11.2},{0,10,20,30,40,50,60,62,64,66,68,70,72,74,76,78,80,85,90,95,100})</f>
        <v>70</v>
      </c>
      <c r="Q572" s="5">
        <v>4.05</v>
      </c>
      <c r="R572" s="36">
        <f t="shared" si="161"/>
        <v>5.95</v>
      </c>
      <c r="S572" s="29">
        <f>LOOKUP(R572,{0,3.85,4.45,4.65,4.85,5.45,5.65,5.7,5.75,5.8,5.85,5.9,5.95,6,6.45,6.5,6.55,6.63,6.7,6.75,6.8},{0,10,20,30,40,50,60,62,64,66,68,70,72,74,76,78,80,85,90,95,100})</f>
        <v>72</v>
      </c>
      <c r="T572" s="27"/>
      <c r="U572" s="27"/>
      <c r="V572" s="27">
        <f t="shared" si="162"/>
        <v>72</v>
      </c>
      <c r="W572" s="27"/>
      <c r="X572" s="19">
        <f t="shared" si="163"/>
        <v>42.9</v>
      </c>
      <c r="Y572" s="13">
        <f t="shared" si="164"/>
        <v>61.2857142857143</v>
      </c>
      <c r="Z572" s="19"/>
    </row>
    <row r="573" ht="15.6" spans="1:26">
      <c r="A573" s="27">
        <v>313</v>
      </c>
      <c r="B573" s="27">
        <v>13</v>
      </c>
      <c r="C573" s="28" t="s">
        <v>640</v>
      </c>
      <c r="D573" s="28" t="s">
        <v>12</v>
      </c>
      <c r="E573" s="27">
        <v>18</v>
      </c>
      <c r="F573" s="29">
        <f>LOOKUP(E573,{0,-1.8,-0.8,0.2,1.2,2.2,3.2,4.6,6,7.4,8.8,10.2,11.6,13,14.4,15.8,17.2,19.1,21,22.8,24.6},{0,10,20,30,40,50,60,62,64,66,68,70,72,74,76,78,80,85,90,95,100})</f>
        <v>80</v>
      </c>
      <c r="G573" s="27">
        <v>204</v>
      </c>
      <c r="H573" s="29">
        <f>LOOKUP(G573,{0,180,185,190,195,200,205,209,213,217,221,225,229,233,237,241,245,253,260,265,270},{0,10,20,30,40,50,60,62,64,66,68,70,72,74,76,78,80,85,90,95,100})</f>
        <v>50</v>
      </c>
      <c r="I573" s="27">
        <v>0</v>
      </c>
      <c r="J573" s="29">
        <f>LOOKUP(I573,{0,4,5,6,7,8,9,10,11,12,13,14,15,16,17,18},{0,10,20,30,40,50,60,64,68,72,76,80,85,90,95,100})</f>
        <v>0</v>
      </c>
      <c r="K573" s="44"/>
      <c r="L573" s="35"/>
      <c r="M573" s="35">
        <f t="shared" si="159"/>
        <v>0</v>
      </c>
      <c r="N573" s="35">
        <v>8.2</v>
      </c>
      <c r="O573" s="36">
        <f t="shared" si="160"/>
        <v>9.8</v>
      </c>
      <c r="P573" s="29">
        <f>LOOKUP(O573,{0,7.8,8,8.2,8.4,8.6,8.8,9,9.2,9.4,9.6,9.8,10,10.2,10.4,10.6,10.8,10.9,11,11.1,11.2},{0,10,20,30,40,50,60,62,64,66,68,70,72,74,76,78,80,85,90,95,100})</f>
        <v>70</v>
      </c>
      <c r="Q573" s="5">
        <v>5.09</v>
      </c>
      <c r="R573" s="36">
        <f t="shared" si="161"/>
        <v>4.91</v>
      </c>
      <c r="S573" s="29">
        <f>LOOKUP(R573,{0,3.85,4.45,4.65,4.85,5.45,5.65,5.7,5.75,5.8,5.85,5.9,5.95,6,6.45,6.5,6.55,6.63,6.7,6.75,6.8},{0,10,20,30,40,50,60,62,64,66,68,70,72,74,76,78,80,85,90,95,100})</f>
        <v>40</v>
      </c>
      <c r="T573" s="27"/>
      <c r="U573" s="27"/>
      <c r="V573" s="27">
        <f t="shared" si="162"/>
        <v>40</v>
      </c>
      <c r="W573" s="27"/>
      <c r="X573" s="19">
        <f t="shared" si="163"/>
        <v>35</v>
      </c>
      <c r="Y573" s="13">
        <f t="shared" si="164"/>
        <v>50</v>
      </c>
      <c r="Z573" s="20"/>
    </row>
    <row r="574" ht="15.6" spans="1:26">
      <c r="A574" s="27">
        <v>313</v>
      </c>
      <c r="B574" s="27">
        <v>14</v>
      </c>
      <c r="C574" s="28" t="s">
        <v>641</v>
      </c>
      <c r="D574" s="28" t="s">
        <v>12</v>
      </c>
      <c r="E574" s="27">
        <v>22.3</v>
      </c>
      <c r="F574" s="29">
        <f>LOOKUP(E574,{0,-1.8,-0.8,0.2,1.2,2.2,3.2,4.6,6,7.4,8.8,10.2,11.6,13,14.4,15.8,17.2,19.1,21,22.8,24.6},{0,10,20,30,40,50,60,62,64,66,68,70,72,74,76,78,80,85,90,95,100})</f>
        <v>90</v>
      </c>
      <c r="G574" s="27">
        <v>230</v>
      </c>
      <c r="H574" s="29">
        <f>LOOKUP(G574,{0,180,185,190,195,200,205,209,213,217,221,225,229,233,237,241,245,253,260,265,270},{0,10,20,30,40,50,60,62,64,66,68,70,72,74,76,78,80,85,90,95,100})</f>
        <v>72</v>
      </c>
      <c r="I574" s="27">
        <v>0</v>
      </c>
      <c r="J574" s="29">
        <f>LOOKUP(I574,{0,4,5,6,7,8,9,10,11,12,13,14,15,16,17,18},{0,10,20,30,40,50,60,64,68,72,76,80,85,90,95,100})</f>
        <v>0</v>
      </c>
      <c r="K574" s="44"/>
      <c r="L574" s="35"/>
      <c r="M574" s="35">
        <f t="shared" si="159"/>
        <v>0</v>
      </c>
      <c r="N574" s="35">
        <v>7.8</v>
      </c>
      <c r="O574" s="36">
        <f t="shared" si="160"/>
        <v>10.2</v>
      </c>
      <c r="P574" s="29">
        <f>LOOKUP(O574,{0,7.8,8,8.2,8.4,8.6,8.8,9,9.2,9.4,9.6,9.8,10,10.2,10.4,10.6,10.8,10.9,11,11.1,11.2},{0,10,20,30,40,50,60,62,64,66,68,70,72,74,76,78,80,85,90,95,100})</f>
        <v>74</v>
      </c>
      <c r="Q574" s="5">
        <v>3.51</v>
      </c>
      <c r="R574" s="36">
        <f t="shared" si="161"/>
        <v>6.49</v>
      </c>
      <c r="S574" s="29">
        <f>LOOKUP(R574,{0,3.85,4.45,4.65,4.85,5.45,5.65,5.7,5.75,5.8,5.85,5.9,5.95,6,6.45,6.5,6.55,6.63,6.7,6.75,6.8},{0,10,20,30,40,50,60,62,64,66,68,70,72,74,76,78,80,85,90,95,100})</f>
        <v>76</v>
      </c>
      <c r="T574" s="27"/>
      <c r="U574" s="27"/>
      <c r="V574" s="27">
        <f t="shared" si="162"/>
        <v>76</v>
      </c>
      <c r="W574" s="27"/>
      <c r="X574" s="19">
        <f t="shared" si="163"/>
        <v>46.2</v>
      </c>
      <c r="Y574" s="13">
        <f t="shared" si="164"/>
        <v>66</v>
      </c>
      <c r="Z574" s="19"/>
    </row>
    <row r="575" ht="15.6" spans="1:26">
      <c r="A575" s="27">
        <v>313</v>
      </c>
      <c r="B575" s="27">
        <v>15</v>
      </c>
      <c r="C575" s="28" t="s">
        <v>642</v>
      </c>
      <c r="D575" s="28" t="s">
        <v>12</v>
      </c>
      <c r="E575" s="27">
        <v>17</v>
      </c>
      <c r="F575" s="29">
        <f>LOOKUP(E575,{0,-1.8,-0.8,0.2,1.2,2.2,3.2,4.6,6,7.4,8.8,10.2,11.6,13,14.4,15.8,17.2,19.1,21,22.8,24.6},{0,10,20,30,40,50,60,62,64,66,68,70,72,74,76,78,80,85,90,95,100})</f>
        <v>78</v>
      </c>
      <c r="G575" s="27">
        <v>239</v>
      </c>
      <c r="H575" s="29">
        <f>LOOKUP(G575,{0,180,185,190,195,200,205,209,213,217,221,225,229,233,237,241,245,253,260,265,270},{0,10,20,30,40,50,60,62,64,66,68,70,72,74,76,78,80,85,90,95,100})</f>
        <v>76</v>
      </c>
      <c r="I575" s="27">
        <v>4</v>
      </c>
      <c r="J575" s="29">
        <f>LOOKUP(I575,{0,4,5,6,7,8,9,10,11,12,13,14,15,16,17,18},{0,10,20,30,40,50,60,64,68,72,76,80,85,90,95,100})</f>
        <v>10</v>
      </c>
      <c r="K575" s="44"/>
      <c r="L575" s="35"/>
      <c r="M575" s="35">
        <f t="shared" si="159"/>
        <v>10</v>
      </c>
      <c r="N575" s="35">
        <v>7.5</v>
      </c>
      <c r="O575" s="36">
        <f t="shared" si="160"/>
        <v>10.5</v>
      </c>
      <c r="P575" s="29">
        <f>LOOKUP(O575,{0,7.8,8,8.2,8.4,8.6,8.8,9,9.2,9.4,9.6,9.8,10,10.2,10.4,10.6,10.8,10.9,11,11.1,11.2},{0,10,20,30,40,50,60,62,64,66,68,70,72,74,76,78,80,85,90,95,100})</f>
        <v>76</v>
      </c>
      <c r="Q575" s="5">
        <v>5.09</v>
      </c>
      <c r="R575" s="36">
        <f t="shared" si="161"/>
        <v>4.91</v>
      </c>
      <c r="S575" s="29">
        <f>LOOKUP(R575,{0,3.85,4.45,4.65,4.85,5.45,5.65,5.7,5.75,5.8,5.85,5.9,5.95,6,6.45,6.5,6.55,6.63,6.7,6.75,6.8},{0,10,20,30,40,50,60,62,64,66,68,70,72,74,76,78,80,85,90,95,100})</f>
        <v>40</v>
      </c>
      <c r="T575" s="27"/>
      <c r="U575" s="27"/>
      <c r="V575" s="27">
        <f t="shared" si="162"/>
        <v>40</v>
      </c>
      <c r="W575" s="27"/>
      <c r="X575" s="19">
        <f t="shared" si="163"/>
        <v>39.6</v>
      </c>
      <c r="Y575" s="13">
        <f t="shared" si="164"/>
        <v>56.5714285714286</v>
      </c>
      <c r="Z575" s="19"/>
    </row>
    <row r="576" ht="15.6" spans="1:26">
      <c r="A576" s="27">
        <v>313</v>
      </c>
      <c r="B576" s="27">
        <v>16</v>
      </c>
      <c r="C576" s="28" t="s">
        <v>643</v>
      </c>
      <c r="D576" s="28" t="s">
        <v>12</v>
      </c>
      <c r="E576" s="27">
        <v>13</v>
      </c>
      <c r="F576" s="29">
        <f>LOOKUP(E576,{0,-1.8,-0.8,0.2,1.2,2.2,3.2,4.6,6,7.4,8.8,10.2,11.6,13,14.4,15.8,17.2,19.1,21,22.8,24.6},{0,10,20,30,40,50,60,62,64,66,68,70,72,74,76,78,80,85,90,95,100})</f>
        <v>74</v>
      </c>
      <c r="G576" s="27">
        <v>254</v>
      </c>
      <c r="H576" s="29">
        <f>LOOKUP(G576,{0,180,185,190,195,200,205,209,213,217,221,225,229,233,237,241,245,253,260,265,270},{0,10,20,30,40,50,60,62,64,66,68,70,72,74,76,78,80,85,90,95,100})</f>
        <v>85</v>
      </c>
      <c r="I576" s="27">
        <v>18</v>
      </c>
      <c r="J576" s="29">
        <f>LOOKUP(I576,{0,4,5,6,7,8,9,10,11,12,13,14,15,16,17,18},{0,10,20,30,40,50,60,64,68,72,76,80,85,90,95,100})</f>
        <v>100</v>
      </c>
      <c r="K576" s="44"/>
      <c r="L576" s="35"/>
      <c r="M576" s="35">
        <f t="shared" si="159"/>
        <v>100</v>
      </c>
      <c r="N576" s="35">
        <v>6.9</v>
      </c>
      <c r="O576" s="36">
        <f t="shared" si="160"/>
        <v>11.1</v>
      </c>
      <c r="P576" s="29">
        <f>LOOKUP(O576,{0,7.8,8,8.2,8.4,8.6,8.8,9,9.2,9.4,9.6,9.8,10,10.2,10.4,10.6,10.8,10.9,11,11.1,11.2},{0,10,20,30,40,50,60,62,64,66,68,70,72,74,76,78,80,85,90,95,100})</f>
        <v>95</v>
      </c>
      <c r="Q576" s="5">
        <v>5.09</v>
      </c>
      <c r="R576" s="36">
        <f t="shared" si="161"/>
        <v>4.91</v>
      </c>
      <c r="S576" s="29">
        <f>LOOKUP(R576,{0,3.85,4.45,4.65,4.85,5.45,5.65,5.7,5.75,5.8,5.85,5.9,5.95,6,6.45,6.5,6.55,6.63,6.7,6.75,6.8},{0,10,20,30,40,50,60,62,64,66,68,70,72,74,76,78,80,85,90,95,100})</f>
        <v>40</v>
      </c>
      <c r="T576" s="27"/>
      <c r="U576" s="27"/>
      <c r="V576" s="27">
        <f t="shared" si="162"/>
        <v>40</v>
      </c>
      <c r="W576" s="27"/>
      <c r="X576" s="19">
        <f t="shared" si="163"/>
        <v>52.9</v>
      </c>
      <c r="Y576" s="13">
        <f t="shared" si="164"/>
        <v>75.5714285714286</v>
      </c>
      <c r="Z576" s="19"/>
    </row>
    <row r="577" ht="15.6" spans="1:26">
      <c r="A577" s="27">
        <v>313</v>
      </c>
      <c r="B577" s="27">
        <v>17</v>
      </c>
      <c r="C577" s="30" t="s">
        <v>645</v>
      </c>
      <c r="D577" s="28" t="s">
        <v>46</v>
      </c>
      <c r="E577" s="27">
        <v>21.7</v>
      </c>
      <c r="F577" s="29">
        <f>LOOKUP(E577,{0,1.5,2.3,3.1,3.9,4.7,5.5,6.8,8.1,9.4,10.7,12,13.3,14.6,15.9,17.2,18.5,20.2,21.9,23.6,25.3},{0,10,20,30,40,50,60,62,64,66,68,70,72,74,76,78,80,85,90,95,100})</f>
        <v>85</v>
      </c>
      <c r="G577" s="27">
        <v>185</v>
      </c>
      <c r="H577" s="29">
        <f>LOOKUP(G577,{0,125,130,135,140,145,150,153,156,159,162,165,168,171,174,177,180,187,194,200,206},{0,10,20,30,40,50,60,62,64,66,68,70,72,74,76,78,80,85,90,95,100})</f>
        <v>80</v>
      </c>
      <c r="I577" s="27">
        <v>47</v>
      </c>
      <c r="J577" s="29">
        <f>LOOKUP(I577,{0,15,17,19,21,23,25,27,29,31,33,35,37,39,41,43,45,48,51,53,55},{0,10,20,30,40,50,60,62,64,66,68,70,72,74,76,78,80,85,90,95,100})</f>
        <v>80</v>
      </c>
      <c r="K577" s="35"/>
      <c r="L577" s="35"/>
      <c r="M577" s="35">
        <f t="shared" si="159"/>
        <v>80</v>
      </c>
      <c r="N577" s="35">
        <v>8.3</v>
      </c>
      <c r="O577" s="36">
        <f t="shared" si="160"/>
        <v>9.7</v>
      </c>
      <c r="P577" s="29">
        <f>LOOKUP(O577,{0,6.6,6.8,7,7.2,7.4,7.6,7.8,8,8.2,8.4,8.6,8.8,9,9.2,9.4,9.6,9.9,10.2,10.3,10.4},{0,10,20,30,40,50,60,62,64,66,68,70,72,74,76,78,80,85,90,95,100})</f>
        <v>80</v>
      </c>
      <c r="Q577" s="5">
        <v>3.18</v>
      </c>
      <c r="R577" s="36">
        <f t="shared" si="161"/>
        <v>6.82</v>
      </c>
      <c r="S577" s="29">
        <f>LOOKUP(R577,{0,4.74,4.84,4.94,5.44,5.54,5.64,5.69,5.74,5.79,5.84,5.89,5.94,5.99,6.44,6.49,6.54,6.61,6.68,6.74,6.8},{0,10,20,30,40,50,60,62,64,66,68,70,72,74,76,78,80,85,90,95,100})</f>
        <v>100</v>
      </c>
      <c r="T577" s="36">
        <f>3.2-Q577</f>
        <v>0.02</v>
      </c>
      <c r="U577" s="29">
        <f>LOOKUP(T577,{0,0.05,0.1,0.15,0.2,0.25,0.3,0.35,0.4,0.45,0.5},{0,1,2,3,4,5,6,7,8,9,10})</f>
        <v>0</v>
      </c>
      <c r="V577" s="27">
        <f t="shared" si="162"/>
        <v>100</v>
      </c>
      <c r="W577" s="27"/>
      <c r="X577" s="19">
        <f t="shared" si="163"/>
        <v>60.5</v>
      </c>
      <c r="Y577" s="13">
        <f t="shared" si="164"/>
        <v>86.4285714285714</v>
      </c>
      <c r="Z577" s="19"/>
    </row>
    <row r="578" ht="15.6" spans="1:26">
      <c r="A578" s="27">
        <v>313</v>
      </c>
      <c r="B578" s="27">
        <v>18</v>
      </c>
      <c r="C578" s="28" t="s">
        <v>646</v>
      </c>
      <c r="D578" s="28" t="s">
        <v>46</v>
      </c>
      <c r="E578" s="27">
        <v>27</v>
      </c>
      <c r="F578" s="29">
        <f>LOOKUP(E578,{0,1.5,2.3,3.1,3.9,4.7,5.5,6.8,8.1,9.4,10.7,12,13.3,14.6,15.9,17.2,18.5,20.2,21.9,23.6,25.3},{0,10,20,30,40,50,60,62,64,66,68,70,72,74,76,78,80,85,90,95,100})</f>
        <v>100</v>
      </c>
      <c r="G578" s="27">
        <v>188</v>
      </c>
      <c r="H578" s="29">
        <f>LOOKUP(G578,{0,125,130,135,140,145,150,153,156,159,162,165,168,171,174,177,180,187,194,200,206},{0,10,20,30,40,50,60,62,64,66,68,70,72,74,76,78,80,85,90,95,100})</f>
        <v>85</v>
      </c>
      <c r="I578" s="27">
        <v>50</v>
      </c>
      <c r="J578" s="29">
        <f>LOOKUP(I578,{0,15,17,19,21,23,25,27,29,31,33,35,37,39,41,43,45,48,51,53,55},{0,10,20,30,40,50,60,62,64,66,68,70,72,74,76,78,80,85,90,95,100})</f>
        <v>85</v>
      </c>
      <c r="K578" s="35"/>
      <c r="L578" s="35"/>
      <c r="M578" s="35">
        <f t="shared" si="159"/>
        <v>85</v>
      </c>
      <c r="N578" s="35">
        <v>9.1</v>
      </c>
      <c r="O578" s="36">
        <f t="shared" si="160"/>
        <v>8.9</v>
      </c>
      <c r="P578" s="29">
        <f>LOOKUP(O578,{0,6.6,6.8,7,7.2,7.4,7.6,7.8,8,8.2,8.4,8.6,8.8,9,9.2,9.4,9.6,9.9,10.2,10.3,10.4},{0,10,20,30,40,50,60,62,64,66,68,70,72,74,76,78,80,85,90,95,100})</f>
        <v>72</v>
      </c>
      <c r="Q578" s="5">
        <v>4.18</v>
      </c>
      <c r="R578" s="36">
        <f t="shared" si="161"/>
        <v>5.82</v>
      </c>
      <c r="S578" s="29">
        <f>LOOKUP(R578,{0,4.74,4.84,4.94,5.44,5.54,5.64,5.69,5.74,5.79,5.84,5.89,5.94,5.99,6.44,6.49,6.54,6.61,6.68,6.74,6.8},{0,10,20,30,40,50,60,62,64,66,68,70,72,74,76,78,80,85,90,95,100})</f>
        <v>66</v>
      </c>
      <c r="T578" s="27"/>
      <c r="U578" s="27"/>
      <c r="V578" s="27">
        <f t="shared" si="162"/>
        <v>66</v>
      </c>
      <c r="W578" s="27"/>
      <c r="X578" s="19">
        <f t="shared" si="163"/>
        <v>54.6</v>
      </c>
      <c r="Y578" s="13">
        <f t="shared" si="164"/>
        <v>78</v>
      </c>
      <c r="Z578" s="19"/>
    </row>
    <row r="579" spans="1:26">
      <c r="A579" s="27">
        <v>313</v>
      </c>
      <c r="B579" s="27">
        <v>19</v>
      </c>
      <c r="C579" s="28" t="s">
        <v>647</v>
      </c>
      <c r="D579" s="28" t="s">
        <v>46</v>
      </c>
      <c r="E579" s="27"/>
      <c r="F579" s="27"/>
      <c r="G579" s="27"/>
      <c r="H579" s="27"/>
      <c r="I579" s="27"/>
      <c r="J579" s="35"/>
      <c r="K579" s="35"/>
      <c r="L579" s="35"/>
      <c r="M579" s="35"/>
      <c r="N579" s="35"/>
      <c r="O579" s="5"/>
      <c r="P579" s="5"/>
      <c r="Q579" s="5"/>
      <c r="R579" s="27"/>
      <c r="S579" s="27"/>
      <c r="T579" s="27"/>
      <c r="U579" s="27"/>
      <c r="V579" s="27"/>
      <c r="W579" s="27">
        <v>50</v>
      </c>
      <c r="X579" s="20"/>
      <c r="Y579" s="19">
        <v>50</v>
      </c>
      <c r="Z579" s="19"/>
    </row>
    <row r="580" spans="1:26">
      <c r="A580" s="27">
        <v>313</v>
      </c>
      <c r="B580" s="27">
        <v>20</v>
      </c>
      <c r="C580" s="28" t="s">
        <v>648</v>
      </c>
      <c r="D580" s="28" t="s">
        <v>46</v>
      </c>
      <c r="E580" s="27"/>
      <c r="F580" s="27"/>
      <c r="G580" s="27"/>
      <c r="H580" s="27"/>
      <c r="I580" s="27"/>
      <c r="J580" s="35"/>
      <c r="K580" s="35"/>
      <c r="L580" s="35"/>
      <c r="M580" s="35"/>
      <c r="N580" s="35"/>
      <c r="O580" s="5"/>
      <c r="P580" s="5"/>
      <c r="Q580" s="5"/>
      <c r="R580" s="27"/>
      <c r="S580" s="27"/>
      <c r="T580" s="27"/>
      <c r="U580" s="27"/>
      <c r="V580" s="27"/>
      <c r="W580" s="27">
        <v>50</v>
      </c>
      <c r="X580" s="19"/>
      <c r="Y580" s="19">
        <v>50</v>
      </c>
      <c r="Z580" s="19"/>
    </row>
    <row r="581" ht="15.6" spans="1:26">
      <c r="A581" s="27">
        <v>313</v>
      </c>
      <c r="B581" s="27">
        <v>21</v>
      </c>
      <c r="C581" s="28" t="s">
        <v>649</v>
      </c>
      <c r="D581" s="28" t="s">
        <v>46</v>
      </c>
      <c r="E581" s="27">
        <v>18.5</v>
      </c>
      <c r="F581" s="29">
        <f>LOOKUP(E581,{0,1.5,2.3,3.1,3.9,4.7,5.5,6.8,8.1,9.4,10.7,12,13.3,14.6,15.9,17.2,18.5,20.2,21.9,23.6,25.3},{0,10,20,30,40,50,60,62,64,66,68,70,72,74,76,78,80,85,90,95,100})</f>
        <v>80</v>
      </c>
      <c r="G581" s="27">
        <v>175</v>
      </c>
      <c r="H581" s="29">
        <f>LOOKUP(G581,{0,125,130,135,140,145,150,153,156,159,162,165,168,171,174,177,180,187,194,200,206},{0,10,20,30,40,50,60,62,64,66,68,70,72,74,76,78,80,85,90,95,100})</f>
        <v>76</v>
      </c>
      <c r="I581" s="27">
        <v>44</v>
      </c>
      <c r="J581" s="29">
        <f>LOOKUP(I581,{0,15,17,19,21,23,25,27,29,31,33,35,37,39,41,43,45,48,51,53,55},{0,10,20,30,40,50,60,62,64,66,68,70,72,74,76,78,80,85,90,95,100})</f>
        <v>78</v>
      </c>
      <c r="K581" s="35"/>
      <c r="L581" s="35"/>
      <c r="M581" s="35">
        <f t="shared" ref="M581:M589" si="165">J581+L581</f>
        <v>78</v>
      </c>
      <c r="N581" s="35">
        <v>8.7</v>
      </c>
      <c r="O581" s="36">
        <f t="shared" ref="O581:O589" si="166">18-N581</f>
        <v>9.3</v>
      </c>
      <c r="P581" s="29">
        <f>LOOKUP(O581,{0,6.6,6.8,7,7.2,7.4,7.6,7.8,8,8.2,8.4,8.6,8.8,9,9.2,9.4,9.6,9.9,10.2,10.3,10.4},{0,10,20,30,40,50,60,62,64,66,68,70,72,74,76,78,80,85,90,95,100})</f>
        <v>76</v>
      </c>
      <c r="Q581" s="5">
        <v>3.47</v>
      </c>
      <c r="R581" s="36">
        <f t="shared" ref="R581:R589" si="167">10-Q581</f>
        <v>6.53</v>
      </c>
      <c r="S581" s="29">
        <f>LOOKUP(R581,{0,4.74,4.84,4.94,5.44,5.54,5.64,5.69,5.74,5.79,5.84,5.89,5.94,5.99,6.44,6.49,6.54,6.61,6.68,6.74,6.8},{0,10,20,30,40,50,60,62,64,66,68,70,72,74,76,78,80,85,90,95,100})</f>
        <v>78</v>
      </c>
      <c r="T581" s="27"/>
      <c r="U581" s="27"/>
      <c r="V581" s="27">
        <f t="shared" ref="V581:V589" si="168">S581+U581</f>
        <v>78</v>
      </c>
      <c r="W581" s="27"/>
      <c r="X581" s="19">
        <f t="shared" ref="X581:X589" si="169">F581*0.1+H581*0.1+J581*0.1+P581*0.2+S581*0.2</f>
        <v>54.2</v>
      </c>
      <c r="Y581" s="13">
        <f t="shared" ref="Y581:Y589" si="170">X581/0.7+L581+U581</f>
        <v>77.4285714285714</v>
      </c>
      <c r="Z581" s="19"/>
    </row>
    <row r="582" ht="15.6" spans="1:26">
      <c r="A582" s="27">
        <v>313</v>
      </c>
      <c r="B582" s="27">
        <v>22</v>
      </c>
      <c r="C582" s="28" t="s">
        <v>650</v>
      </c>
      <c r="D582" s="28" t="s">
        <v>46</v>
      </c>
      <c r="E582" s="27">
        <v>15.1</v>
      </c>
      <c r="F582" s="29">
        <f>LOOKUP(E582,{0,1.5,2.3,3.1,3.9,4.7,5.5,6.8,8.1,9.4,10.7,12,13.3,14.6,15.9,17.2,18.5,20.2,21.9,23.6,25.3},{0,10,20,30,40,50,60,62,64,66,68,70,72,74,76,78,80,85,90,95,100})</f>
        <v>74</v>
      </c>
      <c r="G582" s="27">
        <v>169</v>
      </c>
      <c r="H582" s="29">
        <f>LOOKUP(G582,{0,125,130,135,140,145,150,153,156,159,162,165,168,171,174,177,180,187,194,200,206},{0,10,20,30,40,50,60,62,64,66,68,70,72,74,76,78,80,85,90,95,100})</f>
        <v>72</v>
      </c>
      <c r="I582" s="27">
        <v>48</v>
      </c>
      <c r="J582" s="29">
        <f>LOOKUP(I582,{0,15,17,19,21,23,25,27,29,31,33,35,37,39,41,43,45,48,51,53,55},{0,10,20,30,40,50,60,62,64,66,68,70,72,74,76,78,80,85,90,95,100})</f>
        <v>85</v>
      </c>
      <c r="K582" s="35"/>
      <c r="L582" s="35"/>
      <c r="M582" s="35">
        <f t="shared" si="165"/>
        <v>85</v>
      </c>
      <c r="N582" s="35">
        <v>8.7</v>
      </c>
      <c r="O582" s="36">
        <f t="shared" si="166"/>
        <v>9.3</v>
      </c>
      <c r="P582" s="29">
        <f>LOOKUP(O582,{0,6.6,6.8,7,7.2,7.4,7.6,7.8,8,8.2,8.4,8.6,8.8,9,9.2,9.4,9.6,9.9,10.2,10.3,10.4},{0,10,20,30,40,50,60,62,64,66,68,70,72,74,76,78,80,85,90,95,100})</f>
        <v>76</v>
      </c>
      <c r="Q582" s="5">
        <v>3.51</v>
      </c>
      <c r="R582" s="36">
        <f t="shared" si="167"/>
        <v>6.49</v>
      </c>
      <c r="S582" s="29">
        <f>LOOKUP(R582,{0,4.74,4.84,4.94,5.44,5.54,5.64,5.69,5.74,5.79,5.84,5.89,5.94,5.99,6.44,6.49,6.54,6.61,6.68,6.74,6.8},{0,10,20,30,40,50,60,62,64,66,68,70,72,74,76,78,80,85,90,95,100})</f>
        <v>78</v>
      </c>
      <c r="T582" s="27"/>
      <c r="U582" s="27"/>
      <c r="V582" s="27">
        <f t="shared" si="168"/>
        <v>78</v>
      </c>
      <c r="W582" s="27"/>
      <c r="X582" s="19">
        <f t="shared" si="169"/>
        <v>53.9</v>
      </c>
      <c r="Y582" s="13">
        <f t="shared" si="170"/>
        <v>77</v>
      </c>
      <c r="Z582" s="19"/>
    </row>
    <row r="583" ht="15.6" spans="1:26">
      <c r="A583" s="27">
        <v>313</v>
      </c>
      <c r="B583" s="27">
        <v>23</v>
      </c>
      <c r="C583" s="28" t="s">
        <v>651</v>
      </c>
      <c r="D583" s="28" t="s">
        <v>46</v>
      </c>
      <c r="E583" s="27">
        <v>13.4</v>
      </c>
      <c r="F583" s="29">
        <f>LOOKUP(E583,{0,1.5,2.3,3.1,3.9,4.7,5.5,6.8,8.1,9.4,10.7,12,13.3,14.6,15.9,17.2,18.5,20.2,21.9,23.6,25.3},{0,10,20,30,40,50,60,62,64,66,68,70,72,74,76,78,80,85,90,95,100})</f>
        <v>72</v>
      </c>
      <c r="G583" s="27">
        <v>175</v>
      </c>
      <c r="H583" s="29">
        <f>LOOKUP(G583,{0,125,130,135,140,145,150,153,156,159,162,165,168,171,174,177,180,187,194,200,206},{0,10,20,30,40,50,60,62,64,66,68,70,72,74,76,78,80,85,90,95,100})</f>
        <v>76</v>
      </c>
      <c r="I583" s="27">
        <v>57</v>
      </c>
      <c r="J583" s="29">
        <f>LOOKUP(I583,{0,15,17,19,21,23,25,27,29,31,33,35,37,39,41,43,45,48,51,53,55},{0,10,20,30,40,50,60,62,64,66,68,70,72,74,76,78,80,85,90,95,100})</f>
        <v>100</v>
      </c>
      <c r="K583" s="34">
        <f>I583-55</f>
        <v>2</v>
      </c>
      <c r="L583" s="29">
        <f>LOOKUP(K583,{0,2,4,6,7,8,9,10,11,12,13},{0,1,2,3,4,5,6,7,8,9,10})</f>
        <v>1</v>
      </c>
      <c r="M583" s="35">
        <f t="shared" si="165"/>
        <v>101</v>
      </c>
      <c r="N583" s="35">
        <v>8.9</v>
      </c>
      <c r="O583" s="36">
        <f t="shared" si="166"/>
        <v>9.1</v>
      </c>
      <c r="P583" s="29">
        <f>LOOKUP(O583,{0,6.6,6.8,7,7.2,7.4,7.6,7.8,8,8.2,8.4,8.6,8.8,9,9.2,9.4,9.6,9.9,10.2,10.3,10.4},{0,10,20,30,40,50,60,62,64,66,68,70,72,74,76,78,80,85,90,95,100})</f>
        <v>74</v>
      </c>
      <c r="Q583" s="5">
        <v>4.17</v>
      </c>
      <c r="R583" s="36">
        <f t="shared" si="167"/>
        <v>5.83</v>
      </c>
      <c r="S583" s="29">
        <f>LOOKUP(R583,{0,4.74,4.84,4.94,5.44,5.54,5.64,5.69,5.74,5.79,5.84,5.89,5.94,5.99,6.44,6.49,6.54,6.61,6.68,6.74,6.8},{0,10,20,30,40,50,60,62,64,66,68,70,72,74,76,78,80,85,90,95,100})</f>
        <v>66</v>
      </c>
      <c r="T583" s="27"/>
      <c r="U583" s="27"/>
      <c r="V583" s="27">
        <f t="shared" si="168"/>
        <v>66</v>
      </c>
      <c r="W583" s="27"/>
      <c r="X583" s="19">
        <f t="shared" si="169"/>
        <v>52.8</v>
      </c>
      <c r="Y583" s="13">
        <f t="shared" si="170"/>
        <v>76.4285714285714</v>
      </c>
      <c r="Z583" s="19"/>
    </row>
    <row r="584" ht="15.6" spans="1:26">
      <c r="A584" s="27">
        <v>313</v>
      </c>
      <c r="B584" s="27">
        <v>24</v>
      </c>
      <c r="C584" s="28" t="s">
        <v>652</v>
      </c>
      <c r="D584" s="28" t="s">
        <v>46</v>
      </c>
      <c r="E584" s="27">
        <v>24</v>
      </c>
      <c r="F584" s="29">
        <f>LOOKUP(E584,{0,1.5,2.3,3.1,3.9,4.7,5.5,6.8,8.1,9.4,10.7,12,13.3,14.6,15.9,17.2,18.5,20.2,21.9,23.6,25.3},{0,10,20,30,40,50,60,62,64,66,68,70,72,74,76,78,80,85,90,95,100})</f>
        <v>95</v>
      </c>
      <c r="G584" s="27">
        <v>180</v>
      </c>
      <c r="H584" s="29">
        <f>LOOKUP(G584,{0,125,130,135,140,145,150,153,156,159,162,165,168,171,174,177,180,187,194,200,206},{0,10,20,30,40,50,60,62,64,66,68,70,72,74,76,78,80,85,90,95,100})</f>
        <v>80</v>
      </c>
      <c r="I584" s="27">
        <v>42</v>
      </c>
      <c r="J584" s="29">
        <f>LOOKUP(I584,{0,15,17,19,21,23,25,27,29,31,33,35,37,39,41,43,45,48,51,53,55},{0,10,20,30,40,50,60,62,64,66,68,70,72,74,76,78,80,85,90,95,100})</f>
        <v>76</v>
      </c>
      <c r="K584" s="35"/>
      <c r="L584" s="35"/>
      <c r="M584" s="35">
        <f t="shared" si="165"/>
        <v>76</v>
      </c>
      <c r="N584" s="35">
        <v>9.2</v>
      </c>
      <c r="O584" s="36">
        <f t="shared" si="166"/>
        <v>8.8</v>
      </c>
      <c r="P584" s="29">
        <f>LOOKUP(O584,{0,6.6,6.8,7,7.2,7.4,7.6,7.8,8,8.2,8.4,8.6,8.8,9,9.2,9.4,9.6,9.9,10.2,10.3,10.4},{0,10,20,30,40,50,60,62,64,66,68,70,72,74,76,78,80,85,90,95,100})</f>
        <v>72</v>
      </c>
      <c r="Q584" s="5">
        <v>4.3</v>
      </c>
      <c r="R584" s="36">
        <f t="shared" si="167"/>
        <v>5.7</v>
      </c>
      <c r="S584" s="29">
        <f>LOOKUP(R584,{0,4.74,4.84,4.94,5.44,5.54,5.64,5.69,5.74,5.79,5.84,5.89,5.94,5.99,6.44,6.49,6.54,6.61,6.68,6.74,6.8},{0,10,20,30,40,50,60,62,64,66,68,70,72,74,76,78,80,85,90,95,100})</f>
        <v>62</v>
      </c>
      <c r="T584" s="27"/>
      <c r="U584" s="27"/>
      <c r="V584" s="27">
        <f t="shared" si="168"/>
        <v>62</v>
      </c>
      <c r="W584" s="27"/>
      <c r="X584" s="19">
        <f t="shared" si="169"/>
        <v>51.9</v>
      </c>
      <c r="Y584" s="13">
        <f t="shared" si="170"/>
        <v>74.1428571428571</v>
      </c>
      <c r="Z584" s="19"/>
    </row>
    <row r="585" ht="15.6" spans="1:26">
      <c r="A585" s="27">
        <v>313</v>
      </c>
      <c r="B585" s="27">
        <v>25</v>
      </c>
      <c r="C585" s="28" t="s">
        <v>653</v>
      </c>
      <c r="D585" s="28" t="s">
        <v>46</v>
      </c>
      <c r="E585" s="27">
        <v>10</v>
      </c>
      <c r="F585" s="29">
        <f>LOOKUP(E585,{0,1.5,2.3,3.1,3.9,4.7,5.5,6.8,8.1,9.4,10.7,12,13.3,14.6,15.9,17.2,18.5,20.2,21.9,23.6,25.3},{0,10,20,30,40,50,60,62,64,66,68,70,72,74,76,78,80,85,90,95,100})</f>
        <v>66</v>
      </c>
      <c r="G585" s="27">
        <v>150</v>
      </c>
      <c r="H585" s="29">
        <f>LOOKUP(G585,{0,125,130,135,140,145,150,153,156,159,162,165,168,171,174,177,180,187,194,200,206},{0,10,20,30,40,50,60,62,64,66,68,70,72,74,76,78,80,85,90,95,100})</f>
        <v>60</v>
      </c>
      <c r="I585" s="27">
        <v>30</v>
      </c>
      <c r="J585" s="29">
        <f>LOOKUP(I585,{0,15,17,19,21,23,25,27,29,31,33,35,37,39,41,43,45,48,51,53,55},{0,10,20,30,40,50,60,62,64,66,68,70,72,74,76,78,80,85,90,95,100})</f>
        <v>64</v>
      </c>
      <c r="K585" s="35"/>
      <c r="L585" s="35"/>
      <c r="M585" s="35">
        <f t="shared" si="165"/>
        <v>64</v>
      </c>
      <c r="N585" s="35">
        <v>9.3</v>
      </c>
      <c r="O585" s="36">
        <f t="shared" si="166"/>
        <v>8.7</v>
      </c>
      <c r="P585" s="29">
        <f>LOOKUP(O585,{0,6.6,6.8,7,7.2,7.4,7.6,7.8,8,8.2,8.4,8.6,8.8,9,9.2,9.4,9.6,9.9,10.2,10.3,10.4},{0,10,20,30,40,50,60,62,64,66,68,70,72,74,76,78,80,85,90,95,100})</f>
        <v>70</v>
      </c>
      <c r="Q585" s="5">
        <v>4.38</v>
      </c>
      <c r="R585" s="36">
        <f t="shared" si="167"/>
        <v>5.62</v>
      </c>
      <c r="S585" s="29">
        <f>LOOKUP(R585,{0,4.74,4.84,4.94,5.44,5.54,5.64,5.69,5.74,5.79,5.84,5.89,5.94,5.99,6.44,6.49,6.54,6.61,6.68,6.74,6.8},{0,10,20,30,40,50,60,62,64,66,68,70,72,74,76,78,80,85,90,95,100})</f>
        <v>50</v>
      </c>
      <c r="T585" s="27"/>
      <c r="U585" s="27"/>
      <c r="V585" s="27">
        <f t="shared" si="168"/>
        <v>50</v>
      </c>
      <c r="W585" s="27"/>
      <c r="X585" s="19">
        <f t="shared" si="169"/>
        <v>43</v>
      </c>
      <c r="Y585" s="13">
        <f t="shared" si="170"/>
        <v>61.4285714285714</v>
      </c>
      <c r="Z585" s="20"/>
    </row>
    <row r="586" ht="15.6" spans="1:26">
      <c r="A586" s="27">
        <v>313</v>
      </c>
      <c r="B586" s="27">
        <v>26</v>
      </c>
      <c r="C586" s="28" t="s">
        <v>654</v>
      </c>
      <c r="D586" s="28" t="s">
        <v>46</v>
      </c>
      <c r="E586" s="27">
        <v>4.2</v>
      </c>
      <c r="F586" s="29">
        <f>LOOKUP(E586,{0,1.5,2.3,3.1,3.9,4.7,5.5,6.8,8.1,9.4,10.7,12,13.3,14.6,15.9,17.2,18.5,20.2,21.9,23.6,25.3},{0,10,20,30,40,50,60,62,64,66,68,70,72,74,76,78,80,85,90,95,100})</f>
        <v>40</v>
      </c>
      <c r="G586" s="27">
        <v>148</v>
      </c>
      <c r="H586" s="29">
        <f>LOOKUP(G586,{0,125,130,135,140,145,150,153,156,159,162,165,168,171,174,177,180,187,194,200,206},{0,10,20,30,40,50,60,62,64,66,68,70,72,74,76,78,80,85,90,95,100})</f>
        <v>50</v>
      </c>
      <c r="I586" s="27">
        <v>35</v>
      </c>
      <c r="J586" s="29">
        <f>LOOKUP(I586,{0,15,17,19,21,23,25,27,29,31,33,35,37,39,41,43,45,48,51,53,55},{0,10,20,30,40,50,60,62,64,66,68,70,72,74,76,78,80,85,90,95,100})</f>
        <v>70</v>
      </c>
      <c r="K586" s="35"/>
      <c r="L586" s="35"/>
      <c r="M586" s="35">
        <f t="shared" si="165"/>
        <v>70</v>
      </c>
      <c r="N586" s="35">
        <v>9.1</v>
      </c>
      <c r="O586" s="36">
        <f t="shared" si="166"/>
        <v>8.9</v>
      </c>
      <c r="P586" s="29">
        <f>LOOKUP(O586,{0,6.6,6.8,7,7.2,7.4,7.6,7.8,8,8.2,8.4,8.6,8.8,9,9.2,9.4,9.6,9.9,10.2,10.3,10.4},{0,10,20,30,40,50,60,62,64,66,68,70,72,74,76,78,80,85,90,95,100})</f>
        <v>72</v>
      </c>
      <c r="Q586" s="5">
        <v>4.29</v>
      </c>
      <c r="R586" s="36">
        <f t="shared" si="167"/>
        <v>5.71</v>
      </c>
      <c r="S586" s="29">
        <f>LOOKUP(R586,{0,4.74,4.84,4.94,5.44,5.54,5.64,5.69,5.74,5.79,5.84,5.89,5.94,5.99,6.44,6.49,6.54,6.61,6.68,6.74,6.8},{0,10,20,30,40,50,60,62,64,66,68,70,72,74,76,78,80,85,90,95,100})</f>
        <v>62</v>
      </c>
      <c r="T586" s="27"/>
      <c r="U586" s="27"/>
      <c r="V586" s="27">
        <f t="shared" si="168"/>
        <v>62</v>
      </c>
      <c r="W586" s="27"/>
      <c r="X586" s="19">
        <f t="shared" si="169"/>
        <v>42.8</v>
      </c>
      <c r="Y586" s="13">
        <f t="shared" si="170"/>
        <v>61.1428571428571</v>
      </c>
      <c r="Z586" s="19"/>
    </row>
    <row r="587" ht="15.6" spans="1:26">
      <c r="A587" s="27">
        <v>313</v>
      </c>
      <c r="B587" s="27">
        <v>27</v>
      </c>
      <c r="C587" s="28" t="s">
        <v>655</v>
      </c>
      <c r="D587" s="28" t="s">
        <v>46</v>
      </c>
      <c r="E587" s="27">
        <v>21.4</v>
      </c>
      <c r="F587" s="29">
        <f>LOOKUP(E587,{0,1.5,2.3,3.1,3.9,4.7,5.5,6.8,8.1,9.4,10.7,12,13.3,14.6,15.9,17.2,18.5,20.2,21.9,23.6,25.3},{0,10,20,30,40,50,60,62,64,66,68,70,72,74,76,78,80,85,90,95,100})</f>
        <v>85</v>
      </c>
      <c r="G587" s="27">
        <v>235</v>
      </c>
      <c r="H587" s="29">
        <f>LOOKUP(G587,{0,125,130,135,140,145,150,153,156,159,162,165,168,171,174,177,180,187,194,200,206},{0,10,20,30,40,50,60,62,64,66,68,70,72,74,76,78,80,85,90,95,100})</f>
        <v>100</v>
      </c>
      <c r="I587" s="27">
        <v>57</v>
      </c>
      <c r="J587" s="29">
        <f>LOOKUP(I587,{0,15,17,19,21,23,25,27,29,31,33,35,37,39,41,43,45,48,51,53,55},{0,10,20,30,40,50,60,62,64,66,68,70,72,74,76,78,80,85,90,95,100})</f>
        <v>100</v>
      </c>
      <c r="K587" s="34">
        <f>I587-55</f>
        <v>2</v>
      </c>
      <c r="L587" s="29">
        <f>LOOKUP(K587,{0,2,4,6,7,8,9,10,11,12,13},{0,1,2,3,4,5,6,7,8,9,10})</f>
        <v>1</v>
      </c>
      <c r="M587" s="35">
        <f t="shared" si="165"/>
        <v>101</v>
      </c>
      <c r="N587" s="35">
        <v>7.7</v>
      </c>
      <c r="O587" s="36">
        <f t="shared" si="166"/>
        <v>10.3</v>
      </c>
      <c r="P587" s="29">
        <f>LOOKUP(O587,{0,6.6,6.8,7,7.2,7.4,7.6,7.8,8,8.2,8.4,8.6,8.8,9,9.2,9.4,9.6,9.9,10.2,10.3,10.4},{0,10,20,30,40,50,60,62,64,66,68,70,72,74,76,78,80,85,90,95,100})</f>
        <v>95</v>
      </c>
      <c r="Q587" s="5">
        <v>3.07</v>
      </c>
      <c r="R587" s="36">
        <f t="shared" si="167"/>
        <v>6.93</v>
      </c>
      <c r="S587" s="29">
        <f>LOOKUP(R587,{0,4.74,4.84,4.94,5.44,5.54,5.64,5.69,5.74,5.79,5.84,5.89,5.94,5.99,6.44,6.49,6.54,6.61,6.68,6.74,6.8},{0,10,20,30,40,50,60,62,64,66,68,70,72,74,76,78,80,85,90,95,100})</f>
        <v>100</v>
      </c>
      <c r="T587" s="36">
        <f>3.2-Q587</f>
        <v>0.13</v>
      </c>
      <c r="U587" s="29">
        <f>LOOKUP(T587,{0,0.05,0.1,0.15,0.2,0.25,0.3,0.35,0.4,0.45,0.5},{0,1,2,3,4,5,6,7,8,9,10})</f>
        <v>2</v>
      </c>
      <c r="V587" s="27">
        <f t="shared" si="168"/>
        <v>102</v>
      </c>
      <c r="W587" s="27"/>
      <c r="X587" s="19">
        <f t="shared" si="169"/>
        <v>67.5</v>
      </c>
      <c r="Y587" s="13">
        <f t="shared" si="170"/>
        <v>99.4285714285714</v>
      </c>
      <c r="Z587" s="20"/>
    </row>
    <row r="588" ht="15.6" spans="1:26">
      <c r="A588" s="27">
        <v>313</v>
      </c>
      <c r="B588" s="27">
        <v>28</v>
      </c>
      <c r="C588" s="30" t="s">
        <v>657</v>
      </c>
      <c r="D588" s="28" t="s">
        <v>46</v>
      </c>
      <c r="E588" s="27">
        <v>14.1</v>
      </c>
      <c r="F588" s="29">
        <f>LOOKUP(E588,{0,1.5,2.3,3.1,3.9,4.7,5.5,6.8,8.1,9.4,10.7,12,13.3,14.6,15.9,17.2,18.5,20.2,21.9,23.6,25.3},{0,10,20,30,40,50,60,62,64,66,68,70,72,74,76,78,80,85,90,95,100})</f>
        <v>72</v>
      </c>
      <c r="G588" s="27">
        <v>175</v>
      </c>
      <c r="H588" s="29">
        <f>LOOKUP(G588,{0,125,130,135,140,145,150,153,156,159,162,165,168,171,174,177,180,187,194,200,206},{0,10,20,30,40,50,60,62,64,66,68,70,72,74,76,78,80,85,90,95,100})</f>
        <v>76</v>
      </c>
      <c r="I588" s="27">
        <v>45</v>
      </c>
      <c r="J588" s="29">
        <f>LOOKUP(I588,{0,15,17,19,21,23,25,27,29,31,33,35,37,39,41,43,45,48,51,53,55},{0,10,20,30,40,50,60,62,64,66,68,70,72,74,76,78,80,85,90,95,100})</f>
        <v>80</v>
      </c>
      <c r="K588" s="35"/>
      <c r="L588" s="35"/>
      <c r="M588" s="35">
        <f t="shared" si="165"/>
        <v>80</v>
      </c>
      <c r="N588" s="35">
        <v>9.4</v>
      </c>
      <c r="O588" s="36">
        <f t="shared" si="166"/>
        <v>8.6</v>
      </c>
      <c r="P588" s="29">
        <f>LOOKUP(O588,{0,6.6,6.8,7,7.2,7.4,7.6,7.8,8,8.2,8.4,8.6,8.8,9,9.2,9.4,9.6,9.9,10.2,10.3,10.4},{0,10,20,30,40,50,60,62,64,66,68,70,72,74,76,78,80,85,90,95,100})</f>
        <v>70</v>
      </c>
      <c r="Q588" s="5">
        <v>4.4</v>
      </c>
      <c r="R588" s="36">
        <f t="shared" si="167"/>
        <v>5.6</v>
      </c>
      <c r="S588" s="29">
        <f>LOOKUP(R588,{0,4.74,4.84,4.94,5.44,5.54,5.64,5.69,5.74,5.79,5.84,5.89,5.94,5.99,6.44,6.49,6.54,6.61,6.68,6.74,6.8},{0,10,20,30,40,50,60,62,64,66,68,70,72,74,76,78,80,85,90,95,100})</f>
        <v>50</v>
      </c>
      <c r="T588" s="27"/>
      <c r="U588" s="27"/>
      <c r="V588" s="27">
        <f t="shared" si="168"/>
        <v>50</v>
      </c>
      <c r="W588" s="27"/>
      <c r="X588" s="19">
        <f t="shared" si="169"/>
        <v>46.8</v>
      </c>
      <c r="Y588" s="13">
        <f t="shared" si="170"/>
        <v>66.8571428571429</v>
      </c>
      <c r="Z588" s="19"/>
    </row>
    <row r="589" ht="15.6" spans="1:26">
      <c r="A589" s="27">
        <v>313</v>
      </c>
      <c r="B589" s="27">
        <v>29</v>
      </c>
      <c r="C589" s="28" t="s">
        <v>658</v>
      </c>
      <c r="D589" s="28" t="s">
        <v>46</v>
      </c>
      <c r="E589" s="27">
        <v>15</v>
      </c>
      <c r="F589" s="29">
        <f>LOOKUP(E589,{0,1.5,2.3,3.1,3.9,4.7,5.5,6.8,8.1,9.4,10.7,12,13.3,14.6,15.9,17.2,18.5,20.2,21.9,23.6,25.3},{0,10,20,30,40,50,60,62,64,66,68,70,72,74,76,78,80,85,90,95,100})</f>
        <v>74</v>
      </c>
      <c r="G589" s="27">
        <v>165</v>
      </c>
      <c r="H589" s="29">
        <f>LOOKUP(G589,{0,125,130,135,140,145,150,153,156,159,162,165,168,171,174,177,180,187,194,200,206},{0,10,20,30,40,50,60,62,64,66,68,70,72,74,76,78,80,85,90,95,100})</f>
        <v>70</v>
      </c>
      <c r="I589" s="27">
        <v>40</v>
      </c>
      <c r="J589" s="29">
        <f>LOOKUP(I589,{0,15,17,19,21,23,25,27,29,31,33,35,37,39,41,43,45,48,51,53,55},{0,10,20,30,40,50,60,62,64,66,68,70,72,74,76,78,80,85,90,95,100})</f>
        <v>74</v>
      </c>
      <c r="K589" s="35"/>
      <c r="L589" s="35"/>
      <c r="M589" s="35">
        <f t="shared" si="165"/>
        <v>74</v>
      </c>
      <c r="N589" s="35">
        <v>9.7</v>
      </c>
      <c r="O589" s="36">
        <f t="shared" si="166"/>
        <v>8.3</v>
      </c>
      <c r="P589" s="29">
        <f>LOOKUP(O589,{0,6.6,6.8,7,7.2,7.4,7.6,7.8,8,8.2,8.4,8.6,8.8,9,9.2,9.4,9.6,9.9,10.2,10.3,10.4},{0,10,20,30,40,50,60,62,64,66,68,70,72,74,76,78,80,85,90,95,100})</f>
        <v>66</v>
      </c>
      <c r="Q589" s="5">
        <v>4</v>
      </c>
      <c r="R589" s="36">
        <f t="shared" si="167"/>
        <v>6</v>
      </c>
      <c r="S589" s="29">
        <f>LOOKUP(R589,{0,4.74,4.84,4.94,5.44,5.54,5.64,5.69,5.74,5.79,5.84,5.89,5.94,5.99,6.44,6.49,6.54,6.61,6.68,6.74,6.8},{0,10,20,30,40,50,60,62,64,66,68,70,72,74,76,78,80,85,90,95,100})</f>
        <v>74</v>
      </c>
      <c r="T589" s="27"/>
      <c r="U589" s="27"/>
      <c r="V589" s="27">
        <f t="shared" si="168"/>
        <v>74</v>
      </c>
      <c r="W589" s="27"/>
      <c r="X589" s="19">
        <f t="shared" si="169"/>
        <v>49.8</v>
      </c>
      <c r="Y589" s="13">
        <f t="shared" si="170"/>
        <v>71.1428571428571</v>
      </c>
      <c r="Z589" s="19"/>
    </row>
    <row r="590" spans="1:26">
      <c r="A590" s="27">
        <v>313</v>
      </c>
      <c r="B590" s="27">
        <v>30</v>
      </c>
      <c r="C590" s="28" t="s">
        <v>659</v>
      </c>
      <c r="D590" s="28" t="s">
        <v>46</v>
      </c>
      <c r="E590" s="27"/>
      <c r="F590" s="27"/>
      <c r="G590" s="27"/>
      <c r="H590" s="27"/>
      <c r="I590" s="27"/>
      <c r="J590" s="35"/>
      <c r="K590" s="35"/>
      <c r="L590" s="35"/>
      <c r="M590" s="35"/>
      <c r="N590" s="35"/>
      <c r="O590" s="5"/>
      <c r="P590" s="5"/>
      <c r="Q590" s="5"/>
      <c r="R590" s="27"/>
      <c r="S590" s="27"/>
      <c r="T590" s="27"/>
      <c r="U590" s="27"/>
      <c r="V590" s="27"/>
      <c r="W590" s="27">
        <v>50</v>
      </c>
      <c r="X590" s="19"/>
      <c r="Y590" s="19">
        <v>50</v>
      </c>
      <c r="Z590" s="19"/>
    </row>
    <row r="591" ht="15.6" spans="1:26">
      <c r="A591" s="27">
        <v>313</v>
      </c>
      <c r="B591" s="27">
        <v>31</v>
      </c>
      <c r="C591" s="28" t="s">
        <v>660</v>
      </c>
      <c r="D591" s="28" t="s">
        <v>46</v>
      </c>
      <c r="E591" s="27">
        <v>12</v>
      </c>
      <c r="F591" s="29">
        <f>LOOKUP(E591,{0,1.5,2.3,3.1,3.9,4.7,5.5,6.8,8.1,9.4,10.7,12,13.3,14.6,15.9,17.2,18.5,20.2,21.9,23.6,25.3},{0,10,20,30,40,50,60,62,64,66,68,70,72,74,76,78,80,85,90,95,100})</f>
        <v>70</v>
      </c>
      <c r="G591" s="27">
        <v>165</v>
      </c>
      <c r="H591" s="29">
        <f>LOOKUP(G591,{0,125,130,135,140,145,150,153,156,159,162,165,168,171,174,177,180,187,194,200,206},{0,10,20,30,40,50,60,62,64,66,68,70,72,74,76,78,80,85,90,95,100})</f>
        <v>70</v>
      </c>
      <c r="I591" s="27">
        <v>47</v>
      </c>
      <c r="J591" s="29">
        <f>LOOKUP(I591,{0,15,17,19,21,23,25,27,29,31,33,35,37,39,41,43,45,48,51,53,55},{0,10,20,30,40,50,60,62,64,66,68,70,72,74,76,78,80,85,90,95,100})</f>
        <v>80</v>
      </c>
      <c r="K591" s="35"/>
      <c r="L591" s="35"/>
      <c r="M591" s="35">
        <f>J591+L591</f>
        <v>80</v>
      </c>
      <c r="N591" s="35">
        <v>9.7</v>
      </c>
      <c r="O591" s="36">
        <f>18-N591</f>
        <v>8.3</v>
      </c>
      <c r="P591" s="29">
        <f>LOOKUP(O591,{0,6.6,6.8,7,7.2,7.4,7.6,7.8,8,8.2,8.4,8.6,8.8,9,9.2,9.4,9.6,9.9,10.2,10.3,10.4},{0,10,20,30,40,50,60,62,64,66,68,70,72,74,76,78,80,85,90,95,100})</f>
        <v>66</v>
      </c>
      <c r="Q591" s="5">
        <v>4.39</v>
      </c>
      <c r="R591" s="36">
        <f>10-Q591</f>
        <v>5.61</v>
      </c>
      <c r="S591" s="29">
        <f>LOOKUP(R591,{0,4.74,4.84,4.94,5.44,5.54,5.64,5.69,5.74,5.79,5.84,5.89,5.94,5.99,6.44,6.49,6.54,6.61,6.68,6.74,6.8},{0,10,20,30,40,50,60,62,64,66,68,70,72,74,76,78,80,85,90,95,100})</f>
        <v>50</v>
      </c>
      <c r="T591" s="27"/>
      <c r="U591" s="27"/>
      <c r="V591" s="27">
        <f>S591+U591</f>
        <v>50</v>
      </c>
      <c r="W591" s="27"/>
      <c r="X591" s="19">
        <f>F591*0.1+H591*0.1+J591*0.1+P591*0.2+S591*0.2</f>
        <v>45.2</v>
      </c>
      <c r="Y591" s="13">
        <f>X591/0.7+L591+U591</f>
        <v>64.5714285714286</v>
      </c>
      <c r="Z591" s="19"/>
    </row>
    <row r="592" ht="15.6" spans="1:26">
      <c r="A592" s="27">
        <v>313</v>
      </c>
      <c r="B592" s="27">
        <v>32</v>
      </c>
      <c r="C592" s="28" t="s">
        <v>661</v>
      </c>
      <c r="D592" s="28" t="s">
        <v>46</v>
      </c>
      <c r="E592" s="27">
        <v>13</v>
      </c>
      <c r="F592" s="29">
        <f>LOOKUP(E592,{0,1.5,2.3,3.1,3.9,4.7,5.5,6.8,8.1,9.4,10.7,12,13.3,14.6,15.9,17.2,18.5,20.2,21.9,23.6,25.3},{0,10,20,30,40,50,60,62,64,66,68,70,72,74,76,78,80,85,90,95,100})</f>
        <v>70</v>
      </c>
      <c r="G592" s="27">
        <v>185</v>
      </c>
      <c r="H592" s="29">
        <f>LOOKUP(G592,{0,125,130,135,140,145,150,153,156,159,162,165,168,171,174,177,180,187,194,200,206},{0,10,20,30,40,50,60,62,64,66,68,70,72,74,76,78,80,85,90,95,100})</f>
        <v>80</v>
      </c>
      <c r="I592" s="27">
        <v>35</v>
      </c>
      <c r="J592" s="29">
        <f>LOOKUP(I592,{0,15,17,19,21,23,25,27,29,31,33,35,37,39,41,43,45,48,51,53,55},{0,10,20,30,40,50,60,62,64,66,68,70,72,74,76,78,80,85,90,95,100})</f>
        <v>70</v>
      </c>
      <c r="K592" s="35"/>
      <c r="L592" s="35"/>
      <c r="M592" s="35">
        <f>J592+L592</f>
        <v>70</v>
      </c>
      <c r="N592" s="35">
        <v>9.1</v>
      </c>
      <c r="O592" s="36">
        <f>18-N592</f>
        <v>8.9</v>
      </c>
      <c r="P592" s="29">
        <f>LOOKUP(O592,{0,6.6,6.8,7,7.2,7.4,7.6,7.8,8,8.2,8.4,8.6,8.8,9,9.2,9.4,9.6,9.9,10.2,10.3,10.4},{0,10,20,30,40,50,60,62,64,66,68,70,72,74,76,78,80,85,90,95,100})</f>
        <v>72</v>
      </c>
      <c r="Q592" s="5">
        <v>3.57</v>
      </c>
      <c r="R592" s="36">
        <f>10-Q592</f>
        <v>6.43</v>
      </c>
      <c r="S592" s="29">
        <f>LOOKUP(R592,{0,4.74,4.84,4.94,5.44,5.54,5.64,5.69,5.74,5.79,5.84,5.89,5.94,5.99,6.44,6.49,6.54,6.61,6.68,6.74,6.8},{0,10,20,30,40,50,60,62,64,66,68,70,72,74,76,78,80,85,90,95,100})</f>
        <v>74</v>
      </c>
      <c r="T592" s="27"/>
      <c r="U592" s="27"/>
      <c r="V592" s="27">
        <f>S592+U592</f>
        <v>74</v>
      </c>
      <c r="W592" s="27"/>
      <c r="X592" s="19">
        <f>F592*0.1+H592*0.1+J592*0.1+P592*0.2+S592*0.2</f>
        <v>51.2</v>
      </c>
      <c r="Y592" s="13">
        <f>X592/0.7+L592+U592</f>
        <v>73.1428571428572</v>
      </c>
      <c r="Z592" s="19"/>
    </row>
    <row r="593" ht="15.6" spans="1:26">
      <c r="A593" s="27">
        <v>313</v>
      </c>
      <c r="B593" s="27">
        <v>33</v>
      </c>
      <c r="C593" s="28" t="s">
        <v>662</v>
      </c>
      <c r="D593" s="28" t="s">
        <v>46</v>
      </c>
      <c r="E593" s="27">
        <v>15</v>
      </c>
      <c r="F593" s="29">
        <f>LOOKUP(E593,{0,1.5,2.3,3.1,3.9,4.7,5.5,6.8,8.1,9.4,10.7,12,13.3,14.6,15.9,17.2,18.5,20.2,21.9,23.6,25.3},{0,10,20,30,40,50,60,62,64,66,68,70,72,74,76,78,80,85,90,95,100})</f>
        <v>74</v>
      </c>
      <c r="G593" s="27">
        <v>150</v>
      </c>
      <c r="H593" s="29">
        <f>LOOKUP(G593,{0,125,130,135,140,145,150,153,156,159,162,165,168,171,174,177,180,187,194,200,206},{0,10,20,30,40,50,60,62,64,66,68,70,72,74,76,78,80,85,90,95,100})</f>
        <v>60</v>
      </c>
      <c r="I593" s="27">
        <v>30</v>
      </c>
      <c r="J593" s="29">
        <f>LOOKUP(I593,{0,15,17,19,21,23,25,27,29,31,33,35,37,39,41,43,45,48,51,53,55},{0,10,20,30,40,50,60,62,64,66,68,70,72,74,76,78,80,85,90,95,100})</f>
        <v>64</v>
      </c>
      <c r="K593" s="35"/>
      <c r="L593" s="35"/>
      <c r="M593" s="35">
        <f>J593+L593</f>
        <v>64</v>
      </c>
      <c r="N593" s="35">
        <v>11.3</v>
      </c>
      <c r="O593" s="36">
        <f>18-N593</f>
        <v>6.7</v>
      </c>
      <c r="P593" s="29">
        <f>LOOKUP(O593,{0,6.6,6.8,7,7.2,7.4,7.6,7.8,8,8.2,8.4,8.6,8.8,9,9.2,9.4,9.6,9.9,10.2,10.3,10.4},{0,10,20,30,40,50,60,62,64,66,68,70,72,74,76,78,80,85,90,95,100})</f>
        <v>10</v>
      </c>
      <c r="Q593" s="5">
        <v>5.12</v>
      </c>
      <c r="R593" s="36">
        <f>10-Q593</f>
        <v>4.88</v>
      </c>
      <c r="S593" s="29">
        <f>LOOKUP(R593,{0,4.74,4.84,4.94,5.44,5.54,5.64,5.69,5.74,5.79,5.84,5.89,5.94,5.99,6.44,6.49,6.54,6.61,6.68,6.74,6.8},{0,10,20,30,40,50,60,62,64,66,68,70,72,74,76,78,80,85,90,95,100})</f>
        <v>20</v>
      </c>
      <c r="T593" s="27"/>
      <c r="U593" s="27"/>
      <c r="V593" s="27">
        <f>S593+U593</f>
        <v>20</v>
      </c>
      <c r="W593" s="27"/>
      <c r="X593" s="19">
        <f>F593*0.1+H593*0.1+J593*0.1+P593*0.2+S593*0.2</f>
        <v>25.8</v>
      </c>
      <c r="Y593" s="13">
        <f>X593/0.7+L593+U593</f>
        <v>36.8571428571429</v>
      </c>
      <c r="Z593" s="19"/>
    </row>
    <row r="594" spans="1:26">
      <c r="A594" s="27">
        <v>313</v>
      </c>
      <c r="B594" s="27">
        <v>34</v>
      </c>
      <c r="C594" s="28" t="s">
        <v>663</v>
      </c>
      <c r="D594" s="28" t="s">
        <v>46</v>
      </c>
      <c r="E594" s="27"/>
      <c r="F594" s="27"/>
      <c r="G594" s="27"/>
      <c r="H594" s="27"/>
      <c r="I594" s="27"/>
      <c r="J594" s="35"/>
      <c r="K594" s="35"/>
      <c r="L594" s="35"/>
      <c r="M594" s="35"/>
      <c r="N594" s="35"/>
      <c r="O594" s="5"/>
      <c r="P594" s="5"/>
      <c r="Q594" s="5"/>
      <c r="R594" s="27"/>
      <c r="S594" s="27"/>
      <c r="T594" s="27"/>
      <c r="U594" s="27"/>
      <c r="V594" s="27"/>
      <c r="W594" s="27">
        <v>50</v>
      </c>
      <c r="X594" s="19"/>
      <c r="Y594" s="19">
        <v>50</v>
      </c>
      <c r="Z594" s="19"/>
    </row>
    <row r="595" ht="15.6" spans="1:26">
      <c r="A595" s="27">
        <v>313</v>
      </c>
      <c r="B595" s="27">
        <v>35</v>
      </c>
      <c r="C595" s="28" t="s">
        <v>664</v>
      </c>
      <c r="D595" s="28" t="s">
        <v>46</v>
      </c>
      <c r="E595" s="27">
        <v>13.3</v>
      </c>
      <c r="F595" s="29">
        <f>LOOKUP(E595,{0,1.5,2.3,3.1,3.9,4.7,5.5,6.8,8.1,9.4,10.7,12,13.3,14.6,15.9,17.2,18.5,20.2,21.9,23.6,25.3},{0,10,20,30,40,50,60,62,64,66,68,70,72,74,76,78,80,85,90,95,100})</f>
        <v>72</v>
      </c>
      <c r="G595" s="27">
        <v>160</v>
      </c>
      <c r="H595" s="29">
        <f>LOOKUP(G595,{0,125,130,135,140,145,150,153,156,159,162,165,168,171,174,177,180,187,194,200,206},{0,10,20,30,40,50,60,62,64,66,68,70,72,74,76,78,80,85,90,95,100})</f>
        <v>66</v>
      </c>
      <c r="I595" s="27">
        <v>44</v>
      </c>
      <c r="J595" s="29">
        <f>LOOKUP(I595,{0,15,17,19,21,23,25,27,29,31,33,35,37,39,41,43,45,48,51,53,55},{0,10,20,30,40,50,60,62,64,66,68,70,72,74,76,78,80,85,90,95,100})</f>
        <v>78</v>
      </c>
      <c r="K595" s="35"/>
      <c r="L595" s="35"/>
      <c r="M595" s="35">
        <f>J595+L595</f>
        <v>78</v>
      </c>
      <c r="N595" s="35">
        <v>9.6</v>
      </c>
      <c r="O595" s="36">
        <f>18-N595</f>
        <v>8.4</v>
      </c>
      <c r="P595" s="29">
        <f>LOOKUP(O595,{0,6.6,6.8,7,7.2,7.4,7.6,7.8,8,8.2,8.4,8.6,8.8,9,9.2,9.4,9.6,9.9,10.2,10.3,10.4},{0,10,20,30,40,50,60,62,64,66,68,70,72,74,76,78,80,85,90,95,100})</f>
        <v>68</v>
      </c>
      <c r="Q595" s="5">
        <v>4.27</v>
      </c>
      <c r="R595" s="36">
        <f>10-Q595</f>
        <v>5.73</v>
      </c>
      <c r="S595" s="29">
        <f>LOOKUP(R595,{0,4.74,4.84,4.94,5.44,5.54,5.64,5.69,5.74,5.79,5.84,5.89,5.94,5.99,6.44,6.49,6.54,6.61,6.68,6.74,6.8},{0,10,20,30,40,50,60,62,64,66,68,70,72,74,76,78,80,85,90,95,100})</f>
        <v>62</v>
      </c>
      <c r="T595" s="27"/>
      <c r="U595" s="27"/>
      <c r="V595" s="27">
        <f>S595+U595</f>
        <v>62</v>
      </c>
      <c r="W595" s="27"/>
      <c r="X595" s="19">
        <f>F595*0.1+H595*0.1+J595*0.1+P595*0.2+S595*0.2</f>
        <v>47.6</v>
      </c>
      <c r="Y595" s="13">
        <f>X595/0.7+L595+U595</f>
        <v>68</v>
      </c>
      <c r="Z595" s="19"/>
    </row>
    <row r="596" ht="15.6" spans="1:26">
      <c r="A596" s="27">
        <v>313</v>
      </c>
      <c r="B596" s="27">
        <v>36</v>
      </c>
      <c r="C596" s="28" t="s">
        <v>665</v>
      </c>
      <c r="D596" s="28" t="s">
        <v>46</v>
      </c>
      <c r="E596" s="27">
        <v>19.1</v>
      </c>
      <c r="F596" s="29">
        <f>LOOKUP(E596,{0,1.5,2.3,3.1,3.9,4.7,5.5,6.8,8.1,9.4,10.7,12,13.3,14.6,15.9,17.2,18.5,20.2,21.9,23.6,25.3},{0,10,20,30,40,50,60,62,64,66,68,70,72,74,76,78,80,85,90,95,100})</f>
        <v>80</v>
      </c>
      <c r="G596" s="27">
        <v>175</v>
      </c>
      <c r="H596" s="29">
        <f>LOOKUP(G596,{0,125,130,135,140,145,150,153,156,159,162,165,168,171,174,177,180,187,194,200,206},{0,10,20,30,40,50,60,62,64,66,68,70,72,74,76,78,80,85,90,95,100})</f>
        <v>76</v>
      </c>
      <c r="I596" s="27">
        <v>50</v>
      </c>
      <c r="J596" s="29">
        <f>LOOKUP(I596,{0,15,17,19,21,23,25,27,29,31,33,35,37,39,41,43,45,48,51,53,55},{0,10,20,30,40,50,60,62,64,66,68,70,72,74,76,78,80,85,90,95,100})</f>
        <v>85</v>
      </c>
      <c r="K596" s="35"/>
      <c r="L596" s="35"/>
      <c r="M596" s="35">
        <f>J596+L596</f>
        <v>85</v>
      </c>
      <c r="N596" s="35">
        <v>8.7</v>
      </c>
      <c r="O596" s="36">
        <f>18-N596</f>
        <v>9.3</v>
      </c>
      <c r="P596" s="29">
        <f>LOOKUP(O596,{0,6.6,6.8,7,7.2,7.4,7.6,7.8,8,8.2,8.4,8.6,8.8,9,9.2,9.4,9.6,9.9,10.2,10.3,10.4},{0,10,20,30,40,50,60,62,64,66,68,70,72,74,76,78,80,85,90,95,100})</f>
        <v>76</v>
      </c>
      <c r="Q596" s="5">
        <v>3.44</v>
      </c>
      <c r="R596" s="36">
        <f>10-Q596</f>
        <v>6.56</v>
      </c>
      <c r="S596" s="29">
        <f>LOOKUP(R596,{0,4.74,4.84,4.94,5.44,5.54,5.64,5.69,5.74,5.79,5.84,5.89,5.94,5.99,6.44,6.49,6.54,6.61,6.68,6.74,6.8},{0,10,20,30,40,50,60,62,64,66,68,70,72,74,76,78,80,85,90,95,100})</f>
        <v>80</v>
      </c>
      <c r="T596" s="27"/>
      <c r="U596" s="27"/>
      <c r="V596" s="27">
        <f>S596+U596</f>
        <v>80</v>
      </c>
      <c r="W596" s="27"/>
      <c r="X596" s="19">
        <f>F596*0.1+H596*0.1+J596*0.1+P596*0.2+S596*0.2</f>
        <v>55.3</v>
      </c>
      <c r="Y596" s="13">
        <f>X596/0.7+L596+U596</f>
        <v>79</v>
      </c>
      <c r="Z596" s="19"/>
    </row>
    <row r="597" ht="15.6" spans="1:26">
      <c r="A597" s="27">
        <v>313</v>
      </c>
      <c r="B597" s="27">
        <v>37</v>
      </c>
      <c r="C597" s="28" t="s">
        <v>666</v>
      </c>
      <c r="D597" s="28" t="s">
        <v>46</v>
      </c>
      <c r="E597" s="27">
        <v>13</v>
      </c>
      <c r="F597" s="29">
        <f>LOOKUP(E597,{0,1.5,2.3,3.1,3.9,4.7,5.5,6.8,8.1,9.4,10.7,12,13.3,14.6,15.9,17.2,18.5,20.2,21.9,23.6,25.3},{0,10,20,30,40,50,60,62,64,66,68,70,72,74,76,78,80,85,90,95,100})</f>
        <v>70</v>
      </c>
      <c r="G597" s="27">
        <v>170</v>
      </c>
      <c r="H597" s="29">
        <f>LOOKUP(G597,{0,125,130,135,140,145,150,153,156,159,162,165,168,171,174,177,180,187,194,200,206},{0,10,20,30,40,50,60,62,64,66,68,70,72,74,76,78,80,85,90,95,100})</f>
        <v>72</v>
      </c>
      <c r="I597" s="27">
        <v>47</v>
      </c>
      <c r="J597" s="29">
        <f>LOOKUP(I597,{0,15,17,19,21,23,25,27,29,31,33,35,37,39,41,43,45,48,51,53,55},{0,10,20,30,40,50,60,62,64,66,68,70,72,74,76,78,80,85,90,95,100})</f>
        <v>80</v>
      </c>
      <c r="K597" s="35"/>
      <c r="L597" s="35"/>
      <c r="M597" s="35">
        <f>J597+L597</f>
        <v>80</v>
      </c>
      <c r="N597" s="35">
        <v>8.7</v>
      </c>
      <c r="O597" s="36">
        <f>18-N597</f>
        <v>9.3</v>
      </c>
      <c r="P597" s="29">
        <f>LOOKUP(O597,{0,6.6,6.8,7,7.2,7.4,7.6,7.8,8,8.2,8.4,8.6,8.8,9,9.2,9.4,9.6,9.9,10.2,10.3,10.4},{0,10,20,30,40,50,60,62,64,66,68,70,72,74,76,78,80,85,90,95,100})</f>
        <v>76</v>
      </c>
      <c r="Q597" s="5">
        <v>4.39</v>
      </c>
      <c r="R597" s="36">
        <f>10-Q597</f>
        <v>5.61</v>
      </c>
      <c r="S597" s="29">
        <f>LOOKUP(R597,{0,4.74,4.84,4.94,5.44,5.54,5.64,5.69,5.74,5.79,5.84,5.89,5.94,5.99,6.44,6.49,6.54,6.61,6.68,6.74,6.8},{0,10,20,30,40,50,60,62,64,66,68,70,72,74,76,78,80,85,90,95,100})</f>
        <v>50</v>
      </c>
      <c r="T597" s="27"/>
      <c r="U597" s="27"/>
      <c r="V597" s="27">
        <f>S597+U597</f>
        <v>50</v>
      </c>
      <c r="W597" s="27"/>
      <c r="X597" s="19">
        <f>F597*0.1+H597*0.1+J597*0.1+P597*0.2+S597*0.2</f>
        <v>47.4</v>
      </c>
      <c r="Y597" s="13">
        <f>X597/0.7+L597+U597</f>
        <v>67.7142857142857</v>
      </c>
      <c r="Z597" s="19"/>
    </row>
    <row r="598" spans="1:26">
      <c r="A598" s="27">
        <v>313</v>
      </c>
      <c r="B598" s="27">
        <v>38</v>
      </c>
      <c r="C598" s="28" t="s">
        <v>667</v>
      </c>
      <c r="D598" s="28" t="s">
        <v>46</v>
      </c>
      <c r="E598" s="27"/>
      <c r="F598" s="27"/>
      <c r="G598" s="27"/>
      <c r="H598" s="27"/>
      <c r="I598" s="27"/>
      <c r="J598" s="35"/>
      <c r="K598" s="35"/>
      <c r="L598" s="35"/>
      <c r="M598" s="35"/>
      <c r="N598" s="35"/>
      <c r="O598" s="5"/>
      <c r="P598" s="5"/>
      <c r="Q598" s="5"/>
      <c r="R598" s="27"/>
      <c r="S598" s="27"/>
      <c r="T598" s="27"/>
      <c r="U598" s="27"/>
      <c r="V598" s="27"/>
      <c r="W598" s="27">
        <v>50</v>
      </c>
      <c r="X598" s="19"/>
      <c r="Y598" s="19">
        <v>50</v>
      </c>
      <c r="Z598" s="20"/>
    </row>
    <row r="599" ht="15.6" spans="1:26">
      <c r="A599" s="27">
        <v>313</v>
      </c>
      <c r="B599" s="27">
        <v>39</v>
      </c>
      <c r="C599" s="30" t="s">
        <v>669</v>
      </c>
      <c r="D599" s="28" t="s">
        <v>46</v>
      </c>
      <c r="E599" s="27">
        <v>22.5</v>
      </c>
      <c r="F599" s="29">
        <f>LOOKUP(E599,{0,1.5,2.3,3.1,3.9,4.7,5.5,6.8,8.1,9.4,10.7,12,13.3,14.6,15.9,17.2,18.5,20.2,21.9,23.6,25.3},{0,10,20,30,40,50,60,62,64,66,68,70,72,74,76,78,80,85,90,95,100})</f>
        <v>90</v>
      </c>
      <c r="G599" s="27">
        <v>180</v>
      </c>
      <c r="H599" s="29">
        <f>LOOKUP(G599,{0,125,130,135,140,145,150,153,156,159,162,165,168,171,174,177,180,187,194,200,206},{0,10,20,30,40,50,60,62,64,66,68,70,72,74,76,78,80,85,90,95,100})</f>
        <v>80</v>
      </c>
      <c r="I599" s="27">
        <v>46</v>
      </c>
      <c r="J599" s="29">
        <f>LOOKUP(I599,{0,15,17,19,21,23,25,27,29,31,33,35,37,39,41,43,45,48,51,53,55},{0,10,20,30,40,50,60,62,64,66,68,70,72,74,76,78,80,85,90,95,100})</f>
        <v>80</v>
      </c>
      <c r="K599" s="35"/>
      <c r="L599" s="39"/>
      <c r="M599" s="35">
        <f>J599+L599</f>
        <v>80</v>
      </c>
      <c r="N599" s="35">
        <v>8.9</v>
      </c>
      <c r="O599" s="36">
        <f>18-N599</f>
        <v>9.1</v>
      </c>
      <c r="P599" s="29">
        <f>LOOKUP(O599,{0,6.6,6.8,7,7.2,7.4,7.6,7.8,8,8.2,8.4,8.6,8.8,9,9.2,9.4,9.6,9.9,10.2,10.3,10.4},{0,10,20,30,40,50,60,62,64,66,68,70,72,74,76,78,80,85,90,95,100})</f>
        <v>74</v>
      </c>
      <c r="Q599" s="5">
        <v>3.56</v>
      </c>
      <c r="R599" s="36">
        <f>10-Q599</f>
        <v>6.44</v>
      </c>
      <c r="S599" s="29">
        <f>LOOKUP(R599,{0,4.74,4.84,4.94,5.44,5.54,5.64,5.69,5.74,5.79,5.84,5.89,5.94,5.99,6.44,6.49,6.54,6.61,6.68,6.74,6.8},{0,10,20,30,40,50,60,62,64,66,68,70,72,74,76,78,80,85,90,95,100})</f>
        <v>76</v>
      </c>
      <c r="T599" s="27"/>
      <c r="U599" s="27"/>
      <c r="V599" s="27">
        <f>S599+U599</f>
        <v>76</v>
      </c>
      <c r="W599" s="27"/>
      <c r="X599" s="19">
        <f>F599*0.1+H599*0.1+J599*0.1+P599*0.2+S599*0.2</f>
        <v>55</v>
      </c>
      <c r="Y599" s="13">
        <f>X599/0.7+L599+U599</f>
        <v>78.5714285714286</v>
      </c>
      <c r="Z599" s="19"/>
    </row>
    <row r="600" ht="15.6" spans="1:26">
      <c r="A600" s="27">
        <v>313</v>
      </c>
      <c r="B600" s="27">
        <v>40</v>
      </c>
      <c r="C600" s="28" t="s">
        <v>670</v>
      </c>
      <c r="D600" s="28" t="s">
        <v>46</v>
      </c>
      <c r="E600" s="27">
        <v>14.5</v>
      </c>
      <c r="F600" s="29">
        <f>LOOKUP(E600,{0,1.5,2.3,3.1,3.9,4.7,5.5,6.8,8.1,9.4,10.7,12,13.3,14.6,15.9,17.2,18.5,20.2,21.9,23.6,25.3},{0,10,20,30,40,50,60,62,64,66,68,70,72,74,76,78,80,85,90,95,100})</f>
        <v>72</v>
      </c>
      <c r="G600" s="27">
        <v>145</v>
      </c>
      <c r="H600" s="29">
        <f>LOOKUP(G600,{0,125,130,135,140,145,150,153,156,159,162,165,168,171,174,177,180,187,194,200,206},{0,10,20,30,40,50,60,62,64,66,68,70,72,74,76,78,80,85,90,95,100})</f>
        <v>50</v>
      </c>
      <c r="I600" s="27">
        <v>38</v>
      </c>
      <c r="J600" s="29">
        <f>LOOKUP(I600,{0,15,17,19,21,23,25,27,29,31,33,35,37,39,41,43,45,48,51,53,55},{0,10,20,30,40,50,60,62,64,66,68,70,72,74,76,78,80,85,90,95,100})</f>
        <v>72</v>
      </c>
      <c r="K600" s="35"/>
      <c r="L600" s="35"/>
      <c r="M600" s="35">
        <f>J600+L600</f>
        <v>72</v>
      </c>
      <c r="N600" s="35">
        <v>10.3</v>
      </c>
      <c r="O600" s="36">
        <f>18-N600</f>
        <v>7.7</v>
      </c>
      <c r="P600" s="29">
        <f>LOOKUP(O600,{0,6.6,6.8,7,7.2,7.4,7.6,7.8,8,8.2,8.4,8.6,8.8,9,9.2,9.4,9.6,9.9,10.2,10.3,10.4},{0,10,20,30,40,50,60,62,64,66,68,70,72,74,76,78,80,85,90,95,100})</f>
        <v>60</v>
      </c>
      <c r="Q600" s="5">
        <v>4.09</v>
      </c>
      <c r="R600" s="36">
        <f>10-Q600</f>
        <v>5.91</v>
      </c>
      <c r="S600" s="29">
        <f>LOOKUP(R600,{0,4.74,4.84,4.94,5.44,5.54,5.64,5.69,5.74,5.79,5.84,5.89,5.94,5.99,6.44,6.49,6.54,6.61,6.68,6.74,6.8},{0,10,20,30,40,50,60,62,64,66,68,70,72,74,76,78,80,85,90,95,100})</f>
        <v>70</v>
      </c>
      <c r="T600" s="27"/>
      <c r="U600" s="27"/>
      <c r="V600" s="27">
        <f>S600+U600</f>
        <v>70</v>
      </c>
      <c r="W600" s="27"/>
      <c r="X600" s="19">
        <f>F600*0.1+H600*0.1+J600*0.1+P600*0.2+S600*0.2</f>
        <v>45.4</v>
      </c>
      <c r="Y600" s="13">
        <f>X600/0.7+L600+U600</f>
        <v>64.8571428571429</v>
      </c>
      <c r="Z600" s="19"/>
    </row>
    <row r="601" ht="15.6" spans="1:26">
      <c r="A601" s="27">
        <v>313</v>
      </c>
      <c r="B601" s="27">
        <v>41</v>
      </c>
      <c r="C601" s="28" t="s">
        <v>671</v>
      </c>
      <c r="D601" s="28" t="s">
        <v>46</v>
      </c>
      <c r="E601" s="27">
        <v>18</v>
      </c>
      <c r="F601" s="29">
        <f>LOOKUP(E601,{0,1.5,2.3,3.1,3.9,4.7,5.5,6.8,8.1,9.4,10.7,12,13.3,14.6,15.9,17.2,18.5,20.2,21.9,23.6,25.3},{0,10,20,30,40,50,60,62,64,66,68,70,72,74,76,78,80,85,90,95,100})</f>
        <v>78</v>
      </c>
      <c r="G601" s="27">
        <v>155</v>
      </c>
      <c r="H601" s="29">
        <f>LOOKUP(G601,{0,125,130,135,140,145,150,153,156,159,162,165,168,171,174,177,180,187,194,200,206},{0,10,20,30,40,50,60,62,64,66,68,70,72,74,76,78,80,85,90,95,100})</f>
        <v>62</v>
      </c>
      <c r="I601" s="27">
        <v>38</v>
      </c>
      <c r="J601" s="29">
        <f>LOOKUP(I601,{0,15,17,19,21,23,25,27,29,31,33,35,37,39,41,43,45,48,51,53,55},{0,10,20,30,40,50,60,62,64,66,68,70,72,74,76,78,80,85,90,95,100})</f>
        <v>72</v>
      </c>
      <c r="K601" s="35"/>
      <c r="L601" s="35"/>
      <c r="M601" s="35">
        <f>J601+L601</f>
        <v>72</v>
      </c>
      <c r="N601" s="35">
        <v>9.6</v>
      </c>
      <c r="O601" s="36">
        <f>18-N601</f>
        <v>8.4</v>
      </c>
      <c r="P601" s="29">
        <f>LOOKUP(O601,{0,6.6,6.8,7,7.2,7.4,7.6,7.8,8,8.2,8.4,8.6,8.8,9,9.2,9.4,9.6,9.9,10.2,10.3,10.4},{0,10,20,30,40,50,60,62,64,66,68,70,72,74,76,78,80,85,90,95,100})</f>
        <v>68</v>
      </c>
      <c r="Q601" s="5">
        <v>4.29</v>
      </c>
      <c r="R601" s="36">
        <f>10-Q601</f>
        <v>5.71</v>
      </c>
      <c r="S601" s="29">
        <f>LOOKUP(R601,{0,4.74,4.84,4.94,5.44,5.54,5.64,5.69,5.74,5.79,5.84,5.89,5.94,5.99,6.44,6.49,6.54,6.61,6.68,6.74,6.8},{0,10,20,30,40,50,60,62,64,66,68,70,72,74,76,78,80,85,90,95,100})</f>
        <v>62</v>
      </c>
      <c r="T601" s="27"/>
      <c r="U601" s="27"/>
      <c r="V601" s="27">
        <f>S601+U601</f>
        <v>62</v>
      </c>
      <c r="W601" s="27"/>
      <c r="X601" s="19">
        <f>F601*0.1+H601*0.1+J601*0.1+P601*0.2+S601*0.2</f>
        <v>47.2</v>
      </c>
      <c r="Y601" s="13">
        <f>X601/0.7+L601+U601</f>
        <v>67.4285714285714</v>
      </c>
      <c r="Z601" s="19"/>
    </row>
    <row r="602" spans="1:26">
      <c r="A602" s="27">
        <v>313</v>
      </c>
      <c r="B602" s="27">
        <v>42</v>
      </c>
      <c r="C602" s="28" t="s">
        <v>672</v>
      </c>
      <c r="D602" s="28" t="s">
        <v>46</v>
      </c>
      <c r="E602" s="27"/>
      <c r="F602" s="27"/>
      <c r="G602" s="27"/>
      <c r="H602" s="27"/>
      <c r="I602" s="27"/>
      <c r="J602" s="35"/>
      <c r="K602" s="35"/>
      <c r="L602" s="35"/>
      <c r="M602" s="35"/>
      <c r="N602" s="35"/>
      <c r="O602" s="5"/>
      <c r="P602" s="5"/>
      <c r="Q602" s="5"/>
      <c r="R602" s="27"/>
      <c r="S602" s="27"/>
      <c r="T602" s="27"/>
      <c r="U602" s="27"/>
      <c r="V602" s="27"/>
      <c r="W602" s="27">
        <v>50</v>
      </c>
      <c r="X602" s="19"/>
      <c r="Y602" s="19">
        <v>50</v>
      </c>
      <c r="Z602" s="19"/>
    </row>
    <row r="603" ht="15.6" spans="1:26">
      <c r="A603" s="27">
        <v>313</v>
      </c>
      <c r="B603" s="27">
        <v>43</v>
      </c>
      <c r="C603" s="28" t="s">
        <v>673</v>
      </c>
      <c r="D603" s="28" t="s">
        <v>46</v>
      </c>
      <c r="E603" s="27">
        <v>16</v>
      </c>
      <c r="F603" s="29">
        <f>LOOKUP(E603,{0,1.5,2.3,3.1,3.9,4.7,5.5,6.8,8.1,9.4,10.7,12,13.3,14.6,15.9,17.2,18.5,20.2,21.9,23.6,25.3},{0,10,20,30,40,50,60,62,64,66,68,70,72,74,76,78,80,85,90,95,100})</f>
        <v>76</v>
      </c>
      <c r="G603" s="27">
        <v>164</v>
      </c>
      <c r="H603" s="29">
        <f>LOOKUP(G603,{0,125,130,135,140,145,150,153,156,159,162,165,168,171,174,177,180,187,194,200,206},{0,10,20,30,40,50,60,62,64,66,68,70,72,74,76,78,80,85,90,95,100})</f>
        <v>68</v>
      </c>
      <c r="I603" s="27">
        <v>21</v>
      </c>
      <c r="J603" s="29">
        <f>LOOKUP(I603,{0,15,17,19,21,23,25,27,29,31,33,35,37,39,41,43,45,48,51,53,55},{0,10,20,30,40,50,60,62,64,66,68,70,72,74,76,78,80,85,90,95,100})</f>
        <v>40</v>
      </c>
      <c r="K603" s="35"/>
      <c r="L603" s="35"/>
      <c r="M603" s="35">
        <f>J603+L603</f>
        <v>40</v>
      </c>
      <c r="N603" s="35">
        <v>9.3</v>
      </c>
      <c r="O603" s="36">
        <f>18-N603</f>
        <v>8.7</v>
      </c>
      <c r="P603" s="29">
        <f>LOOKUP(O603,{0,6.6,6.8,7,7.2,7.4,7.6,7.8,8,8.2,8.4,8.6,8.8,9,9.2,9.4,9.6,9.9,10.2,10.3,10.4},{0,10,20,30,40,50,60,62,64,66,68,70,72,74,76,78,80,85,90,95,100})</f>
        <v>70</v>
      </c>
      <c r="Q603" s="5">
        <v>4.12</v>
      </c>
      <c r="R603" s="36">
        <f>10-Q603</f>
        <v>5.88</v>
      </c>
      <c r="S603" s="29">
        <f>LOOKUP(R603,{0,4.74,4.84,4.94,5.44,5.54,5.64,5.69,5.74,5.79,5.84,5.89,5.94,5.99,6.44,6.49,6.54,6.61,6.68,6.74,6.8},{0,10,20,30,40,50,60,62,64,66,68,70,72,74,76,78,80,85,90,95,100})</f>
        <v>68</v>
      </c>
      <c r="T603" s="27"/>
      <c r="U603" s="27"/>
      <c r="V603" s="27">
        <f>S603+U603</f>
        <v>68</v>
      </c>
      <c r="W603" s="27"/>
      <c r="X603" s="19">
        <f>F603*0.1+H603*0.1+J603*0.1+P603*0.2+S603*0.2</f>
        <v>46</v>
      </c>
      <c r="Y603" s="13">
        <f>X603/0.7+L603+U603</f>
        <v>65.7142857142857</v>
      </c>
      <c r="Z603" s="19"/>
    </row>
    <row r="604" ht="15.6" spans="1:26">
      <c r="A604" s="27">
        <v>313</v>
      </c>
      <c r="B604" s="27">
        <v>44</v>
      </c>
      <c r="C604" s="28" t="s">
        <v>674</v>
      </c>
      <c r="D604" s="28" t="s">
        <v>46</v>
      </c>
      <c r="E604" s="27">
        <v>14.7</v>
      </c>
      <c r="F604" s="29">
        <f>LOOKUP(E604,{0,1.5,2.3,3.1,3.9,4.7,5.5,6.8,8.1,9.4,10.7,12,13.3,14.6,15.9,17.2,18.5,20.2,21.9,23.6,25.3},{0,10,20,30,40,50,60,62,64,66,68,70,72,74,76,78,80,85,90,95,100})</f>
        <v>74</v>
      </c>
      <c r="G604" s="27">
        <v>165</v>
      </c>
      <c r="H604" s="29">
        <f>LOOKUP(G604,{0,125,130,135,140,145,150,153,156,159,162,165,168,171,174,177,180,187,194,200,206},{0,10,20,30,40,50,60,62,64,66,68,70,72,74,76,78,80,85,90,95,100})</f>
        <v>70</v>
      </c>
      <c r="I604" s="27">
        <v>45</v>
      </c>
      <c r="J604" s="29">
        <f>LOOKUP(I604,{0,15,17,19,21,23,25,27,29,31,33,35,37,39,41,43,45,48,51,53,55},{0,10,20,30,40,50,60,62,64,66,68,70,72,74,76,78,80,85,90,95,100})</f>
        <v>80</v>
      </c>
      <c r="K604" s="35"/>
      <c r="L604" s="35"/>
      <c r="M604" s="35">
        <f>J604+L604</f>
        <v>80</v>
      </c>
      <c r="N604" s="35"/>
      <c r="O604" s="5"/>
      <c r="P604" s="5"/>
      <c r="Q604" s="5"/>
      <c r="R604" s="27"/>
      <c r="S604" s="27"/>
      <c r="T604" s="27"/>
      <c r="U604" s="27"/>
      <c r="V604" s="27"/>
      <c r="W604" s="27">
        <v>50</v>
      </c>
      <c r="X604" s="19"/>
      <c r="Y604" s="19">
        <v>50</v>
      </c>
      <c r="Z604" s="19"/>
    </row>
    <row r="605" ht="15.6" spans="1:26">
      <c r="A605" s="27">
        <v>313</v>
      </c>
      <c r="B605" s="27">
        <v>45</v>
      </c>
      <c r="C605" s="28" t="s">
        <v>675</v>
      </c>
      <c r="D605" s="28" t="s">
        <v>46</v>
      </c>
      <c r="E605" s="27">
        <v>12</v>
      </c>
      <c r="F605" s="29">
        <f>LOOKUP(E605,{0,1.5,2.3,3.1,3.9,4.7,5.5,6.8,8.1,9.4,10.7,12,13.3,14.6,15.9,17.2,18.5,20.2,21.9,23.6,25.3},{0,10,20,30,40,50,60,62,64,66,68,70,72,74,76,78,80,85,90,95,100})</f>
        <v>70</v>
      </c>
      <c r="G605" s="27">
        <v>165</v>
      </c>
      <c r="H605" s="29">
        <f>LOOKUP(G605,{0,125,130,135,140,145,150,153,156,159,162,165,168,171,174,177,180,187,194,200,206},{0,10,20,30,40,50,60,62,64,66,68,70,72,74,76,78,80,85,90,95,100})</f>
        <v>70</v>
      </c>
      <c r="I605" s="27">
        <v>43</v>
      </c>
      <c r="J605" s="29">
        <f>LOOKUP(I605,{0,15,17,19,21,23,25,27,29,31,33,35,37,39,41,43,45,48,51,53,55},{0,10,20,30,40,50,60,62,64,66,68,70,72,74,76,78,80,85,90,95,100})</f>
        <v>78</v>
      </c>
      <c r="K605" s="35"/>
      <c r="L605" s="35"/>
      <c r="M605" s="35">
        <f>J605+L605</f>
        <v>78</v>
      </c>
      <c r="N605" s="35">
        <v>8.8</v>
      </c>
      <c r="O605" s="36">
        <f>18-N605</f>
        <v>9.2</v>
      </c>
      <c r="P605" s="29">
        <f>LOOKUP(O605,{0,6.6,6.8,7,7.2,7.4,7.6,7.8,8,8.2,8.4,8.6,8.8,9,9.2,9.4,9.6,9.9,10.2,10.3,10.4},{0,10,20,30,40,50,60,62,64,66,68,70,72,74,76,78,80,85,90,95,100})</f>
        <v>76</v>
      </c>
      <c r="Q605" s="5">
        <v>3.57</v>
      </c>
      <c r="R605" s="36">
        <f>10-Q605</f>
        <v>6.43</v>
      </c>
      <c r="S605" s="29">
        <f>LOOKUP(R605,{0,4.74,4.84,4.94,5.44,5.54,5.64,5.69,5.74,5.79,5.84,5.89,5.94,5.99,6.44,6.49,6.54,6.61,6.68,6.74,6.8},{0,10,20,30,40,50,60,62,64,66,68,70,72,74,76,78,80,85,90,95,100})</f>
        <v>74</v>
      </c>
      <c r="T605" s="27"/>
      <c r="U605" s="27"/>
      <c r="V605" s="27">
        <f>S605+U605</f>
        <v>74</v>
      </c>
      <c r="W605" s="27"/>
      <c r="X605" s="19">
        <f>F605*0.1+H605*0.1+J605*0.1+P605*0.2+S605*0.2</f>
        <v>51.8</v>
      </c>
      <c r="Y605" s="13">
        <f>X605/0.7+L605+U605</f>
        <v>74</v>
      </c>
      <c r="Z605" s="20"/>
    </row>
    <row r="606" ht="15.6" spans="1:26">
      <c r="A606" s="27">
        <v>313</v>
      </c>
      <c r="B606" s="27">
        <v>46</v>
      </c>
      <c r="C606" s="28" t="s">
        <v>676</v>
      </c>
      <c r="D606" s="28" t="s">
        <v>46</v>
      </c>
      <c r="E606" s="27">
        <v>16.5</v>
      </c>
      <c r="F606" s="29">
        <f>LOOKUP(E606,{0,1.5,2.3,3.1,3.9,4.7,5.5,6.8,8.1,9.4,10.7,12,13.3,14.6,15.9,17.2,18.5,20.2,21.9,23.6,25.3},{0,10,20,30,40,50,60,62,64,66,68,70,72,74,76,78,80,85,90,95,100})</f>
        <v>76</v>
      </c>
      <c r="G606" s="27"/>
      <c r="H606" s="27"/>
      <c r="I606" s="27">
        <v>49</v>
      </c>
      <c r="J606" s="29">
        <f>LOOKUP(I606,{0,15,17,19,21,23,25,27,29,31,33,35,37,39,41,43,45,48,51,53,55},{0,10,20,30,40,50,60,62,64,66,68,70,72,74,76,78,80,85,90,95,100})</f>
        <v>85</v>
      </c>
      <c r="K606" s="35"/>
      <c r="L606" s="35"/>
      <c r="M606" s="35">
        <f>J606+L606</f>
        <v>85</v>
      </c>
      <c r="N606" s="35"/>
      <c r="O606" s="5"/>
      <c r="P606" s="5"/>
      <c r="Q606" s="5"/>
      <c r="R606" s="27"/>
      <c r="S606" s="27"/>
      <c r="T606" s="27"/>
      <c r="U606" s="27"/>
      <c r="V606" s="27"/>
      <c r="W606" s="27">
        <v>50</v>
      </c>
      <c r="X606" s="19"/>
      <c r="Y606" s="19">
        <v>50</v>
      </c>
      <c r="Z606" s="19"/>
    </row>
    <row r="607" ht="15.6" spans="1:26">
      <c r="A607" s="27">
        <v>313</v>
      </c>
      <c r="B607" s="27">
        <v>47</v>
      </c>
      <c r="C607" s="28" t="s">
        <v>677</v>
      </c>
      <c r="D607" s="28" t="s">
        <v>46</v>
      </c>
      <c r="E607" s="27">
        <v>3</v>
      </c>
      <c r="F607" s="29">
        <f>LOOKUP(E607,{0,1.5,2.3,3.1,3.9,4.7,5.5,6.8,8.1,9.4,10.7,12,13.3,14.6,15.9,17.2,18.5,20.2,21.9,23.6,25.3},{0,10,20,30,40,50,60,62,64,66,68,70,72,74,76,78,80,85,90,95,100})</f>
        <v>20</v>
      </c>
      <c r="G607" s="27">
        <v>161</v>
      </c>
      <c r="H607" s="29">
        <f>LOOKUP(G607,{0,125,130,135,140,145,150,153,156,159,162,165,168,171,174,177,180,187,194,200,206},{0,10,20,30,40,50,60,62,64,66,68,70,72,74,76,78,80,85,90,95,100})</f>
        <v>66</v>
      </c>
      <c r="I607" s="27">
        <v>35</v>
      </c>
      <c r="J607" s="29">
        <f>LOOKUP(I607,{0,15,17,19,21,23,25,27,29,31,33,35,37,39,41,43,45,48,51,53,55},{0,10,20,30,40,50,60,62,64,66,68,70,72,74,76,78,80,85,90,95,100})</f>
        <v>70</v>
      </c>
      <c r="K607" s="35"/>
      <c r="L607" s="35"/>
      <c r="M607" s="35">
        <f>J607+L607</f>
        <v>70</v>
      </c>
      <c r="N607" s="35">
        <v>8.6</v>
      </c>
      <c r="O607" s="36">
        <f>18-N607</f>
        <v>9.4</v>
      </c>
      <c r="P607" s="29">
        <f>LOOKUP(O607,{0,6.6,6.8,7,7.2,7.4,7.6,7.8,8,8.2,8.4,8.6,8.8,9,9.2,9.4,9.6,9.9,10.2,10.3,10.4},{0,10,20,30,40,50,60,62,64,66,68,70,72,74,76,78,80,85,90,95,100})</f>
        <v>78</v>
      </c>
      <c r="Q607" s="5">
        <v>4.55</v>
      </c>
      <c r="R607" s="36">
        <f>10-Q607</f>
        <v>5.45</v>
      </c>
      <c r="S607" s="29">
        <f>LOOKUP(R607,{0,4.74,4.84,4.94,5.44,5.54,5.64,5.69,5.74,5.79,5.84,5.89,5.94,5.99,6.44,6.49,6.54,6.61,6.68,6.74,6.8},{0,10,20,30,40,50,60,62,64,66,68,70,72,74,76,78,80,85,90,95,100})</f>
        <v>40</v>
      </c>
      <c r="T607" s="27"/>
      <c r="U607" s="27"/>
      <c r="V607" s="27">
        <f>S607+U607</f>
        <v>40</v>
      </c>
      <c r="W607" s="27"/>
      <c r="X607" s="19">
        <f>F607*0.1+H607*0.1+J607*0.1+P607*0.2+S607*0.2</f>
        <v>39.2</v>
      </c>
      <c r="Y607" s="13">
        <f>X607/0.7+L607+U607</f>
        <v>56</v>
      </c>
      <c r="Z607" s="19"/>
    </row>
    <row r="608" spans="1:26">
      <c r="A608" s="27">
        <v>313</v>
      </c>
      <c r="B608" s="27">
        <v>48</v>
      </c>
      <c r="C608" s="28" t="s">
        <v>678</v>
      </c>
      <c r="D608" s="28" t="s">
        <v>46</v>
      </c>
      <c r="E608" s="27"/>
      <c r="F608" s="27"/>
      <c r="G608" s="27"/>
      <c r="H608" s="27"/>
      <c r="I608" s="27"/>
      <c r="J608" s="35"/>
      <c r="K608" s="35"/>
      <c r="L608" s="35"/>
      <c r="M608" s="35"/>
      <c r="N608" s="35"/>
      <c r="O608" s="5"/>
      <c r="P608" s="5"/>
      <c r="Q608" s="5"/>
      <c r="R608" s="27"/>
      <c r="S608" s="27"/>
      <c r="T608" s="27"/>
      <c r="U608" s="27"/>
      <c r="V608" s="27"/>
      <c r="W608" s="27">
        <v>50</v>
      </c>
      <c r="X608" s="19"/>
      <c r="Y608" s="19">
        <v>50</v>
      </c>
      <c r="Z608" s="19"/>
    </row>
    <row r="609" ht="15.6" spans="1:26">
      <c r="A609" s="27">
        <v>313</v>
      </c>
      <c r="B609" s="27">
        <v>49</v>
      </c>
      <c r="C609" s="28" t="s">
        <v>679</v>
      </c>
      <c r="D609" s="28" t="s">
        <v>46</v>
      </c>
      <c r="E609" s="27">
        <v>9.7</v>
      </c>
      <c r="F609" s="29">
        <f>LOOKUP(E609,{0,1.5,2.3,3.1,3.9,4.7,5.5,6.8,8.1,9.4,10.7,12,13.3,14.6,15.9,17.2,18.5,20.2,21.9,23.6,25.3},{0,10,20,30,40,50,60,62,64,66,68,70,72,74,76,78,80,85,90,95,100})</f>
        <v>66</v>
      </c>
      <c r="G609" s="27">
        <v>154</v>
      </c>
      <c r="H609" s="29">
        <f>LOOKUP(G609,{0,125,130,135,140,145,150,153,156,159,162,165,168,171,174,177,180,187,194,200,206},{0,10,20,30,40,50,60,62,64,66,68,70,72,74,76,78,80,85,90,95,100})</f>
        <v>62</v>
      </c>
      <c r="I609" s="27">
        <v>42</v>
      </c>
      <c r="J609" s="29">
        <f>LOOKUP(I609,{0,15,17,19,21,23,25,27,29,31,33,35,37,39,41,43,45,48,51,53,55},{0,10,20,30,40,50,60,62,64,66,68,70,72,74,76,78,80,85,90,95,100})</f>
        <v>76</v>
      </c>
      <c r="K609" s="35"/>
      <c r="L609" s="39"/>
      <c r="M609" s="35">
        <f t="shared" ref="M609:M623" si="171">J609+L609</f>
        <v>76</v>
      </c>
      <c r="N609" s="35">
        <v>8.8</v>
      </c>
      <c r="O609" s="36">
        <f t="shared" ref="O609:O622" si="172">18-N609</f>
        <v>9.2</v>
      </c>
      <c r="P609" s="29">
        <f>LOOKUP(O609,{0,6.6,6.8,7,7.2,7.4,7.6,7.8,8,8.2,8.4,8.6,8.8,9,9.2,9.4,9.6,9.9,10.2,10.3,10.4},{0,10,20,30,40,50,60,62,64,66,68,70,72,74,76,78,80,85,90,95,100})</f>
        <v>76</v>
      </c>
      <c r="Q609" s="5">
        <v>4.26</v>
      </c>
      <c r="R609" s="36">
        <f t="shared" ref="R609:R622" si="173">10-Q609</f>
        <v>5.74</v>
      </c>
      <c r="S609" s="29">
        <f>LOOKUP(R609,{0,4.74,4.84,4.94,5.44,5.54,5.64,5.69,5.74,5.79,5.84,5.89,5.94,5.99,6.44,6.49,6.54,6.61,6.68,6.74,6.8},{0,10,20,30,40,50,60,62,64,66,68,70,72,74,76,78,80,85,90,95,100})</f>
        <v>64</v>
      </c>
      <c r="T609" s="27"/>
      <c r="U609" s="27"/>
      <c r="V609" s="27">
        <f t="shared" ref="V609:V622" si="174">S609+U609</f>
        <v>64</v>
      </c>
      <c r="W609" s="27"/>
      <c r="X609" s="19">
        <f t="shared" ref="X609:X622" si="175">F609*0.1+H609*0.1+J609*0.1+P609*0.2+S609*0.2</f>
        <v>48.4</v>
      </c>
      <c r="Y609" s="13">
        <f t="shared" ref="Y609:Y622" si="176">X609/0.7+L609+U609</f>
        <v>69.1428571428572</v>
      </c>
      <c r="Z609" s="19"/>
    </row>
    <row r="610" ht="15.6" spans="1:26">
      <c r="A610" s="27">
        <v>313</v>
      </c>
      <c r="B610" s="27">
        <v>50</v>
      </c>
      <c r="C610" s="28" t="s">
        <v>680</v>
      </c>
      <c r="D610" s="28" t="s">
        <v>46</v>
      </c>
      <c r="E610" s="27">
        <v>23</v>
      </c>
      <c r="F610" s="29">
        <f>LOOKUP(E610,{0,1.5,2.3,3.1,3.9,4.7,5.5,6.8,8.1,9.4,10.7,12,13.3,14.6,15.9,17.2,18.5,20.2,21.9,23.6,25.3},{0,10,20,30,40,50,60,62,64,66,68,70,72,74,76,78,80,85,90,95,100})</f>
        <v>90</v>
      </c>
      <c r="G610" s="27">
        <v>180</v>
      </c>
      <c r="H610" s="29">
        <f>LOOKUP(G610,{0,125,130,135,140,145,150,153,156,159,162,165,168,171,174,177,180,187,194,200,206},{0,10,20,30,40,50,60,62,64,66,68,70,72,74,76,78,80,85,90,95,100})</f>
        <v>80</v>
      </c>
      <c r="I610" s="27">
        <v>42</v>
      </c>
      <c r="J610" s="29">
        <f>LOOKUP(I610,{0,15,17,19,21,23,25,27,29,31,33,35,37,39,41,43,45,48,51,53,55},{0,10,20,30,40,50,60,62,64,66,68,70,72,74,76,78,80,85,90,95,100})</f>
        <v>76</v>
      </c>
      <c r="K610" s="35"/>
      <c r="L610" s="35"/>
      <c r="M610" s="35">
        <f t="shared" si="171"/>
        <v>76</v>
      </c>
      <c r="N610" s="35">
        <v>9.4</v>
      </c>
      <c r="O610" s="36">
        <f t="shared" si="172"/>
        <v>8.6</v>
      </c>
      <c r="P610" s="29">
        <f>LOOKUP(O610,{0,6.6,6.8,7,7.2,7.4,7.6,7.8,8,8.2,8.4,8.6,8.8,9,9.2,9.4,9.6,9.9,10.2,10.3,10.4},{0,10,20,30,40,50,60,62,64,66,68,70,72,74,76,78,80,85,90,95,100})</f>
        <v>70</v>
      </c>
      <c r="Q610" s="5">
        <v>4.18</v>
      </c>
      <c r="R610" s="36">
        <f t="shared" si="173"/>
        <v>5.82</v>
      </c>
      <c r="S610" s="29">
        <f>LOOKUP(R610,{0,4.74,4.84,4.94,5.44,5.54,5.64,5.69,5.74,5.79,5.84,5.89,5.94,5.99,6.44,6.49,6.54,6.61,6.68,6.74,6.8},{0,10,20,30,40,50,60,62,64,66,68,70,72,74,76,78,80,85,90,95,100})</f>
        <v>66</v>
      </c>
      <c r="T610" s="27"/>
      <c r="U610" s="27"/>
      <c r="V610" s="27">
        <f t="shared" si="174"/>
        <v>66</v>
      </c>
      <c r="W610" s="27"/>
      <c r="X610" s="19">
        <f t="shared" si="175"/>
        <v>51.8</v>
      </c>
      <c r="Y610" s="13">
        <f t="shared" si="176"/>
        <v>74</v>
      </c>
      <c r="Z610" s="19"/>
    </row>
    <row r="611" ht="15.6" spans="1:26">
      <c r="A611" s="27">
        <v>314</v>
      </c>
      <c r="B611" s="27">
        <v>1</v>
      </c>
      <c r="C611" s="30" t="s">
        <v>682</v>
      </c>
      <c r="D611" s="28" t="s">
        <v>12</v>
      </c>
      <c r="E611" s="27">
        <v>14.5</v>
      </c>
      <c r="F611" s="29">
        <f>LOOKUP(E611,{0,-1.8,-0.8,0.2,1.2,2.2,3.2,4.6,6,7.4,8.8,10.2,11.6,13,14.4,15.8,17.2,19.1,21,22.8,24.6},{0,10,20,30,40,50,60,62,64,66,68,70,72,74,76,78,80,85,90,95,100})</f>
        <v>76</v>
      </c>
      <c r="G611" s="27">
        <v>215</v>
      </c>
      <c r="H611" s="29">
        <f>LOOKUP(G611,{0,180,185,190,195,200,205,209,213,217,221,225,229,233,237,241,245,253,260,265,270},{0,10,20,30,40,50,60,62,64,66,68,70,72,74,76,78,80,85,90,95,100})</f>
        <v>64</v>
      </c>
      <c r="I611" s="27">
        <v>0</v>
      </c>
      <c r="J611" s="29">
        <f>LOOKUP(I611,{0,4,5,6,7,8,9,10,11,12,13,14,15,16,17,18},{0,10,20,30,40,50,60,64,68,72,76,80,85,90,95,100})</f>
        <v>0</v>
      </c>
      <c r="K611" s="44"/>
      <c r="L611" s="35"/>
      <c r="M611" s="35">
        <f t="shared" si="171"/>
        <v>0</v>
      </c>
      <c r="N611" s="35">
        <v>7.3</v>
      </c>
      <c r="O611" s="36">
        <f t="shared" si="172"/>
        <v>10.7</v>
      </c>
      <c r="P611" s="29">
        <f>LOOKUP(O611,{0,7.8,8,8.2,8.4,8.6,8.8,9,9.2,9.4,9.6,9.8,10,10.2,10.4,10.6,10.8,10.9,11,11.1,11.2},{0,10,20,30,40,50,60,62,64,66,68,70,72,74,76,78,80,85,90,95,100})</f>
        <v>78</v>
      </c>
      <c r="Q611" s="5">
        <v>5.26</v>
      </c>
      <c r="R611" s="36">
        <f t="shared" si="173"/>
        <v>4.74</v>
      </c>
      <c r="S611" s="29">
        <f>LOOKUP(R611,{0,3.85,4.45,4.65,4.85,5.45,5.65,5.7,5.75,5.8,5.85,5.9,5.95,6,6.45,6.5,6.55,6.63,6.7,6.75,6.8},{0,10,20,30,40,50,60,62,64,66,68,70,72,74,76,78,80,85,90,95,100})</f>
        <v>30</v>
      </c>
      <c r="T611" s="27"/>
      <c r="U611" s="27"/>
      <c r="V611" s="27">
        <f t="shared" si="174"/>
        <v>30</v>
      </c>
      <c r="W611" s="27"/>
      <c r="X611" s="19">
        <f t="shared" si="175"/>
        <v>35.6</v>
      </c>
      <c r="Y611" s="13">
        <f t="shared" si="176"/>
        <v>50.8571428571429</v>
      </c>
      <c r="Z611" s="19"/>
    </row>
    <row r="612" ht="15.6" spans="1:26">
      <c r="A612" s="27">
        <v>314</v>
      </c>
      <c r="B612" s="27">
        <v>3</v>
      </c>
      <c r="C612" s="28" t="s">
        <v>683</v>
      </c>
      <c r="D612" s="28" t="s">
        <v>12</v>
      </c>
      <c r="E612" s="27">
        <v>5.5</v>
      </c>
      <c r="F612" s="29">
        <f>LOOKUP(E612,{0,-1.8,-0.8,0.2,1.2,2.2,3.2,4.6,6,7.4,8.8,10.2,11.6,13,14.4,15.8,17.2,19.1,21,22.8,24.6},{0,10,20,30,40,50,60,62,64,66,68,70,72,74,76,78,80,85,90,95,100})</f>
        <v>62</v>
      </c>
      <c r="G612" s="27">
        <v>180</v>
      </c>
      <c r="H612" s="29">
        <f>LOOKUP(G612,{0,180,185,190,195,200,205,209,213,217,221,225,229,233,237,241,245,253,260,265,270},{0,10,20,30,40,50,60,62,64,66,68,70,72,74,76,78,80,85,90,95,100})</f>
        <v>10</v>
      </c>
      <c r="I612" s="27">
        <v>0</v>
      </c>
      <c r="J612" s="29">
        <f>LOOKUP(I612,{0,4,5,6,7,8,9,10,11,12,13,14,15,16,17,18},{0,10,20,30,40,50,60,64,68,72,76,80,85,90,95,100})</f>
        <v>0</v>
      </c>
      <c r="K612" s="44"/>
      <c r="L612" s="35"/>
      <c r="M612" s="35">
        <f t="shared" si="171"/>
        <v>0</v>
      </c>
      <c r="N612" s="35">
        <v>7.5</v>
      </c>
      <c r="O612" s="36">
        <f t="shared" si="172"/>
        <v>10.5</v>
      </c>
      <c r="P612" s="29">
        <f>LOOKUP(O612,{0,7.8,8,8.2,8.4,8.6,8.8,9,9.2,9.4,9.6,9.8,10,10.2,10.4,10.6,10.8,10.9,11,11.1,11.2},{0,10,20,30,40,50,60,62,64,66,68,70,72,74,76,78,80,85,90,95,100})</f>
        <v>76</v>
      </c>
      <c r="Q612" s="5">
        <v>5.34</v>
      </c>
      <c r="R612" s="36">
        <f t="shared" si="173"/>
        <v>4.66</v>
      </c>
      <c r="S612" s="29">
        <f>LOOKUP(R612,{0,3.85,4.45,4.65,4.85,5.45,5.65,5.7,5.75,5.8,5.85,5.9,5.95,6,6.45,6.5,6.55,6.63,6.7,6.75,6.8},{0,10,20,30,40,50,60,62,64,66,68,70,72,74,76,78,80,85,90,95,100})</f>
        <v>30</v>
      </c>
      <c r="T612" s="27"/>
      <c r="U612" s="27"/>
      <c r="V612" s="27">
        <f t="shared" si="174"/>
        <v>30</v>
      </c>
      <c r="W612" s="27"/>
      <c r="X612" s="19">
        <f t="shared" si="175"/>
        <v>28.4</v>
      </c>
      <c r="Y612" s="13">
        <f t="shared" si="176"/>
        <v>40.5714285714286</v>
      </c>
      <c r="Z612" s="19"/>
    </row>
    <row r="613" ht="15.6" spans="1:26">
      <c r="A613" s="27">
        <v>314</v>
      </c>
      <c r="B613" s="27">
        <v>4</v>
      </c>
      <c r="C613" s="28" t="s">
        <v>684</v>
      </c>
      <c r="D613" s="28" t="s">
        <v>12</v>
      </c>
      <c r="E613" s="27">
        <v>-5.5</v>
      </c>
      <c r="F613" s="29">
        <v>0</v>
      </c>
      <c r="G613" s="27">
        <v>190</v>
      </c>
      <c r="H613" s="29">
        <f>LOOKUP(G613,{0,180,185,190,195,200,205,209,213,217,221,225,229,233,237,241,245,253,260,265,270},{0,10,20,30,40,50,60,62,64,66,68,70,72,74,76,78,80,85,90,95,100})</f>
        <v>30</v>
      </c>
      <c r="I613" s="27">
        <v>18</v>
      </c>
      <c r="J613" s="29">
        <f>LOOKUP(I613,{0,4,5,6,7,8,9,10,11,12,13,14,15,16,17,18},{0,10,20,30,40,50,60,64,68,72,76,80,85,90,95,100})</f>
        <v>100</v>
      </c>
      <c r="K613" s="44"/>
      <c r="L613" s="39"/>
      <c r="M613" s="35">
        <f t="shared" si="171"/>
        <v>100</v>
      </c>
      <c r="N613" s="35">
        <v>8</v>
      </c>
      <c r="O613" s="36">
        <f t="shared" si="172"/>
        <v>10</v>
      </c>
      <c r="P613" s="29">
        <f>LOOKUP(O613,{0,7.8,8,8.2,8.4,8.6,8.8,9,9.2,9.4,9.6,9.8,10,10.2,10.4,10.6,10.8,10.9,11,11.1,11.2},{0,10,20,30,40,50,60,62,64,66,68,70,72,74,76,78,80,85,90,95,100})</f>
        <v>72</v>
      </c>
      <c r="Q613" s="5">
        <v>4.18</v>
      </c>
      <c r="R613" s="36">
        <f t="shared" si="173"/>
        <v>5.82</v>
      </c>
      <c r="S613" s="29">
        <f>LOOKUP(R613,{0,3.85,4.45,4.65,4.85,5.45,5.65,5.7,5.75,5.8,5.85,5.9,5.95,6,6.45,6.5,6.55,6.63,6.7,6.75,6.8},{0,10,20,30,40,50,60,62,64,66,68,70,72,74,76,78,80,85,90,95,100})</f>
        <v>66</v>
      </c>
      <c r="T613" s="27"/>
      <c r="U613" s="27"/>
      <c r="V613" s="27">
        <f t="shared" si="174"/>
        <v>66</v>
      </c>
      <c r="W613" s="27"/>
      <c r="X613" s="19">
        <f t="shared" si="175"/>
        <v>40.6</v>
      </c>
      <c r="Y613" s="13">
        <f t="shared" si="176"/>
        <v>58</v>
      </c>
      <c r="Z613" s="19"/>
    </row>
    <row r="614" ht="15.6" spans="1:26">
      <c r="A614" s="27">
        <v>314</v>
      </c>
      <c r="B614" s="27">
        <v>5</v>
      </c>
      <c r="C614" s="28" t="s">
        <v>685</v>
      </c>
      <c r="D614" s="28" t="s">
        <v>12</v>
      </c>
      <c r="E614" s="27">
        <v>12</v>
      </c>
      <c r="F614" s="29">
        <f>LOOKUP(E614,{0,-1.8,-0.8,0.2,1.2,2.2,3.2,4.6,6,7.4,8.8,10.2,11.6,13,14.4,15.8,17.2,19.1,21,22.8,24.6},{0,10,20,30,40,50,60,62,64,66,68,70,72,74,76,78,80,85,90,95,100})</f>
        <v>72</v>
      </c>
      <c r="G614" s="27">
        <v>235</v>
      </c>
      <c r="H614" s="29">
        <f>LOOKUP(G614,{0,180,185,190,195,200,205,209,213,217,221,225,229,233,237,241,245,253,260,265,270},{0,10,20,30,40,50,60,62,64,66,68,70,72,74,76,78,80,85,90,95,100})</f>
        <v>74</v>
      </c>
      <c r="I614" s="27">
        <v>12</v>
      </c>
      <c r="J614" s="29">
        <f>LOOKUP(I614,{0,4,5,6,7,8,9,10,11,12,13,14,15,16,17,18},{0,10,20,30,40,50,60,64,68,72,76,80,85,90,95,100})</f>
        <v>72</v>
      </c>
      <c r="K614" s="44"/>
      <c r="L614" s="35"/>
      <c r="M614" s="35">
        <f t="shared" si="171"/>
        <v>72</v>
      </c>
      <c r="N614" s="35">
        <v>6.9</v>
      </c>
      <c r="O614" s="36">
        <f t="shared" si="172"/>
        <v>11.1</v>
      </c>
      <c r="P614" s="29">
        <f>LOOKUP(O614,{0,7.8,8,8.2,8.4,8.6,8.8,9,9.2,9.4,9.6,9.8,10,10.2,10.4,10.6,10.8,10.9,11,11.1,11.2},{0,10,20,30,40,50,60,62,64,66,68,70,72,74,76,78,80,85,90,95,100})</f>
        <v>95</v>
      </c>
      <c r="Q614" s="5">
        <v>5.2</v>
      </c>
      <c r="R614" s="36">
        <f t="shared" si="173"/>
        <v>4.8</v>
      </c>
      <c r="S614" s="29">
        <f>LOOKUP(R614,{0,3.85,4.45,4.65,4.85,5.45,5.65,5.7,5.75,5.8,5.85,5.9,5.95,6,6.45,6.5,6.55,6.63,6.7,6.75,6.8},{0,10,20,30,40,50,60,62,64,66,68,70,72,74,76,78,80,85,90,95,100})</f>
        <v>30</v>
      </c>
      <c r="T614" s="27"/>
      <c r="U614" s="27"/>
      <c r="V614" s="27">
        <f t="shared" si="174"/>
        <v>30</v>
      </c>
      <c r="W614" s="27"/>
      <c r="X614" s="19">
        <f t="shared" si="175"/>
        <v>46.8</v>
      </c>
      <c r="Y614" s="13">
        <f t="shared" si="176"/>
        <v>66.8571428571429</v>
      </c>
      <c r="Z614" s="19"/>
    </row>
    <row r="615" ht="15.6" spans="1:26">
      <c r="A615" s="27">
        <v>314</v>
      </c>
      <c r="B615" s="27">
        <v>6</v>
      </c>
      <c r="C615" s="28" t="s">
        <v>686</v>
      </c>
      <c r="D615" s="28" t="s">
        <v>12</v>
      </c>
      <c r="E615" s="27">
        <v>-2</v>
      </c>
      <c r="F615" s="29">
        <v>0</v>
      </c>
      <c r="G615" s="27">
        <v>200</v>
      </c>
      <c r="H615" s="29">
        <f>LOOKUP(G615,{0,180,185,190,195,200,205,209,213,217,221,225,229,233,237,241,245,253,260,265,270},{0,10,20,30,40,50,60,62,64,66,68,70,72,74,76,78,80,85,90,95,100})</f>
        <v>50</v>
      </c>
      <c r="I615" s="27">
        <v>0</v>
      </c>
      <c r="J615" s="29">
        <f>LOOKUP(I615,{0,4,5,6,7,8,9,10,11,12,13,14,15,16,17,18},{0,10,20,30,40,50,60,64,68,72,76,80,85,90,95,100})</f>
        <v>0</v>
      </c>
      <c r="K615" s="44"/>
      <c r="L615" s="35"/>
      <c r="M615" s="35">
        <f t="shared" si="171"/>
        <v>0</v>
      </c>
      <c r="N615" s="35">
        <v>8.4</v>
      </c>
      <c r="O615" s="36">
        <f t="shared" si="172"/>
        <v>9.6</v>
      </c>
      <c r="P615" s="29">
        <f>LOOKUP(O615,{0,7.8,8,8.2,8.4,8.6,8.8,9,9.2,9.4,9.6,9.8,10,10.2,10.4,10.6,10.8,10.9,11,11.1,11.2},{0,10,20,30,40,50,60,62,64,66,68,70,72,74,76,78,80,85,90,95,100})</f>
        <v>68</v>
      </c>
      <c r="Q615" s="5">
        <v>5.28</v>
      </c>
      <c r="R615" s="36">
        <f t="shared" si="173"/>
        <v>4.72</v>
      </c>
      <c r="S615" s="29">
        <f>LOOKUP(R615,{0,3.85,4.45,4.65,4.85,5.45,5.65,5.7,5.75,5.8,5.85,5.9,5.95,6,6.45,6.5,6.55,6.63,6.7,6.75,6.8},{0,10,20,30,40,50,60,62,64,66,68,70,72,74,76,78,80,85,90,95,100})</f>
        <v>30</v>
      </c>
      <c r="T615" s="27"/>
      <c r="U615" s="27"/>
      <c r="V615" s="27">
        <f t="shared" si="174"/>
        <v>30</v>
      </c>
      <c r="W615" s="27"/>
      <c r="X615" s="19">
        <f t="shared" si="175"/>
        <v>24.6</v>
      </c>
      <c r="Y615" s="13">
        <f t="shared" si="176"/>
        <v>35.1428571428571</v>
      </c>
      <c r="Z615" s="19"/>
    </row>
    <row r="616" ht="15.6" spans="1:26">
      <c r="A616" s="27">
        <v>314</v>
      </c>
      <c r="B616" s="27">
        <v>7</v>
      </c>
      <c r="C616" s="30" t="s">
        <v>688</v>
      </c>
      <c r="D616" s="28" t="s">
        <v>46</v>
      </c>
      <c r="E616" s="27">
        <v>20</v>
      </c>
      <c r="F616" s="29">
        <f>LOOKUP(E616,{0,1.5,2.3,3.1,3.9,4.7,5.5,6.8,8.1,9.4,10.7,12,13.3,14.6,15.9,17.2,18.5,20.2,21.9,23.6,25.3},{0,10,20,30,40,50,60,62,64,66,68,70,72,74,76,78,80,85,90,95,100})</f>
        <v>80</v>
      </c>
      <c r="G616" s="27">
        <v>145</v>
      </c>
      <c r="H616" s="29">
        <f>LOOKUP(G616,{0,125,130,135,140,145,150,153,156,159,162,165,168,171,174,177,180,187,194,200,206},{0,10,20,30,40,50,60,62,64,66,68,70,72,74,76,78,80,85,90,95,100})</f>
        <v>50</v>
      </c>
      <c r="I616" s="27">
        <v>30</v>
      </c>
      <c r="J616" s="29">
        <f>LOOKUP(I616,{0,15,17,19,21,23,25,27,29,31,33,35,37,39,41,43,45,48,51,53,55},{0,10,20,30,40,50,60,62,64,66,68,70,72,74,76,78,80,85,90,95,100})</f>
        <v>64</v>
      </c>
      <c r="K616" s="35"/>
      <c r="L616" s="35"/>
      <c r="M616" s="35">
        <f t="shared" si="171"/>
        <v>64</v>
      </c>
      <c r="N616" s="35">
        <v>9.7</v>
      </c>
      <c r="O616" s="36">
        <f t="shared" si="172"/>
        <v>8.3</v>
      </c>
      <c r="P616" s="29">
        <f>LOOKUP(O616,{0,6.6,6.8,7,7.2,7.4,7.6,7.8,8,8.2,8.4,8.6,8.8,9,9.2,9.4,9.6,9.9,10.2,10.3,10.4},{0,10,20,30,40,50,60,62,64,66,68,70,72,74,76,78,80,85,90,95,100})</f>
        <v>66</v>
      </c>
      <c r="Q616" s="5">
        <v>4.34</v>
      </c>
      <c r="R616" s="36">
        <f t="shared" si="173"/>
        <v>5.66</v>
      </c>
      <c r="S616" s="29">
        <f>LOOKUP(R616,{0,4.74,4.84,4.94,5.44,5.54,5.64,5.69,5.74,5.79,5.84,5.89,5.94,5.99,6.44,6.49,6.54,6.61,6.68,6.74,6.8},{0,10,20,30,40,50,60,62,64,66,68,70,72,74,76,78,80,85,90,95,100})</f>
        <v>60</v>
      </c>
      <c r="T616" s="27"/>
      <c r="U616" s="27"/>
      <c r="V616" s="27">
        <f t="shared" si="174"/>
        <v>60</v>
      </c>
      <c r="W616" s="27"/>
      <c r="X616" s="19">
        <f t="shared" si="175"/>
        <v>44.6</v>
      </c>
      <c r="Y616" s="13">
        <f t="shared" si="176"/>
        <v>63.7142857142857</v>
      </c>
      <c r="Z616" s="19"/>
    </row>
    <row r="617" ht="15.6" spans="1:26">
      <c r="A617" s="27">
        <v>314</v>
      </c>
      <c r="B617" s="27">
        <v>8</v>
      </c>
      <c r="C617" s="28" t="s">
        <v>689</v>
      </c>
      <c r="D617" s="28" t="s">
        <v>46</v>
      </c>
      <c r="E617" s="27">
        <v>28.5</v>
      </c>
      <c r="F617" s="29">
        <f>LOOKUP(E617,{0,1.5,2.3,3.1,3.9,4.7,5.5,6.8,8.1,9.4,10.7,12,13.3,14.6,15.9,17.2,18.5,20.2,21.9,23.6,25.3},{0,10,20,30,40,50,60,62,64,66,68,70,72,74,76,78,80,85,90,95,100})</f>
        <v>100</v>
      </c>
      <c r="G617" s="27">
        <v>175</v>
      </c>
      <c r="H617" s="29">
        <f>LOOKUP(G617,{0,125,130,135,140,145,150,153,156,159,162,165,168,171,174,177,180,187,194,200,206},{0,10,20,30,40,50,60,62,64,66,68,70,72,74,76,78,80,85,90,95,100})</f>
        <v>76</v>
      </c>
      <c r="I617" s="27">
        <v>39</v>
      </c>
      <c r="J617" s="29">
        <f>LOOKUP(I617,{0,15,17,19,21,23,25,27,29,31,33,35,37,39,41,43,45,48,51,53,55},{0,10,20,30,40,50,60,62,64,66,68,70,72,74,76,78,80,85,90,95,100})</f>
        <v>74</v>
      </c>
      <c r="K617" s="35"/>
      <c r="L617" s="35"/>
      <c r="M617" s="35">
        <f t="shared" si="171"/>
        <v>74</v>
      </c>
      <c r="N617" s="35">
        <v>9.8</v>
      </c>
      <c r="O617" s="36">
        <f t="shared" si="172"/>
        <v>8.2</v>
      </c>
      <c r="P617" s="29">
        <f>LOOKUP(O617,{0,6.6,6.8,7,7.2,7.4,7.6,7.8,8,8.2,8.4,8.6,8.8,9,9.2,9.4,9.6,9.9,10.2,10.3,10.4},{0,10,20,30,40,50,60,62,64,66,68,70,72,74,76,78,80,85,90,95,100})</f>
        <v>66</v>
      </c>
      <c r="Q617" s="5">
        <v>4.3</v>
      </c>
      <c r="R617" s="36">
        <f t="shared" si="173"/>
        <v>5.7</v>
      </c>
      <c r="S617" s="29">
        <f>LOOKUP(R617,{0,4.74,4.84,4.94,5.44,5.54,5.64,5.69,5.74,5.79,5.84,5.89,5.94,5.99,6.44,6.49,6.54,6.61,6.68,6.74,6.8},{0,10,20,30,40,50,60,62,64,66,68,70,72,74,76,78,80,85,90,95,100})</f>
        <v>62</v>
      </c>
      <c r="T617" s="27"/>
      <c r="U617" s="27"/>
      <c r="V617" s="27">
        <f t="shared" si="174"/>
        <v>62</v>
      </c>
      <c r="W617" s="27"/>
      <c r="X617" s="19">
        <f t="shared" si="175"/>
        <v>50.6</v>
      </c>
      <c r="Y617" s="13">
        <f t="shared" si="176"/>
        <v>72.2857142857143</v>
      </c>
      <c r="Z617" s="19"/>
    </row>
    <row r="618" ht="15.6" spans="1:26">
      <c r="A618" s="27">
        <v>314</v>
      </c>
      <c r="B618" s="27">
        <v>9</v>
      </c>
      <c r="C618" s="28" t="s">
        <v>690</v>
      </c>
      <c r="D618" s="28" t="s">
        <v>46</v>
      </c>
      <c r="E618" s="27">
        <v>10</v>
      </c>
      <c r="F618" s="29">
        <f>LOOKUP(E618,{0,1.5,2.3,3.1,3.9,4.7,5.5,6.8,8.1,9.4,10.7,12,13.3,14.6,15.9,17.2,18.5,20.2,21.9,23.6,25.3},{0,10,20,30,40,50,60,62,64,66,68,70,72,74,76,78,80,85,90,95,100})</f>
        <v>66</v>
      </c>
      <c r="G618" s="27">
        <v>155</v>
      </c>
      <c r="H618" s="29">
        <f>LOOKUP(G618,{0,125,130,135,140,145,150,153,156,159,162,165,168,171,174,177,180,187,194,200,206},{0,10,20,30,40,50,60,62,64,66,68,70,72,74,76,78,80,85,90,95,100})</f>
        <v>62</v>
      </c>
      <c r="I618" s="27">
        <v>52</v>
      </c>
      <c r="J618" s="29">
        <f>LOOKUP(I618,{0,15,17,19,21,23,25,27,29,31,33,35,37,39,41,43,45,48,51,53,55},{0,10,20,30,40,50,60,62,64,66,68,70,72,74,76,78,80,85,90,95,100})</f>
        <v>90</v>
      </c>
      <c r="K618" s="35"/>
      <c r="L618" s="35"/>
      <c r="M618" s="35">
        <f t="shared" si="171"/>
        <v>90</v>
      </c>
      <c r="N618" s="35">
        <v>8.9</v>
      </c>
      <c r="O618" s="36">
        <f t="shared" si="172"/>
        <v>9.1</v>
      </c>
      <c r="P618" s="29">
        <f>LOOKUP(O618,{0,6.6,6.8,7,7.2,7.4,7.6,7.8,8,8.2,8.4,8.6,8.8,9,9.2,9.4,9.6,9.9,10.2,10.3,10.4},{0,10,20,30,40,50,60,62,64,66,68,70,72,74,76,78,80,85,90,95,100})</f>
        <v>74</v>
      </c>
      <c r="Q618" s="5">
        <v>4.58</v>
      </c>
      <c r="R618" s="36">
        <f t="shared" si="173"/>
        <v>5.42</v>
      </c>
      <c r="S618" s="29">
        <f>LOOKUP(R618,{0,4.74,4.84,4.94,5.44,5.54,5.64,5.69,5.74,5.79,5.84,5.89,5.94,5.99,6.44,6.49,6.54,6.61,6.68,6.74,6.8},{0,10,20,30,40,50,60,62,64,66,68,70,72,74,76,78,80,85,90,95,100})</f>
        <v>30</v>
      </c>
      <c r="T618" s="27"/>
      <c r="U618" s="27"/>
      <c r="V618" s="27">
        <f t="shared" si="174"/>
        <v>30</v>
      </c>
      <c r="W618" s="27"/>
      <c r="X618" s="19">
        <f t="shared" si="175"/>
        <v>42.6</v>
      </c>
      <c r="Y618" s="13">
        <f t="shared" si="176"/>
        <v>60.8571428571429</v>
      </c>
      <c r="Z618" s="20"/>
    </row>
    <row r="619" ht="15.6" spans="1:26">
      <c r="A619" s="27">
        <v>314</v>
      </c>
      <c r="B619" s="27">
        <v>10</v>
      </c>
      <c r="C619" s="28" t="s">
        <v>691</v>
      </c>
      <c r="D619" s="28" t="s">
        <v>46</v>
      </c>
      <c r="E619" s="27">
        <v>11</v>
      </c>
      <c r="F619" s="29">
        <f>LOOKUP(E619,{0,1.5,2.3,3.1,3.9,4.7,5.5,6.8,8.1,9.4,10.7,12,13.3,14.6,15.9,17.2,18.5,20.2,21.9,23.6,25.3},{0,10,20,30,40,50,60,62,64,66,68,70,72,74,76,78,80,85,90,95,100})</f>
        <v>68</v>
      </c>
      <c r="G619" s="27">
        <v>160</v>
      </c>
      <c r="H619" s="29">
        <f>LOOKUP(G619,{0,125,130,135,140,145,150,153,156,159,162,165,168,171,174,177,180,187,194,200,206},{0,10,20,30,40,50,60,62,64,66,68,70,72,74,76,78,80,85,90,95,100})</f>
        <v>66</v>
      </c>
      <c r="I619" s="27">
        <v>35</v>
      </c>
      <c r="J619" s="29">
        <f>LOOKUP(I619,{0,15,17,19,21,23,25,27,29,31,33,35,37,39,41,43,45,48,51,53,55},{0,10,20,30,40,50,60,62,64,66,68,70,72,74,76,78,80,85,90,95,100})</f>
        <v>70</v>
      </c>
      <c r="K619" s="35"/>
      <c r="L619" s="35"/>
      <c r="M619" s="35">
        <f t="shared" si="171"/>
        <v>70</v>
      </c>
      <c r="N619" s="35">
        <v>9.1</v>
      </c>
      <c r="O619" s="36">
        <f t="shared" si="172"/>
        <v>8.9</v>
      </c>
      <c r="P619" s="29">
        <f>LOOKUP(O619,{0,6.6,6.8,7,7.2,7.4,7.6,7.8,8,8.2,8.4,8.6,8.8,9,9.2,9.4,9.6,9.9,10.2,10.3,10.4},{0,10,20,30,40,50,60,62,64,66,68,70,72,74,76,78,80,85,90,95,100})</f>
        <v>72</v>
      </c>
      <c r="Q619" s="5">
        <v>3.5</v>
      </c>
      <c r="R619" s="36">
        <f t="shared" si="173"/>
        <v>6.5</v>
      </c>
      <c r="S619" s="29">
        <f>LOOKUP(R619,{0,4.74,4.84,4.94,5.44,5.54,5.64,5.69,5.74,5.79,5.84,5.89,5.94,5.99,6.44,6.49,6.54,6.61,6.68,6.74,6.8},{0,10,20,30,40,50,60,62,64,66,68,70,72,74,76,78,80,85,90,95,100})</f>
        <v>78</v>
      </c>
      <c r="T619" s="27"/>
      <c r="U619" s="27"/>
      <c r="V619" s="27">
        <f t="shared" si="174"/>
        <v>78</v>
      </c>
      <c r="W619" s="27"/>
      <c r="X619" s="19">
        <f t="shared" si="175"/>
        <v>50.4</v>
      </c>
      <c r="Y619" s="13">
        <f t="shared" si="176"/>
        <v>72</v>
      </c>
      <c r="Z619" s="19"/>
    </row>
    <row r="620" ht="15.6" spans="1:26">
      <c r="A620" s="27">
        <v>314</v>
      </c>
      <c r="B620" s="27">
        <v>11</v>
      </c>
      <c r="C620" s="28" t="s">
        <v>692</v>
      </c>
      <c r="D620" s="28" t="s">
        <v>46</v>
      </c>
      <c r="E620" s="27">
        <v>11</v>
      </c>
      <c r="F620" s="29">
        <f>LOOKUP(E620,{0,1.5,2.3,3.1,3.9,4.7,5.5,6.8,8.1,9.4,10.7,12,13.3,14.6,15.9,17.2,18.5,20.2,21.9,23.6,25.3},{0,10,20,30,40,50,60,62,64,66,68,70,72,74,76,78,80,85,90,95,100})</f>
        <v>68</v>
      </c>
      <c r="G620" s="27">
        <v>160</v>
      </c>
      <c r="H620" s="29">
        <f>LOOKUP(G620,{0,125,130,135,140,145,150,153,156,159,162,165,168,171,174,177,180,187,194,200,206},{0,10,20,30,40,50,60,62,64,66,68,70,72,74,76,78,80,85,90,95,100})</f>
        <v>66</v>
      </c>
      <c r="I620" s="27">
        <v>41</v>
      </c>
      <c r="J620" s="29">
        <f>LOOKUP(I620,{0,15,17,19,21,23,25,27,29,31,33,35,37,39,41,43,45,48,51,53,55},{0,10,20,30,40,50,60,62,64,66,68,70,72,74,76,78,80,85,90,95,100})</f>
        <v>76</v>
      </c>
      <c r="K620" s="35"/>
      <c r="L620" s="35"/>
      <c r="M620" s="35">
        <f t="shared" si="171"/>
        <v>76</v>
      </c>
      <c r="N620" s="35">
        <v>9.8</v>
      </c>
      <c r="O620" s="36">
        <f t="shared" si="172"/>
        <v>8.2</v>
      </c>
      <c r="P620" s="29">
        <f>LOOKUP(O620,{0,6.6,6.8,7,7.2,7.4,7.6,7.8,8,8.2,8.4,8.6,8.8,9,9.2,9.4,9.6,9.9,10.2,10.3,10.4},{0,10,20,30,40,50,60,62,64,66,68,70,72,74,76,78,80,85,90,95,100})</f>
        <v>66</v>
      </c>
      <c r="Q620" s="5">
        <v>4.22</v>
      </c>
      <c r="R620" s="36">
        <f t="shared" si="173"/>
        <v>5.78</v>
      </c>
      <c r="S620" s="29">
        <f>LOOKUP(R620,{0,4.74,4.84,4.94,5.44,5.54,5.64,5.69,5.74,5.79,5.84,5.89,5.94,5.99,6.44,6.49,6.54,6.61,6.68,6.74,6.8},{0,10,20,30,40,50,60,62,64,66,68,70,72,74,76,78,80,85,90,95,100})</f>
        <v>64</v>
      </c>
      <c r="T620" s="27"/>
      <c r="U620" s="27"/>
      <c r="V620" s="27">
        <f t="shared" si="174"/>
        <v>64</v>
      </c>
      <c r="W620" s="27"/>
      <c r="X620" s="19">
        <f t="shared" si="175"/>
        <v>47</v>
      </c>
      <c r="Y620" s="13">
        <f t="shared" si="176"/>
        <v>67.1428571428572</v>
      </c>
      <c r="Z620" s="19"/>
    </row>
    <row r="621" ht="15.6" spans="1:26">
      <c r="A621" s="27">
        <v>314</v>
      </c>
      <c r="B621" s="27">
        <v>12</v>
      </c>
      <c r="C621" s="28" t="s">
        <v>693</v>
      </c>
      <c r="D621" s="28" t="s">
        <v>46</v>
      </c>
      <c r="E621" s="27">
        <v>13.5</v>
      </c>
      <c r="F621" s="29">
        <f>LOOKUP(E621,{0,1.5,2.3,3.1,3.9,4.7,5.5,6.8,8.1,9.4,10.7,12,13.3,14.6,15.9,17.2,18.5,20.2,21.9,23.6,25.3},{0,10,20,30,40,50,60,62,64,66,68,70,72,74,76,78,80,85,90,95,100})</f>
        <v>72</v>
      </c>
      <c r="G621" s="27">
        <v>162</v>
      </c>
      <c r="H621" s="29">
        <f>LOOKUP(G621,{0,125,130,135,140,145,150,153,156,159,162,165,168,171,174,177,180,187,194,200,206},{0,10,20,30,40,50,60,62,64,66,68,70,72,74,76,78,80,85,90,95,100})</f>
        <v>68</v>
      </c>
      <c r="I621" s="27">
        <v>37</v>
      </c>
      <c r="J621" s="29">
        <f>LOOKUP(I621,{0,15,17,19,21,23,25,27,29,31,33,35,37,39,41,43,45,48,51,53,55},{0,10,20,30,40,50,60,62,64,66,68,70,72,74,76,78,80,85,90,95,100})</f>
        <v>72</v>
      </c>
      <c r="K621" s="35"/>
      <c r="L621" s="35"/>
      <c r="M621" s="35">
        <f t="shared" si="171"/>
        <v>72</v>
      </c>
      <c r="N621" s="35">
        <v>9.5</v>
      </c>
      <c r="O621" s="36">
        <f t="shared" si="172"/>
        <v>8.5</v>
      </c>
      <c r="P621" s="29">
        <f>LOOKUP(O621,{0,6.6,6.8,7,7.2,7.4,7.6,7.8,8,8.2,8.4,8.6,8.8,9,9.2,9.4,9.6,9.9,10.2,10.3,10.4},{0,10,20,30,40,50,60,62,64,66,68,70,72,74,76,78,80,85,90,95,100})</f>
        <v>68</v>
      </c>
      <c r="Q621" s="5">
        <v>4.29</v>
      </c>
      <c r="R621" s="36">
        <f t="shared" si="173"/>
        <v>5.71</v>
      </c>
      <c r="S621" s="29">
        <f>LOOKUP(R621,{0,4.74,4.84,4.94,5.44,5.54,5.64,5.69,5.74,5.79,5.84,5.89,5.94,5.99,6.44,6.49,6.54,6.61,6.68,6.74,6.8},{0,10,20,30,40,50,60,62,64,66,68,70,72,74,76,78,80,85,90,95,100})</f>
        <v>62</v>
      </c>
      <c r="T621" s="27"/>
      <c r="U621" s="27"/>
      <c r="V621" s="27">
        <f t="shared" si="174"/>
        <v>62</v>
      </c>
      <c r="W621" s="27"/>
      <c r="X621" s="19">
        <f t="shared" si="175"/>
        <v>47.2</v>
      </c>
      <c r="Y621" s="13">
        <f t="shared" si="176"/>
        <v>67.4285714285714</v>
      </c>
      <c r="Z621" s="19"/>
    </row>
    <row r="622" ht="15.6" spans="1:26">
      <c r="A622" s="27">
        <v>314</v>
      </c>
      <c r="B622" s="27">
        <v>13</v>
      </c>
      <c r="C622" s="28" t="s">
        <v>694</v>
      </c>
      <c r="D622" s="28" t="s">
        <v>46</v>
      </c>
      <c r="E622" s="27">
        <v>11.5</v>
      </c>
      <c r="F622" s="29">
        <f>LOOKUP(E622,{0,1.5,2.3,3.1,3.9,4.7,5.5,6.8,8.1,9.4,10.7,12,13.3,14.6,15.9,17.2,18.5,20.2,21.9,23.6,25.3},{0,10,20,30,40,50,60,62,64,66,68,70,72,74,76,78,80,85,90,95,100})</f>
        <v>68</v>
      </c>
      <c r="G622" s="27">
        <v>165</v>
      </c>
      <c r="H622" s="29">
        <f>LOOKUP(G622,{0,125,130,135,140,145,150,153,156,159,162,165,168,171,174,177,180,187,194,200,206},{0,10,20,30,40,50,60,62,64,66,68,70,72,74,76,78,80,85,90,95,100})</f>
        <v>70</v>
      </c>
      <c r="I622" s="27">
        <v>45</v>
      </c>
      <c r="J622" s="29">
        <f>LOOKUP(I622,{0,15,17,19,21,23,25,27,29,31,33,35,37,39,41,43,45,48,51,53,55},{0,10,20,30,40,50,60,62,64,66,68,70,72,74,76,78,80,85,90,95,100})</f>
        <v>80</v>
      </c>
      <c r="K622" s="35"/>
      <c r="L622" s="35"/>
      <c r="M622" s="35">
        <f t="shared" si="171"/>
        <v>80</v>
      </c>
      <c r="N622" s="35">
        <v>10.9</v>
      </c>
      <c r="O622" s="36">
        <f t="shared" si="172"/>
        <v>7.1</v>
      </c>
      <c r="P622" s="29">
        <f>LOOKUP(O622,{0,6.6,6.8,7,7.2,7.4,7.6,7.8,8,8.2,8.4,8.6,8.8,9,9.2,9.4,9.6,9.9,10.2,10.3,10.4},{0,10,20,30,40,50,60,62,64,66,68,70,72,74,76,78,80,85,90,95,100})</f>
        <v>30</v>
      </c>
      <c r="Q622" s="5">
        <v>4.4</v>
      </c>
      <c r="R622" s="36">
        <f t="shared" si="173"/>
        <v>5.6</v>
      </c>
      <c r="S622" s="29">
        <f>LOOKUP(R622,{0,4.74,4.84,4.94,5.44,5.54,5.64,5.69,5.74,5.79,5.84,5.89,5.94,5.99,6.44,6.49,6.54,6.61,6.68,6.74,6.8},{0,10,20,30,40,50,60,62,64,66,68,70,72,74,76,78,80,85,90,95,100})</f>
        <v>50</v>
      </c>
      <c r="T622" s="27"/>
      <c r="U622" s="27"/>
      <c r="V622" s="27">
        <f t="shared" si="174"/>
        <v>50</v>
      </c>
      <c r="W622" s="27"/>
      <c r="X622" s="19">
        <f t="shared" si="175"/>
        <v>37.8</v>
      </c>
      <c r="Y622" s="13">
        <f t="shared" si="176"/>
        <v>54</v>
      </c>
      <c r="Z622" s="19"/>
    </row>
    <row r="623" ht="15.6" spans="1:26">
      <c r="A623" s="27">
        <v>314</v>
      </c>
      <c r="B623" s="27">
        <v>14</v>
      </c>
      <c r="C623" s="28" t="s">
        <v>695</v>
      </c>
      <c r="D623" s="28" t="s">
        <v>46</v>
      </c>
      <c r="E623" s="27">
        <v>5</v>
      </c>
      <c r="F623" s="29">
        <f>LOOKUP(E623,{0,1.5,2.3,3.1,3.9,4.7,5.5,6.8,8.1,9.4,10.7,12,13.3,14.6,15.9,17.2,18.5,20.2,21.9,23.6,25.3},{0,10,20,30,40,50,60,62,64,66,68,70,72,74,76,78,80,85,90,95,100})</f>
        <v>50</v>
      </c>
      <c r="G623" s="27">
        <v>150</v>
      </c>
      <c r="H623" s="29">
        <f>LOOKUP(G623,{0,125,130,135,140,145,150,153,156,159,162,165,168,171,174,177,180,187,194,200,206},{0,10,20,30,40,50,60,62,64,66,68,70,72,74,76,78,80,85,90,95,100})</f>
        <v>60</v>
      </c>
      <c r="I623" s="27">
        <v>34</v>
      </c>
      <c r="J623" s="29">
        <f>LOOKUP(I623,{0,15,17,19,21,23,25,27,29,31,33,35,37,39,41,43,45,48,51,53,55},{0,10,20,30,40,50,60,62,64,66,68,70,72,74,76,78,80,85,90,95,100})</f>
        <v>68</v>
      </c>
      <c r="K623" s="35"/>
      <c r="L623" s="35"/>
      <c r="M623" s="35">
        <f t="shared" si="171"/>
        <v>68</v>
      </c>
      <c r="N623" s="35"/>
      <c r="O623" s="5"/>
      <c r="P623" s="5"/>
      <c r="Q623" s="5"/>
      <c r="R623" s="27"/>
      <c r="S623" s="27"/>
      <c r="T623" s="27"/>
      <c r="U623" s="27"/>
      <c r="V623" s="27"/>
      <c r="W623" s="27">
        <v>50</v>
      </c>
      <c r="X623" s="19"/>
      <c r="Y623" s="19">
        <v>50</v>
      </c>
      <c r="Z623" s="19"/>
    </row>
    <row r="624" ht="15.6" spans="1:26">
      <c r="A624" s="27">
        <v>314</v>
      </c>
      <c r="B624" s="27">
        <v>15</v>
      </c>
      <c r="C624" s="28" t="s">
        <v>696</v>
      </c>
      <c r="D624" s="28" t="s">
        <v>46</v>
      </c>
      <c r="E624" s="27">
        <v>12</v>
      </c>
      <c r="F624" s="29">
        <f>LOOKUP(E624,{0,1.5,2.3,3.1,3.9,4.7,5.5,6.8,8.1,9.4,10.7,12,13.3,14.6,15.9,17.2,18.5,20.2,21.9,23.6,25.3},{0,10,20,30,40,50,60,62,64,66,68,70,72,74,76,78,80,85,90,95,100})</f>
        <v>70</v>
      </c>
      <c r="G624" s="27">
        <v>145</v>
      </c>
      <c r="H624" s="29">
        <f>LOOKUP(G624,{0,125,130,135,140,145,150,153,156,159,162,165,168,171,174,177,180,187,194,200,206},{0,10,20,30,40,50,60,62,64,66,68,70,72,74,76,78,80,85,90,95,100})</f>
        <v>50</v>
      </c>
      <c r="I624" s="27"/>
      <c r="J624" s="35"/>
      <c r="K624" s="35"/>
      <c r="L624" s="35"/>
      <c r="M624" s="35"/>
      <c r="N624" s="35">
        <v>9.9</v>
      </c>
      <c r="O624" s="36">
        <f t="shared" ref="O624:O631" si="177">18-N624</f>
        <v>8.1</v>
      </c>
      <c r="P624" s="29">
        <f>LOOKUP(O624,{0,6.6,6.8,7,7.2,7.4,7.6,7.8,8,8.2,8.4,8.6,8.8,9,9.2,9.4,9.6,9.9,10.2,10.3,10.4},{0,10,20,30,40,50,60,62,64,66,68,70,72,74,76,78,80,85,90,95,100})</f>
        <v>64</v>
      </c>
      <c r="Q624" s="5">
        <v>5.16</v>
      </c>
      <c r="R624" s="36">
        <f t="shared" ref="R624:R629" si="178">10-Q624</f>
        <v>4.84</v>
      </c>
      <c r="S624" s="29">
        <f>LOOKUP(R624,{0,4.74,4.84,4.94,5.44,5.54,5.64,5.69,5.74,5.79,5.84,5.89,5.94,5.99,6.44,6.49,6.54,6.61,6.68,6.74,6.8},{0,10,20,30,40,50,60,62,64,66,68,70,72,74,76,78,80,85,90,95,100})</f>
        <v>20</v>
      </c>
      <c r="T624" s="27"/>
      <c r="U624" s="27"/>
      <c r="V624" s="27">
        <f t="shared" ref="V624:V631" si="179">S624+U624</f>
        <v>20</v>
      </c>
      <c r="W624" s="42">
        <v>50</v>
      </c>
      <c r="X624" s="19">
        <f t="shared" ref="X624:X631" si="180">F624*0.1+H624*0.1+J624*0.1+P624*0.2+S624*0.2</f>
        <v>28.8</v>
      </c>
      <c r="Y624" s="13">
        <v>50</v>
      </c>
      <c r="Z624" s="19"/>
    </row>
    <row r="625" ht="15.6" spans="1:26">
      <c r="A625" s="27">
        <v>314</v>
      </c>
      <c r="B625" s="27">
        <v>16</v>
      </c>
      <c r="C625" s="28" t="s">
        <v>697</v>
      </c>
      <c r="D625" s="28" t="s">
        <v>46</v>
      </c>
      <c r="E625" s="27">
        <v>17</v>
      </c>
      <c r="F625" s="29">
        <f>LOOKUP(E625,{0,1.5,2.3,3.1,3.9,4.7,5.5,6.8,8.1,9.4,10.7,12,13.3,14.6,15.9,17.2,18.5,20.2,21.9,23.6,25.3},{0,10,20,30,40,50,60,62,64,66,68,70,72,74,76,78,80,85,90,95,100})</f>
        <v>76</v>
      </c>
      <c r="G625" s="27">
        <v>160</v>
      </c>
      <c r="H625" s="29">
        <f>LOOKUP(G625,{0,125,130,135,140,145,150,153,156,159,162,165,168,171,174,177,180,187,194,200,206},{0,10,20,30,40,50,60,62,64,66,68,70,72,74,76,78,80,85,90,95,100})</f>
        <v>66</v>
      </c>
      <c r="I625" s="27">
        <v>48</v>
      </c>
      <c r="J625" s="29">
        <f>LOOKUP(I625,{0,15,17,19,21,23,25,27,29,31,33,35,37,39,41,43,45,48,51,53,55},{0,10,20,30,40,50,60,62,64,66,68,70,72,74,76,78,80,85,90,95,100})</f>
        <v>85</v>
      </c>
      <c r="K625" s="35"/>
      <c r="L625" s="35"/>
      <c r="M625" s="35">
        <f t="shared" ref="M625:M631" si="181">J625+L625</f>
        <v>85</v>
      </c>
      <c r="N625" s="35">
        <v>8.4</v>
      </c>
      <c r="O625" s="36">
        <f t="shared" si="177"/>
        <v>9.6</v>
      </c>
      <c r="P625" s="29">
        <f>LOOKUP(O625,{0,6.6,6.8,7,7.2,7.4,7.6,7.8,8,8.2,8.4,8.6,8.8,9,9.2,9.4,9.6,9.9,10.2,10.3,10.4},{0,10,20,30,40,50,60,62,64,66,68,70,72,74,76,78,80,85,90,95,100})</f>
        <v>80</v>
      </c>
      <c r="Q625" s="5">
        <v>4.35</v>
      </c>
      <c r="R625" s="36">
        <f t="shared" si="178"/>
        <v>5.65</v>
      </c>
      <c r="S625" s="29">
        <f>LOOKUP(R625,{0,4.74,4.84,4.94,5.44,5.54,5.64,5.69,5.74,5.79,5.84,5.89,5.94,5.99,6.44,6.49,6.54,6.61,6.68,6.74,6.8},{0,10,20,30,40,50,60,62,64,66,68,70,72,74,76,78,80,85,90,95,100})</f>
        <v>60</v>
      </c>
      <c r="T625" s="27"/>
      <c r="U625" s="27"/>
      <c r="V625" s="27">
        <f t="shared" si="179"/>
        <v>60</v>
      </c>
      <c r="W625" s="27"/>
      <c r="X625" s="19">
        <f t="shared" si="180"/>
        <v>50.7</v>
      </c>
      <c r="Y625" s="13">
        <f t="shared" ref="Y624:Y631" si="182">X625/0.7+L625+U625</f>
        <v>72.4285714285714</v>
      </c>
      <c r="Z625" s="19"/>
    </row>
    <row r="626" ht="15.6" spans="1:26">
      <c r="A626" s="27">
        <v>314</v>
      </c>
      <c r="B626" s="27">
        <v>17</v>
      </c>
      <c r="C626" s="30" t="s">
        <v>699</v>
      </c>
      <c r="D626" s="28" t="s">
        <v>46</v>
      </c>
      <c r="E626" s="27">
        <v>16.5</v>
      </c>
      <c r="F626" s="29">
        <f>LOOKUP(E626,{0,1.5,2.3,3.1,3.9,4.7,5.5,6.8,8.1,9.4,10.7,12,13.3,14.6,15.9,17.2,18.5,20.2,21.9,23.6,25.3},{0,10,20,30,40,50,60,62,64,66,68,70,72,74,76,78,80,85,90,95,100})</f>
        <v>76</v>
      </c>
      <c r="G626" s="27">
        <v>176</v>
      </c>
      <c r="H626" s="29">
        <f>LOOKUP(G626,{0,125,130,135,140,145,150,153,156,159,162,165,168,171,174,177,180,187,194,200,206},{0,10,20,30,40,50,60,62,64,66,68,70,72,74,76,78,80,85,90,95,100})</f>
        <v>76</v>
      </c>
      <c r="I626" s="27">
        <v>53</v>
      </c>
      <c r="J626" s="29">
        <f>LOOKUP(I626,{0,15,17,19,21,23,25,27,29,31,33,35,37,39,41,43,45,48,51,53,55},{0,10,20,30,40,50,60,62,64,66,68,70,72,74,76,78,80,85,90,95,100})</f>
        <v>95</v>
      </c>
      <c r="K626" s="35"/>
      <c r="L626" s="35"/>
      <c r="M626" s="35">
        <f t="shared" si="181"/>
        <v>95</v>
      </c>
      <c r="N626" s="35">
        <v>8.9</v>
      </c>
      <c r="O626" s="36">
        <f t="shared" si="177"/>
        <v>9.1</v>
      </c>
      <c r="P626" s="29">
        <f>LOOKUP(O626,{0,6.6,6.8,7,7.2,7.4,7.6,7.8,8,8.2,8.4,8.6,8.8,9,9.2,9.4,9.6,9.9,10.2,10.3,10.4},{0,10,20,30,40,50,60,62,64,66,68,70,72,74,76,78,80,85,90,95,100})</f>
        <v>74</v>
      </c>
      <c r="Q626" s="5">
        <v>3.42</v>
      </c>
      <c r="R626" s="36">
        <f t="shared" si="178"/>
        <v>6.58</v>
      </c>
      <c r="S626" s="29">
        <f>LOOKUP(R626,{0,4.74,4.84,4.94,5.44,5.54,5.64,5.69,5.74,5.79,5.84,5.89,5.94,5.99,6.44,6.49,6.54,6.61,6.68,6.74,6.8},{0,10,20,30,40,50,60,62,64,66,68,70,72,74,76,78,80,85,90,95,100})</f>
        <v>80</v>
      </c>
      <c r="T626" s="27"/>
      <c r="U626" s="27"/>
      <c r="V626" s="27">
        <f t="shared" si="179"/>
        <v>80</v>
      </c>
      <c r="W626" s="27"/>
      <c r="X626" s="19">
        <f t="shared" si="180"/>
        <v>55.5</v>
      </c>
      <c r="Y626" s="13">
        <f t="shared" si="182"/>
        <v>79.2857142857143</v>
      </c>
      <c r="Z626" s="19"/>
    </row>
    <row r="627" ht="15.6" spans="1:26">
      <c r="A627" s="27">
        <v>314</v>
      </c>
      <c r="B627" s="27">
        <v>18</v>
      </c>
      <c r="C627" s="28" t="s">
        <v>700</v>
      </c>
      <c r="D627" s="28" t="s">
        <v>46</v>
      </c>
      <c r="E627" s="27">
        <v>28</v>
      </c>
      <c r="F627" s="29">
        <f>LOOKUP(E627,{0,1.5,2.3,3.1,3.9,4.7,5.5,6.8,8.1,9.4,10.7,12,13.3,14.6,15.9,17.2,18.5,20.2,21.9,23.6,25.3},{0,10,20,30,40,50,60,62,64,66,68,70,72,74,76,78,80,85,90,95,100})</f>
        <v>100</v>
      </c>
      <c r="G627" s="27">
        <v>155</v>
      </c>
      <c r="H627" s="29">
        <f>LOOKUP(G627,{0,125,130,135,140,145,150,153,156,159,162,165,168,171,174,177,180,187,194,200,206},{0,10,20,30,40,50,60,62,64,66,68,70,72,74,76,78,80,85,90,95,100})</f>
        <v>62</v>
      </c>
      <c r="I627" s="27">
        <v>42</v>
      </c>
      <c r="J627" s="29">
        <f>LOOKUP(I627,{0,15,17,19,21,23,25,27,29,31,33,35,37,39,41,43,45,48,51,53,55},{0,10,20,30,40,50,60,62,64,66,68,70,72,74,76,78,80,85,90,95,100})</f>
        <v>76</v>
      </c>
      <c r="K627" s="35"/>
      <c r="L627" s="35"/>
      <c r="M627" s="35">
        <f t="shared" si="181"/>
        <v>76</v>
      </c>
      <c r="N627" s="35">
        <v>9.4</v>
      </c>
      <c r="O627" s="36">
        <f t="shared" si="177"/>
        <v>8.6</v>
      </c>
      <c r="P627" s="29">
        <f>LOOKUP(O627,{0,6.6,6.8,7,7.2,7.4,7.6,7.8,8,8.2,8.4,8.6,8.8,9,9.2,9.4,9.6,9.9,10.2,10.3,10.4},{0,10,20,30,40,50,60,62,64,66,68,70,72,74,76,78,80,85,90,95,100})</f>
        <v>70</v>
      </c>
      <c r="Q627" s="5">
        <v>4.35</v>
      </c>
      <c r="R627" s="36">
        <f t="shared" si="178"/>
        <v>5.65</v>
      </c>
      <c r="S627" s="29">
        <f>LOOKUP(R627,{0,4.74,4.84,4.94,5.44,5.54,5.64,5.69,5.74,5.79,5.84,5.89,5.94,5.99,6.44,6.49,6.54,6.61,6.68,6.74,6.8},{0,10,20,30,40,50,60,62,64,66,68,70,72,74,76,78,80,85,90,95,100})</f>
        <v>60</v>
      </c>
      <c r="T627" s="27"/>
      <c r="U627" s="27"/>
      <c r="V627" s="27">
        <f t="shared" si="179"/>
        <v>60</v>
      </c>
      <c r="W627" s="27"/>
      <c r="X627" s="19">
        <f t="shared" si="180"/>
        <v>49.8</v>
      </c>
      <c r="Y627" s="13">
        <f t="shared" si="182"/>
        <v>71.1428571428571</v>
      </c>
      <c r="Z627" s="19"/>
    </row>
    <row r="628" ht="15.6" spans="1:26">
      <c r="A628" s="27">
        <v>314</v>
      </c>
      <c r="B628" s="27">
        <v>19</v>
      </c>
      <c r="C628" s="28" t="s">
        <v>701</v>
      </c>
      <c r="D628" s="28" t="s">
        <v>46</v>
      </c>
      <c r="E628" s="27">
        <v>22.5</v>
      </c>
      <c r="F628" s="29">
        <f>LOOKUP(E628,{0,1.5,2.3,3.1,3.9,4.7,5.5,6.8,8.1,9.4,10.7,12,13.3,14.6,15.9,17.2,18.5,20.2,21.9,23.6,25.3},{0,10,20,30,40,50,60,62,64,66,68,70,72,74,76,78,80,85,90,95,100})</f>
        <v>90</v>
      </c>
      <c r="G628" s="27">
        <v>154</v>
      </c>
      <c r="H628" s="29">
        <f>LOOKUP(G628,{0,125,130,135,140,145,150,153,156,159,162,165,168,171,174,177,180,187,194,200,206},{0,10,20,30,40,50,60,62,64,66,68,70,72,74,76,78,80,85,90,95,100})</f>
        <v>62</v>
      </c>
      <c r="I628" s="27">
        <v>41</v>
      </c>
      <c r="J628" s="29">
        <f>LOOKUP(I628,{0,15,17,19,21,23,25,27,29,31,33,35,37,39,41,43,45,48,51,53,55},{0,10,20,30,40,50,60,62,64,66,68,70,72,74,76,78,80,85,90,95,100})</f>
        <v>76</v>
      </c>
      <c r="K628" s="35"/>
      <c r="L628" s="35"/>
      <c r="M628" s="35">
        <f t="shared" si="181"/>
        <v>76</v>
      </c>
      <c r="N628" s="35">
        <v>9.2</v>
      </c>
      <c r="O628" s="36">
        <f t="shared" si="177"/>
        <v>8.8</v>
      </c>
      <c r="P628" s="29">
        <f>LOOKUP(O628,{0,6.6,6.8,7,7.2,7.4,7.6,7.8,8,8.2,8.4,8.6,8.8,9,9.2,9.4,9.6,9.9,10.2,10.3,10.4},{0,10,20,30,40,50,60,62,64,66,68,70,72,74,76,78,80,85,90,95,100})</f>
        <v>72</v>
      </c>
      <c r="Q628" s="5">
        <v>4.4</v>
      </c>
      <c r="R628" s="36">
        <f t="shared" si="178"/>
        <v>5.6</v>
      </c>
      <c r="S628" s="29">
        <f>LOOKUP(R628,{0,4.74,4.84,4.94,5.44,5.54,5.64,5.69,5.74,5.79,5.84,5.89,5.94,5.99,6.44,6.49,6.54,6.61,6.68,6.74,6.8},{0,10,20,30,40,50,60,62,64,66,68,70,72,74,76,78,80,85,90,95,100})</f>
        <v>50</v>
      </c>
      <c r="T628" s="27"/>
      <c r="U628" s="27"/>
      <c r="V628" s="27">
        <f t="shared" si="179"/>
        <v>50</v>
      </c>
      <c r="W628" s="27"/>
      <c r="X628" s="19">
        <f t="shared" si="180"/>
        <v>47.2</v>
      </c>
      <c r="Y628" s="13">
        <f t="shared" si="182"/>
        <v>67.4285714285714</v>
      </c>
      <c r="Z628" s="19"/>
    </row>
    <row r="629" ht="15.6" spans="1:26">
      <c r="A629" s="27">
        <v>314</v>
      </c>
      <c r="B629" s="27">
        <v>20</v>
      </c>
      <c r="C629" s="28" t="s">
        <v>702</v>
      </c>
      <c r="D629" s="28" t="s">
        <v>46</v>
      </c>
      <c r="E629" s="27">
        <v>8.5</v>
      </c>
      <c r="F629" s="29">
        <f>LOOKUP(E629,{0,1.5,2.3,3.1,3.9,4.7,5.5,6.8,8.1,9.4,10.7,12,13.3,14.6,15.9,17.2,18.5,20.2,21.9,23.6,25.3},{0,10,20,30,40,50,60,62,64,66,68,70,72,74,76,78,80,85,90,95,100})</f>
        <v>64</v>
      </c>
      <c r="G629" s="27">
        <v>153</v>
      </c>
      <c r="H629" s="29">
        <f>LOOKUP(G629,{0,125,130,135,140,145,150,153,156,159,162,165,168,171,174,177,180,187,194,200,206},{0,10,20,30,40,50,60,62,64,66,68,70,72,74,76,78,80,85,90,95,100})</f>
        <v>62</v>
      </c>
      <c r="I629" s="27">
        <v>52</v>
      </c>
      <c r="J629" s="29">
        <f>LOOKUP(I629,{0,15,17,19,21,23,25,27,29,31,33,35,37,39,41,43,45,48,51,53,55},{0,10,20,30,40,50,60,62,64,66,68,70,72,74,76,78,80,85,90,95,100})</f>
        <v>90</v>
      </c>
      <c r="K629" s="35"/>
      <c r="L629" s="35"/>
      <c r="M629" s="35">
        <f t="shared" si="181"/>
        <v>90</v>
      </c>
      <c r="N629" s="35">
        <v>9.2</v>
      </c>
      <c r="O629" s="36">
        <f t="shared" si="177"/>
        <v>8.8</v>
      </c>
      <c r="P629" s="29">
        <f>LOOKUP(O629,{0,6.6,6.8,7,7.2,7.4,7.6,7.8,8,8.2,8.4,8.6,8.8,9,9.2,9.4,9.6,9.9,10.2,10.3,10.4},{0,10,20,30,40,50,60,62,64,66,68,70,72,74,76,78,80,85,90,95,100})</f>
        <v>72</v>
      </c>
      <c r="Q629" s="5">
        <v>4.34</v>
      </c>
      <c r="R629" s="36">
        <f t="shared" si="178"/>
        <v>5.66</v>
      </c>
      <c r="S629" s="29">
        <f>LOOKUP(R629,{0,4.74,4.84,4.94,5.44,5.54,5.64,5.69,5.74,5.79,5.84,5.89,5.94,5.99,6.44,6.49,6.54,6.61,6.68,6.74,6.8},{0,10,20,30,40,50,60,62,64,66,68,70,72,74,76,78,80,85,90,95,100})</f>
        <v>60</v>
      </c>
      <c r="T629" s="27"/>
      <c r="U629" s="27"/>
      <c r="V629" s="27">
        <f t="shared" si="179"/>
        <v>60</v>
      </c>
      <c r="W629" s="27"/>
      <c r="X629" s="19">
        <f t="shared" si="180"/>
        <v>48</v>
      </c>
      <c r="Y629" s="13">
        <f t="shared" si="182"/>
        <v>68.5714285714286</v>
      </c>
      <c r="Z629" s="19"/>
    </row>
    <row r="630" ht="15.6" spans="1:26">
      <c r="A630" s="27">
        <v>314</v>
      </c>
      <c r="B630" s="27">
        <v>21</v>
      </c>
      <c r="C630" s="28" t="s">
        <v>703</v>
      </c>
      <c r="D630" s="28" t="s">
        <v>46</v>
      </c>
      <c r="E630" s="27">
        <v>24</v>
      </c>
      <c r="F630" s="29">
        <f>LOOKUP(E630,{0,1.5,2.3,3.1,3.9,4.7,5.5,6.8,8.1,9.4,10.7,12,13.3,14.6,15.9,17.2,18.5,20.2,21.9,23.6,25.3},{0,10,20,30,40,50,60,62,64,66,68,70,72,74,76,78,80,85,90,95,100})</f>
        <v>95</v>
      </c>
      <c r="G630" s="27">
        <v>154</v>
      </c>
      <c r="H630" s="29">
        <f>LOOKUP(G630,{0,125,130,135,140,145,150,153,156,159,162,165,168,171,174,177,180,187,194,200,206},{0,10,20,30,40,50,60,62,64,66,68,70,72,74,76,78,80,85,90,95,100})</f>
        <v>62</v>
      </c>
      <c r="I630" s="27">
        <v>36</v>
      </c>
      <c r="J630" s="29">
        <f>LOOKUP(I630,{0,15,17,19,21,23,25,27,29,31,33,35,37,39,41,43,45,48,51,53,55},{0,10,20,30,40,50,60,62,64,66,68,70,72,74,76,78,80,85,90,95,100})</f>
        <v>70</v>
      </c>
      <c r="K630" s="35"/>
      <c r="L630" s="35"/>
      <c r="M630" s="35">
        <f t="shared" si="181"/>
        <v>70</v>
      </c>
      <c r="N630" s="35">
        <v>10.8</v>
      </c>
      <c r="O630" s="36">
        <f t="shared" si="177"/>
        <v>7.2</v>
      </c>
      <c r="P630" s="29">
        <f>LOOKUP(O630,{0,6.6,6.8,7,7.2,7.4,7.6,7.8,8,8.2,8.4,8.6,8.8,9,9.2,9.4,9.6,9.9,10.2,10.3,10.4},{0,10,20,30,40,50,60,62,64,66,68,70,72,74,76,78,80,85,90,95,100})</f>
        <v>40</v>
      </c>
      <c r="Q630" s="5" t="s">
        <v>77</v>
      </c>
      <c r="R630" s="27"/>
      <c r="S630" s="27"/>
      <c r="T630" s="27"/>
      <c r="U630" s="27"/>
      <c r="V630" s="27"/>
      <c r="W630" s="42">
        <v>50</v>
      </c>
      <c r="X630" s="19">
        <f t="shared" si="180"/>
        <v>30.7</v>
      </c>
      <c r="Y630" s="13">
        <v>50</v>
      </c>
      <c r="Z630" s="19"/>
    </row>
    <row r="631" ht="15.6" spans="1:26">
      <c r="A631" s="27">
        <v>314</v>
      </c>
      <c r="B631" s="27">
        <v>22</v>
      </c>
      <c r="C631" s="28" t="s">
        <v>704</v>
      </c>
      <c r="D631" s="28" t="s">
        <v>46</v>
      </c>
      <c r="E631" s="27">
        <v>24</v>
      </c>
      <c r="F631" s="29">
        <f>LOOKUP(E631,{0,1.5,2.3,3.1,3.9,4.7,5.5,6.8,8.1,9.4,10.7,12,13.3,14.6,15.9,17.2,18.5,20.2,21.9,23.6,25.3},{0,10,20,30,40,50,60,62,64,66,68,70,72,74,76,78,80,85,90,95,100})</f>
        <v>95</v>
      </c>
      <c r="G631" s="27">
        <v>190</v>
      </c>
      <c r="H631" s="29">
        <f>LOOKUP(G631,{0,125,130,135,140,145,150,153,156,159,162,165,168,171,174,177,180,187,194,200,206},{0,10,20,30,40,50,60,62,64,66,68,70,72,74,76,78,80,85,90,95,100})</f>
        <v>85</v>
      </c>
      <c r="I631" s="27">
        <v>51</v>
      </c>
      <c r="J631" s="29">
        <f>LOOKUP(I631,{0,15,17,19,21,23,25,27,29,31,33,35,37,39,41,43,45,48,51,53,55},{0,10,20,30,40,50,60,62,64,66,68,70,72,74,76,78,80,85,90,95,100})</f>
        <v>90</v>
      </c>
      <c r="K631" s="35"/>
      <c r="L631" s="35"/>
      <c r="M631" s="35">
        <f t="shared" si="181"/>
        <v>90</v>
      </c>
      <c r="N631" s="35">
        <v>8.6</v>
      </c>
      <c r="O631" s="36">
        <f t="shared" si="177"/>
        <v>9.4</v>
      </c>
      <c r="P631" s="29">
        <f>LOOKUP(O631,{0,6.6,6.8,7,7.2,7.4,7.6,7.8,8,8.2,8.4,8.6,8.8,9,9.2,9.4,9.6,9.9,10.2,10.3,10.4},{0,10,20,30,40,50,60,62,64,66,68,70,72,74,76,78,80,85,90,95,100})</f>
        <v>78</v>
      </c>
      <c r="Q631" s="5">
        <v>4.32</v>
      </c>
      <c r="R631" s="36">
        <f>10-Q631</f>
        <v>5.68</v>
      </c>
      <c r="S631" s="29">
        <f>LOOKUP(R631,{0,4.74,4.84,4.94,5.44,5.54,5.64,5.69,5.74,5.79,5.84,5.89,5.94,5.99,6.44,6.49,6.54,6.61,6.68,6.74,6.8},{0,10,20,30,40,50,60,62,64,66,68,70,72,74,76,78,80,85,90,95,100})</f>
        <v>60</v>
      </c>
      <c r="T631" s="27"/>
      <c r="U631" s="27"/>
      <c r="V631" s="27">
        <f t="shared" si="179"/>
        <v>60</v>
      </c>
      <c r="W631" s="27"/>
      <c r="X631" s="19">
        <f t="shared" si="180"/>
        <v>54.6</v>
      </c>
      <c r="Y631" s="13">
        <f t="shared" si="182"/>
        <v>78</v>
      </c>
      <c r="Z631" s="19"/>
    </row>
    <row r="632" spans="1:26">
      <c r="A632" s="27">
        <v>314</v>
      </c>
      <c r="B632" s="27">
        <v>23</v>
      </c>
      <c r="C632" s="28" t="s">
        <v>705</v>
      </c>
      <c r="D632" s="28" t="s">
        <v>46</v>
      </c>
      <c r="E632" s="27"/>
      <c r="F632" s="27"/>
      <c r="G632" s="27"/>
      <c r="H632" s="27"/>
      <c r="I632" s="27"/>
      <c r="J632" s="35"/>
      <c r="K632" s="35"/>
      <c r="L632" s="35"/>
      <c r="M632" s="35"/>
      <c r="N632" s="35"/>
      <c r="O632" s="5"/>
      <c r="P632" s="5"/>
      <c r="Q632" s="5"/>
      <c r="R632" s="27"/>
      <c r="S632" s="27"/>
      <c r="T632" s="27"/>
      <c r="U632" s="27"/>
      <c r="V632" s="27"/>
      <c r="W632" s="27">
        <v>50</v>
      </c>
      <c r="X632" s="19"/>
      <c r="Y632" s="19">
        <v>50</v>
      </c>
      <c r="Z632" s="19"/>
    </row>
    <row r="633" ht="15.6" spans="1:26">
      <c r="A633" s="27">
        <v>314</v>
      </c>
      <c r="B633" s="27">
        <v>24</v>
      </c>
      <c r="C633" s="28" t="s">
        <v>706</v>
      </c>
      <c r="D633" s="28" t="s">
        <v>46</v>
      </c>
      <c r="E633" s="27">
        <v>17.5</v>
      </c>
      <c r="F633" s="29">
        <f>LOOKUP(E633,{0,1.5,2.3,3.1,3.9,4.7,5.5,6.8,8.1,9.4,10.7,12,13.3,14.6,15.9,17.2,18.5,20.2,21.9,23.6,25.3},{0,10,20,30,40,50,60,62,64,66,68,70,72,74,76,78,80,85,90,95,100})</f>
        <v>78</v>
      </c>
      <c r="G633" s="27">
        <v>189</v>
      </c>
      <c r="H633" s="29">
        <f>LOOKUP(G633,{0,125,130,135,140,145,150,153,156,159,162,165,168,171,174,177,180,187,194,200,206},{0,10,20,30,40,50,60,62,64,66,68,70,72,74,76,78,80,85,90,95,100})</f>
        <v>85</v>
      </c>
      <c r="I633" s="27">
        <v>40</v>
      </c>
      <c r="J633" s="29">
        <f>LOOKUP(I633,{0,15,17,19,21,23,25,27,29,31,33,35,37,39,41,43,45,48,51,53,55},{0,10,20,30,40,50,60,62,64,66,68,70,72,74,76,78,80,85,90,95,100})</f>
        <v>74</v>
      </c>
      <c r="K633" s="35"/>
      <c r="L633" s="35"/>
      <c r="M633" s="35">
        <f>J633+L633</f>
        <v>74</v>
      </c>
      <c r="N633" s="35">
        <v>8.6</v>
      </c>
      <c r="O633" s="36">
        <f>18-N633</f>
        <v>9.4</v>
      </c>
      <c r="P633" s="29">
        <f>LOOKUP(O633,{0,6.6,6.8,7,7.2,7.4,7.6,7.8,8,8.2,8.4,8.6,8.8,9,9.2,9.4,9.6,9.9,10.2,10.3,10.4},{0,10,20,30,40,50,60,62,64,66,68,70,72,74,76,78,80,85,90,95,100})</f>
        <v>78</v>
      </c>
      <c r="Q633" s="5">
        <v>4.34</v>
      </c>
      <c r="R633" s="36">
        <f>10-Q633</f>
        <v>5.66</v>
      </c>
      <c r="S633" s="29">
        <f>LOOKUP(R633,{0,4.74,4.84,4.94,5.44,5.54,5.64,5.69,5.74,5.79,5.84,5.89,5.94,5.99,6.44,6.49,6.54,6.61,6.68,6.74,6.8},{0,10,20,30,40,50,60,62,64,66,68,70,72,74,76,78,80,85,90,95,100})</f>
        <v>60</v>
      </c>
      <c r="T633" s="27"/>
      <c r="U633" s="27"/>
      <c r="V633" s="27">
        <f>S633+U633</f>
        <v>60</v>
      </c>
      <c r="W633" s="27"/>
      <c r="X633" s="19">
        <f>F633*0.1+H633*0.1+J633*0.1+P633*0.2+S633*0.2</f>
        <v>51.3</v>
      </c>
      <c r="Y633" s="13">
        <f>X633/0.7+L633+U633</f>
        <v>73.2857142857143</v>
      </c>
      <c r="Z633" s="19"/>
    </row>
    <row r="634" ht="15.6" spans="1:26">
      <c r="A634" s="27">
        <v>314</v>
      </c>
      <c r="B634" s="27">
        <v>25</v>
      </c>
      <c r="C634" s="28" t="s">
        <v>707</v>
      </c>
      <c r="D634" s="28" t="s">
        <v>46</v>
      </c>
      <c r="E634" s="27">
        <v>19</v>
      </c>
      <c r="F634" s="29">
        <f>LOOKUP(E634,{0,1.5,2.3,3.1,3.9,4.7,5.5,6.8,8.1,9.4,10.7,12,13.3,14.6,15.9,17.2,18.5,20.2,21.9,23.6,25.3},{0,10,20,30,40,50,60,62,64,66,68,70,72,74,76,78,80,85,90,95,100})</f>
        <v>80</v>
      </c>
      <c r="G634" s="27">
        <v>169</v>
      </c>
      <c r="H634" s="29">
        <f>LOOKUP(G634,{0,125,130,135,140,145,150,153,156,159,162,165,168,171,174,177,180,187,194,200,206},{0,10,20,30,40,50,60,62,64,66,68,70,72,74,76,78,80,85,90,95,100})</f>
        <v>72</v>
      </c>
      <c r="I634" s="27">
        <v>36</v>
      </c>
      <c r="J634" s="29">
        <f>LOOKUP(I634,{0,15,17,19,21,23,25,27,29,31,33,35,37,39,41,43,45,48,51,53,55},{0,10,20,30,40,50,60,62,64,66,68,70,72,74,76,78,80,85,90,95,100})</f>
        <v>70</v>
      </c>
      <c r="K634" s="35"/>
      <c r="L634" s="35"/>
      <c r="M634" s="35">
        <f>J634+L634</f>
        <v>70</v>
      </c>
      <c r="N634" s="35" t="s">
        <v>77</v>
      </c>
      <c r="O634" s="5"/>
      <c r="P634" s="27"/>
      <c r="Q634" s="5" t="s">
        <v>77</v>
      </c>
      <c r="R634" s="27"/>
      <c r="S634" s="27"/>
      <c r="T634" s="27"/>
      <c r="U634" s="27"/>
      <c r="V634" s="27"/>
      <c r="W634" s="42">
        <v>50</v>
      </c>
      <c r="X634" s="19">
        <f>F634*0.1+H634*0.1+J634*0.1+P634*0.2+S634*0.2</f>
        <v>22.2</v>
      </c>
      <c r="Y634" s="13">
        <v>50</v>
      </c>
      <c r="Z634" s="19"/>
    </row>
    <row r="635" ht="15.6" spans="1:26">
      <c r="A635" s="27">
        <v>314</v>
      </c>
      <c r="B635" s="27">
        <v>26</v>
      </c>
      <c r="C635" s="28" t="s">
        <v>708</v>
      </c>
      <c r="D635" s="28" t="s">
        <v>46</v>
      </c>
      <c r="E635" s="27">
        <v>30.5</v>
      </c>
      <c r="F635" s="29">
        <f>LOOKUP(E635,{0,1.5,2.3,3.1,3.9,4.7,5.5,6.8,8.1,9.4,10.7,12,13.3,14.6,15.9,17.2,18.5,20.2,21.9,23.6,25.3},{0,10,20,30,40,50,60,62,64,66,68,70,72,74,76,78,80,85,90,95,100})</f>
        <v>100</v>
      </c>
      <c r="G635" s="27">
        <v>204</v>
      </c>
      <c r="H635" s="29">
        <f>LOOKUP(G635,{0,125,130,135,140,145,150,153,156,159,162,165,168,171,174,177,180,187,194,200,206},{0,10,20,30,40,50,60,62,64,66,68,70,72,74,76,78,80,85,90,95,100})</f>
        <v>95</v>
      </c>
      <c r="I635" s="27">
        <v>22</v>
      </c>
      <c r="J635" s="29">
        <f>LOOKUP(I635,{0,15,17,19,21,23,25,27,29,31,33,35,37,39,41,43,45,48,51,53,55},{0,10,20,30,40,50,60,62,64,66,68,70,72,74,76,78,80,85,90,95,100})</f>
        <v>40</v>
      </c>
      <c r="K635" s="35"/>
      <c r="L635" s="35"/>
      <c r="M635" s="35">
        <f>J635+L635</f>
        <v>40</v>
      </c>
      <c r="N635" s="35">
        <v>7.9</v>
      </c>
      <c r="O635" s="36">
        <f>18-N635</f>
        <v>10.1</v>
      </c>
      <c r="P635" s="29">
        <f>LOOKUP(O635,{0,6.6,6.8,7,7.2,7.4,7.6,7.8,8,8.2,8.4,8.6,8.8,9,9.2,9.4,9.6,9.9,10.2,10.3,10.4},{0,10,20,30,40,50,60,62,64,66,68,70,72,74,76,78,80,85,90,95,100})</f>
        <v>85</v>
      </c>
      <c r="Q635" s="5">
        <v>3.31</v>
      </c>
      <c r="R635" s="36">
        <f>10-Q635</f>
        <v>6.69</v>
      </c>
      <c r="S635" s="29">
        <f>LOOKUP(R635,{0,4.74,4.84,4.94,5.44,5.54,5.64,5.69,5.74,5.79,5.84,5.89,5.94,5.99,6.44,6.49,6.54,6.61,6.68,6.74,6.8},{0,10,20,30,40,50,60,62,64,66,68,70,72,74,76,78,80,85,90,95,100})</f>
        <v>90</v>
      </c>
      <c r="T635" s="27"/>
      <c r="U635" s="27"/>
      <c r="V635" s="27">
        <f>S635+U635</f>
        <v>90</v>
      </c>
      <c r="W635" s="27"/>
      <c r="X635" s="19">
        <f>F635*0.1+H635*0.1+J635*0.1+P635*0.2+S635*0.2</f>
        <v>58.5</v>
      </c>
      <c r="Y635" s="13">
        <f>X635/0.7+L635+U635</f>
        <v>83.5714285714286</v>
      </c>
      <c r="Z635" s="19"/>
    </row>
    <row r="636" spans="1:26">
      <c r="A636" s="27">
        <v>314</v>
      </c>
      <c r="B636" s="27">
        <v>27</v>
      </c>
      <c r="C636" s="30" t="s">
        <v>710</v>
      </c>
      <c r="D636" s="28" t="s">
        <v>46</v>
      </c>
      <c r="E636" s="27"/>
      <c r="F636" s="27"/>
      <c r="G636" s="27"/>
      <c r="H636" s="27"/>
      <c r="I636" s="27"/>
      <c r="J636" s="35"/>
      <c r="K636" s="35"/>
      <c r="L636" s="35"/>
      <c r="M636" s="35"/>
      <c r="N636" s="35"/>
      <c r="O636" s="5"/>
      <c r="P636" s="5"/>
      <c r="Q636" s="5"/>
      <c r="R636" s="27"/>
      <c r="S636" s="27"/>
      <c r="T636" s="27"/>
      <c r="U636" s="27"/>
      <c r="V636" s="27"/>
      <c r="W636" s="27">
        <v>50</v>
      </c>
      <c r="X636" s="19"/>
      <c r="Y636" s="19">
        <v>50</v>
      </c>
      <c r="Z636" s="19"/>
    </row>
    <row r="637" ht="15.6" spans="1:26">
      <c r="A637" s="27">
        <v>314</v>
      </c>
      <c r="B637" s="27">
        <v>28</v>
      </c>
      <c r="C637" s="28" t="s">
        <v>711</v>
      </c>
      <c r="D637" s="28" t="s">
        <v>46</v>
      </c>
      <c r="E637" s="27">
        <v>19.5</v>
      </c>
      <c r="F637" s="29">
        <f>LOOKUP(E637,{0,1.5,2.3,3.1,3.9,4.7,5.5,6.8,8.1,9.4,10.7,12,13.3,14.6,15.9,17.2,18.5,20.2,21.9,23.6,25.3},{0,10,20,30,40,50,60,62,64,66,68,70,72,74,76,78,80,85,90,95,100})</f>
        <v>80</v>
      </c>
      <c r="G637" s="27">
        <v>160</v>
      </c>
      <c r="H637" s="29">
        <f>LOOKUP(G637,{0,125,130,135,140,145,150,153,156,159,162,165,168,171,174,177,180,187,194,200,206},{0,10,20,30,40,50,60,62,64,66,68,70,72,74,76,78,80,85,90,95,100})</f>
        <v>66</v>
      </c>
      <c r="I637" s="27">
        <v>47</v>
      </c>
      <c r="J637" s="29">
        <f>LOOKUP(I637,{0,15,17,19,21,23,25,27,29,31,33,35,37,39,41,43,45,48,51,53,55},{0,10,20,30,40,50,60,62,64,66,68,70,72,74,76,78,80,85,90,95,100})</f>
        <v>80</v>
      </c>
      <c r="K637" s="35"/>
      <c r="L637" s="35"/>
      <c r="M637" s="35">
        <f>J637+L637</f>
        <v>80</v>
      </c>
      <c r="N637" s="35">
        <v>8.5</v>
      </c>
      <c r="O637" s="36">
        <f>18-N637</f>
        <v>9.5</v>
      </c>
      <c r="P637" s="29">
        <f>LOOKUP(O637,{0,6.6,6.8,7,7.2,7.4,7.6,7.8,8,8.2,8.4,8.6,8.8,9,9.2,9.4,9.6,9.9,10.2,10.3,10.4},{0,10,20,30,40,50,60,62,64,66,68,70,72,74,76,78,80,85,90,95,100})</f>
        <v>78</v>
      </c>
      <c r="Q637" s="5">
        <v>4.35</v>
      </c>
      <c r="R637" s="36">
        <f>10-Q637</f>
        <v>5.65</v>
      </c>
      <c r="S637" s="29">
        <f>LOOKUP(R637,{0,4.74,4.84,4.94,5.44,5.54,5.64,5.69,5.74,5.79,5.84,5.89,5.94,5.99,6.44,6.49,6.54,6.61,6.68,6.74,6.8},{0,10,20,30,40,50,60,62,64,66,68,70,72,74,76,78,80,85,90,95,100})</f>
        <v>60</v>
      </c>
      <c r="T637" s="27"/>
      <c r="U637" s="27"/>
      <c r="V637" s="27">
        <f>S637+U637</f>
        <v>60</v>
      </c>
      <c r="W637" s="27"/>
      <c r="X637" s="19">
        <f>F637*0.1+H637*0.1+J637*0.1+P637*0.2+S637*0.2</f>
        <v>50.2</v>
      </c>
      <c r="Y637" s="13">
        <f>X637/0.7+L637+U637</f>
        <v>71.7142857142857</v>
      </c>
      <c r="Z637" s="19"/>
    </row>
    <row r="638" ht="15.6" spans="1:26">
      <c r="A638" s="27">
        <v>314</v>
      </c>
      <c r="B638" s="27">
        <v>29</v>
      </c>
      <c r="C638" s="28" t="s">
        <v>712</v>
      </c>
      <c r="D638" s="28" t="s">
        <v>46</v>
      </c>
      <c r="E638" s="27">
        <v>20.5</v>
      </c>
      <c r="F638" s="29">
        <f>LOOKUP(E638,{0,1.5,2.3,3.1,3.9,4.7,5.5,6.8,8.1,9.4,10.7,12,13.3,14.6,15.9,17.2,18.5,20.2,21.9,23.6,25.3},{0,10,20,30,40,50,60,62,64,66,68,70,72,74,76,78,80,85,90,95,100})</f>
        <v>85</v>
      </c>
      <c r="G638" s="27">
        <v>207</v>
      </c>
      <c r="H638" s="29">
        <f>LOOKUP(G638,{0,125,130,135,140,145,150,153,156,159,162,165,168,171,174,177,180,187,194,200,206},{0,10,20,30,40,50,60,62,64,66,68,70,72,74,76,78,80,85,90,95,100})</f>
        <v>100</v>
      </c>
      <c r="I638" s="27">
        <v>0</v>
      </c>
      <c r="J638" s="29">
        <f>LOOKUP(I638,{0,15,17,19,21,23,25,27,29,31,33,35,37,39,41,43,45,48,51,53,55},{0,10,20,30,40,50,60,62,64,66,68,70,72,74,76,78,80,85,90,95,100})</f>
        <v>0</v>
      </c>
      <c r="K638" s="35"/>
      <c r="L638" s="35"/>
      <c r="M638" s="35">
        <f>J638+L638</f>
        <v>0</v>
      </c>
      <c r="N638" s="35">
        <v>7.6</v>
      </c>
      <c r="O638" s="36">
        <f>18-N638</f>
        <v>10.4</v>
      </c>
      <c r="P638" s="29">
        <f>LOOKUP(O638,{0,6.6,6.8,7,7.2,7.4,7.6,7.8,8,8.2,8.4,8.6,8.8,9,9.2,9.4,9.6,9.9,10.2,10.3,10.4},{0,10,20,30,40,50,60,62,64,66,68,70,72,74,76,78,80,85,90,95,100})</f>
        <v>100</v>
      </c>
      <c r="Q638" s="5">
        <v>3.31</v>
      </c>
      <c r="R638" s="36">
        <f>10-Q638</f>
        <v>6.69</v>
      </c>
      <c r="S638" s="29">
        <f>LOOKUP(R638,{0,4.74,4.84,4.94,5.44,5.54,5.64,5.69,5.74,5.79,5.84,5.89,5.94,5.99,6.44,6.49,6.54,6.61,6.68,6.74,6.8},{0,10,20,30,40,50,60,62,64,66,68,70,72,74,76,78,80,85,90,95,100})</f>
        <v>90</v>
      </c>
      <c r="T638" s="27"/>
      <c r="U638" s="27"/>
      <c r="V638" s="27">
        <f>S638+U638</f>
        <v>90</v>
      </c>
      <c r="W638" s="27"/>
      <c r="X638" s="19">
        <f>F638*0.1+H638*0.1+J638*0.1+P638*0.2+S638*0.2</f>
        <v>56.5</v>
      </c>
      <c r="Y638" s="13">
        <f>X638/0.7+L638+U638</f>
        <v>80.7142857142857</v>
      </c>
      <c r="Z638" s="19"/>
    </row>
    <row r="639" ht="15.6" spans="1:26">
      <c r="A639" s="27">
        <v>314</v>
      </c>
      <c r="B639" s="27">
        <v>30</v>
      </c>
      <c r="C639" s="28" t="s">
        <v>713</v>
      </c>
      <c r="D639" s="28" t="s">
        <v>46</v>
      </c>
      <c r="E639" s="27">
        <v>25.5</v>
      </c>
      <c r="F639" s="29">
        <f>LOOKUP(E639,{0,1.5,2.3,3.1,3.9,4.7,5.5,6.8,8.1,9.4,10.7,12,13.3,14.6,15.9,17.2,18.5,20.2,21.9,23.6,25.3},{0,10,20,30,40,50,60,62,64,66,68,70,72,74,76,78,80,85,90,95,100})</f>
        <v>100</v>
      </c>
      <c r="G639" s="27"/>
      <c r="H639" s="27"/>
      <c r="I639" s="27"/>
      <c r="J639" s="35"/>
      <c r="K639" s="35"/>
      <c r="L639" s="35"/>
      <c r="M639" s="35"/>
      <c r="N639" s="35"/>
      <c r="O639" s="5"/>
      <c r="P639" s="5"/>
      <c r="Q639" s="5"/>
      <c r="R639" s="27"/>
      <c r="S639" s="27"/>
      <c r="T639" s="27"/>
      <c r="U639" s="27"/>
      <c r="V639" s="27"/>
      <c r="W639" s="27">
        <v>50</v>
      </c>
      <c r="X639" s="19"/>
      <c r="Y639" s="19">
        <v>50</v>
      </c>
      <c r="Z639" s="19"/>
    </row>
    <row r="640" ht="15.6" spans="1:26">
      <c r="A640" s="27">
        <v>314</v>
      </c>
      <c r="B640" s="27">
        <v>31</v>
      </c>
      <c r="C640" s="28" t="s">
        <v>714</v>
      </c>
      <c r="D640" s="28" t="s">
        <v>46</v>
      </c>
      <c r="E640" s="27">
        <v>11</v>
      </c>
      <c r="F640" s="29">
        <f>LOOKUP(E640,{0,1.5,2.3,3.1,3.9,4.7,5.5,6.8,8.1,9.4,10.7,12,13.3,14.6,15.9,17.2,18.5,20.2,21.9,23.6,25.3},{0,10,20,30,40,50,60,62,64,66,68,70,72,74,76,78,80,85,90,95,100})</f>
        <v>68</v>
      </c>
      <c r="G640" s="27">
        <v>220</v>
      </c>
      <c r="H640" s="29">
        <f>LOOKUP(G640,{0,125,130,135,140,145,150,153,156,159,162,165,168,171,174,177,180,187,194,200,206},{0,10,20,30,40,50,60,62,64,66,68,70,72,74,76,78,80,85,90,95,100})</f>
        <v>100</v>
      </c>
      <c r="I640" s="27">
        <v>38</v>
      </c>
      <c r="J640" s="29">
        <f>LOOKUP(I640,{0,15,17,19,21,23,25,27,29,31,33,35,37,39,41,43,45,48,51,53,55},{0,10,20,30,40,50,60,62,64,66,68,70,72,74,76,78,80,85,90,95,100})</f>
        <v>72</v>
      </c>
      <c r="K640" s="35"/>
      <c r="L640" s="35"/>
      <c r="M640" s="35">
        <f t="shared" ref="M640:M651" si="183">J640+L640</f>
        <v>72</v>
      </c>
      <c r="N640" s="35">
        <v>7.9</v>
      </c>
      <c r="O640" s="36">
        <f>18-N640</f>
        <v>10.1</v>
      </c>
      <c r="P640" s="29">
        <f>LOOKUP(O640,{0,6.6,6.8,7,7.2,7.4,7.6,7.8,8,8.2,8.4,8.6,8.8,9,9.2,9.4,9.6,9.9,10.2,10.3,10.4},{0,10,20,30,40,50,60,62,64,66,68,70,72,74,76,78,80,85,90,95,100})</f>
        <v>85</v>
      </c>
      <c r="Q640" s="5">
        <v>3.56</v>
      </c>
      <c r="R640" s="36">
        <f t="shared" ref="R640:R651" si="184">10-Q640</f>
        <v>6.44</v>
      </c>
      <c r="S640" s="29">
        <f>LOOKUP(R640,{0,4.74,4.84,4.94,5.44,5.54,5.64,5.69,5.74,5.79,5.84,5.89,5.94,5.99,6.44,6.49,6.54,6.61,6.68,6.74,6.8},{0,10,20,30,40,50,60,62,64,66,68,70,72,74,76,78,80,85,90,95,100})</f>
        <v>76</v>
      </c>
      <c r="T640" s="27"/>
      <c r="U640" s="27"/>
      <c r="V640" s="27">
        <f t="shared" ref="V640:V651" si="185">S640+U640</f>
        <v>76</v>
      </c>
      <c r="W640" s="27"/>
      <c r="X640" s="19">
        <f t="shared" ref="X640:X651" si="186">F640*0.1+H640*0.1+J640*0.1+P640*0.2+S640*0.2</f>
        <v>56.2</v>
      </c>
      <c r="Y640" s="13">
        <f t="shared" ref="Y640:Y651" si="187">X640/0.7+L640+U640</f>
        <v>80.2857142857143</v>
      </c>
      <c r="Z640" s="19"/>
    </row>
    <row r="641" ht="15.6" spans="1:26">
      <c r="A641" s="27">
        <v>314</v>
      </c>
      <c r="B641" s="27">
        <v>32</v>
      </c>
      <c r="C641" s="28" t="s">
        <v>715</v>
      </c>
      <c r="D641" s="28" t="s">
        <v>46</v>
      </c>
      <c r="E641" s="27">
        <v>26.5</v>
      </c>
      <c r="F641" s="29">
        <f>LOOKUP(E641,{0,1.5,2.3,3.1,3.9,4.7,5.5,6.8,8.1,9.4,10.7,12,13.3,14.6,15.9,17.2,18.5,20.2,21.9,23.6,25.3},{0,10,20,30,40,50,60,62,64,66,68,70,72,74,76,78,80,85,90,95,100})</f>
        <v>100</v>
      </c>
      <c r="G641" s="27">
        <v>185</v>
      </c>
      <c r="H641" s="29">
        <f>LOOKUP(G641,{0,125,130,135,140,145,150,153,156,159,162,165,168,171,174,177,180,187,194,200,206},{0,10,20,30,40,50,60,62,64,66,68,70,72,74,76,78,80,85,90,95,100})</f>
        <v>80</v>
      </c>
      <c r="I641" s="27">
        <v>0</v>
      </c>
      <c r="J641" s="29">
        <f>LOOKUP(I641,{0,15,17,19,21,23,25,27,29,31,33,35,37,39,41,43,45,48,51,53,55},{0,10,20,30,40,50,60,62,64,66,68,70,72,74,76,78,80,85,90,95,100})</f>
        <v>0</v>
      </c>
      <c r="K641" s="35"/>
      <c r="L641" s="35"/>
      <c r="M641" s="35">
        <f t="shared" si="183"/>
        <v>0</v>
      </c>
      <c r="N641" s="35"/>
      <c r="O641" s="5"/>
      <c r="P641" s="5"/>
      <c r="Q641" s="5">
        <v>4.47</v>
      </c>
      <c r="R641" s="36">
        <f t="shared" si="184"/>
        <v>5.53</v>
      </c>
      <c r="S641" s="29">
        <f>LOOKUP(R641,{0,4.74,4.84,4.94,5.44,5.54,5.64,5.69,5.74,5.79,5.84,5.89,5.94,5.99,6.44,6.49,6.54,6.61,6.68,6.74,6.8},{0,10,20,30,40,50,60,62,64,66,68,70,72,74,76,78,80,85,90,95,100})</f>
        <v>40</v>
      </c>
      <c r="T641" s="27"/>
      <c r="U641" s="27"/>
      <c r="V641" s="27">
        <f t="shared" si="185"/>
        <v>40</v>
      </c>
      <c r="W641" s="42">
        <v>50</v>
      </c>
      <c r="X641" s="19">
        <f t="shared" si="186"/>
        <v>26</v>
      </c>
      <c r="Y641" s="13">
        <v>50</v>
      </c>
      <c r="Z641" s="19"/>
    </row>
    <row r="642" ht="15.6" spans="1:26">
      <c r="A642" s="27">
        <v>314</v>
      </c>
      <c r="B642" s="27">
        <v>33</v>
      </c>
      <c r="C642" s="28" t="s">
        <v>716</v>
      </c>
      <c r="D642" s="28" t="s">
        <v>46</v>
      </c>
      <c r="E642" s="27">
        <v>9</v>
      </c>
      <c r="F642" s="29">
        <f>LOOKUP(E642,{0,1.5,2.3,3.1,3.9,4.7,5.5,6.8,8.1,9.4,10.7,12,13.3,14.6,15.9,17.2,18.5,20.2,21.9,23.6,25.3},{0,10,20,30,40,50,60,62,64,66,68,70,72,74,76,78,80,85,90,95,100})</f>
        <v>64</v>
      </c>
      <c r="G642" s="27">
        <v>175</v>
      </c>
      <c r="H642" s="29">
        <f>LOOKUP(G642,{0,125,130,135,140,145,150,153,156,159,162,165,168,171,174,177,180,187,194,200,206},{0,10,20,30,40,50,60,62,64,66,68,70,72,74,76,78,80,85,90,95,100})</f>
        <v>76</v>
      </c>
      <c r="I642" s="27">
        <v>47</v>
      </c>
      <c r="J642" s="29">
        <f>LOOKUP(I642,{0,15,17,19,21,23,25,27,29,31,33,35,37,39,41,43,45,48,51,53,55},{0,10,20,30,40,50,60,62,64,66,68,70,72,74,76,78,80,85,90,95,100})</f>
        <v>80</v>
      </c>
      <c r="K642" s="35"/>
      <c r="L642" s="35"/>
      <c r="M642" s="35">
        <f t="shared" si="183"/>
        <v>80</v>
      </c>
      <c r="N642" s="35">
        <v>8.8</v>
      </c>
      <c r="O642" s="36">
        <f>18-N642</f>
        <v>9.2</v>
      </c>
      <c r="P642" s="29">
        <f>LOOKUP(O642,{0,6.6,6.8,7,7.2,7.4,7.6,7.8,8,8.2,8.4,8.6,8.8,9,9.2,9.4,9.6,9.9,10.2,10.3,10.4},{0,10,20,30,40,50,60,62,64,66,68,70,72,74,76,78,80,85,90,95,100})</f>
        <v>76</v>
      </c>
      <c r="Q642" s="5">
        <v>4.33</v>
      </c>
      <c r="R642" s="36">
        <f t="shared" si="184"/>
        <v>5.67</v>
      </c>
      <c r="S642" s="29">
        <f>LOOKUP(R642,{0,4.74,4.84,4.94,5.44,5.54,5.64,5.69,5.74,5.79,5.84,5.89,5.94,5.99,6.44,6.49,6.54,6.61,6.68,6.74,6.8},{0,10,20,30,40,50,60,62,64,66,68,70,72,74,76,78,80,85,90,95,100})</f>
        <v>60</v>
      </c>
      <c r="T642" s="27"/>
      <c r="U642" s="27"/>
      <c r="V642" s="27">
        <f t="shared" si="185"/>
        <v>60</v>
      </c>
      <c r="W642" s="27"/>
      <c r="X642" s="19">
        <f t="shared" si="186"/>
        <v>49.2</v>
      </c>
      <c r="Y642" s="13">
        <f t="shared" si="187"/>
        <v>70.2857142857143</v>
      </c>
      <c r="Z642" s="19"/>
    </row>
    <row r="643" ht="15.6" spans="1:26">
      <c r="A643" s="27">
        <v>314</v>
      </c>
      <c r="B643" s="27">
        <v>34</v>
      </c>
      <c r="C643" s="28" t="s">
        <v>717</v>
      </c>
      <c r="D643" s="28" t="s">
        <v>46</v>
      </c>
      <c r="E643" s="27">
        <v>18.5</v>
      </c>
      <c r="F643" s="29">
        <f>LOOKUP(E643,{0,1.5,2.3,3.1,3.9,4.7,5.5,6.8,8.1,9.4,10.7,12,13.3,14.6,15.9,17.2,18.5,20.2,21.9,23.6,25.3},{0,10,20,30,40,50,60,62,64,66,68,70,72,74,76,78,80,85,90,95,100})</f>
        <v>80</v>
      </c>
      <c r="G643" s="27">
        <v>190</v>
      </c>
      <c r="H643" s="29">
        <f>LOOKUP(G643,{0,125,130,135,140,145,150,153,156,159,162,165,168,171,174,177,180,187,194,200,206},{0,10,20,30,40,50,60,62,64,66,68,70,72,74,76,78,80,85,90,95,100})</f>
        <v>85</v>
      </c>
      <c r="I643" s="27">
        <v>0</v>
      </c>
      <c r="J643" s="29">
        <f>LOOKUP(I643,{0,15,17,19,21,23,25,27,29,31,33,35,37,39,41,43,45,48,51,53,55},{0,10,20,30,40,50,60,62,64,66,68,70,72,74,76,78,80,85,90,95,100})</f>
        <v>0</v>
      </c>
      <c r="K643" s="35"/>
      <c r="L643" s="35"/>
      <c r="M643" s="35">
        <f t="shared" si="183"/>
        <v>0</v>
      </c>
      <c r="N643" s="35"/>
      <c r="O643" s="5"/>
      <c r="P643" s="5"/>
      <c r="Q643" s="5">
        <v>3.55</v>
      </c>
      <c r="R643" s="36">
        <f t="shared" si="184"/>
        <v>6.45</v>
      </c>
      <c r="S643" s="29">
        <f>LOOKUP(R643,{0,4.74,4.84,4.94,5.44,5.54,5.64,5.69,5.74,5.79,5.84,5.89,5.94,5.99,6.44,6.49,6.54,6.61,6.68,6.74,6.8},{0,10,20,30,40,50,60,62,64,66,68,70,72,74,76,78,80,85,90,95,100})</f>
        <v>76</v>
      </c>
      <c r="T643" s="27"/>
      <c r="U643" s="27"/>
      <c r="V643" s="27">
        <f t="shared" si="185"/>
        <v>76</v>
      </c>
      <c r="W643" s="42">
        <v>50</v>
      </c>
      <c r="X643" s="19">
        <f t="shared" si="186"/>
        <v>31.7</v>
      </c>
      <c r="Y643" s="13">
        <v>50</v>
      </c>
      <c r="Z643" s="19"/>
    </row>
    <row r="644" ht="15.6" spans="1:26">
      <c r="A644" s="27">
        <v>314</v>
      </c>
      <c r="B644" s="27">
        <v>35</v>
      </c>
      <c r="C644" s="28" t="s">
        <v>718</v>
      </c>
      <c r="D644" s="28" t="s">
        <v>46</v>
      </c>
      <c r="E644" s="27">
        <v>11.4</v>
      </c>
      <c r="F644" s="29">
        <f>LOOKUP(E644,{0,1.5,2.3,3.1,3.9,4.7,5.5,6.8,8.1,9.4,10.7,12,13.3,14.6,15.9,17.2,18.5,20.2,21.9,23.6,25.3},{0,10,20,30,40,50,60,62,64,66,68,70,72,74,76,78,80,85,90,95,100})</f>
        <v>68</v>
      </c>
      <c r="G644" s="27">
        <v>210</v>
      </c>
      <c r="H644" s="29">
        <f>LOOKUP(G644,{0,125,130,135,140,145,150,153,156,159,162,165,168,171,174,177,180,187,194,200,206},{0,10,20,30,40,50,60,62,64,66,68,70,72,74,76,78,80,85,90,95,100})</f>
        <v>100</v>
      </c>
      <c r="I644" s="27">
        <v>57</v>
      </c>
      <c r="J644" s="29">
        <f>LOOKUP(I644,{0,15,17,19,21,23,25,27,29,31,33,35,37,39,41,43,45,48,51,53,55},{0,10,20,30,40,50,60,62,64,66,68,70,72,74,76,78,80,85,90,95,100})</f>
        <v>100</v>
      </c>
      <c r="K644" s="34">
        <f>I644-55</f>
        <v>2</v>
      </c>
      <c r="L644" s="29">
        <f>LOOKUP(K644,{0,2,4,6,7,8,9,10,11,12,13},{0,1,2,3,4,5,6,7,8,9,10})</f>
        <v>1</v>
      </c>
      <c r="M644" s="35">
        <f t="shared" si="183"/>
        <v>101</v>
      </c>
      <c r="N644" s="35"/>
      <c r="O644" s="5"/>
      <c r="P644" s="5"/>
      <c r="Q644" s="5">
        <v>4.44</v>
      </c>
      <c r="R644" s="36">
        <f t="shared" si="184"/>
        <v>5.56</v>
      </c>
      <c r="S644" s="29">
        <f>LOOKUP(R644,{0,4.74,4.84,4.94,5.44,5.54,5.64,5.69,5.74,5.79,5.84,5.89,5.94,5.99,6.44,6.49,6.54,6.61,6.68,6.74,6.8},{0,10,20,30,40,50,60,62,64,66,68,70,72,74,76,78,80,85,90,95,100})</f>
        <v>50</v>
      </c>
      <c r="T644" s="27"/>
      <c r="U644" s="27"/>
      <c r="V644" s="27">
        <f t="shared" si="185"/>
        <v>50</v>
      </c>
      <c r="W644" s="27"/>
      <c r="X644" s="19">
        <f t="shared" si="186"/>
        <v>36.8</v>
      </c>
      <c r="Y644" s="13">
        <f t="shared" si="187"/>
        <v>53.5714285714286</v>
      </c>
      <c r="Z644" s="19"/>
    </row>
    <row r="645" ht="15.6" spans="1:26">
      <c r="A645" s="27">
        <v>314</v>
      </c>
      <c r="B645" s="27">
        <v>36</v>
      </c>
      <c r="C645" s="28" t="s">
        <v>719</v>
      </c>
      <c r="D645" s="28" t="s">
        <v>46</v>
      </c>
      <c r="E645" s="27">
        <v>20.4</v>
      </c>
      <c r="F645" s="29">
        <f>LOOKUP(E645,{0,1.5,2.3,3.1,3.9,4.7,5.5,6.8,8.1,9.4,10.7,12,13.3,14.6,15.9,17.2,18.5,20.2,21.9,23.6,25.3},{0,10,20,30,40,50,60,62,64,66,68,70,72,74,76,78,80,85,90,95,100})</f>
        <v>85</v>
      </c>
      <c r="G645" s="27">
        <v>185</v>
      </c>
      <c r="H645" s="29">
        <f>LOOKUP(G645,{0,125,130,135,140,145,150,153,156,159,162,165,168,171,174,177,180,187,194,200,206},{0,10,20,30,40,50,60,62,64,66,68,70,72,74,76,78,80,85,90,95,100})</f>
        <v>80</v>
      </c>
      <c r="I645" s="27">
        <v>0</v>
      </c>
      <c r="J645" s="29">
        <f>LOOKUP(I645,{0,15,17,19,21,23,25,27,29,31,33,35,37,39,41,43,45,48,51,53,55},{0,10,20,30,40,50,60,62,64,66,68,70,72,74,76,78,80,85,90,95,100})</f>
        <v>0</v>
      </c>
      <c r="K645" s="35"/>
      <c r="L645" s="35"/>
      <c r="M645" s="35">
        <f t="shared" si="183"/>
        <v>0</v>
      </c>
      <c r="N645" s="35"/>
      <c r="O645" s="5"/>
      <c r="P645" s="5"/>
      <c r="Q645" s="5">
        <v>3.54</v>
      </c>
      <c r="R645" s="36">
        <f t="shared" si="184"/>
        <v>6.46</v>
      </c>
      <c r="S645" s="29">
        <f>LOOKUP(R645,{0,4.74,4.84,4.94,5.44,5.54,5.64,5.69,5.74,5.79,5.84,5.89,5.94,5.99,6.44,6.49,6.54,6.61,6.68,6.74,6.8},{0,10,20,30,40,50,60,62,64,66,68,70,72,74,76,78,80,85,90,95,100})</f>
        <v>76</v>
      </c>
      <c r="T645" s="27"/>
      <c r="U645" s="27"/>
      <c r="V645" s="27">
        <f t="shared" si="185"/>
        <v>76</v>
      </c>
      <c r="W645" s="42">
        <v>50</v>
      </c>
      <c r="X645" s="19">
        <f t="shared" si="186"/>
        <v>31.7</v>
      </c>
      <c r="Y645" s="13">
        <v>50</v>
      </c>
      <c r="Z645" s="19"/>
    </row>
    <row r="646" ht="15.6" spans="1:26">
      <c r="A646" s="27">
        <v>314</v>
      </c>
      <c r="B646" s="27">
        <v>37</v>
      </c>
      <c r="C646" s="28" t="s">
        <v>720</v>
      </c>
      <c r="D646" s="28" t="s">
        <v>46</v>
      </c>
      <c r="E646" s="27">
        <v>20</v>
      </c>
      <c r="F646" s="29">
        <f>LOOKUP(E646,{0,1.5,2.3,3.1,3.9,4.7,5.5,6.8,8.1,9.4,10.7,12,13.3,14.6,15.9,17.2,18.5,20.2,21.9,23.6,25.3},{0,10,20,30,40,50,60,62,64,66,68,70,72,74,76,78,80,85,90,95,100})</f>
        <v>80</v>
      </c>
      <c r="G646" s="27">
        <v>175</v>
      </c>
      <c r="H646" s="29">
        <f>LOOKUP(G646,{0,125,130,135,140,145,150,153,156,159,162,165,168,171,174,177,180,187,194,200,206},{0,10,20,30,40,50,60,62,64,66,68,70,72,74,76,78,80,85,90,95,100})</f>
        <v>76</v>
      </c>
      <c r="I646" s="27">
        <v>0</v>
      </c>
      <c r="J646" s="29">
        <f>LOOKUP(I646,{0,15,17,19,21,23,25,27,29,31,33,35,37,39,41,43,45,48,51,53,55},{0,10,20,30,40,50,60,62,64,66,68,70,72,74,76,78,80,85,90,95,100})</f>
        <v>0</v>
      </c>
      <c r="K646" s="35"/>
      <c r="L646" s="35"/>
      <c r="M646" s="35">
        <f t="shared" si="183"/>
        <v>0</v>
      </c>
      <c r="N646" s="35">
        <v>8.4</v>
      </c>
      <c r="O646" s="36">
        <f t="shared" ref="O646:O651" si="188">18-N646</f>
        <v>9.6</v>
      </c>
      <c r="P646" s="29">
        <f>LOOKUP(O646,{0,6.6,6.8,7,7.2,7.4,7.6,7.8,8,8.2,8.4,8.6,8.8,9,9.2,9.4,9.6,9.9,10.2,10.3,10.4},{0,10,20,30,40,50,60,62,64,66,68,70,72,74,76,78,80,85,90,95,100})</f>
        <v>80</v>
      </c>
      <c r="Q646" s="5">
        <v>4.2</v>
      </c>
      <c r="R646" s="36">
        <f t="shared" si="184"/>
        <v>5.8</v>
      </c>
      <c r="S646" s="29">
        <f>LOOKUP(R646,{0,4.74,4.84,4.94,5.44,5.54,5.64,5.69,5.74,5.79,5.84,5.89,5.94,5.99,6.44,6.49,6.54,6.61,6.68,6.74,6.8},{0,10,20,30,40,50,60,62,64,66,68,70,72,74,76,78,80,85,90,95,100})</f>
        <v>66</v>
      </c>
      <c r="T646" s="27"/>
      <c r="U646" s="27"/>
      <c r="V646" s="27">
        <f t="shared" si="185"/>
        <v>66</v>
      </c>
      <c r="W646" s="27"/>
      <c r="X646" s="19">
        <f t="shared" si="186"/>
        <v>44.8</v>
      </c>
      <c r="Y646" s="13">
        <f t="shared" si="187"/>
        <v>64</v>
      </c>
      <c r="Z646" s="19"/>
    </row>
    <row r="647" ht="15.6" spans="1:26">
      <c r="A647" s="27">
        <v>314</v>
      </c>
      <c r="B647" s="27">
        <v>38</v>
      </c>
      <c r="C647" s="30" t="s">
        <v>722</v>
      </c>
      <c r="D647" s="28" t="s">
        <v>46</v>
      </c>
      <c r="E647" s="27">
        <v>24.5</v>
      </c>
      <c r="F647" s="29">
        <f>LOOKUP(E647,{0,1.5,2.3,3.1,3.9,4.7,5.5,6.8,8.1,9.4,10.7,12,13.3,14.6,15.9,17.2,18.5,20.2,21.9,23.6,25.3},{0,10,20,30,40,50,60,62,64,66,68,70,72,74,76,78,80,85,90,95,100})</f>
        <v>95</v>
      </c>
      <c r="G647" s="27">
        <v>175</v>
      </c>
      <c r="H647" s="29">
        <f>LOOKUP(G647,{0,125,130,135,140,145,150,153,156,159,162,165,168,171,174,177,180,187,194,200,206},{0,10,20,30,40,50,60,62,64,66,68,70,72,74,76,78,80,85,90,95,100})</f>
        <v>76</v>
      </c>
      <c r="I647" s="27">
        <v>33</v>
      </c>
      <c r="J647" s="29">
        <f>LOOKUP(I647,{0,15,17,19,21,23,25,27,29,31,33,35,37,39,41,43,45,48,51,53,55},{0,10,20,30,40,50,60,62,64,66,68,70,72,74,76,78,80,85,90,95,100})</f>
        <v>68</v>
      </c>
      <c r="K647" s="35"/>
      <c r="L647" s="35"/>
      <c r="M647" s="35">
        <f t="shared" si="183"/>
        <v>68</v>
      </c>
      <c r="N647" s="35">
        <v>9.4</v>
      </c>
      <c r="O647" s="36">
        <f t="shared" si="188"/>
        <v>8.6</v>
      </c>
      <c r="P647" s="29">
        <f>LOOKUP(O647,{0,6.6,6.8,7,7.2,7.4,7.6,7.8,8,8.2,8.4,8.6,8.8,9,9.2,9.4,9.6,9.9,10.2,10.3,10.4},{0,10,20,30,40,50,60,62,64,66,68,70,72,74,76,78,80,85,90,95,100})</f>
        <v>70</v>
      </c>
      <c r="Q647" s="5">
        <v>5.01</v>
      </c>
      <c r="R647" s="36">
        <f t="shared" si="184"/>
        <v>4.99</v>
      </c>
      <c r="S647" s="29">
        <f>LOOKUP(R647,{0,4.74,4.84,4.94,5.44,5.54,5.64,5.69,5.74,5.79,5.84,5.89,5.94,5.99,6.44,6.49,6.54,6.61,6.68,6.74,6.8},{0,10,20,30,40,50,60,62,64,66,68,70,72,74,76,78,80,85,90,95,100})</f>
        <v>30</v>
      </c>
      <c r="T647" s="27"/>
      <c r="U647" s="27"/>
      <c r="V647" s="27">
        <f t="shared" si="185"/>
        <v>30</v>
      </c>
      <c r="W647" s="27"/>
      <c r="X647" s="19">
        <f t="shared" si="186"/>
        <v>43.9</v>
      </c>
      <c r="Y647" s="13">
        <f t="shared" si="187"/>
        <v>62.7142857142857</v>
      </c>
      <c r="Z647" s="20"/>
    </row>
    <row r="648" ht="15.6" spans="1:26">
      <c r="A648" s="27">
        <v>314</v>
      </c>
      <c r="B648" s="27">
        <v>39</v>
      </c>
      <c r="C648" s="28" t="s">
        <v>723</v>
      </c>
      <c r="D648" s="28" t="s">
        <v>46</v>
      </c>
      <c r="E648" s="27">
        <v>11</v>
      </c>
      <c r="F648" s="29">
        <f>LOOKUP(E648,{0,1.5,2.3,3.1,3.9,4.7,5.5,6.8,8.1,9.4,10.7,12,13.3,14.6,15.9,17.2,18.5,20.2,21.9,23.6,25.3},{0,10,20,30,40,50,60,62,64,66,68,70,72,74,76,78,80,85,90,95,100})</f>
        <v>68</v>
      </c>
      <c r="G648" s="27">
        <v>169</v>
      </c>
      <c r="H648" s="29">
        <f>LOOKUP(G648,{0,125,130,135,140,145,150,153,156,159,162,165,168,171,174,177,180,187,194,200,206},{0,10,20,30,40,50,60,62,64,66,68,70,72,74,76,78,80,85,90,95,100})</f>
        <v>72</v>
      </c>
      <c r="I648" s="27">
        <v>35</v>
      </c>
      <c r="J648" s="29">
        <f>LOOKUP(I648,{0,15,17,19,21,23,25,27,29,31,33,35,37,39,41,43,45,48,51,53,55},{0,10,20,30,40,50,60,62,64,66,68,70,72,74,76,78,80,85,90,95,100})</f>
        <v>70</v>
      </c>
      <c r="K648" s="35"/>
      <c r="L648" s="35"/>
      <c r="M648" s="35">
        <f t="shared" si="183"/>
        <v>70</v>
      </c>
      <c r="N648" s="35">
        <v>9.8</v>
      </c>
      <c r="O648" s="36">
        <f t="shared" si="188"/>
        <v>8.2</v>
      </c>
      <c r="P648" s="29">
        <f>LOOKUP(O648,{0,6.6,6.8,7,7.2,7.4,7.6,7.8,8,8.2,8.4,8.6,8.8,9,9.2,9.4,9.6,9.9,10.2,10.3,10.4},{0,10,20,30,40,50,60,62,64,66,68,70,72,74,76,78,80,85,90,95,100})</f>
        <v>66</v>
      </c>
      <c r="Q648" s="5">
        <v>4.42</v>
      </c>
      <c r="R648" s="36">
        <f t="shared" si="184"/>
        <v>5.58</v>
      </c>
      <c r="S648" s="29">
        <f>LOOKUP(R648,{0,4.74,4.84,4.94,5.44,5.54,5.64,5.69,5.74,5.79,5.84,5.89,5.94,5.99,6.44,6.49,6.54,6.61,6.68,6.74,6.8},{0,10,20,30,40,50,60,62,64,66,68,70,72,74,76,78,80,85,90,95,100})</f>
        <v>50</v>
      </c>
      <c r="T648" s="27"/>
      <c r="U648" s="27"/>
      <c r="V648" s="27">
        <f t="shared" si="185"/>
        <v>50</v>
      </c>
      <c r="W648" s="27"/>
      <c r="X648" s="19">
        <f t="shared" si="186"/>
        <v>44.2</v>
      </c>
      <c r="Y648" s="13">
        <f t="shared" si="187"/>
        <v>63.1428571428572</v>
      </c>
      <c r="Z648" s="19"/>
    </row>
    <row r="649" ht="15.6" spans="1:26">
      <c r="A649" s="27">
        <v>314</v>
      </c>
      <c r="B649" s="27">
        <v>40</v>
      </c>
      <c r="C649" s="28" t="s">
        <v>724</v>
      </c>
      <c r="D649" s="28" t="s">
        <v>46</v>
      </c>
      <c r="E649" s="27">
        <v>7</v>
      </c>
      <c r="F649" s="29">
        <f>LOOKUP(E649,{0,1.5,2.3,3.1,3.9,4.7,5.5,6.8,8.1,9.4,10.7,12,13.3,14.6,15.9,17.2,18.5,20.2,21.9,23.6,25.3},{0,10,20,30,40,50,60,62,64,66,68,70,72,74,76,78,80,85,90,95,100})</f>
        <v>62</v>
      </c>
      <c r="G649" s="27">
        <v>183</v>
      </c>
      <c r="H649" s="29">
        <f>LOOKUP(G649,{0,125,130,135,140,145,150,153,156,159,162,165,168,171,174,177,180,187,194,200,206},{0,10,20,30,40,50,60,62,64,66,68,70,72,74,76,78,80,85,90,95,100})</f>
        <v>80</v>
      </c>
      <c r="I649" s="27">
        <v>36</v>
      </c>
      <c r="J649" s="29">
        <f>LOOKUP(I649,{0,15,17,19,21,23,25,27,29,31,33,35,37,39,41,43,45,48,51,53,55},{0,10,20,30,40,50,60,62,64,66,68,70,72,74,76,78,80,85,90,95,100})</f>
        <v>70</v>
      </c>
      <c r="K649" s="35"/>
      <c r="L649" s="35"/>
      <c r="M649" s="35">
        <f t="shared" si="183"/>
        <v>70</v>
      </c>
      <c r="N649" s="35">
        <v>8.8</v>
      </c>
      <c r="O649" s="36">
        <f t="shared" si="188"/>
        <v>9.2</v>
      </c>
      <c r="P649" s="29">
        <f>LOOKUP(O649,{0,6.6,6.8,7,7.2,7.4,7.6,7.8,8,8.2,8.4,8.6,8.8,9,9.2,9.4,9.6,9.9,10.2,10.3,10.4},{0,10,20,30,40,50,60,62,64,66,68,70,72,74,76,78,80,85,90,95,100})</f>
        <v>76</v>
      </c>
      <c r="Q649" s="5">
        <v>4.14</v>
      </c>
      <c r="R649" s="36">
        <f t="shared" si="184"/>
        <v>5.86</v>
      </c>
      <c r="S649" s="29">
        <f>LOOKUP(R649,{0,4.74,4.84,4.94,5.44,5.54,5.64,5.69,5.74,5.79,5.84,5.89,5.94,5.99,6.44,6.49,6.54,6.61,6.68,6.74,6.8},{0,10,20,30,40,50,60,62,64,66,68,70,72,74,76,78,80,85,90,95,100})</f>
        <v>68</v>
      </c>
      <c r="T649" s="27"/>
      <c r="U649" s="27"/>
      <c r="V649" s="27">
        <f t="shared" si="185"/>
        <v>68</v>
      </c>
      <c r="W649" s="27"/>
      <c r="X649" s="19">
        <f t="shared" si="186"/>
        <v>50</v>
      </c>
      <c r="Y649" s="13">
        <f t="shared" si="187"/>
        <v>71.4285714285714</v>
      </c>
      <c r="Z649" s="19"/>
    </row>
    <row r="650" ht="15.6" spans="1:26">
      <c r="A650" s="27">
        <v>314</v>
      </c>
      <c r="B650" s="27">
        <v>41</v>
      </c>
      <c r="C650" s="28" t="s">
        <v>725</v>
      </c>
      <c r="D650" s="28" t="s">
        <v>46</v>
      </c>
      <c r="E650" s="27">
        <v>22</v>
      </c>
      <c r="F650" s="29">
        <f>LOOKUP(E650,{0,1.5,2.3,3.1,3.9,4.7,5.5,6.8,8.1,9.4,10.7,12,13.3,14.6,15.9,17.2,18.5,20.2,21.9,23.6,25.3},{0,10,20,30,40,50,60,62,64,66,68,70,72,74,76,78,80,85,90,95,100})</f>
        <v>90</v>
      </c>
      <c r="G650" s="27">
        <v>170</v>
      </c>
      <c r="H650" s="29">
        <f>LOOKUP(G650,{0,125,130,135,140,145,150,153,156,159,162,165,168,171,174,177,180,187,194,200,206},{0,10,20,30,40,50,60,62,64,66,68,70,72,74,76,78,80,85,90,95,100})</f>
        <v>72</v>
      </c>
      <c r="I650" s="27">
        <v>27</v>
      </c>
      <c r="J650" s="29">
        <f>LOOKUP(I650,{0,15,17,19,21,23,25,27,29,31,33,35,37,39,41,43,45,48,51,53,55},{0,10,20,30,40,50,60,62,64,66,68,70,72,74,76,78,80,85,90,95,100})</f>
        <v>62</v>
      </c>
      <c r="K650" s="35"/>
      <c r="L650" s="35"/>
      <c r="M650" s="35">
        <f t="shared" si="183"/>
        <v>62</v>
      </c>
      <c r="N650" s="35">
        <v>10</v>
      </c>
      <c r="O650" s="36">
        <f t="shared" si="188"/>
        <v>8</v>
      </c>
      <c r="P650" s="29">
        <f>LOOKUP(O650,{0,6.6,6.8,7,7.2,7.4,7.6,7.8,8,8.2,8.4,8.6,8.8,9,9.2,9.4,9.6,9.9,10.2,10.3,10.4},{0,10,20,30,40,50,60,62,64,66,68,70,72,74,76,78,80,85,90,95,100})</f>
        <v>64</v>
      </c>
      <c r="Q650" s="5">
        <v>5.18</v>
      </c>
      <c r="R650" s="36">
        <f t="shared" si="184"/>
        <v>4.82</v>
      </c>
      <c r="S650" s="29">
        <f>LOOKUP(R650,{0,4.74,4.84,4.94,5.44,5.54,5.64,5.69,5.74,5.79,5.84,5.89,5.94,5.99,6.44,6.49,6.54,6.61,6.68,6.74,6.8},{0,10,20,30,40,50,60,62,64,66,68,70,72,74,76,78,80,85,90,95,100})</f>
        <v>10</v>
      </c>
      <c r="T650" s="27"/>
      <c r="U650" s="27"/>
      <c r="V650" s="27">
        <f t="shared" si="185"/>
        <v>10</v>
      </c>
      <c r="W650" s="27"/>
      <c r="X650" s="19">
        <f t="shared" si="186"/>
        <v>37.2</v>
      </c>
      <c r="Y650" s="13">
        <f t="shared" si="187"/>
        <v>53.1428571428572</v>
      </c>
      <c r="Z650" s="19"/>
    </row>
    <row r="651" ht="15.6" spans="1:26">
      <c r="A651" s="27">
        <v>314</v>
      </c>
      <c r="B651" s="27">
        <v>42</v>
      </c>
      <c r="C651" s="28" t="s">
        <v>726</v>
      </c>
      <c r="D651" s="28" t="s">
        <v>46</v>
      </c>
      <c r="E651" s="27">
        <v>14</v>
      </c>
      <c r="F651" s="29">
        <f>LOOKUP(E651,{0,1.5,2.3,3.1,3.9,4.7,5.5,6.8,8.1,9.4,10.7,12,13.3,14.6,15.9,17.2,18.5,20.2,21.9,23.6,25.3},{0,10,20,30,40,50,60,62,64,66,68,70,72,74,76,78,80,85,90,95,100})</f>
        <v>72</v>
      </c>
      <c r="G651" s="27">
        <v>160</v>
      </c>
      <c r="H651" s="29">
        <f>LOOKUP(G651,{0,125,130,135,140,145,150,153,156,159,162,165,168,171,174,177,180,187,194,200,206},{0,10,20,30,40,50,60,62,64,66,68,70,72,74,76,78,80,85,90,95,100})</f>
        <v>66</v>
      </c>
      <c r="I651" s="27">
        <v>38</v>
      </c>
      <c r="J651" s="29">
        <f>LOOKUP(I651,{0,15,17,19,21,23,25,27,29,31,33,35,37,39,41,43,45,48,51,53,55},{0,10,20,30,40,50,60,62,64,66,68,70,72,74,76,78,80,85,90,95,100})</f>
        <v>72</v>
      </c>
      <c r="K651" s="35"/>
      <c r="L651" s="35"/>
      <c r="M651" s="35">
        <f t="shared" si="183"/>
        <v>72</v>
      </c>
      <c r="N651" s="35">
        <v>9.7</v>
      </c>
      <c r="O651" s="36">
        <f t="shared" si="188"/>
        <v>8.3</v>
      </c>
      <c r="P651" s="29">
        <f>LOOKUP(O651,{0,6.6,6.8,7,7.2,7.4,7.6,7.8,8,8.2,8.4,8.6,8.8,9,9.2,9.4,9.6,9.9,10.2,10.3,10.4},{0,10,20,30,40,50,60,62,64,66,68,70,72,74,76,78,80,85,90,95,100})</f>
        <v>66</v>
      </c>
      <c r="Q651" s="5">
        <v>4.23</v>
      </c>
      <c r="R651" s="36">
        <f t="shared" si="184"/>
        <v>5.77</v>
      </c>
      <c r="S651" s="29">
        <f>LOOKUP(R651,{0,4.74,4.84,4.94,5.44,5.54,5.64,5.69,5.74,5.79,5.84,5.89,5.94,5.99,6.44,6.49,6.54,6.61,6.68,6.74,6.8},{0,10,20,30,40,50,60,62,64,66,68,70,72,74,76,78,80,85,90,95,100})</f>
        <v>64</v>
      </c>
      <c r="T651" s="27"/>
      <c r="U651" s="27"/>
      <c r="V651" s="27">
        <f t="shared" si="185"/>
        <v>64</v>
      </c>
      <c r="W651" s="27"/>
      <c r="X651" s="19">
        <f t="shared" si="186"/>
        <v>47</v>
      </c>
      <c r="Y651" s="13">
        <f t="shared" si="187"/>
        <v>67.1428571428572</v>
      </c>
      <c r="Z651" s="19"/>
    </row>
    <row r="652" spans="1:26">
      <c r="A652" s="27">
        <v>314</v>
      </c>
      <c r="B652" s="27">
        <v>43</v>
      </c>
      <c r="C652" s="28" t="s">
        <v>727</v>
      </c>
      <c r="D652" s="28" t="s">
        <v>46</v>
      </c>
      <c r="E652" s="27"/>
      <c r="F652" s="27"/>
      <c r="G652" s="27"/>
      <c r="H652" s="27"/>
      <c r="I652" s="27"/>
      <c r="J652" s="35"/>
      <c r="K652" s="35"/>
      <c r="L652" s="35"/>
      <c r="M652" s="35"/>
      <c r="N652" s="35"/>
      <c r="O652" s="5"/>
      <c r="P652" s="5"/>
      <c r="Q652" s="5"/>
      <c r="R652" s="27"/>
      <c r="S652" s="27"/>
      <c r="T652" s="27"/>
      <c r="U652" s="27"/>
      <c r="V652" s="27"/>
      <c r="W652" s="27">
        <v>50</v>
      </c>
      <c r="X652" s="19"/>
      <c r="Y652" s="19">
        <v>50</v>
      </c>
      <c r="Z652" s="19"/>
    </row>
    <row r="653" ht="15.6" spans="1:26">
      <c r="A653" s="27">
        <v>314</v>
      </c>
      <c r="B653" s="27">
        <v>44</v>
      </c>
      <c r="C653" s="28" t="s">
        <v>728</v>
      </c>
      <c r="D653" s="28" t="s">
        <v>46</v>
      </c>
      <c r="E653" s="27">
        <v>16.5</v>
      </c>
      <c r="F653" s="29">
        <f>LOOKUP(E653,{0,1.5,2.3,3.1,3.9,4.7,5.5,6.8,8.1,9.4,10.7,12,13.3,14.6,15.9,17.2,18.5,20.2,21.9,23.6,25.3},{0,10,20,30,40,50,60,62,64,66,68,70,72,74,76,78,80,85,90,95,100})</f>
        <v>76</v>
      </c>
      <c r="G653" s="27">
        <v>182</v>
      </c>
      <c r="H653" s="29">
        <f>LOOKUP(G653,{0,125,130,135,140,145,150,153,156,159,162,165,168,171,174,177,180,187,194,200,206},{0,10,20,30,40,50,60,62,64,66,68,70,72,74,76,78,80,85,90,95,100})</f>
        <v>80</v>
      </c>
      <c r="I653" s="27">
        <v>45</v>
      </c>
      <c r="J653" s="29">
        <f>LOOKUP(I653,{0,15,17,19,21,23,25,27,29,31,33,35,37,39,41,43,45,48,51,53,55},{0,10,20,30,40,50,60,62,64,66,68,70,72,74,76,78,80,85,90,95,100})</f>
        <v>80</v>
      </c>
      <c r="K653" s="35"/>
      <c r="L653" s="35"/>
      <c r="M653" s="35">
        <f>J653+L653</f>
        <v>80</v>
      </c>
      <c r="N653" s="35">
        <v>9.4</v>
      </c>
      <c r="O653" s="36">
        <f>18-N653</f>
        <v>8.6</v>
      </c>
      <c r="P653" s="29">
        <f>LOOKUP(O653,{0,6.6,6.8,7,7.2,7.4,7.6,7.8,8,8.2,8.4,8.6,8.8,9,9.2,9.4,9.6,9.9,10.2,10.3,10.4},{0,10,20,30,40,50,60,62,64,66,68,70,72,74,76,78,80,85,90,95,100})</f>
        <v>70</v>
      </c>
      <c r="Q653" s="5">
        <v>4.22</v>
      </c>
      <c r="R653" s="36">
        <f>10-Q653</f>
        <v>5.78</v>
      </c>
      <c r="S653" s="29">
        <f>LOOKUP(R653,{0,4.74,4.84,4.94,5.44,5.54,5.64,5.69,5.74,5.79,5.84,5.89,5.94,5.99,6.44,6.49,6.54,6.61,6.68,6.74,6.8},{0,10,20,30,40,50,60,62,64,66,68,70,72,74,76,78,80,85,90,95,100})</f>
        <v>64</v>
      </c>
      <c r="T653" s="27"/>
      <c r="U653" s="27"/>
      <c r="V653" s="27">
        <f>S653+U653</f>
        <v>64</v>
      </c>
      <c r="W653" s="27"/>
      <c r="X653" s="19">
        <f>F653*0.1+H653*0.1+J653*0.1+P653*0.2+S653*0.2</f>
        <v>50.4</v>
      </c>
      <c r="Y653" s="13">
        <f>X653/0.7+L653+U653</f>
        <v>72</v>
      </c>
      <c r="Z653" s="19"/>
    </row>
    <row r="654" ht="15.6" spans="1:26">
      <c r="A654" s="27">
        <v>314</v>
      </c>
      <c r="B654" s="27">
        <v>45</v>
      </c>
      <c r="C654" s="28" t="s">
        <v>729</v>
      </c>
      <c r="D654" s="28" t="s">
        <v>46</v>
      </c>
      <c r="E654" s="27">
        <v>17</v>
      </c>
      <c r="F654" s="29">
        <f>LOOKUP(E654,{0,1.5,2.3,3.1,3.9,4.7,5.5,6.8,8.1,9.4,10.7,12,13.3,14.6,15.9,17.2,18.5,20.2,21.9,23.6,25.3},{0,10,20,30,40,50,60,62,64,66,68,70,72,74,76,78,80,85,90,95,100})</f>
        <v>76</v>
      </c>
      <c r="G654" s="27">
        <v>174</v>
      </c>
      <c r="H654" s="29">
        <f>LOOKUP(G654,{0,125,130,135,140,145,150,153,156,159,162,165,168,171,174,177,180,187,194,200,206},{0,10,20,30,40,50,60,62,64,66,68,70,72,74,76,78,80,85,90,95,100})</f>
        <v>76</v>
      </c>
      <c r="I654" s="27">
        <v>16</v>
      </c>
      <c r="J654" s="29">
        <f>LOOKUP(I654,{0,15,17,19,21,23,25,27,29,31,33,35,37,39,41,43,45,48,51,53,55},{0,10,20,30,40,50,60,62,64,66,68,70,72,74,76,78,80,85,90,95,100})</f>
        <v>10</v>
      </c>
      <c r="K654" s="35"/>
      <c r="L654" s="35"/>
      <c r="M654" s="35">
        <f>J654+L654</f>
        <v>10</v>
      </c>
      <c r="N654" s="35">
        <v>12.1</v>
      </c>
      <c r="O654" s="36">
        <f>18-N654</f>
        <v>5.9</v>
      </c>
      <c r="P654" s="29">
        <f>LOOKUP(O654,{0,6.6,6.8,7,7.2,7.4,7.6,7.8,8,8.2,8.4,8.6,8.8,9,9.2,9.4,9.6,9.9,10.2,10.3,10.4},{0,10,20,30,40,50,60,62,64,66,68,70,72,74,76,78,80,85,90,95,100})</f>
        <v>0</v>
      </c>
      <c r="Q654" s="5">
        <v>5.19</v>
      </c>
      <c r="R654" s="36">
        <f>10-Q654</f>
        <v>4.81</v>
      </c>
      <c r="S654" s="29">
        <f>LOOKUP(R654,{0,4.74,4.84,4.94,5.44,5.54,5.64,5.69,5.74,5.79,5.84,5.89,5.94,5.99,6.44,6.49,6.54,6.61,6.68,6.74,6.8},{0,10,20,30,40,50,60,62,64,66,68,70,72,74,76,78,80,85,90,95,100})</f>
        <v>10</v>
      </c>
      <c r="T654" s="27"/>
      <c r="U654" s="27"/>
      <c r="V654" s="27">
        <f>S654+U654</f>
        <v>10</v>
      </c>
      <c r="W654" s="27"/>
      <c r="X654" s="19">
        <f>F654*0.1+H654*0.1+J654*0.1+P654*0.2+S654*0.2</f>
        <v>18.2</v>
      </c>
      <c r="Y654" s="13">
        <f>X654/0.7+L654+U654</f>
        <v>26</v>
      </c>
      <c r="Z654" s="19"/>
    </row>
    <row r="655" ht="15.6" spans="1:26">
      <c r="A655" s="27">
        <v>314</v>
      </c>
      <c r="B655" s="27">
        <v>46</v>
      </c>
      <c r="C655" s="28" t="s">
        <v>730</v>
      </c>
      <c r="D655" s="28" t="s">
        <v>46</v>
      </c>
      <c r="E655" s="27">
        <v>8.5</v>
      </c>
      <c r="F655" s="29">
        <f>LOOKUP(E655,{0,1.5,2.3,3.1,3.9,4.7,5.5,6.8,8.1,9.4,10.7,12,13.3,14.6,15.9,17.2,18.5,20.2,21.9,23.6,25.3},{0,10,20,30,40,50,60,62,64,66,68,70,72,74,76,78,80,85,90,95,100})</f>
        <v>64</v>
      </c>
      <c r="G655" s="27">
        <v>160</v>
      </c>
      <c r="H655" s="29">
        <f>LOOKUP(G655,{0,125,130,135,140,145,150,153,156,159,162,165,168,171,174,177,180,187,194,200,206},{0,10,20,30,40,50,60,62,64,66,68,70,72,74,76,78,80,85,90,95,100})</f>
        <v>66</v>
      </c>
      <c r="I655" s="27">
        <v>60</v>
      </c>
      <c r="J655" s="29">
        <f>LOOKUP(I655,{0,15,17,19,21,23,25,27,29,31,33,35,37,39,41,43,45,48,51,53,55},{0,10,20,30,40,50,60,62,64,66,68,70,72,74,76,78,80,85,90,95,100})</f>
        <v>100</v>
      </c>
      <c r="K655" s="34">
        <f>I655-55</f>
        <v>5</v>
      </c>
      <c r="L655" s="29">
        <f>LOOKUP(K655,{0,2,4,6,7,8,9,10,11,12,13},{0,1,2,3,4,5,6,7,8,9,10})</f>
        <v>2</v>
      </c>
      <c r="M655" s="35">
        <f>J655+L655</f>
        <v>102</v>
      </c>
      <c r="N655" s="35">
        <v>8.7</v>
      </c>
      <c r="O655" s="36">
        <f>18-N655</f>
        <v>9.3</v>
      </c>
      <c r="P655" s="29">
        <f>LOOKUP(O655,{0,6.6,6.8,7,7.2,7.4,7.6,7.8,8,8.2,8.4,8.6,8.8,9,9.2,9.4,9.6,9.9,10.2,10.3,10.4},{0,10,20,30,40,50,60,62,64,66,68,70,72,74,76,78,80,85,90,95,100})</f>
        <v>76</v>
      </c>
      <c r="Q655" s="5" t="s">
        <v>77</v>
      </c>
      <c r="R655" s="27"/>
      <c r="S655" s="27"/>
      <c r="T655" s="27"/>
      <c r="U655" s="27"/>
      <c r="V655" s="27"/>
      <c r="W655" s="27"/>
      <c r="X655" s="19">
        <f>F655*0.1+H655*0.1+J655*0.1+P655*0.2+S655*0.2</f>
        <v>38.2</v>
      </c>
      <c r="Y655" s="13">
        <f>X655/0.7+L655+U655</f>
        <v>56.5714285714286</v>
      </c>
      <c r="Z655" s="19"/>
    </row>
    <row r="656" ht="15.6" spans="1:26">
      <c r="A656" s="27">
        <v>314</v>
      </c>
      <c r="B656" s="27">
        <v>47</v>
      </c>
      <c r="C656" s="28" t="s">
        <v>731</v>
      </c>
      <c r="D656" s="28" t="s">
        <v>46</v>
      </c>
      <c r="E656" s="27">
        <v>19</v>
      </c>
      <c r="F656" s="29">
        <f>LOOKUP(E656,{0,1.5,2.3,3.1,3.9,4.7,5.5,6.8,8.1,9.4,10.7,12,13.3,14.6,15.9,17.2,18.5,20.2,21.9,23.6,25.3},{0,10,20,30,40,50,60,62,64,66,68,70,72,74,76,78,80,85,90,95,100})</f>
        <v>80</v>
      </c>
      <c r="G656" s="27">
        <v>166</v>
      </c>
      <c r="H656" s="29">
        <f>LOOKUP(G656,{0,125,130,135,140,145,150,153,156,159,162,165,168,171,174,177,180,187,194,200,206},{0,10,20,30,40,50,60,62,64,66,68,70,72,74,76,78,80,85,90,95,100})</f>
        <v>70</v>
      </c>
      <c r="I656" s="27">
        <v>50</v>
      </c>
      <c r="J656" s="29">
        <f>LOOKUP(I656,{0,15,17,19,21,23,25,27,29,31,33,35,37,39,41,43,45,48,51,53,55},{0,10,20,30,40,50,60,62,64,66,68,70,72,74,76,78,80,85,90,95,100})</f>
        <v>85</v>
      </c>
      <c r="K656" s="35"/>
      <c r="L656" s="35"/>
      <c r="M656" s="35">
        <f>J656+L656</f>
        <v>85</v>
      </c>
      <c r="N656" s="35">
        <v>9.4</v>
      </c>
      <c r="O656" s="36">
        <f>18-N656</f>
        <v>8.6</v>
      </c>
      <c r="P656" s="29">
        <f>LOOKUP(O656,{0,6.6,6.8,7,7.2,7.4,7.6,7.8,8,8.2,8.4,8.6,8.8,9,9.2,9.4,9.6,9.9,10.2,10.3,10.4},{0,10,20,30,40,50,60,62,64,66,68,70,72,74,76,78,80,85,90,95,100})</f>
        <v>70</v>
      </c>
      <c r="Q656" s="5">
        <v>4.38</v>
      </c>
      <c r="R656" s="36">
        <f>10-Q656</f>
        <v>5.62</v>
      </c>
      <c r="S656" s="29">
        <f>LOOKUP(R656,{0,4.74,4.84,4.94,5.44,5.54,5.64,5.69,5.74,5.79,5.84,5.89,5.94,5.99,6.44,6.49,6.54,6.61,6.68,6.74,6.8},{0,10,20,30,40,50,60,62,64,66,68,70,72,74,76,78,80,85,90,95,100})</f>
        <v>50</v>
      </c>
      <c r="T656" s="27"/>
      <c r="U656" s="27"/>
      <c r="V656" s="27">
        <f>S656+U656</f>
        <v>50</v>
      </c>
      <c r="W656" s="27"/>
      <c r="X656" s="19">
        <f>F656*0.1+H656*0.1+J656*0.1+P656*0.2+S656*0.2</f>
        <v>47.5</v>
      </c>
      <c r="Y656" s="13">
        <f>X656/0.7+L656+U656</f>
        <v>67.8571428571429</v>
      </c>
      <c r="Z656" s="19"/>
    </row>
    <row r="657" spans="1:26">
      <c r="A657" s="27">
        <v>314</v>
      </c>
      <c r="B657" s="27">
        <v>48</v>
      </c>
      <c r="C657" s="28" t="s">
        <v>732</v>
      </c>
      <c r="D657" s="28" t="s">
        <v>46</v>
      </c>
      <c r="E657" s="27"/>
      <c r="F657" s="27"/>
      <c r="G657" s="27"/>
      <c r="H657" s="27"/>
      <c r="I657" s="27"/>
      <c r="J657" s="35"/>
      <c r="K657" s="35"/>
      <c r="L657" s="35"/>
      <c r="M657" s="35"/>
      <c r="N657" s="35"/>
      <c r="O657" s="5"/>
      <c r="P657" s="5"/>
      <c r="Q657" s="5"/>
      <c r="R657" s="27"/>
      <c r="S657" s="27"/>
      <c r="T657" s="27"/>
      <c r="U657" s="27"/>
      <c r="V657" s="27"/>
      <c r="W657" s="27">
        <v>50</v>
      </c>
      <c r="X657" s="19"/>
      <c r="Y657" s="19">
        <v>50</v>
      </c>
      <c r="Z657" s="19"/>
    </row>
    <row r="658" ht="15.6" spans="1:26">
      <c r="A658" s="27">
        <v>315</v>
      </c>
      <c r="B658" s="27">
        <v>1</v>
      </c>
      <c r="C658" s="30" t="s">
        <v>734</v>
      </c>
      <c r="D658" s="28" t="s">
        <v>12</v>
      </c>
      <c r="E658" s="27">
        <v>16</v>
      </c>
      <c r="F658" s="29">
        <f>LOOKUP(E658,{0,-1.8,-0.8,0.2,1.2,2.2,3.2,4.6,6,7.4,8.8,10.2,11.6,13,14.4,15.8,17.2,19.1,21,22.8,24.6},{0,10,20,30,40,50,60,62,64,66,68,70,72,74,76,78,80,85,90,95,100})</f>
        <v>78</v>
      </c>
      <c r="G658" s="27">
        <v>225</v>
      </c>
      <c r="H658" s="29">
        <f>LOOKUP(G658,{0,180,185,190,195,200,205,209,213,217,221,225,229,233,237,241,245,253,260,265,270},{0,10,20,30,40,50,60,62,64,66,68,70,72,74,76,78,80,85,90,95,100})</f>
        <v>70</v>
      </c>
      <c r="I658" s="27">
        <v>6</v>
      </c>
      <c r="J658" s="29">
        <f>LOOKUP(I658,{0,4,5,6,7,8,9,10,11,12,13,14,15,16,17,18},{0,10,20,30,40,50,60,64,68,72,76,80,85,90,95,100})</f>
        <v>30</v>
      </c>
      <c r="K658" s="44"/>
      <c r="L658" s="35"/>
      <c r="M658" s="35">
        <f t="shared" ref="M658:M710" si="189">J658+L658</f>
        <v>30</v>
      </c>
      <c r="N658" s="35">
        <v>7.5</v>
      </c>
      <c r="O658" s="36">
        <f t="shared" ref="O658:O710" si="190">18-N658</f>
        <v>10.5</v>
      </c>
      <c r="P658" s="29">
        <f>LOOKUP(O658,{0,7.8,8,8.2,8.4,8.6,8.8,9,9.2,9.4,9.6,9.8,10,10.2,10.4,10.6,10.8,10.9,11,11.1,11.2},{0,10,20,30,40,50,60,62,64,66,68,70,72,74,76,78,80,85,90,95,100})</f>
        <v>76</v>
      </c>
      <c r="Q658" s="5">
        <v>5.07</v>
      </c>
      <c r="R658" s="36">
        <f t="shared" ref="R658:R699" si="191">10-Q658</f>
        <v>4.93</v>
      </c>
      <c r="S658" s="29">
        <f>LOOKUP(R658,{0,3.85,4.45,4.65,4.85,5.45,5.65,5.7,5.75,5.8,5.85,5.9,5.95,6,6.45,6.5,6.55,6.63,6.7,6.75,6.8},{0,10,20,30,40,50,60,62,64,66,68,70,72,74,76,78,80,85,90,95,100})</f>
        <v>40</v>
      </c>
      <c r="T658" s="27"/>
      <c r="U658" s="27"/>
      <c r="V658" s="27">
        <f t="shared" ref="V658:V710" si="192">S658+U658</f>
        <v>40</v>
      </c>
      <c r="W658" s="27"/>
      <c r="X658" s="19">
        <f t="shared" ref="X658:X710" si="193">F658*0.1+H658*0.1+J658*0.1+P658*0.2+S658*0.2</f>
        <v>41</v>
      </c>
      <c r="Y658" s="13">
        <f t="shared" ref="Y658:Y710" si="194">X658/0.7+L658+U658</f>
        <v>58.5714285714286</v>
      </c>
      <c r="Z658" s="19"/>
    </row>
    <row r="659" ht="15.6" spans="1:26">
      <c r="A659" s="27">
        <v>315</v>
      </c>
      <c r="B659" s="27">
        <v>2</v>
      </c>
      <c r="C659" s="28" t="s">
        <v>735</v>
      </c>
      <c r="D659" s="28" t="s">
        <v>12</v>
      </c>
      <c r="E659" s="27">
        <v>2.5</v>
      </c>
      <c r="F659" s="29">
        <f>LOOKUP(E659,{0,-1.8,-0.8,0.2,1.2,2.2,3.2,4.6,6,7.4,8.8,10.2,11.6,13,14.4,15.8,17.2,19.1,21,22.8,24.6},{0,10,20,30,40,50,60,62,64,66,68,70,72,74,76,78,80,85,90,95,100})</f>
        <v>50</v>
      </c>
      <c r="G659" s="27">
        <v>220</v>
      </c>
      <c r="H659" s="29">
        <f>LOOKUP(G659,{0,180,185,190,195,200,205,209,213,217,221,225,229,233,237,241,245,253,260,265,270},{0,10,20,30,40,50,60,62,64,66,68,70,72,74,76,78,80,85,90,95,100})</f>
        <v>66</v>
      </c>
      <c r="I659" s="27">
        <v>6</v>
      </c>
      <c r="J659" s="29">
        <f>LOOKUP(I659,{0,4,5,6,7,8,9,10,11,12,13,14,15,16,17,18},{0,10,20,30,40,50,60,64,68,72,76,80,85,90,95,100})</f>
        <v>30</v>
      </c>
      <c r="K659" s="44"/>
      <c r="L659" s="35"/>
      <c r="M659" s="35">
        <f t="shared" si="189"/>
        <v>30</v>
      </c>
      <c r="N659" s="35">
        <v>7.8</v>
      </c>
      <c r="O659" s="36">
        <f t="shared" si="190"/>
        <v>10.2</v>
      </c>
      <c r="P659" s="29">
        <f>LOOKUP(O659,{0,7.8,8,8.2,8.4,8.6,8.8,9,9.2,9.4,9.6,9.8,10,10.2,10.4,10.6,10.8,10.9,11,11.1,11.2},{0,10,20,30,40,50,60,62,64,66,68,70,72,74,76,78,80,85,90,95,100})</f>
        <v>74</v>
      </c>
      <c r="Q659" s="5">
        <v>5.07</v>
      </c>
      <c r="R659" s="36">
        <f t="shared" si="191"/>
        <v>4.93</v>
      </c>
      <c r="S659" s="29">
        <f>LOOKUP(R659,{0,3.85,4.45,4.65,4.85,5.45,5.65,5.7,5.75,5.8,5.85,5.9,5.95,6,6.45,6.5,6.55,6.63,6.7,6.75,6.8},{0,10,20,30,40,50,60,62,64,66,68,70,72,74,76,78,80,85,90,95,100})</f>
        <v>40</v>
      </c>
      <c r="T659" s="27"/>
      <c r="U659" s="27"/>
      <c r="V659" s="27">
        <f t="shared" si="192"/>
        <v>40</v>
      </c>
      <c r="W659" s="27"/>
      <c r="X659" s="19">
        <f t="shared" si="193"/>
        <v>37.4</v>
      </c>
      <c r="Y659" s="13">
        <f t="shared" si="194"/>
        <v>53.4285714285714</v>
      </c>
      <c r="Z659" s="19"/>
    </row>
    <row r="660" ht="15.6" spans="1:26">
      <c r="A660" s="27">
        <v>315</v>
      </c>
      <c r="B660" s="27">
        <v>3</v>
      </c>
      <c r="C660" s="28" t="s">
        <v>736</v>
      </c>
      <c r="D660" s="28" t="s">
        <v>12</v>
      </c>
      <c r="E660" s="27">
        <v>11.5</v>
      </c>
      <c r="F660" s="29">
        <f>LOOKUP(E660,{0,-1.8,-0.8,0.2,1.2,2.2,3.2,4.6,6,7.4,8.8,10.2,11.6,13,14.4,15.8,17.2,19.1,21,22.8,24.6},{0,10,20,30,40,50,60,62,64,66,68,70,72,74,76,78,80,85,90,95,100})</f>
        <v>70</v>
      </c>
      <c r="G660" s="27">
        <v>220</v>
      </c>
      <c r="H660" s="29">
        <f>LOOKUP(G660,{0,180,185,190,195,200,205,209,213,217,221,225,229,233,237,241,245,253,260,265,270},{0,10,20,30,40,50,60,62,64,66,68,70,72,74,76,78,80,85,90,95,100})</f>
        <v>66</v>
      </c>
      <c r="I660" s="27">
        <v>4</v>
      </c>
      <c r="J660" s="29">
        <f>LOOKUP(I660,{0,4,5,6,7,8,9,10,11,12,13,14,15,16,17,18},{0,10,20,30,40,50,60,64,68,72,76,80,85,90,95,100})</f>
        <v>10</v>
      </c>
      <c r="K660" s="44"/>
      <c r="L660" s="35"/>
      <c r="M660" s="35">
        <f t="shared" si="189"/>
        <v>10</v>
      </c>
      <c r="N660" s="35">
        <v>7.2</v>
      </c>
      <c r="O660" s="36">
        <f t="shared" si="190"/>
        <v>10.8</v>
      </c>
      <c r="P660" s="29">
        <f>LOOKUP(O660,{0,7.8,8,8.2,8.4,8.6,8.8,9,9.2,9.4,9.6,9.8,10,10.2,10.4,10.6,10.8,10.9,11,11.1,11.2},{0,10,20,30,40,50,60,62,64,66,68,70,72,74,76,78,80,85,90,95,100})</f>
        <v>80</v>
      </c>
      <c r="Q660" s="5">
        <v>4.52</v>
      </c>
      <c r="R660" s="36">
        <f t="shared" si="191"/>
        <v>5.48</v>
      </c>
      <c r="S660" s="29">
        <f>LOOKUP(R660,{0,3.85,4.45,4.65,4.85,5.45,5.65,5.7,5.75,5.8,5.85,5.9,5.95,6,6.45,6.5,6.55,6.63,6.7,6.75,6.8},{0,10,20,30,40,50,60,62,64,66,68,70,72,74,76,78,80,85,90,95,100})</f>
        <v>50</v>
      </c>
      <c r="T660" s="27"/>
      <c r="U660" s="27"/>
      <c r="V660" s="27">
        <f t="shared" si="192"/>
        <v>50</v>
      </c>
      <c r="W660" s="27"/>
      <c r="X660" s="19">
        <f t="shared" si="193"/>
        <v>40.6</v>
      </c>
      <c r="Y660" s="13">
        <f t="shared" si="194"/>
        <v>58</v>
      </c>
      <c r="Z660" s="19"/>
    </row>
    <row r="661" ht="15.6" spans="1:26">
      <c r="A661" s="27">
        <v>315</v>
      </c>
      <c r="B661" s="27">
        <v>4</v>
      </c>
      <c r="C661" s="28" t="s">
        <v>737</v>
      </c>
      <c r="D661" s="28" t="s">
        <v>12</v>
      </c>
      <c r="E661" s="27">
        <v>17</v>
      </c>
      <c r="F661" s="29">
        <f>LOOKUP(E661,{0,-1.8,-0.8,0.2,1.2,2.2,3.2,4.6,6,7.4,8.8,10.2,11.6,13,14.4,15.8,17.2,19.1,21,22.8,24.6},{0,10,20,30,40,50,60,62,64,66,68,70,72,74,76,78,80,85,90,95,100})</f>
        <v>78</v>
      </c>
      <c r="G661" s="27">
        <v>215</v>
      </c>
      <c r="H661" s="29">
        <f>LOOKUP(G661,{0,180,185,190,195,200,205,209,213,217,221,225,229,233,237,241,245,253,260,265,270},{0,10,20,30,40,50,60,62,64,66,68,70,72,74,76,78,80,85,90,95,100})</f>
        <v>64</v>
      </c>
      <c r="I661" s="27">
        <v>4</v>
      </c>
      <c r="J661" s="29">
        <f>LOOKUP(I661,{0,4,5,6,7,8,9,10,11,12,13,14,15,16,17,18},{0,10,20,30,40,50,60,64,68,72,76,80,85,90,95,100})</f>
        <v>10</v>
      </c>
      <c r="K661" s="44"/>
      <c r="L661" s="35"/>
      <c r="M661" s="35">
        <f t="shared" si="189"/>
        <v>10</v>
      </c>
      <c r="N661" s="35">
        <v>8.2</v>
      </c>
      <c r="O661" s="36">
        <f t="shared" si="190"/>
        <v>9.8</v>
      </c>
      <c r="P661" s="29">
        <f>LOOKUP(O661,{0,7.8,8,8.2,8.4,8.6,8.8,9,9.2,9.4,9.6,9.8,10,10.2,10.4,10.6,10.8,10.9,11,11.1,11.2},{0,10,20,30,40,50,60,62,64,66,68,70,72,74,76,78,80,85,90,95,100})</f>
        <v>70</v>
      </c>
      <c r="Q661" s="5">
        <v>5.07</v>
      </c>
      <c r="R661" s="36">
        <f t="shared" si="191"/>
        <v>4.93</v>
      </c>
      <c r="S661" s="29">
        <f>LOOKUP(R661,{0,3.85,4.45,4.65,4.85,5.45,5.65,5.7,5.75,5.8,5.85,5.9,5.95,6,6.45,6.5,6.55,6.63,6.7,6.75,6.8},{0,10,20,30,40,50,60,62,64,66,68,70,72,74,76,78,80,85,90,95,100})</f>
        <v>40</v>
      </c>
      <c r="T661" s="27"/>
      <c r="U661" s="27"/>
      <c r="V661" s="27">
        <f t="shared" si="192"/>
        <v>40</v>
      </c>
      <c r="W661" s="27"/>
      <c r="X661" s="19">
        <f t="shared" si="193"/>
        <v>37.2</v>
      </c>
      <c r="Y661" s="13">
        <f t="shared" si="194"/>
        <v>53.1428571428572</v>
      </c>
      <c r="Z661" s="19"/>
    </row>
    <row r="662" ht="15.6" spans="1:26">
      <c r="A662" s="27">
        <v>315</v>
      </c>
      <c r="B662" s="27">
        <v>5</v>
      </c>
      <c r="C662" s="28" t="s">
        <v>738</v>
      </c>
      <c r="D662" s="28" t="s">
        <v>12</v>
      </c>
      <c r="E662" s="27">
        <v>7.6</v>
      </c>
      <c r="F662" s="29">
        <f>LOOKUP(E662,{0,-1.8,-0.8,0.2,1.2,2.2,3.2,4.6,6,7.4,8.8,10.2,11.6,13,14.4,15.8,17.2,19.1,21,22.8,24.6},{0,10,20,30,40,50,60,62,64,66,68,70,72,74,76,78,80,85,90,95,100})</f>
        <v>66</v>
      </c>
      <c r="G662" s="27">
        <v>253</v>
      </c>
      <c r="H662" s="29">
        <f>LOOKUP(G662,{0,180,185,190,195,200,205,209,213,217,221,225,229,233,237,241,245,253,260,265,270},{0,10,20,30,40,50,60,62,64,66,68,70,72,74,76,78,80,85,90,95,100})</f>
        <v>85</v>
      </c>
      <c r="I662" s="27">
        <v>20</v>
      </c>
      <c r="J662" s="29">
        <f>LOOKUP(I662,{0,4,5,6,7,8,9,10,11,12,13,14,15,16,17,18},{0,10,20,30,40,50,60,64,68,72,76,80,85,90,95,100})</f>
        <v>100</v>
      </c>
      <c r="K662" s="44">
        <f>I662-18</f>
        <v>2</v>
      </c>
      <c r="L662" s="29">
        <f>LOOKUP(K662,{0,1,2,3,4,5,6,7,8,9,10},{0,1,2,3,4,5,6,7,8,9,10})</f>
        <v>2</v>
      </c>
      <c r="M662" s="35">
        <f t="shared" si="189"/>
        <v>102</v>
      </c>
      <c r="N662" s="35">
        <v>6.8</v>
      </c>
      <c r="O662" s="36">
        <f t="shared" si="190"/>
        <v>11.2</v>
      </c>
      <c r="P662" s="29">
        <f>LOOKUP(O662,{0,7.8,8,8.2,8.4,8.6,8.8,9,9.2,9.4,9.6,9.8,10,10.2,10.4,10.6,10.8,10.9,11,11.1,11.2},{0,10,20,30,40,50,60,62,64,66,68,70,72,74,76,78,80,85,90,95,100})</f>
        <v>100</v>
      </c>
      <c r="Q662" s="5">
        <v>4.44</v>
      </c>
      <c r="R662" s="36">
        <f t="shared" si="191"/>
        <v>5.56</v>
      </c>
      <c r="S662" s="29">
        <f>LOOKUP(R662,{0,3.85,4.45,4.65,4.85,5.45,5.65,5.7,5.75,5.8,5.85,5.9,5.95,6,6.45,6.5,6.55,6.63,6.7,6.75,6.8},{0,10,20,30,40,50,60,62,64,66,68,70,72,74,76,78,80,85,90,95,100})</f>
        <v>50</v>
      </c>
      <c r="T662" s="27"/>
      <c r="U662" s="27"/>
      <c r="V662" s="27">
        <f t="shared" si="192"/>
        <v>50</v>
      </c>
      <c r="W662" s="27"/>
      <c r="X662" s="19">
        <f t="shared" si="193"/>
        <v>55.1</v>
      </c>
      <c r="Y662" s="13">
        <f t="shared" si="194"/>
        <v>80.7142857142857</v>
      </c>
      <c r="Z662" s="19"/>
    </row>
    <row r="663" ht="15.6" spans="1:26">
      <c r="A663" s="27">
        <v>315</v>
      </c>
      <c r="B663" s="27">
        <v>6</v>
      </c>
      <c r="C663" s="28" t="s">
        <v>739</v>
      </c>
      <c r="D663" s="28" t="s">
        <v>12</v>
      </c>
      <c r="E663" s="27">
        <v>20</v>
      </c>
      <c r="F663" s="29">
        <f>LOOKUP(E663,{0,-1.8,-0.8,0.2,1.2,2.2,3.2,4.6,6,7.4,8.8,10.2,11.6,13,14.4,15.8,17.2,19.1,21,22.8,24.6},{0,10,20,30,40,50,60,62,64,66,68,70,72,74,76,78,80,85,90,95,100})</f>
        <v>85</v>
      </c>
      <c r="G663" s="27">
        <v>255</v>
      </c>
      <c r="H663" s="29">
        <f>LOOKUP(G663,{0,180,185,190,195,200,205,209,213,217,221,225,229,233,237,241,245,253,260,265,270},{0,10,20,30,40,50,60,62,64,66,68,70,72,74,76,78,80,85,90,95,100})</f>
        <v>85</v>
      </c>
      <c r="I663" s="27">
        <v>11</v>
      </c>
      <c r="J663" s="29">
        <f>LOOKUP(I663,{0,4,5,6,7,8,9,10,11,12,13,14,15,16,17,18},{0,10,20,30,40,50,60,64,68,72,76,80,85,90,95,100})</f>
        <v>68</v>
      </c>
      <c r="K663" s="44"/>
      <c r="L663" s="35"/>
      <c r="M663" s="35">
        <f t="shared" si="189"/>
        <v>68</v>
      </c>
      <c r="N663" s="35">
        <v>6.5</v>
      </c>
      <c r="O663" s="36">
        <f t="shared" si="190"/>
        <v>11.5</v>
      </c>
      <c r="P663" s="29">
        <f>LOOKUP(O663,{0,7.8,8,8.2,8.4,8.6,8.8,9,9.2,9.4,9.6,9.8,10,10.2,10.4,10.6,10.8,10.9,11,11.1,11.2},{0,10,20,30,40,50,60,62,64,66,68,70,72,74,76,78,80,85,90,95,100})</f>
        <v>100</v>
      </c>
      <c r="Q663" s="5">
        <v>5.07</v>
      </c>
      <c r="R663" s="36">
        <f t="shared" si="191"/>
        <v>4.93</v>
      </c>
      <c r="S663" s="29">
        <f>LOOKUP(R663,{0,3.85,4.45,4.65,4.85,5.45,5.65,5.7,5.75,5.8,5.85,5.9,5.95,6,6.45,6.5,6.55,6.63,6.7,6.75,6.8},{0,10,20,30,40,50,60,62,64,66,68,70,72,74,76,78,80,85,90,95,100})</f>
        <v>40</v>
      </c>
      <c r="T663" s="27"/>
      <c r="U663" s="27"/>
      <c r="V663" s="27">
        <f t="shared" si="192"/>
        <v>40</v>
      </c>
      <c r="W663" s="27"/>
      <c r="X663" s="19">
        <f t="shared" si="193"/>
        <v>51.8</v>
      </c>
      <c r="Y663" s="13">
        <f t="shared" si="194"/>
        <v>74</v>
      </c>
      <c r="Z663" s="19"/>
    </row>
    <row r="664" ht="15.6" spans="1:26">
      <c r="A664" s="27">
        <v>315</v>
      </c>
      <c r="B664" s="27">
        <v>7</v>
      </c>
      <c r="C664" s="28" t="s">
        <v>740</v>
      </c>
      <c r="D664" s="28" t="s">
        <v>12</v>
      </c>
      <c r="E664" s="27">
        <v>10.5</v>
      </c>
      <c r="F664" s="29">
        <f>LOOKUP(E664,{0,-1.8,-0.8,0.2,1.2,2.2,3.2,4.6,6,7.4,8.8,10.2,11.6,13,14.4,15.8,17.2,19.1,21,22.8,24.6},{0,10,20,30,40,50,60,62,64,66,68,70,72,74,76,78,80,85,90,95,100})</f>
        <v>70</v>
      </c>
      <c r="G664" s="27">
        <v>205</v>
      </c>
      <c r="H664" s="29">
        <f>LOOKUP(G664,{0,180,185,190,195,200,205,209,213,217,221,225,229,233,237,241,245,253,260,265,270},{0,10,20,30,40,50,60,62,64,66,68,70,72,74,76,78,80,85,90,95,100})</f>
        <v>60</v>
      </c>
      <c r="I664" s="27">
        <v>18</v>
      </c>
      <c r="J664" s="29">
        <f>LOOKUP(I664,{0,4,5,6,7,8,9,10,11,12,13,14,15,16,17,18},{0,10,20,30,40,50,60,64,68,72,76,80,85,90,95,100})</f>
        <v>100</v>
      </c>
      <c r="K664" s="44"/>
      <c r="L664" s="35"/>
      <c r="M664" s="35">
        <f t="shared" si="189"/>
        <v>100</v>
      </c>
      <c r="N664" s="35">
        <v>7.4</v>
      </c>
      <c r="O664" s="36">
        <f t="shared" si="190"/>
        <v>10.6</v>
      </c>
      <c r="P664" s="29">
        <f>LOOKUP(O664,{0,7.8,8,8.2,8.4,8.6,8.8,9,9.2,9.4,9.6,9.8,10,10.2,10.4,10.6,10.8,10.9,11,11.1,11.2},{0,10,20,30,40,50,60,62,64,66,68,70,72,74,76,78,80,85,90,95,100})</f>
        <v>78</v>
      </c>
      <c r="Q664" s="5">
        <v>5.07</v>
      </c>
      <c r="R664" s="36">
        <f t="shared" si="191"/>
        <v>4.93</v>
      </c>
      <c r="S664" s="29">
        <f>LOOKUP(R664,{0,3.85,4.45,4.65,4.85,5.45,5.65,5.7,5.75,5.8,5.85,5.9,5.95,6,6.45,6.5,6.55,6.63,6.7,6.75,6.8},{0,10,20,30,40,50,60,62,64,66,68,70,72,74,76,78,80,85,90,95,100})</f>
        <v>40</v>
      </c>
      <c r="T664" s="27"/>
      <c r="U664" s="27"/>
      <c r="V664" s="27">
        <f t="shared" si="192"/>
        <v>40</v>
      </c>
      <c r="W664" s="27"/>
      <c r="X664" s="19">
        <f t="shared" si="193"/>
        <v>46.6</v>
      </c>
      <c r="Y664" s="13">
        <f t="shared" si="194"/>
        <v>66.5714285714286</v>
      </c>
      <c r="Z664" s="19"/>
    </row>
    <row r="665" ht="15.6" spans="1:26">
      <c r="A665" s="27">
        <v>315</v>
      </c>
      <c r="B665" s="27">
        <v>8</v>
      </c>
      <c r="C665" s="28" t="s">
        <v>741</v>
      </c>
      <c r="D665" s="28" t="s">
        <v>12</v>
      </c>
      <c r="E665" s="27">
        <v>12</v>
      </c>
      <c r="F665" s="29">
        <f>LOOKUP(E665,{0,-1.8,-0.8,0.2,1.2,2.2,3.2,4.6,6,7.4,8.8,10.2,11.6,13,14.4,15.8,17.2,19.1,21,22.8,24.6},{0,10,20,30,40,50,60,62,64,66,68,70,72,74,76,78,80,85,90,95,100})</f>
        <v>72</v>
      </c>
      <c r="G665" s="27">
        <v>215</v>
      </c>
      <c r="H665" s="29">
        <f>LOOKUP(G665,{0,180,185,190,195,200,205,209,213,217,221,225,229,233,237,241,245,253,260,265,270},{0,10,20,30,40,50,60,62,64,66,68,70,72,74,76,78,80,85,90,95,100})</f>
        <v>64</v>
      </c>
      <c r="I665" s="27">
        <v>1</v>
      </c>
      <c r="J665" s="29">
        <f>LOOKUP(I665,{0,4,5,6,7,8,9,10,11,12,13,14,15,16,17,18},{0,10,20,30,40,50,60,64,68,72,76,80,85,90,95,100})</f>
        <v>0</v>
      </c>
      <c r="K665" s="44"/>
      <c r="L665" s="39"/>
      <c r="M665" s="35">
        <f t="shared" si="189"/>
        <v>0</v>
      </c>
      <c r="N665" s="35">
        <v>7.3</v>
      </c>
      <c r="O665" s="36">
        <f t="shared" si="190"/>
        <v>10.7</v>
      </c>
      <c r="P665" s="29">
        <f>LOOKUP(O665,{0,7.8,8,8.2,8.4,8.6,8.8,9,9.2,9.4,9.6,9.8,10,10.2,10.4,10.6,10.8,10.9,11,11.1,11.2},{0,10,20,30,40,50,60,62,64,66,68,70,72,74,76,78,80,85,90,95,100})</f>
        <v>78</v>
      </c>
      <c r="Q665" s="5">
        <v>5.07</v>
      </c>
      <c r="R665" s="36">
        <f t="shared" si="191"/>
        <v>4.93</v>
      </c>
      <c r="S665" s="29">
        <f>LOOKUP(R665,{0,3.85,4.45,4.65,4.85,5.45,5.65,5.7,5.75,5.8,5.85,5.9,5.95,6,6.45,6.5,6.55,6.63,6.7,6.75,6.8},{0,10,20,30,40,50,60,62,64,66,68,70,72,74,76,78,80,85,90,95,100})</f>
        <v>40</v>
      </c>
      <c r="T665" s="27"/>
      <c r="U665" s="27"/>
      <c r="V665" s="27">
        <f t="shared" si="192"/>
        <v>40</v>
      </c>
      <c r="W665" s="27"/>
      <c r="X665" s="19">
        <f t="shared" si="193"/>
        <v>37.2</v>
      </c>
      <c r="Y665" s="13">
        <f t="shared" si="194"/>
        <v>53.1428571428572</v>
      </c>
      <c r="Z665" s="19"/>
    </row>
    <row r="666" ht="15.6" spans="1:26">
      <c r="A666" s="27">
        <v>315</v>
      </c>
      <c r="B666" s="27">
        <v>9</v>
      </c>
      <c r="C666" s="28" t="s">
        <v>742</v>
      </c>
      <c r="D666" s="28" t="s">
        <v>12</v>
      </c>
      <c r="E666" s="27">
        <v>9.6</v>
      </c>
      <c r="F666" s="29">
        <f>LOOKUP(E666,{0,-1.8,-0.8,0.2,1.2,2.2,3.2,4.6,6,7.4,8.8,10.2,11.6,13,14.4,15.8,17.2,19.1,21,22.8,24.6},{0,10,20,30,40,50,60,62,64,66,68,70,72,74,76,78,80,85,90,95,100})</f>
        <v>68</v>
      </c>
      <c r="G666" s="27">
        <v>260</v>
      </c>
      <c r="H666" s="29">
        <f>LOOKUP(G666,{0,180,185,190,195,200,205,209,213,217,221,225,229,233,237,241,245,253,260,265,270},{0,10,20,30,40,50,60,62,64,66,68,70,72,74,76,78,80,85,90,95,100})</f>
        <v>90</v>
      </c>
      <c r="I666" s="27">
        <v>8</v>
      </c>
      <c r="J666" s="29">
        <f>LOOKUP(I666,{0,4,5,6,7,8,9,10,11,12,13,14,15,16,17,18},{0,10,20,30,40,50,60,64,68,72,76,80,85,90,95,100})</f>
        <v>50</v>
      </c>
      <c r="K666" s="44"/>
      <c r="L666" s="35"/>
      <c r="M666" s="35">
        <f t="shared" si="189"/>
        <v>50</v>
      </c>
      <c r="N666" s="35">
        <v>7</v>
      </c>
      <c r="O666" s="36">
        <f t="shared" si="190"/>
        <v>11</v>
      </c>
      <c r="P666" s="29">
        <f>LOOKUP(O666,{0,7.8,8,8.2,8.4,8.6,8.8,9,9.2,9.4,9.6,9.8,10,10.2,10.4,10.6,10.8,10.9,11,11.1,11.2},{0,10,20,30,40,50,60,62,64,66,68,70,72,74,76,78,80,85,90,95,100})</f>
        <v>90</v>
      </c>
      <c r="Q666" s="5">
        <v>5.07</v>
      </c>
      <c r="R666" s="36">
        <f t="shared" si="191"/>
        <v>4.93</v>
      </c>
      <c r="S666" s="29">
        <f>LOOKUP(R666,{0,3.85,4.45,4.65,4.85,5.45,5.65,5.7,5.75,5.8,5.85,5.9,5.95,6,6.45,6.5,6.55,6.63,6.7,6.75,6.8},{0,10,20,30,40,50,60,62,64,66,68,70,72,74,76,78,80,85,90,95,100})</f>
        <v>40</v>
      </c>
      <c r="T666" s="27"/>
      <c r="U666" s="27"/>
      <c r="V666" s="27">
        <f t="shared" si="192"/>
        <v>40</v>
      </c>
      <c r="W666" s="27"/>
      <c r="X666" s="19">
        <f t="shared" si="193"/>
        <v>46.8</v>
      </c>
      <c r="Y666" s="13">
        <f t="shared" si="194"/>
        <v>66.8571428571429</v>
      </c>
      <c r="Z666" s="19"/>
    </row>
    <row r="667" ht="15.6" spans="1:26">
      <c r="A667" s="27">
        <v>315</v>
      </c>
      <c r="B667" s="27">
        <v>10</v>
      </c>
      <c r="C667" s="30" t="s">
        <v>278</v>
      </c>
      <c r="D667" s="28" t="s">
        <v>46</v>
      </c>
      <c r="E667" s="27">
        <v>16</v>
      </c>
      <c r="F667" s="29">
        <f>LOOKUP(E667,{0,1.5,2.3,3.1,3.9,4.7,5.5,6.8,8.1,9.4,10.7,12,13.3,14.6,15.9,17.2,18.5,20.2,21.9,23.6,25.3},{0,10,20,30,40,50,60,62,64,66,68,70,72,74,76,78,80,85,90,95,100})</f>
        <v>76</v>
      </c>
      <c r="G667" s="27">
        <v>147</v>
      </c>
      <c r="H667" s="29">
        <f>LOOKUP(G667,{0,125,130,135,140,145,150,153,156,159,162,165,168,171,174,177,180,187,194,200,206},{0,10,20,30,40,50,60,62,64,66,68,70,72,74,76,78,80,85,90,95,100})</f>
        <v>50</v>
      </c>
      <c r="I667" s="27">
        <v>40</v>
      </c>
      <c r="J667" s="29">
        <f>LOOKUP(I667,{0,15,17,19,21,23,25,27,29,31,33,35,37,39,41,43,45,48,51,53,55},{0,10,20,30,40,50,60,62,64,66,68,70,72,74,76,78,80,85,90,95,100})</f>
        <v>74</v>
      </c>
      <c r="K667" s="35"/>
      <c r="L667" s="35"/>
      <c r="M667" s="35">
        <f t="shared" si="189"/>
        <v>74</v>
      </c>
      <c r="N667" s="35">
        <v>10.5</v>
      </c>
      <c r="O667" s="36">
        <f t="shared" si="190"/>
        <v>7.5</v>
      </c>
      <c r="P667" s="29">
        <f>LOOKUP(O667,{0,6.6,6.8,7,7.2,7.4,7.6,7.8,8,8.2,8.4,8.6,8.8,9,9.2,9.4,9.6,9.9,10.2,10.3,10.4},{0,10,20,30,40,50,60,62,64,66,68,70,72,74,76,78,80,85,90,95,100})</f>
        <v>50</v>
      </c>
      <c r="Q667" s="5">
        <v>4.49</v>
      </c>
      <c r="R667" s="36">
        <f t="shared" si="191"/>
        <v>5.51</v>
      </c>
      <c r="S667" s="29">
        <f>LOOKUP(R667,{0,4.74,4.84,4.94,5.44,5.54,5.64,5.69,5.74,5.79,5.84,5.89,5.94,5.99,6.44,6.49,6.54,6.61,6.68,6.74,6.8},{0,10,20,30,40,50,60,62,64,66,68,70,72,74,76,78,80,85,90,95,100})</f>
        <v>40</v>
      </c>
      <c r="T667" s="27"/>
      <c r="U667" s="27"/>
      <c r="V667" s="27">
        <f t="shared" si="192"/>
        <v>40</v>
      </c>
      <c r="W667" s="27"/>
      <c r="X667" s="19">
        <f t="shared" si="193"/>
        <v>38</v>
      </c>
      <c r="Y667" s="13">
        <f t="shared" si="194"/>
        <v>54.2857142857143</v>
      </c>
      <c r="Z667" s="19"/>
    </row>
    <row r="668" ht="15.6" spans="1:26">
      <c r="A668" s="27">
        <v>315</v>
      </c>
      <c r="B668" s="27">
        <v>11</v>
      </c>
      <c r="C668" s="28" t="s">
        <v>744</v>
      </c>
      <c r="D668" s="28" t="s">
        <v>46</v>
      </c>
      <c r="E668" s="27">
        <v>19</v>
      </c>
      <c r="F668" s="29">
        <f>LOOKUP(E668,{0,1.5,2.3,3.1,3.9,4.7,5.5,6.8,8.1,9.4,10.7,12,13.3,14.6,15.9,17.2,18.5,20.2,21.9,23.6,25.3},{0,10,20,30,40,50,60,62,64,66,68,70,72,74,76,78,80,85,90,95,100})</f>
        <v>80</v>
      </c>
      <c r="G668" s="27">
        <v>165</v>
      </c>
      <c r="H668" s="29">
        <f>LOOKUP(G668,{0,125,130,135,140,145,150,153,156,159,162,165,168,171,174,177,180,187,194,200,206},{0,10,20,30,40,50,60,62,64,66,68,70,72,74,76,78,80,85,90,95,100})</f>
        <v>70</v>
      </c>
      <c r="I668" s="27">
        <v>35</v>
      </c>
      <c r="J668" s="29">
        <f>LOOKUP(I668,{0,15,17,19,21,23,25,27,29,31,33,35,37,39,41,43,45,48,51,53,55},{0,10,20,30,40,50,60,62,64,66,68,70,72,74,76,78,80,85,90,95,100})</f>
        <v>70</v>
      </c>
      <c r="K668" s="35"/>
      <c r="L668" s="35"/>
      <c r="M668" s="35">
        <f t="shared" si="189"/>
        <v>70</v>
      </c>
      <c r="N668" s="35">
        <v>9.2</v>
      </c>
      <c r="O668" s="36">
        <f t="shared" si="190"/>
        <v>8.8</v>
      </c>
      <c r="P668" s="29">
        <f>LOOKUP(O668,{0,6.6,6.8,7,7.2,7.4,7.6,7.8,8,8.2,8.4,8.6,8.8,9,9.2,9.4,9.6,9.9,10.2,10.3,10.4},{0,10,20,30,40,50,60,62,64,66,68,70,72,74,76,78,80,85,90,95,100})</f>
        <v>72</v>
      </c>
      <c r="Q668" s="5">
        <v>4.15</v>
      </c>
      <c r="R668" s="36">
        <f t="shared" si="191"/>
        <v>5.85</v>
      </c>
      <c r="S668" s="29">
        <f>LOOKUP(R668,{0,4.74,4.84,4.94,5.44,5.54,5.64,5.69,5.74,5.79,5.84,5.89,5.94,5.99,6.44,6.49,6.54,6.61,6.68,6.74,6.8},{0,10,20,30,40,50,60,62,64,66,68,70,72,74,76,78,80,85,90,95,100})</f>
        <v>68</v>
      </c>
      <c r="T668" s="27"/>
      <c r="U668" s="27"/>
      <c r="V668" s="27">
        <f t="shared" si="192"/>
        <v>68</v>
      </c>
      <c r="W668" s="27"/>
      <c r="X668" s="19">
        <f t="shared" si="193"/>
        <v>50</v>
      </c>
      <c r="Y668" s="13">
        <f t="shared" si="194"/>
        <v>71.4285714285714</v>
      </c>
      <c r="Z668" s="20"/>
    </row>
    <row r="669" ht="15.6" spans="1:26">
      <c r="A669" s="27">
        <v>315</v>
      </c>
      <c r="B669" s="27">
        <v>12</v>
      </c>
      <c r="C669" s="28" t="s">
        <v>745</v>
      </c>
      <c r="D669" s="28" t="s">
        <v>46</v>
      </c>
      <c r="E669" s="27">
        <v>16.1</v>
      </c>
      <c r="F669" s="29">
        <f>LOOKUP(E669,{0,1.5,2.3,3.1,3.9,4.7,5.5,6.8,8.1,9.4,10.7,12,13.3,14.6,15.9,17.2,18.5,20.2,21.9,23.6,25.3},{0,10,20,30,40,50,60,62,64,66,68,70,72,74,76,78,80,85,90,95,100})</f>
        <v>76</v>
      </c>
      <c r="G669" s="27">
        <v>157</v>
      </c>
      <c r="H669" s="29">
        <f>LOOKUP(G669,{0,125,130,135,140,145,150,153,156,159,162,165,168,171,174,177,180,187,194,200,206},{0,10,20,30,40,50,60,62,64,66,68,70,72,74,76,78,80,85,90,95,100})</f>
        <v>64</v>
      </c>
      <c r="I669" s="27">
        <v>57</v>
      </c>
      <c r="J669" s="29">
        <f>LOOKUP(I669,{0,15,17,19,21,23,25,27,29,31,33,35,37,39,41,43,45,48,51,53,55},{0,10,20,30,40,50,60,62,64,66,68,70,72,74,76,78,80,85,90,95,100})</f>
        <v>100</v>
      </c>
      <c r="K669" s="34">
        <f>I669-55</f>
        <v>2</v>
      </c>
      <c r="L669" s="29">
        <f>LOOKUP(K669,{0,2,4,6,7,8,9,10,11,12,13},{0,1,2,3,4,5,6,7,8,9,10})</f>
        <v>1</v>
      </c>
      <c r="M669" s="35">
        <f t="shared" si="189"/>
        <v>101</v>
      </c>
      <c r="N669" s="35">
        <v>8.8</v>
      </c>
      <c r="O669" s="36">
        <f t="shared" si="190"/>
        <v>9.2</v>
      </c>
      <c r="P669" s="29">
        <f>LOOKUP(O669,{0,6.6,6.8,7,7.2,7.4,7.6,7.8,8,8.2,8.4,8.6,8.8,9,9.2,9.4,9.6,9.9,10.2,10.3,10.4},{0,10,20,30,40,50,60,62,64,66,68,70,72,74,76,78,80,85,90,95,100})</f>
        <v>76</v>
      </c>
      <c r="Q669" s="5">
        <v>4.02</v>
      </c>
      <c r="R669" s="36">
        <f t="shared" si="191"/>
        <v>5.98</v>
      </c>
      <c r="S669" s="29">
        <f>LOOKUP(R669,{0,4.74,4.84,4.94,5.44,5.54,5.64,5.69,5.74,5.79,5.84,5.89,5.94,5.99,6.44,6.49,6.54,6.61,6.68,6.74,6.8},{0,10,20,30,40,50,60,62,64,66,68,70,72,74,76,78,80,85,90,95,100})</f>
        <v>72</v>
      </c>
      <c r="T669" s="27"/>
      <c r="U669" s="27"/>
      <c r="V669" s="27">
        <f t="shared" si="192"/>
        <v>72</v>
      </c>
      <c r="W669" s="27"/>
      <c r="X669" s="19">
        <f t="shared" si="193"/>
        <v>53.6</v>
      </c>
      <c r="Y669" s="13">
        <f t="shared" si="194"/>
        <v>77.5714285714286</v>
      </c>
      <c r="Z669" s="19"/>
    </row>
    <row r="670" ht="15.6" spans="1:26">
      <c r="A670" s="27">
        <v>315</v>
      </c>
      <c r="B670" s="27">
        <v>13</v>
      </c>
      <c r="C670" s="28" t="s">
        <v>746</v>
      </c>
      <c r="D670" s="28" t="s">
        <v>46</v>
      </c>
      <c r="E670" s="27">
        <v>27</v>
      </c>
      <c r="F670" s="29">
        <f>LOOKUP(E670,{0,1.5,2.3,3.1,3.9,4.7,5.5,6.8,8.1,9.4,10.7,12,13.3,14.6,15.9,17.2,18.5,20.2,21.9,23.6,25.3},{0,10,20,30,40,50,60,62,64,66,68,70,72,74,76,78,80,85,90,95,100})</f>
        <v>100</v>
      </c>
      <c r="G670" s="27">
        <v>178</v>
      </c>
      <c r="H670" s="29">
        <f>LOOKUP(G670,{0,125,130,135,140,145,150,153,156,159,162,165,168,171,174,177,180,187,194,200,206},{0,10,20,30,40,50,60,62,64,66,68,70,72,74,76,78,80,85,90,95,100})</f>
        <v>78</v>
      </c>
      <c r="I670" s="27">
        <v>50</v>
      </c>
      <c r="J670" s="29">
        <f>LOOKUP(I670,{0,15,17,19,21,23,25,27,29,31,33,35,37,39,41,43,45,48,51,53,55},{0,10,20,30,40,50,60,62,64,66,68,70,72,74,76,78,80,85,90,95,100})</f>
        <v>85</v>
      </c>
      <c r="K670" s="35"/>
      <c r="L670" s="35"/>
      <c r="M670" s="35">
        <f t="shared" si="189"/>
        <v>85</v>
      </c>
      <c r="N670" s="35">
        <v>8.5</v>
      </c>
      <c r="O670" s="36">
        <f t="shared" si="190"/>
        <v>9.5</v>
      </c>
      <c r="P670" s="29">
        <f>LOOKUP(O670,{0,6.6,6.8,7,7.2,7.4,7.6,7.8,8,8.2,8.4,8.6,8.8,9,9.2,9.4,9.6,9.9,10.2,10.3,10.4},{0,10,20,30,40,50,60,62,64,66,68,70,72,74,76,78,80,85,90,95,100})</f>
        <v>78</v>
      </c>
      <c r="Q670" s="5">
        <v>3.49</v>
      </c>
      <c r="R670" s="36">
        <f t="shared" si="191"/>
        <v>6.51</v>
      </c>
      <c r="S670" s="29">
        <f>LOOKUP(R670,{0,4.74,4.84,4.94,5.44,5.54,5.64,5.69,5.74,5.79,5.84,5.89,5.94,5.99,6.44,6.49,6.54,6.61,6.68,6.74,6.8},{0,10,20,30,40,50,60,62,64,66,68,70,72,74,76,78,80,85,90,95,100})</f>
        <v>78</v>
      </c>
      <c r="T670" s="27"/>
      <c r="U670" s="27"/>
      <c r="V670" s="27">
        <f t="shared" si="192"/>
        <v>78</v>
      </c>
      <c r="W670" s="27"/>
      <c r="X670" s="19">
        <f t="shared" si="193"/>
        <v>57.5</v>
      </c>
      <c r="Y670" s="13">
        <f t="shared" si="194"/>
        <v>82.1428571428572</v>
      </c>
      <c r="Z670" s="19"/>
    </row>
    <row r="671" ht="15.6" spans="1:26">
      <c r="A671" s="27">
        <v>315</v>
      </c>
      <c r="B671" s="27">
        <v>14</v>
      </c>
      <c r="C671" s="28" t="s">
        <v>747</v>
      </c>
      <c r="D671" s="28" t="s">
        <v>46</v>
      </c>
      <c r="E671" s="27">
        <v>16.5</v>
      </c>
      <c r="F671" s="29">
        <f>LOOKUP(E671,{0,1.5,2.3,3.1,3.9,4.7,5.5,6.8,8.1,9.4,10.7,12,13.3,14.6,15.9,17.2,18.5,20.2,21.9,23.6,25.3},{0,10,20,30,40,50,60,62,64,66,68,70,72,74,76,78,80,85,90,95,100})</f>
        <v>76</v>
      </c>
      <c r="G671" s="27">
        <v>160</v>
      </c>
      <c r="H671" s="29">
        <f>LOOKUP(G671,{0,125,130,135,140,145,150,153,156,159,162,165,168,171,174,177,180,187,194,200,206},{0,10,20,30,40,50,60,62,64,66,68,70,72,74,76,78,80,85,90,95,100})</f>
        <v>66</v>
      </c>
      <c r="I671" s="27">
        <v>43</v>
      </c>
      <c r="J671" s="29">
        <f>LOOKUP(I671,{0,15,17,19,21,23,25,27,29,31,33,35,37,39,41,43,45,48,51,53,55},{0,10,20,30,40,50,60,62,64,66,68,70,72,74,76,78,80,85,90,95,100})</f>
        <v>78</v>
      </c>
      <c r="K671" s="35"/>
      <c r="L671" s="35"/>
      <c r="M671" s="35">
        <f t="shared" si="189"/>
        <v>78</v>
      </c>
      <c r="N671" s="35">
        <v>10.6</v>
      </c>
      <c r="O671" s="36">
        <f t="shared" si="190"/>
        <v>7.4</v>
      </c>
      <c r="P671" s="29">
        <f>LOOKUP(O671,{0,6.6,6.8,7,7.2,7.4,7.6,7.8,8,8.2,8.4,8.6,8.8,9,9.2,9.4,9.6,9.9,10.2,10.3,10.4},{0,10,20,30,40,50,60,62,64,66,68,70,72,74,76,78,80,85,90,95,100})</f>
        <v>50</v>
      </c>
      <c r="Q671" s="5">
        <v>4.5</v>
      </c>
      <c r="R671" s="36">
        <f t="shared" si="191"/>
        <v>5.5</v>
      </c>
      <c r="S671" s="29">
        <f>LOOKUP(R671,{0,4.74,4.84,4.94,5.44,5.54,5.64,5.69,5.74,5.79,5.84,5.89,5.94,5.99,6.44,6.49,6.54,6.61,6.68,6.74,6.8},{0,10,20,30,40,50,60,62,64,66,68,70,72,74,76,78,80,85,90,95,100})</f>
        <v>40</v>
      </c>
      <c r="T671" s="27"/>
      <c r="U671" s="27"/>
      <c r="V671" s="27">
        <f t="shared" si="192"/>
        <v>40</v>
      </c>
      <c r="W671" s="27"/>
      <c r="X671" s="19">
        <f t="shared" si="193"/>
        <v>40</v>
      </c>
      <c r="Y671" s="13">
        <f t="shared" si="194"/>
        <v>57.1428571428571</v>
      </c>
      <c r="Z671" s="19"/>
    </row>
    <row r="672" ht="15.6" spans="1:26">
      <c r="A672" s="27">
        <v>315</v>
      </c>
      <c r="B672" s="27">
        <v>15</v>
      </c>
      <c r="C672" s="28" t="s">
        <v>748</v>
      </c>
      <c r="D672" s="28" t="s">
        <v>46</v>
      </c>
      <c r="E672" s="27">
        <v>24.5</v>
      </c>
      <c r="F672" s="29">
        <f>LOOKUP(E672,{0,1.5,2.3,3.1,3.9,4.7,5.5,6.8,8.1,9.4,10.7,12,13.3,14.6,15.9,17.2,18.5,20.2,21.9,23.6,25.3},{0,10,20,30,40,50,60,62,64,66,68,70,72,74,76,78,80,85,90,95,100})</f>
        <v>95</v>
      </c>
      <c r="G672" s="27">
        <v>198</v>
      </c>
      <c r="H672" s="29">
        <f>LOOKUP(G672,{0,125,130,135,140,145,150,153,156,159,162,165,168,171,174,177,180,187,194,200,206},{0,10,20,30,40,50,60,62,64,66,68,70,72,74,76,78,80,85,90,95,100})</f>
        <v>90</v>
      </c>
      <c r="I672" s="27">
        <v>42</v>
      </c>
      <c r="J672" s="29">
        <f>LOOKUP(I672,{0,15,17,19,21,23,25,27,29,31,33,35,37,39,41,43,45,48,51,53,55},{0,10,20,30,40,50,60,62,64,66,68,70,72,74,76,78,80,85,90,95,100})</f>
        <v>76</v>
      </c>
      <c r="K672" s="35"/>
      <c r="L672" s="35"/>
      <c r="M672" s="35">
        <f t="shared" si="189"/>
        <v>76</v>
      </c>
      <c r="N672" s="35">
        <v>8.4</v>
      </c>
      <c r="O672" s="36">
        <f t="shared" si="190"/>
        <v>9.6</v>
      </c>
      <c r="P672" s="29">
        <f>LOOKUP(O672,{0,6.6,6.8,7,7.2,7.4,7.6,7.8,8,8.2,8.4,8.6,8.8,9,9.2,9.4,9.6,9.9,10.2,10.3,10.4},{0,10,20,30,40,50,60,62,64,66,68,70,72,74,76,78,80,85,90,95,100})</f>
        <v>80</v>
      </c>
      <c r="Q672" s="5">
        <v>4.34</v>
      </c>
      <c r="R672" s="36">
        <f t="shared" si="191"/>
        <v>5.66</v>
      </c>
      <c r="S672" s="29">
        <f>LOOKUP(R672,{0,4.74,4.84,4.94,5.44,5.54,5.64,5.69,5.74,5.79,5.84,5.89,5.94,5.99,6.44,6.49,6.54,6.61,6.68,6.74,6.8},{0,10,20,30,40,50,60,62,64,66,68,70,72,74,76,78,80,85,90,95,100})</f>
        <v>60</v>
      </c>
      <c r="T672" s="27"/>
      <c r="U672" s="27"/>
      <c r="V672" s="27">
        <f t="shared" si="192"/>
        <v>60</v>
      </c>
      <c r="W672" s="27"/>
      <c r="X672" s="19">
        <f t="shared" si="193"/>
        <v>54.1</v>
      </c>
      <c r="Y672" s="13">
        <f t="shared" si="194"/>
        <v>77.2857142857143</v>
      </c>
      <c r="Z672" s="19"/>
    </row>
    <row r="673" ht="15.6" spans="1:26">
      <c r="A673" s="27">
        <v>315</v>
      </c>
      <c r="B673" s="27">
        <v>16</v>
      </c>
      <c r="C673" s="28" t="s">
        <v>749</v>
      </c>
      <c r="D673" s="28" t="s">
        <v>46</v>
      </c>
      <c r="E673" s="27">
        <v>20</v>
      </c>
      <c r="F673" s="29">
        <f>LOOKUP(E673,{0,1.5,2.3,3.1,3.9,4.7,5.5,6.8,8.1,9.4,10.7,12,13.3,14.6,15.9,17.2,18.5,20.2,21.9,23.6,25.3},{0,10,20,30,40,50,60,62,64,66,68,70,72,74,76,78,80,85,90,95,100})</f>
        <v>80</v>
      </c>
      <c r="G673" s="27">
        <v>168</v>
      </c>
      <c r="H673" s="29">
        <f>LOOKUP(G673,{0,125,130,135,140,145,150,153,156,159,162,165,168,171,174,177,180,187,194,200,206},{0,10,20,30,40,50,60,62,64,66,68,70,72,74,76,78,80,85,90,95,100})</f>
        <v>72</v>
      </c>
      <c r="I673" s="27">
        <v>25</v>
      </c>
      <c r="J673" s="29">
        <f>LOOKUP(I673,{0,15,17,19,21,23,25,27,29,31,33,35,37,39,41,43,45,48,51,53,55},{0,10,20,30,40,50,60,62,64,66,68,70,72,74,76,78,80,85,90,95,100})</f>
        <v>60</v>
      </c>
      <c r="K673" s="35"/>
      <c r="L673" s="35"/>
      <c r="M673" s="35">
        <f t="shared" si="189"/>
        <v>60</v>
      </c>
      <c r="N673" s="35">
        <v>9.1</v>
      </c>
      <c r="O673" s="36">
        <f t="shared" si="190"/>
        <v>8.9</v>
      </c>
      <c r="P673" s="29">
        <f>LOOKUP(O673,{0,6.6,6.8,7,7.2,7.4,7.6,7.8,8,8.2,8.4,8.6,8.8,9,9.2,9.4,9.6,9.9,10.2,10.3,10.4},{0,10,20,30,40,50,60,62,64,66,68,70,72,74,76,78,80,85,90,95,100})</f>
        <v>72</v>
      </c>
      <c r="Q673" s="5">
        <v>5.1</v>
      </c>
      <c r="R673" s="36">
        <f t="shared" si="191"/>
        <v>4.9</v>
      </c>
      <c r="S673" s="29">
        <f>LOOKUP(R673,{0,4.74,4.84,4.94,5.44,5.54,5.64,5.69,5.74,5.79,5.84,5.89,5.94,5.99,6.44,6.49,6.54,6.61,6.68,6.74,6.8},{0,10,20,30,40,50,60,62,64,66,68,70,72,74,76,78,80,85,90,95,100})</f>
        <v>20</v>
      </c>
      <c r="T673" s="27"/>
      <c r="U673" s="27"/>
      <c r="V673" s="27">
        <f t="shared" si="192"/>
        <v>20</v>
      </c>
      <c r="W673" s="27"/>
      <c r="X673" s="19">
        <f t="shared" si="193"/>
        <v>39.6</v>
      </c>
      <c r="Y673" s="13">
        <f t="shared" si="194"/>
        <v>56.5714285714286</v>
      </c>
      <c r="Z673" s="19"/>
    </row>
    <row r="674" ht="15.6" spans="1:26">
      <c r="A674" s="27">
        <v>315</v>
      </c>
      <c r="B674" s="27">
        <v>17</v>
      </c>
      <c r="C674" s="28" t="s">
        <v>750</v>
      </c>
      <c r="D674" s="28" t="s">
        <v>46</v>
      </c>
      <c r="E674" s="27">
        <v>9</v>
      </c>
      <c r="F674" s="29">
        <f>LOOKUP(E674,{0,1.5,2.3,3.1,3.9,4.7,5.5,6.8,8.1,9.4,10.7,12,13.3,14.6,15.9,17.2,18.5,20.2,21.9,23.6,25.3},{0,10,20,30,40,50,60,62,64,66,68,70,72,74,76,78,80,85,90,95,100})</f>
        <v>64</v>
      </c>
      <c r="G674" s="27">
        <v>150</v>
      </c>
      <c r="H674" s="29">
        <f>LOOKUP(G674,{0,125,130,135,140,145,150,153,156,159,162,165,168,171,174,177,180,187,194,200,206},{0,10,20,30,40,50,60,62,64,66,68,70,72,74,76,78,80,85,90,95,100})</f>
        <v>60</v>
      </c>
      <c r="I674" s="27">
        <v>41</v>
      </c>
      <c r="J674" s="29">
        <f>LOOKUP(I674,{0,15,17,19,21,23,25,27,29,31,33,35,37,39,41,43,45,48,51,53,55},{0,10,20,30,40,50,60,62,64,66,68,70,72,74,76,78,80,85,90,95,100})</f>
        <v>76</v>
      </c>
      <c r="K674" s="35"/>
      <c r="L674" s="35"/>
      <c r="M674" s="35">
        <f t="shared" si="189"/>
        <v>76</v>
      </c>
      <c r="N674" s="35">
        <v>10.2</v>
      </c>
      <c r="O674" s="36">
        <f t="shared" si="190"/>
        <v>7.8</v>
      </c>
      <c r="P674" s="29">
        <f>LOOKUP(O674,{0,6.6,6.8,7,7.2,7.4,7.6,7.8,8,8.2,8.4,8.6,8.8,9,9.2,9.4,9.6,9.9,10.2,10.3,10.4},{0,10,20,30,40,50,60,62,64,66,68,70,72,74,76,78,80,85,90,95,100})</f>
        <v>62</v>
      </c>
      <c r="Q674" s="5">
        <v>4.52</v>
      </c>
      <c r="R674" s="36">
        <f t="shared" si="191"/>
        <v>5.48</v>
      </c>
      <c r="S674" s="29">
        <f>LOOKUP(R674,{0,4.74,4.84,4.94,5.44,5.54,5.64,5.69,5.74,5.79,5.84,5.89,5.94,5.99,6.44,6.49,6.54,6.61,6.68,6.74,6.8},{0,10,20,30,40,50,60,62,64,66,68,70,72,74,76,78,80,85,90,95,100})</f>
        <v>40</v>
      </c>
      <c r="T674" s="27"/>
      <c r="U674" s="27"/>
      <c r="V674" s="27">
        <f t="shared" si="192"/>
        <v>40</v>
      </c>
      <c r="W674" s="27"/>
      <c r="X674" s="19">
        <f t="shared" si="193"/>
        <v>40.4</v>
      </c>
      <c r="Y674" s="13">
        <f t="shared" si="194"/>
        <v>57.7142857142857</v>
      </c>
      <c r="Z674" s="19"/>
    </row>
    <row r="675" ht="15.6" spans="1:26">
      <c r="A675" s="27">
        <v>315</v>
      </c>
      <c r="B675" s="27">
        <v>18</v>
      </c>
      <c r="C675" s="28" t="s">
        <v>751</v>
      </c>
      <c r="D675" s="28" t="s">
        <v>46</v>
      </c>
      <c r="E675" s="27">
        <v>15.5</v>
      </c>
      <c r="F675" s="29">
        <f>LOOKUP(E675,{0,1.5,2.3,3.1,3.9,4.7,5.5,6.8,8.1,9.4,10.7,12,13.3,14.6,15.9,17.2,18.5,20.2,21.9,23.6,25.3},{0,10,20,30,40,50,60,62,64,66,68,70,72,74,76,78,80,85,90,95,100})</f>
        <v>74</v>
      </c>
      <c r="G675" s="27">
        <v>152</v>
      </c>
      <c r="H675" s="29">
        <f>LOOKUP(G675,{0,125,130,135,140,145,150,153,156,159,162,165,168,171,174,177,180,187,194,200,206},{0,10,20,30,40,50,60,62,64,66,68,70,72,74,76,78,80,85,90,95,100})</f>
        <v>60</v>
      </c>
      <c r="I675" s="27">
        <v>65</v>
      </c>
      <c r="J675" s="29">
        <f>LOOKUP(I675,{0,15,17,19,21,23,25,27,29,31,33,35,37,39,41,43,45,48,51,53,55},{0,10,20,30,40,50,60,62,64,66,68,70,72,74,76,78,80,85,90,95,100})</f>
        <v>100</v>
      </c>
      <c r="K675" s="34">
        <f>I675-55</f>
        <v>10</v>
      </c>
      <c r="L675" s="29">
        <f>LOOKUP(K675,{0,2,4,6,7,8,9,10,11,12,13},{0,1,2,3,4,5,6,7,8,9,10})</f>
        <v>7</v>
      </c>
      <c r="M675" s="35">
        <f t="shared" si="189"/>
        <v>107</v>
      </c>
      <c r="N675" s="35">
        <v>9.4</v>
      </c>
      <c r="O675" s="36">
        <f t="shared" si="190"/>
        <v>8.6</v>
      </c>
      <c r="P675" s="29">
        <f>LOOKUP(O675,{0,6.6,6.8,7,7.2,7.4,7.6,7.8,8,8.2,8.4,8.6,8.8,9,9.2,9.4,9.6,9.9,10.2,10.3,10.4},{0,10,20,30,40,50,60,62,64,66,68,70,72,74,76,78,80,85,90,95,100})</f>
        <v>70</v>
      </c>
      <c r="Q675" s="5">
        <v>4.34</v>
      </c>
      <c r="R675" s="36">
        <f t="shared" si="191"/>
        <v>5.66</v>
      </c>
      <c r="S675" s="29">
        <f>LOOKUP(R675,{0,4.74,4.84,4.94,5.44,5.54,5.64,5.69,5.74,5.79,5.84,5.89,5.94,5.99,6.44,6.49,6.54,6.61,6.68,6.74,6.8},{0,10,20,30,40,50,60,62,64,66,68,70,72,74,76,78,80,85,90,95,100})</f>
        <v>60</v>
      </c>
      <c r="T675" s="27"/>
      <c r="U675" s="27"/>
      <c r="V675" s="27">
        <f t="shared" si="192"/>
        <v>60</v>
      </c>
      <c r="W675" s="27"/>
      <c r="X675" s="19">
        <f t="shared" si="193"/>
        <v>49.4</v>
      </c>
      <c r="Y675" s="13">
        <f t="shared" si="194"/>
        <v>77.5714285714286</v>
      </c>
      <c r="Z675" s="19"/>
    </row>
    <row r="676" ht="15.6" spans="1:26">
      <c r="A676" s="27">
        <v>315</v>
      </c>
      <c r="B676" s="27">
        <v>19</v>
      </c>
      <c r="C676" s="28" t="s">
        <v>752</v>
      </c>
      <c r="D676" s="28" t="s">
        <v>46</v>
      </c>
      <c r="E676" s="27">
        <v>20.5</v>
      </c>
      <c r="F676" s="29">
        <f>LOOKUP(E676,{0,1.5,2.3,3.1,3.9,4.7,5.5,6.8,8.1,9.4,10.7,12,13.3,14.6,15.9,17.2,18.5,20.2,21.9,23.6,25.3},{0,10,20,30,40,50,60,62,64,66,68,70,72,74,76,78,80,85,90,95,100})</f>
        <v>85</v>
      </c>
      <c r="G676" s="27">
        <v>168</v>
      </c>
      <c r="H676" s="29">
        <f>LOOKUP(G676,{0,125,130,135,140,145,150,153,156,159,162,165,168,171,174,177,180,187,194,200,206},{0,10,20,30,40,50,60,62,64,66,68,70,72,74,76,78,80,85,90,95,100})</f>
        <v>72</v>
      </c>
      <c r="I676" s="27">
        <v>51</v>
      </c>
      <c r="J676" s="29">
        <f>LOOKUP(I676,{0,15,17,19,21,23,25,27,29,31,33,35,37,39,41,43,45,48,51,53,55},{0,10,20,30,40,50,60,62,64,66,68,70,72,74,76,78,80,85,90,95,100})</f>
        <v>90</v>
      </c>
      <c r="K676" s="35"/>
      <c r="L676" s="39"/>
      <c r="M676" s="35">
        <f t="shared" si="189"/>
        <v>90</v>
      </c>
      <c r="N676" s="35">
        <v>9</v>
      </c>
      <c r="O676" s="36">
        <f t="shared" si="190"/>
        <v>9</v>
      </c>
      <c r="P676" s="29">
        <f>LOOKUP(O676,{0,6.6,6.8,7,7.2,7.4,7.6,7.8,8,8.2,8.4,8.6,8.8,9,9.2,9.4,9.6,9.9,10.2,10.3,10.4},{0,10,20,30,40,50,60,62,64,66,68,70,72,74,76,78,80,85,90,95,100})</f>
        <v>74</v>
      </c>
      <c r="Q676" s="5">
        <v>3.34</v>
      </c>
      <c r="R676" s="36">
        <f t="shared" si="191"/>
        <v>6.66</v>
      </c>
      <c r="S676" s="29">
        <f>LOOKUP(R676,{0,4.74,4.84,4.94,5.44,5.54,5.64,5.69,5.74,5.79,5.84,5.89,5.94,5.99,6.44,6.49,6.54,6.61,6.68,6.74,6.8},{0,10,20,30,40,50,60,62,64,66,68,70,72,74,76,78,80,85,90,95,100})</f>
        <v>85</v>
      </c>
      <c r="T676" s="27"/>
      <c r="U676" s="27"/>
      <c r="V676" s="27">
        <f t="shared" si="192"/>
        <v>85</v>
      </c>
      <c r="W676" s="27"/>
      <c r="X676" s="19">
        <f t="shared" si="193"/>
        <v>56.5</v>
      </c>
      <c r="Y676" s="13">
        <f t="shared" si="194"/>
        <v>80.7142857142857</v>
      </c>
      <c r="Z676" s="19"/>
    </row>
    <row r="677" ht="15.6" spans="1:26">
      <c r="A677" s="27">
        <v>315</v>
      </c>
      <c r="B677" s="27">
        <v>20</v>
      </c>
      <c r="C677" s="30" t="s">
        <v>754</v>
      </c>
      <c r="D677" s="28" t="s">
        <v>46</v>
      </c>
      <c r="E677" s="27">
        <v>18.5</v>
      </c>
      <c r="F677" s="29">
        <f>LOOKUP(E677,{0,1.5,2.3,3.1,3.9,4.7,5.5,6.8,8.1,9.4,10.7,12,13.3,14.6,15.9,17.2,18.5,20.2,21.9,23.6,25.3},{0,10,20,30,40,50,60,62,64,66,68,70,72,74,76,78,80,85,90,95,100})</f>
        <v>80</v>
      </c>
      <c r="G677" s="27">
        <v>170</v>
      </c>
      <c r="H677" s="29">
        <f>LOOKUP(G677,{0,125,130,135,140,145,150,153,156,159,162,165,168,171,174,177,180,187,194,200,206},{0,10,20,30,40,50,60,62,64,66,68,70,72,74,76,78,80,85,90,95,100})</f>
        <v>72</v>
      </c>
      <c r="I677" s="27">
        <v>43</v>
      </c>
      <c r="J677" s="29">
        <f>LOOKUP(I677,{0,15,17,19,21,23,25,27,29,31,33,35,37,39,41,43,45,48,51,53,55},{0,10,20,30,40,50,60,62,64,66,68,70,72,74,76,78,80,85,90,95,100})</f>
        <v>78</v>
      </c>
      <c r="K677" s="35"/>
      <c r="L677" s="35"/>
      <c r="M677" s="35">
        <f t="shared" si="189"/>
        <v>78</v>
      </c>
      <c r="N677" s="35">
        <v>9.3</v>
      </c>
      <c r="O677" s="36">
        <f t="shared" si="190"/>
        <v>8.7</v>
      </c>
      <c r="P677" s="29">
        <f>LOOKUP(O677,{0,6.6,6.8,7,7.2,7.4,7.6,7.8,8,8.2,8.4,8.6,8.8,9,9.2,9.4,9.6,9.9,10.2,10.3,10.4},{0,10,20,30,40,50,60,62,64,66,68,70,72,74,76,78,80,85,90,95,100})</f>
        <v>70</v>
      </c>
      <c r="Q677" s="5">
        <v>4.3</v>
      </c>
      <c r="R677" s="36">
        <f t="shared" si="191"/>
        <v>5.7</v>
      </c>
      <c r="S677" s="29">
        <f>LOOKUP(R677,{0,4.74,4.84,4.94,5.44,5.54,5.64,5.69,5.74,5.79,5.84,5.89,5.94,5.99,6.44,6.49,6.54,6.61,6.68,6.74,6.8},{0,10,20,30,40,50,60,62,64,66,68,70,72,74,76,78,80,85,90,95,100})</f>
        <v>62</v>
      </c>
      <c r="T677" s="27"/>
      <c r="U677" s="27"/>
      <c r="V677" s="27">
        <f t="shared" si="192"/>
        <v>62</v>
      </c>
      <c r="W677" s="27"/>
      <c r="X677" s="19">
        <f t="shared" si="193"/>
        <v>49.4</v>
      </c>
      <c r="Y677" s="13">
        <f t="shared" si="194"/>
        <v>70.5714285714286</v>
      </c>
      <c r="Z677" s="19"/>
    </row>
    <row r="678" ht="15.6" spans="1:26">
      <c r="A678" s="27">
        <v>315</v>
      </c>
      <c r="B678" s="27">
        <v>21</v>
      </c>
      <c r="C678" s="28" t="s">
        <v>755</v>
      </c>
      <c r="D678" s="28" t="s">
        <v>46</v>
      </c>
      <c r="E678" s="27">
        <v>16</v>
      </c>
      <c r="F678" s="29">
        <f>LOOKUP(E678,{0,1.5,2.3,3.1,3.9,4.7,5.5,6.8,8.1,9.4,10.7,12,13.3,14.6,15.9,17.2,18.5,20.2,21.9,23.6,25.3},{0,10,20,30,40,50,60,62,64,66,68,70,72,74,76,78,80,85,90,95,100})</f>
        <v>76</v>
      </c>
      <c r="G678" s="27">
        <v>192</v>
      </c>
      <c r="H678" s="29">
        <f>LOOKUP(G678,{0,125,130,135,140,145,150,153,156,159,162,165,168,171,174,177,180,187,194,200,206},{0,10,20,30,40,50,60,62,64,66,68,70,72,74,76,78,80,85,90,95,100})</f>
        <v>85</v>
      </c>
      <c r="I678" s="27">
        <v>39</v>
      </c>
      <c r="J678" s="29">
        <f>LOOKUP(I678,{0,15,17,19,21,23,25,27,29,31,33,35,37,39,41,43,45,48,51,53,55},{0,10,20,30,40,50,60,62,64,66,68,70,72,74,76,78,80,85,90,95,100})</f>
        <v>74</v>
      </c>
      <c r="K678" s="35"/>
      <c r="L678" s="35"/>
      <c r="M678" s="35">
        <f t="shared" si="189"/>
        <v>74</v>
      </c>
      <c r="N678" s="35">
        <v>8.1</v>
      </c>
      <c r="O678" s="36">
        <f t="shared" si="190"/>
        <v>9.9</v>
      </c>
      <c r="P678" s="29">
        <f>LOOKUP(O678,{0,6.6,6.8,7,7.2,7.4,7.6,7.8,8,8.2,8.4,8.6,8.8,9,9.2,9.4,9.6,9.9,10.2,10.3,10.4},{0,10,20,30,40,50,60,62,64,66,68,70,72,74,76,78,80,85,90,95,100})</f>
        <v>85</v>
      </c>
      <c r="Q678" s="5">
        <v>3.46</v>
      </c>
      <c r="R678" s="36">
        <f t="shared" si="191"/>
        <v>6.54</v>
      </c>
      <c r="S678" s="29">
        <f>LOOKUP(R678,{0,4.74,4.84,4.94,5.44,5.54,5.64,5.69,5.74,5.79,5.84,5.89,5.94,5.99,6.44,6.49,6.54,6.61,6.68,6.74,6.8},{0,10,20,30,40,50,60,62,64,66,68,70,72,74,76,78,80,85,90,95,100})</f>
        <v>80</v>
      </c>
      <c r="T678" s="27"/>
      <c r="U678" s="27"/>
      <c r="V678" s="27">
        <f t="shared" si="192"/>
        <v>80</v>
      </c>
      <c r="W678" s="27"/>
      <c r="X678" s="19">
        <f t="shared" si="193"/>
        <v>56.5</v>
      </c>
      <c r="Y678" s="13">
        <f t="shared" si="194"/>
        <v>80.7142857142857</v>
      </c>
      <c r="Z678" s="19"/>
    </row>
    <row r="679" ht="15.6" spans="1:26">
      <c r="A679" s="27">
        <v>315</v>
      </c>
      <c r="B679" s="27">
        <v>22</v>
      </c>
      <c r="C679" s="28" t="s">
        <v>756</v>
      </c>
      <c r="D679" s="28" t="s">
        <v>46</v>
      </c>
      <c r="E679" s="27">
        <v>16.6</v>
      </c>
      <c r="F679" s="29">
        <f>LOOKUP(E679,{0,1.5,2.3,3.1,3.9,4.7,5.5,6.8,8.1,9.4,10.7,12,13.3,14.6,15.9,17.2,18.5,20.2,21.9,23.6,25.3},{0,10,20,30,40,50,60,62,64,66,68,70,72,74,76,78,80,85,90,95,100})</f>
        <v>76</v>
      </c>
      <c r="G679" s="27">
        <v>165</v>
      </c>
      <c r="H679" s="29">
        <f>LOOKUP(G679,{0,125,130,135,140,145,150,153,156,159,162,165,168,171,174,177,180,187,194,200,206},{0,10,20,30,40,50,60,62,64,66,68,70,72,74,76,78,80,85,90,95,100})</f>
        <v>70</v>
      </c>
      <c r="I679" s="27">
        <v>45</v>
      </c>
      <c r="J679" s="29">
        <f>LOOKUP(I679,{0,15,17,19,21,23,25,27,29,31,33,35,37,39,41,43,45,48,51,53,55},{0,10,20,30,40,50,60,62,64,66,68,70,72,74,76,78,80,85,90,95,100})</f>
        <v>80</v>
      </c>
      <c r="K679" s="35"/>
      <c r="L679" s="35"/>
      <c r="M679" s="35">
        <f t="shared" si="189"/>
        <v>80</v>
      </c>
      <c r="N679" s="35">
        <v>8.9</v>
      </c>
      <c r="O679" s="36">
        <f t="shared" si="190"/>
        <v>9.1</v>
      </c>
      <c r="P679" s="29">
        <f>LOOKUP(O679,{0,6.6,6.8,7,7.2,7.4,7.6,7.8,8,8.2,8.4,8.6,8.8,9,9.2,9.4,9.6,9.9,10.2,10.3,10.4},{0,10,20,30,40,50,60,62,64,66,68,70,72,74,76,78,80,85,90,95,100})</f>
        <v>74</v>
      </c>
      <c r="Q679" s="5">
        <v>4.13</v>
      </c>
      <c r="R679" s="36">
        <f t="shared" si="191"/>
        <v>5.87</v>
      </c>
      <c r="S679" s="29">
        <f>LOOKUP(R679,{0,4.74,4.84,4.94,5.44,5.54,5.64,5.69,5.74,5.79,5.84,5.89,5.94,5.99,6.44,6.49,6.54,6.61,6.68,6.74,6.8},{0,10,20,30,40,50,60,62,64,66,68,70,72,74,76,78,80,85,90,95,100})</f>
        <v>68</v>
      </c>
      <c r="T679" s="27"/>
      <c r="U679" s="27"/>
      <c r="V679" s="27">
        <f t="shared" si="192"/>
        <v>68</v>
      </c>
      <c r="W679" s="27"/>
      <c r="X679" s="19">
        <f t="shared" si="193"/>
        <v>51</v>
      </c>
      <c r="Y679" s="13">
        <f t="shared" si="194"/>
        <v>72.8571428571429</v>
      </c>
      <c r="Z679" s="19"/>
    </row>
    <row r="680" ht="15.6" spans="1:26">
      <c r="A680" s="27">
        <v>315</v>
      </c>
      <c r="B680" s="27">
        <v>23</v>
      </c>
      <c r="C680" s="28" t="s">
        <v>757</v>
      </c>
      <c r="D680" s="28" t="s">
        <v>46</v>
      </c>
      <c r="E680" s="27">
        <v>17.6</v>
      </c>
      <c r="F680" s="29">
        <f>LOOKUP(E680,{0,1.5,2.3,3.1,3.9,4.7,5.5,6.8,8.1,9.4,10.7,12,13.3,14.6,15.9,17.2,18.5,20.2,21.9,23.6,25.3},{0,10,20,30,40,50,60,62,64,66,68,70,72,74,76,78,80,85,90,95,100})</f>
        <v>78</v>
      </c>
      <c r="G680" s="27">
        <v>162</v>
      </c>
      <c r="H680" s="29">
        <f>LOOKUP(G680,{0,125,130,135,140,145,150,153,156,159,162,165,168,171,174,177,180,187,194,200,206},{0,10,20,30,40,50,60,62,64,66,68,70,72,74,76,78,80,85,90,95,100})</f>
        <v>68</v>
      </c>
      <c r="I680" s="27">
        <v>28</v>
      </c>
      <c r="J680" s="29">
        <f>LOOKUP(I680,{0,15,17,19,21,23,25,27,29,31,33,35,37,39,41,43,45,48,51,53,55},{0,10,20,30,40,50,60,62,64,66,68,70,72,74,76,78,80,85,90,95,100})</f>
        <v>62</v>
      </c>
      <c r="K680" s="35"/>
      <c r="L680" s="35"/>
      <c r="M680" s="35">
        <f t="shared" si="189"/>
        <v>62</v>
      </c>
      <c r="N680" s="35">
        <v>10.3</v>
      </c>
      <c r="O680" s="36">
        <f t="shared" si="190"/>
        <v>7.7</v>
      </c>
      <c r="P680" s="29">
        <f>LOOKUP(O680,{0,6.6,6.8,7,7.2,7.4,7.6,7.8,8,8.2,8.4,8.6,8.8,9,9.2,9.4,9.6,9.9,10.2,10.3,10.4},{0,10,20,30,40,50,60,62,64,66,68,70,72,74,76,78,80,85,90,95,100})</f>
        <v>60</v>
      </c>
      <c r="Q680" s="5">
        <v>4.55</v>
      </c>
      <c r="R680" s="36">
        <f t="shared" si="191"/>
        <v>5.45</v>
      </c>
      <c r="S680" s="29">
        <f>LOOKUP(R680,{0,4.74,4.84,4.94,5.44,5.54,5.64,5.69,5.74,5.79,5.84,5.89,5.94,5.99,6.44,6.49,6.54,6.61,6.68,6.74,6.8},{0,10,20,30,40,50,60,62,64,66,68,70,72,74,76,78,80,85,90,95,100})</f>
        <v>40</v>
      </c>
      <c r="T680" s="27"/>
      <c r="U680" s="27"/>
      <c r="V680" s="27">
        <f t="shared" si="192"/>
        <v>40</v>
      </c>
      <c r="W680" s="27"/>
      <c r="X680" s="19">
        <f t="shared" si="193"/>
        <v>40.8</v>
      </c>
      <c r="Y680" s="13">
        <f t="shared" si="194"/>
        <v>58.2857142857143</v>
      </c>
      <c r="Z680" s="19"/>
    </row>
    <row r="681" ht="15.6" spans="1:26">
      <c r="A681" s="27">
        <v>315</v>
      </c>
      <c r="B681" s="27">
        <v>24</v>
      </c>
      <c r="C681" s="28" t="s">
        <v>758</v>
      </c>
      <c r="D681" s="28" t="s">
        <v>46</v>
      </c>
      <c r="E681" s="27">
        <v>17.5</v>
      </c>
      <c r="F681" s="29">
        <f>LOOKUP(E681,{0,1.5,2.3,3.1,3.9,4.7,5.5,6.8,8.1,9.4,10.7,12,13.3,14.6,15.9,17.2,18.5,20.2,21.9,23.6,25.3},{0,10,20,30,40,50,60,62,64,66,68,70,72,74,76,78,80,85,90,95,100})</f>
        <v>78</v>
      </c>
      <c r="G681" s="27">
        <v>176</v>
      </c>
      <c r="H681" s="29">
        <f>LOOKUP(G681,{0,125,130,135,140,145,150,153,156,159,162,165,168,171,174,177,180,187,194,200,206},{0,10,20,30,40,50,60,62,64,66,68,70,72,74,76,78,80,85,90,95,100})</f>
        <v>76</v>
      </c>
      <c r="I681" s="27">
        <v>46</v>
      </c>
      <c r="J681" s="29">
        <f>LOOKUP(I681,{0,15,17,19,21,23,25,27,29,31,33,35,37,39,41,43,45,48,51,53,55},{0,10,20,30,40,50,60,62,64,66,68,70,72,74,76,78,80,85,90,95,100})</f>
        <v>80</v>
      </c>
      <c r="K681" s="35"/>
      <c r="L681" s="39"/>
      <c r="M681" s="35">
        <f t="shared" si="189"/>
        <v>80</v>
      </c>
      <c r="N681" s="35">
        <v>8.9</v>
      </c>
      <c r="O681" s="36">
        <f t="shared" si="190"/>
        <v>9.1</v>
      </c>
      <c r="P681" s="29">
        <f>LOOKUP(O681,{0,6.6,6.8,7,7.2,7.4,7.6,7.8,8,8.2,8.4,8.6,8.8,9,9.2,9.4,9.6,9.9,10.2,10.3,10.4},{0,10,20,30,40,50,60,62,64,66,68,70,72,74,76,78,80,85,90,95,100})</f>
        <v>74</v>
      </c>
      <c r="Q681" s="5">
        <v>4.54</v>
      </c>
      <c r="R681" s="36">
        <f t="shared" si="191"/>
        <v>5.46</v>
      </c>
      <c r="S681" s="29">
        <f>LOOKUP(R681,{0,4.74,4.84,4.94,5.44,5.54,5.64,5.69,5.74,5.79,5.84,5.89,5.94,5.99,6.44,6.49,6.54,6.61,6.68,6.74,6.8},{0,10,20,30,40,50,60,62,64,66,68,70,72,74,76,78,80,85,90,95,100})</f>
        <v>40</v>
      </c>
      <c r="T681" s="27"/>
      <c r="U681" s="27"/>
      <c r="V681" s="27">
        <f t="shared" si="192"/>
        <v>40</v>
      </c>
      <c r="W681" s="27"/>
      <c r="X681" s="19">
        <f t="shared" si="193"/>
        <v>46.2</v>
      </c>
      <c r="Y681" s="13">
        <f t="shared" si="194"/>
        <v>66</v>
      </c>
      <c r="Z681" s="19"/>
    </row>
    <row r="682" ht="15.6" spans="1:26">
      <c r="A682" s="27">
        <v>315</v>
      </c>
      <c r="B682" s="27">
        <v>25</v>
      </c>
      <c r="C682" s="28" t="s">
        <v>759</v>
      </c>
      <c r="D682" s="28" t="s">
        <v>46</v>
      </c>
      <c r="E682" s="27">
        <v>10</v>
      </c>
      <c r="F682" s="29">
        <f>LOOKUP(E682,{0,1.5,2.3,3.1,3.9,4.7,5.5,6.8,8.1,9.4,10.7,12,13.3,14.6,15.9,17.2,18.5,20.2,21.9,23.6,25.3},{0,10,20,30,40,50,60,62,64,66,68,70,72,74,76,78,80,85,90,95,100})</f>
        <v>66</v>
      </c>
      <c r="G682" s="27">
        <v>165</v>
      </c>
      <c r="H682" s="29">
        <f>LOOKUP(G682,{0,125,130,135,140,145,150,153,156,159,162,165,168,171,174,177,180,187,194,200,206},{0,10,20,30,40,50,60,62,64,66,68,70,72,74,76,78,80,85,90,95,100})</f>
        <v>70</v>
      </c>
      <c r="I682" s="27">
        <v>48</v>
      </c>
      <c r="J682" s="29">
        <f>LOOKUP(I682,{0,15,17,19,21,23,25,27,29,31,33,35,37,39,41,43,45,48,51,53,55},{0,10,20,30,40,50,60,62,64,66,68,70,72,74,76,78,80,85,90,95,100})</f>
        <v>85</v>
      </c>
      <c r="K682" s="35"/>
      <c r="L682" s="35"/>
      <c r="M682" s="35">
        <f t="shared" si="189"/>
        <v>85</v>
      </c>
      <c r="N682" s="35">
        <v>9.2</v>
      </c>
      <c r="O682" s="36">
        <f t="shared" si="190"/>
        <v>8.8</v>
      </c>
      <c r="P682" s="29">
        <f>LOOKUP(O682,{0,6.6,6.8,7,7.2,7.4,7.6,7.8,8,8.2,8.4,8.6,8.8,9,9.2,9.4,9.6,9.9,10.2,10.3,10.4},{0,10,20,30,40,50,60,62,64,66,68,70,72,74,76,78,80,85,90,95,100})</f>
        <v>72</v>
      </c>
      <c r="Q682" s="5">
        <v>4.08</v>
      </c>
      <c r="R682" s="36">
        <f t="shared" si="191"/>
        <v>5.92</v>
      </c>
      <c r="S682" s="29">
        <f>LOOKUP(R682,{0,4.74,4.84,4.94,5.44,5.54,5.64,5.69,5.74,5.79,5.84,5.89,5.94,5.99,6.44,6.49,6.54,6.61,6.68,6.74,6.8},{0,10,20,30,40,50,60,62,64,66,68,70,72,74,76,78,80,85,90,95,100})</f>
        <v>70</v>
      </c>
      <c r="T682" s="27"/>
      <c r="U682" s="27"/>
      <c r="V682" s="27">
        <f t="shared" si="192"/>
        <v>70</v>
      </c>
      <c r="W682" s="27"/>
      <c r="X682" s="19">
        <f t="shared" si="193"/>
        <v>50.5</v>
      </c>
      <c r="Y682" s="13">
        <f t="shared" si="194"/>
        <v>72.1428571428572</v>
      </c>
      <c r="Z682" s="19"/>
    </row>
    <row r="683" ht="15.6" spans="1:26">
      <c r="A683" s="27">
        <v>315</v>
      </c>
      <c r="B683" s="27">
        <v>26</v>
      </c>
      <c r="C683" s="28" t="s">
        <v>760</v>
      </c>
      <c r="D683" s="28" t="s">
        <v>46</v>
      </c>
      <c r="E683" s="27">
        <v>14</v>
      </c>
      <c r="F683" s="29">
        <f>LOOKUP(E683,{0,1.5,2.3,3.1,3.9,4.7,5.5,6.8,8.1,9.4,10.7,12,13.3,14.6,15.9,17.2,18.5,20.2,21.9,23.6,25.3},{0,10,20,30,40,50,60,62,64,66,68,70,72,74,76,78,80,85,90,95,100})</f>
        <v>72</v>
      </c>
      <c r="G683" s="27">
        <v>157</v>
      </c>
      <c r="H683" s="29">
        <f>LOOKUP(G683,{0,125,130,135,140,145,150,153,156,159,162,165,168,171,174,177,180,187,194,200,206},{0,10,20,30,40,50,60,62,64,66,68,70,72,74,76,78,80,85,90,95,100})</f>
        <v>64</v>
      </c>
      <c r="I683" s="27">
        <v>50</v>
      </c>
      <c r="J683" s="29">
        <f>LOOKUP(I683,{0,15,17,19,21,23,25,27,29,31,33,35,37,39,41,43,45,48,51,53,55},{0,10,20,30,40,50,60,62,64,66,68,70,72,74,76,78,80,85,90,95,100})</f>
        <v>85</v>
      </c>
      <c r="K683" s="35"/>
      <c r="L683" s="35"/>
      <c r="M683" s="35">
        <f t="shared" si="189"/>
        <v>85</v>
      </c>
      <c r="N683" s="35">
        <v>9.4</v>
      </c>
      <c r="O683" s="36">
        <f t="shared" si="190"/>
        <v>8.6</v>
      </c>
      <c r="P683" s="29">
        <f>LOOKUP(O683,{0,6.6,6.8,7,7.2,7.4,7.6,7.8,8,8.2,8.4,8.6,8.8,9,9.2,9.4,9.6,9.9,10.2,10.3,10.4},{0,10,20,30,40,50,60,62,64,66,68,70,72,74,76,78,80,85,90,95,100})</f>
        <v>70</v>
      </c>
      <c r="Q683" s="5">
        <v>4.07</v>
      </c>
      <c r="R683" s="36">
        <f t="shared" si="191"/>
        <v>5.93</v>
      </c>
      <c r="S683" s="29">
        <f>LOOKUP(R683,{0,4.74,4.84,4.94,5.44,5.54,5.64,5.69,5.74,5.79,5.84,5.89,5.94,5.99,6.44,6.49,6.54,6.61,6.68,6.74,6.8},{0,10,20,30,40,50,60,62,64,66,68,70,72,74,76,78,80,85,90,95,100})</f>
        <v>70</v>
      </c>
      <c r="T683" s="27"/>
      <c r="U683" s="27"/>
      <c r="V683" s="27">
        <f t="shared" si="192"/>
        <v>70</v>
      </c>
      <c r="W683" s="27"/>
      <c r="X683" s="19">
        <f t="shared" si="193"/>
        <v>50.1</v>
      </c>
      <c r="Y683" s="13">
        <f t="shared" si="194"/>
        <v>71.5714285714286</v>
      </c>
      <c r="Z683" s="19"/>
    </row>
    <row r="684" ht="15.6" spans="1:26">
      <c r="A684" s="27">
        <v>315</v>
      </c>
      <c r="B684" s="27">
        <v>27</v>
      </c>
      <c r="C684" s="28" t="s">
        <v>761</v>
      </c>
      <c r="D684" s="28" t="s">
        <v>46</v>
      </c>
      <c r="E684" s="27">
        <v>15.5</v>
      </c>
      <c r="F684" s="29">
        <f>LOOKUP(E684,{0,1.5,2.3,3.1,3.9,4.7,5.5,6.8,8.1,9.4,10.7,12,13.3,14.6,15.9,17.2,18.5,20.2,21.9,23.6,25.3},{0,10,20,30,40,50,60,62,64,66,68,70,72,74,76,78,80,85,90,95,100})</f>
        <v>74</v>
      </c>
      <c r="G684" s="27">
        <v>160</v>
      </c>
      <c r="H684" s="29">
        <f>LOOKUP(G684,{0,125,130,135,140,145,150,153,156,159,162,165,168,171,174,177,180,187,194,200,206},{0,10,20,30,40,50,60,62,64,66,68,70,72,74,76,78,80,85,90,95,100})</f>
        <v>66</v>
      </c>
      <c r="I684" s="27">
        <v>45</v>
      </c>
      <c r="J684" s="29">
        <f>LOOKUP(I684,{0,15,17,19,21,23,25,27,29,31,33,35,37,39,41,43,45,48,51,53,55},{0,10,20,30,40,50,60,62,64,66,68,70,72,74,76,78,80,85,90,95,100})</f>
        <v>80</v>
      </c>
      <c r="K684" s="35"/>
      <c r="L684" s="35"/>
      <c r="M684" s="35">
        <f t="shared" si="189"/>
        <v>80</v>
      </c>
      <c r="N684" s="35">
        <v>9.5</v>
      </c>
      <c r="O684" s="36">
        <f t="shared" si="190"/>
        <v>8.5</v>
      </c>
      <c r="P684" s="29">
        <f>LOOKUP(O684,{0,6.6,6.8,7,7.2,7.4,7.6,7.8,8,8.2,8.4,8.6,8.8,9,9.2,9.4,9.6,9.9,10.2,10.3,10.4},{0,10,20,30,40,50,60,62,64,66,68,70,72,74,76,78,80,85,90,95,100})</f>
        <v>68</v>
      </c>
      <c r="Q684" s="5">
        <v>4.3</v>
      </c>
      <c r="R684" s="36">
        <f t="shared" si="191"/>
        <v>5.7</v>
      </c>
      <c r="S684" s="29">
        <f>LOOKUP(R684,{0,4.74,4.84,4.94,5.44,5.54,5.64,5.69,5.74,5.79,5.84,5.89,5.94,5.99,6.44,6.49,6.54,6.61,6.68,6.74,6.8},{0,10,20,30,40,50,60,62,64,66,68,70,72,74,76,78,80,85,90,95,100})</f>
        <v>62</v>
      </c>
      <c r="T684" s="27"/>
      <c r="U684" s="27"/>
      <c r="V684" s="27">
        <f t="shared" si="192"/>
        <v>62</v>
      </c>
      <c r="W684" s="27"/>
      <c r="X684" s="19">
        <f t="shared" si="193"/>
        <v>48</v>
      </c>
      <c r="Y684" s="13">
        <f t="shared" si="194"/>
        <v>68.5714285714286</v>
      </c>
      <c r="Z684" s="19"/>
    </row>
    <row r="685" ht="15.6" spans="1:26">
      <c r="A685" s="27">
        <v>315</v>
      </c>
      <c r="B685" s="27">
        <v>28</v>
      </c>
      <c r="C685" s="28" t="s">
        <v>762</v>
      </c>
      <c r="D685" s="28" t="s">
        <v>46</v>
      </c>
      <c r="E685" s="27">
        <v>12.5</v>
      </c>
      <c r="F685" s="29">
        <f>LOOKUP(E685,{0,1.5,2.3,3.1,3.9,4.7,5.5,6.8,8.1,9.4,10.7,12,13.3,14.6,15.9,17.2,18.5,20.2,21.9,23.6,25.3},{0,10,20,30,40,50,60,62,64,66,68,70,72,74,76,78,80,85,90,95,100})</f>
        <v>70</v>
      </c>
      <c r="G685" s="27">
        <v>168</v>
      </c>
      <c r="H685" s="29">
        <f>LOOKUP(G685,{0,125,130,135,140,145,150,153,156,159,162,165,168,171,174,177,180,187,194,200,206},{0,10,20,30,40,50,60,62,64,66,68,70,72,74,76,78,80,85,90,95,100})</f>
        <v>72</v>
      </c>
      <c r="I685" s="27">
        <v>30</v>
      </c>
      <c r="J685" s="29">
        <f>LOOKUP(I685,{0,15,17,19,21,23,25,27,29,31,33,35,37,39,41,43,45,48,51,53,55},{0,10,20,30,40,50,60,62,64,66,68,70,72,74,76,78,80,85,90,95,100})</f>
        <v>64</v>
      </c>
      <c r="K685" s="35"/>
      <c r="L685" s="35"/>
      <c r="M685" s="35">
        <f t="shared" si="189"/>
        <v>64</v>
      </c>
      <c r="N685" s="35">
        <v>10.2</v>
      </c>
      <c r="O685" s="36">
        <f t="shared" si="190"/>
        <v>7.8</v>
      </c>
      <c r="P685" s="29">
        <f>LOOKUP(O685,{0,6.6,6.8,7,7.2,7.4,7.6,7.8,8,8.2,8.4,8.6,8.8,9,9.2,9.4,9.6,9.9,10.2,10.3,10.4},{0,10,20,30,40,50,60,62,64,66,68,70,72,74,76,78,80,85,90,95,100})</f>
        <v>62</v>
      </c>
      <c r="Q685" s="5">
        <v>4.24</v>
      </c>
      <c r="R685" s="36">
        <f t="shared" si="191"/>
        <v>5.76</v>
      </c>
      <c r="S685" s="29">
        <f>LOOKUP(R685,{0,4.74,4.84,4.94,5.44,5.54,5.64,5.69,5.74,5.79,5.84,5.89,5.94,5.99,6.44,6.49,6.54,6.61,6.68,6.74,6.8},{0,10,20,30,40,50,60,62,64,66,68,70,72,74,76,78,80,85,90,95,100})</f>
        <v>64</v>
      </c>
      <c r="T685" s="27"/>
      <c r="U685" s="27"/>
      <c r="V685" s="27">
        <f t="shared" si="192"/>
        <v>64</v>
      </c>
      <c r="W685" s="27"/>
      <c r="X685" s="19">
        <f t="shared" si="193"/>
        <v>45.8</v>
      </c>
      <c r="Y685" s="13">
        <f t="shared" si="194"/>
        <v>65.4285714285714</v>
      </c>
      <c r="Z685" s="19"/>
    </row>
    <row r="686" ht="15.6" spans="1:26">
      <c r="A686" s="27">
        <v>315</v>
      </c>
      <c r="B686" s="27">
        <v>29</v>
      </c>
      <c r="C686" s="28" t="s">
        <v>763</v>
      </c>
      <c r="D686" s="28" t="s">
        <v>46</v>
      </c>
      <c r="E686" s="27">
        <v>18.5</v>
      </c>
      <c r="F686" s="29">
        <f>LOOKUP(E686,{0,1.5,2.3,3.1,3.9,4.7,5.5,6.8,8.1,9.4,10.7,12,13.3,14.6,15.9,17.2,18.5,20.2,21.9,23.6,25.3},{0,10,20,30,40,50,60,62,64,66,68,70,72,74,76,78,80,85,90,95,100})</f>
        <v>80</v>
      </c>
      <c r="G686" s="27">
        <v>184</v>
      </c>
      <c r="H686" s="29">
        <f>LOOKUP(G686,{0,125,130,135,140,145,150,153,156,159,162,165,168,171,174,177,180,187,194,200,206},{0,10,20,30,40,50,60,62,64,66,68,70,72,74,76,78,80,85,90,95,100})</f>
        <v>80</v>
      </c>
      <c r="I686" s="27">
        <v>38</v>
      </c>
      <c r="J686" s="29">
        <f>LOOKUP(I686,{0,15,17,19,21,23,25,27,29,31,33,35,37,39,41,43,45,48,51,53,55},{0,10,20,30,40,50,60,62,64,66,68,70,72,74,76,78,80,85,90,95,100})</f>
        <v>72</v>
      </c>
      <c r="K686" s="35"/>
      <c r="L686" s="35"/>
      <c r="M686" s="35">
        <f t="shared" si="189"/>
        <v>72</v>
      </c>
      <c r="N686" s="35">
        <v>10.2</v>
      </c>
      <c r="O686" s="36">
        <f t="shared" si="190"/>
        <v>7.8</v>
      </c>
      <c r="P686" s="29">
        <f>LOOKUP(O686,{0,6.6,6.8,7,7.2,7.4,7.6,7.8,8,8.2,8.4,8.6,8.8,9,9.2,9.4,9.6,9.9,10.2,10.3,10.4},{0,10,20,30,40,50,60,62,64,66,68,70,72,74,76,78,80,85,90,95,100})</f>
        <v>62</v>
      </c>
      <c r="Q686" s="5">
        <v>4.5</v>
      </c>
      <c r="R686" s="36">
        <f t="shared" si="191"/>
        <v>5.5</v>
      </c>
      <c r="S686" s="29">
        <f>LOOKUP(R686,{0,4.74,4.84,4.94,5.44,5.54,5.64,5.69,5.74,5.79,5.84,5.89,5.94,5.99,6.44,6.49,6.54,6.61,6.68,6.74,6.8},{0,10,20,30,40,50,60,62,64,66,68,70,72,74,76,78,80,85,90,95,100})</f>
        <v>40</v>
      </c>
      <c r="T686" s="27"/>
      <c r="U686" s="27"/>
      <c r="V686" s="27">
        <f t="shared" si="192"/>
        <v>40</v>
      </c>
      <c r="W686" s="27"/>
      <c r="X686" s="19">
        <f t="shared" si="193"/>
        <v>43.6</v>
      </c>
      <c r="Y686" s="13">
        <f t="shared" si="194"/>
        <v>62.2857142857143</v>
      </c>
      <c r="Z686" s="19"/>
    </row>
    <row r="687" ht="15.6" spans="1:26">
      <c r="A687" s="27">
        <v>315</v>
      </c>
      <c r="B687" s="27">
        <v>30</v>
      </c>
      <c r="C687" s="30" t="s">
        <v>765</v>
      </c>
      <c r="D687" s="28" t="s">
        <v>46</v>
      </c>
      <c r="E687" s="27">
        <v>20.4</v>
      </c>
      <c r="F687" s="29">
        <f>LOOKUP(E687,{0,1.5,2.3,3.1,3.9,4.7,5.5,6.8,8.1,9.4,10.7,12,13.3,14.6,15.9,17.2,18.5,20.2,21.9,23.6,25.3},{0,10,20,30,40,50,60,62,64,66,68,70,72,74,76,78,80,85,90,95,100})</f>
        <v>85</v>
      </c>
      <c r="G687" s="27">
        <v>160</v>
      </c>
      <c r="H687" s="29">
        <f>LOOKUP(G687,{0,125,130,135,140,145,150,153,156,159,162,165,168,171,174,177,180,187,194,200,206},{0,10,20,30,40,50,60,62,64,66,68,70,72,74,76,78,80,85,90,95,100})</f>
        <v>66</v>
      </c>
      <c r="I687" s="27">
        <v>36</v>
      </c>
      <c r="J687" s="29">
        <f>LOOKUP(I687,{0,15,17,19,21,23,25,27,29,31,33,35,37,39,41,43,45,48,51,53,55},{0,10,20,30,40,50,60,62,64,66,68,70,72,74,76,78,80,85,90,95,100})</f>
        <v>70</v>
      </c>
      <c r="K687" s="35"/>
      <c r="L687" s="39"/>
      <c r="M687" s="35">
        <f t="shared" si="189"/>
        <v>70</v>
      </c>
      <c r="N687" s="35">
        <v>9.4</v>
      </c>
      <c r="O687" s="36">
        <f t="shared" si="190"/>
        <v>8.6</v>
      </c>
      <c r="P687" s="29">
        <f>LOOKUP(O687,{0,6.6,6.8,7,7.2,7.4,7.6,7.8,8,8.2,8.4,8.6,8.8,9,9.2,9.4,9.6,9.9,10.2,10.3,10.4},{0,10,20,30,40,50,60,62,64,66,68,70,72,74,76,78,80,85,90,95,100})</f>
        <v>70</v>
      </c>
      <c r="Q687" s="5">
        <v>4.17</v>
      </c>
      <c r="R687" s="36">
        <f t="shared" si="191"/>
        <v>5.83</v>
      </c>
      <c r="S687" s="29">
        <f>LOOKUP(R687,{0,4.74,4.84,4.94,5.44,5.54,5.64,5.69,5.74,5.79,5.84,5.89,5.94,5.99,6.44,6.49,6.54,6.61,6.68,6.74,6.8},{0,10,20,30,40,50,60,62,64,66,68,70,72,74,76,78,80,85,90,95,100})</f>
        <v>66</v>
      </c>
      <c r="T687" s="27"/>
      <c r="U687" s="27"/>
      <c r="V687" s="27">
        <f t="shared" si="192"/>
        <v>66</v>
      </c>
      <c r="W687" s="27"/>
      <c r="X687" s="19">
        <f t="shared" si="193"/>
        <v>49.3</v>
      </c>
      <c r="Y687" s="13">
        <f t="shared" si="194"/>
        <v>70.4285714285714</v>
      </c>
      <c r="Z687" s="19"/>
    </row>
    <row r="688" ht="15.6" spans="1:26">
      <c r="A688" s="27">
        <v>315</v>
      </c>
      <c r="B688" s="27">
        <v>31</v>
      </c>
      <c r="C688" s="28" t="s">
        <v>766</v>
      </c>
      <c r="D688" s="28" t="s">
        <v>46</v>
      </c>
      <c r="E688" s="27">
        <v>9.3</v>
      </c>
      <c r="F688" s="29">
        <f>LOOKUP(E688,{0,1.5,2.3,3.1,3.9,4.7,5.5,6.8,8.1,9.4,10.7,12,13.3,14.6,15.9,17.2,18.5,20.2,21.9,23.6,25.3},{0,10,20,30,40,50,60,62,64,66,68,70,72,74,76,78,80,85,90,95,100})</f>
        <v>64</v>
      </c>
      <c r="G688" s="27">
        <v>125</v>
      </c>
      <c r="H688" s="29">
        <f>LOOKUP(G688,{0,125,130,135,140,145,150,153,156,159,162,165,168,171,174,177,180,187,194,200,206},{0,10,20,30,40,50,60,62,64,66,68,70,72,74,76,78,80,85,90,95,100})</f>
        <v>10</v>
      </c>
      <c r="I688" s="27">
        <v>18</v>
      </c>
      <c r="J688" s="29">
        <f>LOOKUP(I688,{0,15,17,19,21,23,25,27,29,31,33,35,37,39,41,43,45,48,51,53,55},{0,10,20,30,40,50,60,62,64,66,68,70,72,74,76,78,80,85,90,95,100})</f>
        <v>20</v>
      </c>
      <c r="K688" s="35"/>
      <c r="L688" s="35"/>
      <c r="M688" s="35">
        <f t="shared" si="189"/>
        <v>20</v>
      </c>
      <c r="N688" s="35">
        <v>16.2</v>
      </c>
      <c r="O688" s="36">
        <f t="shared" si="190"/>
        <v>1.8</v>
      </c>
      <c r="P688" s="29">
        <f>LOOKUP(O688,{0,6.6,6.8,7,7.2,7.4,7.6,7.8,8,8.2,8.4,8.6,8.8,9,9.2,9.4,9.6,9.9,10.2,10.3,10.4},{0,10,20,30,40,50,60,62,64,66,68,70,72,74,76,78,80,85,90,95,100})</f>
        <v>0</v>
      </c>
      <c r="Q688" s="5">
        <v>5.09</v>
      </c>
      <c r="R688" s="36">
        <f t="shared" si="191"/>
        <v>4.91</v>
      </c>
      <c r="S688" s="29">
        <f>LOOKUP(R688,{0,4.74,4.84,4.94,5.44,5.54,5.64,5.69,5.74,5.79,5.84,5.89,5.94,5.99,6.44,6.49,6.54,6.61,6.68,6.74,6.8},{0,10,20,30,40,50,60,62,64,66,68,70,72,74,76,78,80,85,90,95,100})</f>
        <v>20</v>
      </c>
      <c r="T688" s="27"/>
      <c r="U688" s="27"/>
      <c r="V688" s="27">
        <f t="shared" si="192"/>
        <v>20</v>
      </c>
      <c r="W688" s="27"/>
      <c r="X688" s="19">
        <f t="shared" si="193"/>
        <v>13.4</v>
      </c>
      <c r="Y688" s="13">
        <f t="shared" si="194"/>
        <v>19.1428571428571</v>
      </c>
      <c r="Z688" s="19"/>
    </row>
    <row r="689" ht="15.6" spans="1:26">
      <c r="A689" s="27">
        <v>315</v>
      </c>
      <c r="B689" s="27">
        <v>32</v>
      </c>
      <c r="C689" s="28" t="s">
        <v>767</v>
      </c>
      <c r="D689" s="28" t="s">
        <v>46</v>
      </c>
      <c r="E689" s="27">
        <v>17</v>
      </c>
      <c r="F689" s="29">
        <f>LOOKUP(E689,{0,1.5,2.3,3.1,3.9,4.7,5.5,6.8,8.1,9.4,10.7,12,13.3,14.6,15.9,17.2,18.5,20.2,21.9,23.6,25.3},{0,10,20,30,40,50,60,62,64,66,68,70,72,74,76,78,80,85,90,95,100})</f>
        <v>76</v>
      </c>
      <c r="G689" s="27">
        <v>182</v>
      </c>
      <c r="H689" s="29">
        <f>LOOKUP(G689,{0,125,130,135,140,145,150,153,156,159,162,165,168,171,174,177,180,187,194,200,206},{0,10,20,30,40,50,60,62,64,66,68,70,72,74,76,78,80,85,90,95,100})</f>
        <v>80</v>
      </c>
      <c r="I689" s="27">
        <v>45</v>
      </c>
      <c r="J689" s="29">
        <f>LOOKUP(I689,{0,15,17,19,21,23,25,27,29,31,33,35,37,39,41,43,45,48,51,53,55},{0,10,20,30,40,50,60,62,64,66,68,70,72,74,76,78,80,85,90,95,100})</f>
        <v>80</v>
      </c>
      <c r="K689" s="35"/>
      <c r="L689" s="35"/>
      <c r="M689" s="35">
        <f t="shared" si="189"/>
        <v>80</v>
      </c>
      <c r="N689" s="35">
        <v>9.8</v>
      </c>
      <c r="O689" s="36">
        <f t="shared" si="190"/>
        <v>8.2</v>
      </c>
      <c r="P689" s="29">
        <f>LOOKUP(O689,{0,6.6,6.8,7,7.2,7.4,7.6,7.8,8,8.2,8.4,8.6,8.8,9,9.2,9.4,9.6,9.9,10.2,10.3,10.4},{0,10,20,30,40,50,60,62,64,66,68,70,72,74,76,78,80,85,90,95,100})</f>
        <v>66</v>
      </c>
      <c r="Q689" s="5">
        <v>5.08</v>
      </c>
      <c r="R689" s="36">
        <f t="shared" si="191"/>
        <v>4.92</v>
      </c>
      <c r="S689" s="29">
        <f>LOOKUP(R689,{0,4.74,4.84,4.94,5.44,5.54,5.64,5.69,5.74,5.79,5.84,5.89,5.94,5.99,6.44,6.49,6.54,6.61,6.68,6.74,6.8},{0,10,20,30,40,50,60,62,64,66,68,70,72,74,76,78,80,85,90,95,100})</f>
        <v>20</v>
      </c>
      <c r="T689" s="27"/>
      <c r="U689" s="27"/>
      <c r="V689" s="27">
        <f t="shared" si="192"/>
        <v>20</v>
      </c>
      <c r="W689" s="27"/>
      <c r="X689" s="19">
        <f t="shared" si="193"/>
        <v>40.8</v>
      </c>
      <c r="Y689" s="13">
        <f t="shared" si="194"/>
        <v>58.2857142857143</v>
      </c>
      <c r="Z689" s="19"/>
    </row>
    <row r="690" ht="15.6" spans="1:26">
      <c r="A690" s="27">
        <v>315</v>
      </c>
      <c r="B690" s="27">
        <v>33</v>
      </c>
      <c r="C690" s="28" t="s">
        <v>768</v>
      </c>
      <c r="D690" s="28" t="s">
        <v>46</v>
      </c>
      <c r="E690" s="27">
        <v>8.2</v>
      </c>
      <c r="F690" s="29">
        <f>LOOKUP(E690,{0,1.5,2.3,3.1,3.9,4.7,5.5,6.8,8.1,9.4,10.7,12,13.3,14.6,15.9,17.2,18.5,20.2,21.9,23.6,25.3},{0,10,20,30,40,50,60,62,64,66,68,70,72,74,76,78,80,85,90,95,100})</f>
        <v>64</v>
      </c>
      <c r="G690" s="27">
        <v>200</v>
      </c>
      <c r="H690" s="29">
        <f>LOOKUP(G690,{0,125,130,135,140,145,150,153,156,159,162,165,168,171,174,177,180,187,194,200,206},{0,10,20,30,40,50,60,62,64,66,68,70,72,74,76,78,80,85,90,95,100})</f>
        <v>95</v>
      </c>
      <c r="I690" s="27">
        <v>56</v>
      </c>
      <c r="J690" s="29">
        <f>LOOKUP(I690,{0,15,17,19,21,23,25,27,29,31,33,35,37,39,41,43,45,48,51,53,55},{0,10,20,30,40,50,60,62,64,66,68,70,72,74,76,78,80,85,90,95,100})</f>
        <v>100</v>
      </c>
      <c r="K690" s="34">
        <f>I690-55</f>
        <v>1</v>
      </c>
      <c r="L690" s="29">
        <f>LOOKUP(K690,{0,2,4,6,7,8,9,10,11,12,13},{0,1,2,3,4,5,6,7,8,9,10})</f>
        <v>0</v>
      </c>
      <c r="M690" s="35">
        <f t="shared" si="189"/>
        <v>100</v>
      </c>
      <c r="N690" s="35">
        <v>9.1</v>
      </c>
      <c r="O690" s="36">
        <f t="shared" si="190"/>
        <v>8.9</v>
      </c>
      <c r="P690" s="29">
        <f>LOOKUP(O690,{0,6.6,6.8,7,7.2,7.4,7.6,7.8,8,8.2,8.4,8.6,8.8,9,9.2,9.4,9.6,9.9,10.2,10.3,10.4},{0,10,20,30,40,50,60,62,64,66,68,70,72,74,76,78,80,85,90,95,100})</f>
        <v>72</v>
      </c>
      <c r="Q690" s="5">
        <v>5.09</v>
      </c>
      <c r="R690" s="36">
        <f t="shared" si="191"/>
        <v>4.91</v>
      </c>
      <c r="S690" s="29">
        <f>LOOKUP(R690,{0,4.74,4.84,4.94,5.44,5.54,5.64,5.69,5.74,5.79,5.84,5.89,5.94,5.99,6.44,6.49,6.54,6.61,6.68,6.74,6.8},{0,10,20,30,40,50,60,62,64,66,68,70,72,74,76,78,80,85,90,95,100})</f>
        <v>20</v>
      </c>
      <c r="T690" s="27"/>
      <c r="U690" s="27"/>
      <c r="V690" s="27">
        <f t="shared" si="192"/>
        <v>20</v>
      </c>
      <c r="W690" s="27"/>
      <c r="X690" s="19">
        <f t="shared" si="193"/>
        <v>44.3</v>
      </c>
      <c r="Y690" s="13">
        <f t="shared" si="194"/>
        <v>63.2857142857143</v>
      </c>
      <c r="Z690" s="19"/>
    </row>
    <row r="691" ht="15.6" spans="1:26">
      <c r="A691" s="27">
        <v>315</v>
      </c>
      <c r="B691" s="27">
        <v>34</v>
      </c>
      <c r="C691" s="28" t="s">
        <v>769</v>
      </c>
      <c r="D691" s="28" t="s">
        <v>46</v>
      </c>
      <c r="E691" s="27">
        <v>14.7</v>
      </c>
      <c r="F691" s="29">
        <f>LOOKUP(E691,{0,1.5,2.3,3.1,3.9,4.7,5.5,6.8,8.1,9.4,10.7,12,13.3,14.6,15.9,17.2,18.5,20.2,21.9,23.6,25.3},{0,10,20,30,40,50,60,62,64,66,68,70,72,74,76,78,80,85,90,95,100})</f>
        <v>74</v>
      </c>
      <c r="G691" s="27">
        <v>185</v>
      </c>
      <c r="H691" s="29">
        <f>LOOKUP(G691,{0,125,130,135,140,145,150,153,156,159,162,165,168,171,174,177,180,187,194,200,206},{0,10,20,30,40,50,60,62,64,66,68,70,72,74,76,78,80,85,90,95,100})</f>
        <v>80</v>
      </c>
      <c r="I691" s="27">
        <v>37</v>
      </c>
      <c r="J691" s="29">
        <f>LOOKUP(I691,{0,15,17,19,21,23,25,27,29,31,33,35,37,39,41,43,45,48,51,53,55},{0,10,20,30,40,50,60,62,64,66,68,70,72,74,76,78,80,85,90,95,100})</f>
        <v>72</v>
      </c>
      <c r="K691" s="35"/>
      <c r="L691" s="35"/>
      <c r="M691" s="35">
        <f t="shared" si="189"/>
        <v>72</v>
      </c>
      <c r="N691" s="35">
        <v>8.7</v>
      </c>
      <c r="O691" s="36">
        <f t="shared" si="190"/>
        <v>9.3</v>
      </c>
      <c r="P691" s="29">
        <f>LOOKUP(O691,{0,6.6,6.8,7,7.2,7.4,7.6,7.8,8,8.2,8.4,8.6,8.8,9,9.2,9.4,9.6,9.9,10.2,10.3,10.4},{0,10,20,30,40,50,60,62,64,66,68,70,72,74,76,78,80,85,90,95,100})</f>
        <v>76</v>
      </c>
      <c r="Q691" s="5">
        <v>4.03</v>
      </c>
      <c r="R691" s="36">
        <f t="shared" si="191"/>
        <v>5.97</v>
      </c>
      <c r="S691" s="29">
        <f>LOOKUP(R691,{0,4.74,4.84,4.94,5.44,5.54,5.64,5.69,5.74,5.79,5.84,5.89,5.94,5.99,6.44,6.49,6.54,6.61,6.68,6.74,6.8},{0,10,20,30,40,50,60,62,64,66,68,70,72,74,76,78,80,85,90,95,100})</f>
        <v>72</v>
      </c>
      <c r="T691" s="27"/>
      <c r="U691" s="27"/>
      <c r="V691" s="27">
        <f t="shared" si="192"/>
        <v>72</v>
      </c>
      <c r="W691" s="27"/>
      <c r="X691" s="19">
        <f t="shared" si="193"/>
        <v>52.2</v>
      </c>
      <c r="Y691" s="13">
        <f t="shared" si="194"/>
        <v>74.5714285714286</v>
      </c>
      <c r="Z691" s="19"/>
    </row>
    <row r="692" ht="15.6" spans="1:26">
      <c r="A692" s="27">
        <v>315</v>
      </c>
      <c r="B692" s="27">
        <v>35</v>
      </c>
      <c r="C692" s="28" t="s">
        <v>770</v>
      </c>
      <c r="D692" s="28" t="s">
        <v>46</v>
      </c>
      <c r="E692" s="27">
        <v>24</v>
      </c>
      <c r="F692" s="29">
        <f>LOOKUP(E692,{0,1.5,2.3,3.1,3.9,4.7,5.5,6.8,8.1,9.4,10.7,12,13.3,14.6,15.9,17.2,18.5,20.2,21.9,23.6,25.3},{0,10,20,30,40,50,60,62,64,66,68,70,72,74,76,78,80,85,90,95,100})</f>
        <v>95</v>
      </c>
      <c r="G692" s="27">
        <v>175</v>
      </c>
      <c r="H692" s="29">
        <f>LOOKUP(G692,{0,125,130,135,140,145,150,153,156,159,162,165,168,171,174,177,180,187,194,200,206},{0,10,20,30,40,50,60,62,64,66,68,70,72,74,76,78,80,85,90,95,100})</f>
        <v>76</v>
      </c>
      <c r="I692" s="27">
        <v>36</v>
      </c>
      <c r="J692" s="29">
        <f>LOOKUP(I692,{0,15,17,19,21,23,25,27,29,31,33,35,37,39,41,43,45,48,51,53,55},{0,10,20,30,40,50,60,62,64,66,68,70,72,74,76,78,80,85,90,95,100})</f>
        <v>70</v>
      </c>
      <c r="K692" s="35"/>
      <c r="L692" s="35"/>
      <c r="M692" s="35">
        <f t="shared" si="189"/>
        <v>70</v>
      </c>
      <c r="N692" s="35">
        <v>9.4</v>
      </c>
      <c r="O692" s="36">
        <f t="shared" si="190"/>
        <v>8.6</v>
      </c>
      <c r="P692" s="29">
        <f>LOOKUP(O692,{0,6.6,6.8,7,7.2,7.4,7.6,7.8,8,8.2,8.4,8.6,8.8,9,9.2,9.4,9.6,9.9,10.2,10.3,10.4},{0,10,20,30,40,50,60,62,64,66,68,70,72,74,76,78,80,85,90,95,100})</f>
        <v>70</v>
      </c>
      <c r="Q692" s="5">
        <v>4.19</v>
      </c>
      <c r="R692" s="36">
        <f t="shared" si="191"/>
        <v>5.81</v>
      </c>
      <c r="S692" s="29">
        <f>LOOKUP(R692,{0,4.74,4.84,4.94,5.44,5.54,5.64,5.69,5.74,5.79,5.84,5.89,5.94,5.99,6.44,6.49,6.54,6.61,6.68,6.74,6.8},{0,10,20,30,40,50,60,62,64,66,68,70,72,74,76,78,80,85,90,95,100})</f>
        <v>66</v>
      </c>
      <c r="T692" s="27"/>
      <c r="U692" s="27"/>
      <c r="V692" s="27">
        <f t="shared" si="192"/>
        <v>66</v>
      </c>
      <c r="W692" s="27"/>
      <c r="X692" s="19">
        <f t="shared" si="193"/>
        <v>51.3</v>
      </c>
      <c r="Y692" s="13">
        <f t="shared" si="194"/>
        <v>73.2857142857143</v>
      </c>
      <c r="Z692" s="19"/>
    </row>
    <row r="693" ht="15.6" spans="1:26">
      <c r="A693" s="27">
        <v>315</v>
      </c>
      <c r="B693" s="27">
        <v>36</v>
      </c>
      <c r="C693" s="28" t="s">
        <v>771</v>
      </c>
      <c r="D693" s="28" t="s">
        <v>46</v>
      </c>
      <c r="E693" s="27">
        <v>22.6</v>
      </c>
      <c r="F693" s="29">
        <f>LOOKUP(E693,{0,1.5,2.3,3.1,3.9,4.7,5.5,6.8,8.1,9.4,10.7,12,13.3,14.6,15.9,17.2,18.5,20.2,21.9,23.6,25.3},{0,10,20,30,40,50,60,62,64,66,68,70,72,74,76,78,80,85,90,95,100})</f>
        <v>90</v>
      </c>
      <c r="G693" s="27">
        <v>162</v>
      </c>
      <c r="H693" s="29">
        <f>LOOKUP(G693,{0,125,130,135,140,145,150,153,156,159,162,165,168,171,174,177,180,187,194,200,206},{0,10,20,30,40,50,60,62,64,66,68,70,72,74,76,78,80,85,90,95,100})</f>
        <v>68</v>
      </c>
      <c r="I693" s="27">
        <v>42</v>
      </c>
      <c r="J693" s="29">
        <f>LOOKUP(I693,{0,15,17,19,21,23,25,27,29,31,33,35,37,39,41,43,45,48,51,53,55},{0,10,20,30,40,50,60,62,64,66,68,70,72,74,76,78,80,85,90,95,100})</f>
        <v>76</v>
      </c>
      <c r="K693" s="35"/>
      <c r="L693" s="35"/>
      <c r="M693" s="35">
        <f t="shared" si="189"/>
        <v>76</v>
      </c>
      <c r="N693" s="35">
        <v>9.6</v>
      </c>
      <c r="O693" s="36">
        <f t="shared" si="190"/>
        <v>8.4</v>
      </c>
      <c r="P693" s="29">
        <f>LOOKUP(O693,{0,6.6,6.8,7,7.2,7.4,7.6,7.8,8,8.2,8.4,8.6,8.8,9,9.2,9.4,9.6,9.9,10.2,10.3,10.4},{0,10,20,30,40,50,60,62,64,66,68,70,72,74,76,78,80,85,90,95,100})</f>
        <v>68</v>
      </c>
      <c r="Q693" s="5">
        <v>5.1</v>
      </c>
      <c r="R693" s="36">
        <f t="shared" si="191"/>
        <v>4.9</v>
      </c>
      <c r="S693" s="29">
        <f>LOOKUP(R693,{0,4.74,4.84,4.94,5.44,5.54,5.64,5.69,5.74,5.79,5.84,5.89,5.94,5.99,6.44,6.49,6.54,6.61,6.68,6.74,6.8},{0,10,20,30,40,50,60,62,64,66,68,70,72,74,76,78,80,85,90,95,100})</f>
        <v>20</v>
      </c>
      <c r="T693" s="27"/>
      <c r="U693" s="27"/>
      <c r="V693" s="27">
        <f t="shared" si="192"/>
        <v>20</v>
      </c>
      <c r="W693" s="27"/>
      <c r="X693" s="19">
        <f t="shared" si="193"/>
        <v>41</v>
      </c>
      <c r="Y693" s="13">
        <f t="shared" si="194"/>
        <v>58.5714285714286</v>
      </c>
      <c r="Z693" s="20"/>
    </row>
    <row r="694" ht="15.6" spans="1:26">
      <c r="A694" s="27">
        <v>315</v>
      </c>
      <c r="B694" s="27">
        <v>37</v>
      </c>
      <c r="C694" s="28" t="s">
        <v>772</v>
      </c>
      <c r="D694" s="28" t="s">
        <v>46</v>
      </c>
      <c r="E694" s="27">
        <v>10.3</v>
      </c>
      <c r="F694" s="29">
        <f>LOOKUP(E694,{0,1.5,2.3,3.1,3.9,4.7,5.5,6.8,8.1,9.4,10.7,12,13.3,14.6,15.9,17.2,18.5,20.2,21.9,23.6,25.3},{0,10,20,30,40,50,60,62,64,66,68,70,72,74,76,78,80,85,90,95,100})</f>
        <v>66</v>
      </c>
      <c r="G694" s="27">
        <v>168</v>
      </c>
      <c r="H694" s="29">
        <f>LOOKUP(G694,{0,125,130,135,140,145,150,153,156,159,162,165,168,171,174,177,180,187,194,200,206},{0,10,20,30,40,50,60,62,64,66,68,70,72,74,76,78,80,85,90,95,100})</f>
        <v>72</v>
      </c>
      <c r="I694" s="27">
        <v>44</v>
      </c>
      <c r="J694" s="29">
        <f>LOOKUP(I694,{0,15,17,19,21,23,25,27,29,31,33,35,37,39,41,43,45,48,51,53,55},{0,10,20,30,40,50,60,62,64,66,68,70,72,74,76,78,80,85,90,95,100})</f>
        <v>78</v>
      </c>
      <c r="K694" s="35"/>
      <c r="L694" s="35"/>
      <c r="M694" s="35">
        <f t="shared" si="189"/>
        <v>78</v>
      </c>
      <c r="N694" s="35">
        <v>9.1</v>
      </c>
      <c r="O694" s="36">
        <f t="shared" si="190"/>
        <v>8.9</v>
      </c>
      <c r="P694" s="29">
        <f>LOOKUP(O694,{0,6.6,6.8,7,7.2,7.4,7.6,7.8,8,8.2,8.4,8.6,8.8,9,9.2,9.4,9.6,9.9,10.2,10.3,10.4},{0,10,20,30,40,50,60,62,64,66,68,70,72,74,76,78,80,85,90,95,100})</f>
        <v>72</v>
      </c>
      <c r="Q694" s="5">
        <v>5.25</v>
      </c>
      <c r="R694" s="36">
        <f t="shared" si="191"/>
        <v>4.75</v>
      </c>
      <c r="S694" s="29">
        <f>LOOKUP(R694,{0,4.74,4.84,4.94,5.44,5.54,5.64,5.69,5.74,5.79,5.84,5.89,5.94,5.99,6.44,6.49,6.54,6.61,6.68,6.74,6.8},{0,10,20,30,40,50,60,62,64,66,68,70,72,74,76,78,80,85,90,95,100})</f>
        <v>10</v>
      </c>
      <c r="T694" s="27"/>
      <c r="U694" s="27"/>
      <c r="V694" s="27">
        <f t="shared" si="192"/>
        <v>10</v>
      </c>
      <c r="W694" s="27"/>
      <c r="X694" s="19">
        <f t="shared" si="193"/>
        <v>38</v>
      </c>
      <c r="Y694" s="13">
        <f t="shared" si="194"/>
        <v>54.2857142857143</v>
      </c>
      <c r="Z694" s="19"/>
    </row>
    <row r="695" ht="15.6" spans="1:26">
      <c r="A695" s="27">
        <v>315</v>
      </c>
      <c r="B695" s="27">
        <v>38</v>
      </c>
      <c r="C695" s="28" t="s">
        <v>773</v>
      </c>
      <c r="D695" s="28" t="s">
        <v>46</v>
      </c>
      <c r="E695" s="27">
        <v>6.1</v>
      </c>
      <c r="F695" s="29">
        <f>LOOKUP(E695,{0,1.5,2.3,3.1,3.9,4.7,5.5,6.8,8.1,9.4,10.7,12,13.3,14.6,15.9,17.2,18.5,20.2,21.9,23.6,25.3},{0,10,20,30,40,50,60,62,64,66,68,70,72,74,76,78,80,85,90,95,100})</f>
        <v>60</v>
      </c>
      <c r="G695" s="27">
        <v>220</v>
      </c>
      <c r="H695" s="29">
        <f>LOOKUP(G695,{0,125,130,135,140,145,150,153,156,159,162,165,168,171,174,177,180,187,194,200,206},{0,10,20,30,40,50,60,62,64,66,68,70,72,74,76,78,80,85,90,95,100})</f>
        <v>100</v>
      </c>
      <c r="I695" s="27">
        <v>50</v>
      </c>
      <c r="J695" s="29">
        <f>LOOKUP(I695,{0,15,17,19,21,23,25,27,29,31,33,35,37,39,41,43,45,48,51,53,55},{0,10,20,30,40,50,60,62,64,66,68,70,72,74,76,78,80,85,90,95,100})</f>
        <v>85</v>
      </c>
      <c r="K695" s="35"/>
      <c r="L695" s="35"/>
      <c r="M695" s="35">
        <f t="shared" si="189"/>
        <v>85</v>
      </c>
      <c r="N695" s="35">
        <v>8.2</v>
      </c>
      <c r="O695" s="36">
        <f t="shared" si="190"/>
        <v>9.8</v>
      </c>
      <c r="P695" s="29">
        <f>LOOKUP(O695,{0,6.6,6.8,7,7.2,7.4,7.6,7.8,8,8.2,8.4,8.6,8.8,9,9.2,9.4,9.6,9.9,10.2,10.3,10.4},{0,10,20,30,40,50,60,62,64,66,68,70,72,74,76,78,80,85,90,95,100})</f>
        <v>80</v>
      </c>
      <c r="Q695" s="5">
        <v>3.59</v>
      </c>
      <c r="R695" s="36">
        <f t="shared" si="191"/>
        <v>6.41</v>
      </c>
      <c r="S695" s="29">
        <f>LOOKUP(R695,{0,4.74,4.84,4.94,5.44,5.54,5.64,5.69,5.74,5.79,5.84,5.89,5.94,5.99,6.44,6.49,6.54,6.61,6.68,6.74,6.8},{0,10,20,30,40,50,60,62,64,66,68,70,72,74,76,78,80,85,90,95,100})</f>
        <v>74</v>
      </c>
      <c r="T695" s="27"/>
      <c r="U695" s="27"/>
      <c r="V695" s="27">
        <f t="shared" si="192"/>
        <v>74</v>
      </c>
      <c r="W695" s="27"/>
      <c r="X695" s="19">
        <f t="shared" si="193"/>
        <v>55.3</v>
      </c>
      <c r="Y695" s="13">
        <f t="shared" si="194"/>
        <v>79</v>
      </c>
      <c r="Z695" s="19"/>
    </row>
    <row r="696" ht="15.6" spans="1:26">
      <c r="A696" s="27">
        <v>315</v>
      </c>
      <c r="B696" s="27">
        <v>39</v>
      </c>
      <c r="C696" s="28" t="s">
        <v>774</v>
      </c>
      <c r="D696" s="28" t="s">
        <v>46</v>
      </c>
      <c r="E696" s="27">
        <v>10.5</v>
      </c>
      <c r="F696" s="29">
        <f>LOOKUP(E696,{0,1.5,2.3,3.1,3.9,4.7,5.5,6.8,8.1,9.4,10.7,12,13.3,14.6,15.9,17.2,18.5,20.2,21.9,23.6,25.3},{0,10,20,30,40,50,60,62,64,66,68,70,72,74,76,78,80,85,90,95,100})</f>
        <v>66</v>
      </c>
      <c r="G696" s="27">
        <v>175</v>
      </c>
      <c r="H696" s="29">
        <f>LOOKUP(G696,{0,125,130,135,140,145,150,153,156,159,162,165,168,171,174,177,180,187,194,200,206},{0,10,20,30,40,50,60,62,64,66,68,70,72,74,76,78,80,85,90,95,100})</f>
        <v>76</v>
      </c>
      <c r="I696" s="27">
        <v>50</v>
      </c>
      <c r="J696" s="29">
        <f>LOOKUP(I696,{0,15,17,19,21,23,25,27,29,31,33,35,37,39,41,43,45,48,51,53,55},{0,10,20,30,40,50,60,62,64,66,68,70,72,74,76,78,80,85,90,95,100})</f>
        <v>85</v>
      </c>
      <c r="K696" s="35"/>
      <c r="L696" s="35"/>
      <c r="M696" s="35">
        <f t="shared" si="189"/>
        <v>85</v>
      </c>
      <c r="N696" s="35">
        <v>8.4</v>
      </c>
      <c r="O696" s="36">
        <f t="shared" si="190"/>
        <v>9.6</v>
      </c>
      <c r="P696" s="29">
        <f>LOOKUP(O696,{0,6.6,6.8,7,7.2,7.4,7.6,7.8,8,8.2,8.4,8.6,8.8,9,9.2,9.4,9.6,9.9,10.2,10.3,10.4},{0,10,20,30,40,50,60,62,64,66,68,70,72,74,76,78,80,85,90,95,100})</f>
        <v>80</v>
      </c>
      <c r="Q696" s="5">
        <v>4.25</v>
      </c>
      <c r="R696" s="36">
        <f t="shared" si="191"/>
        <v>5.75</v>
      </c>
      <c r="S696" s="29">
        <f>LOOKUP(R696,{0,4.74,4.84,4.94,5.44,5.54,5.64,5.69,5.74,5.79,5.84,5.89,5.94,5.99,6.44,6.49,6.54,6.61,6.68,6.74,6.8},{0,10,20,30,40,50,60,62,64,66,68,70,72,74,76,78,80,85,90,95,100})</f>
        <v>64</v>
      </c>
      <c r="T696" s="27"/>
      <c r="U696" s="27"/>
      <c r="V696" s="27">
        <f t="shared" si="192"/>
        <v>64</v>
      </c>
      <c r="W696" s="27"/>
      <c r="X696" s="19">
        <f t="shared" si="193"/>
        <v>51.5</v>
      </c>
      <c r="Y696" s="13">
        <f t="shared" si="194"/>
        <v>73.5714285714286</v>
      </c>
      <c r="Z696" s="19"/>
    </row>
    <row r="697" ht="15.6" spans="1:26">
      <c r="A697" s="27">
        <v>315</v>
      </c>
      <c r="B697" s="27">
        <v>40</v>
      </c>
      <c r="C697" s="30" t="s">
        <v>776</v>
      </c>
      <c r="D697" s="28" t="s">
        <v>46</v>
      </c>
      <c r="E697" s="27">
        <v>27</v>
      </c>
      <c r="F697" s="29">
        <f>LOOKUP(E697,{0,1.5,2.3,3.1,3.9,4.7,5.5,6.8,8.1,9.4,10.7,12,13.3,14.6,15.9,17.2,18.5,20.2,21.9,23.6,25.3},{0,10,20,30,40,50,60,62,64,66,68,70,72,74,76,78,80,85,90,95,100})</f>
        <v>100</v>
      </c>
      <c r="G697" s="27">
        <v>160</v>
      </c>
      <c r="H697" s="29">
        <f>LOOKUP(G697,{0,125,130,135,140,145,150,153,156,159,162,165,168,171,174,177,180,187,194,200,206},{0,10,20,30,40,50,60,62,64,66,68,70,72,74,76,78,80,85,90,95,100})</f>
        <v>66</v>
      </c>
      <c r="I697" s="27">
        <v>58</v>
      </c>
      <c r="J697" s="29">
        <f>LOOKUP(I697,{0,15,17,19,21,23,25,27,29,31,33,35,37,39,41,43,45,48,51,53,55},{0,10,20,30,40,50,60,62,64,66,68,70,72,74,76,78,80,85,90,95,100})</f>
        <v>100</v>
      </c>
      <c r="K697" s="34">
        <f>I697-55</f>
        <v>3</v>
      </c>
      <c r="L697" s="29">
        <f>LOOKUP(K697,{0,2,4,6,7,8,9,10,11,12,13},{0,1,2,3,4,5,6,7,8,9,10})</f>
        <v>1</v>
      </c>
      <c r="M697" s="35">
        <f t="shared" si="189"/>
        <v>101</v>
      </c>
      <c r="N697" s="35">
        <v>9.6</v>
      </c>
      <c r="O697" s="36">
        <f t="shared" si="190"/>
        <v>8.4</v>
      </c>
      <c r="P697" s="29">
        <f>LOOKUP(O697,{0,6.6,6.8,7,7.2,7.4,7.6,7.8,8,8.2,8.4,8.6,8.8,9,9.2,9.4,9.6,9.9,10.2,10.3,10.4},{0,10,20,30,40,50,60,62,64,66,68,70,72,74,76,78,80,85,90,95,100})</f>
        <v>68</v>
      </c>
      <c r="Q697" s="5">
        <v>4.19</v>
      </c>
      <c r="R697" s="36">
        <f t="shared" si="191"/>
        <v>5.81</v>
      </c>
      <c r="S697" s="29">
        <f>LOOKUP(R697,{0,4.74,4.84,4.94,5.44,5.54,5.64,5.69,5.74,5.79,5.84,5.89,5.94,5.99,6.44,6.49,6.54,6.61,6.68,6.74,6.8},{0,10,20,30,40,50,60,62,64,66,68,70,72,74,76,78,80,85,90,95,100})</f>
        <v>66</v>
      </c>
      <c r="T697" s="27"/>
      <c r="U697" s="27"/>
      <c r="V697" s="27">
        <f t="shared" si="192"/>
        <v>66</v>
      </c>
      <c r="W697" s="27"/>
      <c r="X697" s="19">
        <f t="shared" si="193"/>
        <v>53.4</v>
      </c>
      <c r="Y697" s="13">
        <f t="shared" si="194"/>
        <v>77.2857142857143</v>
      </c>
      <c r="Z697" s="19"/>
    </row>
    <row r="698" ht="15.6" spans="1:26">
      <c r="A698" s="27">
        <v>315</v>
      </c>
      <c r="B698" s="27">
        <v>41</v>
      </c>
      <c r="C698" s="28" t="s">
        <v>777</v>
      </c>
      <c r="D698" s="28" t="s">
        <v>46</v>
      </c>
      <c r="E698" s="27">
        <v>12</v>
      </c>
      <c r="F698" s="29">
        <f>LOOKUP(E698,{0,1.5,2.3,3.1,3.9,4.7,5.5,6.8,8.1,9.4,10.7,12,13.3,14.6,15.9,17.2,18.5,20.2,21.9,23.6,25.3},{0,10,20,30,40,50,60,62,64,66,68,70,72,74,76,78,80,85,90,95,100})</f>
        <v>70</v>
      </c>
      <c r="G698" s="27">
        <v>178</v>
      </c>
      <c r="H698" s="29">
        <f>LOOKUP(G698,{0,125,130,135,140,145,150,153,156,159,162,165,168,171,174,177,180,187,194,200,206},{0,10,20,30,40,50,60,62,64,66,68,70,72,74,76,78,80,85,90,95,100})</f>
        <v>78</v>
      </c>
      <c r="I698" s="27">
        <v>22</v>
      </c>
      <c r="J698" s="29">
        <f>LOOKUP(I698,{0,15,17,19,21,23,25,27,29,31,33,35,37,39,41,43,45,48,51,53,55},{0,10,20,30,40,50,60,62,64,66,68,70,72,74,76,78,80,85,90,95,100})</f>
        <v>40</v>
      </c>
      <c r="K698" s="35"/>
      <c r="L698" s="35"/>
      <c r="M698" s="35">
        <f t="shared" si="189"/>
        <v>40</v>
      </c>
      <c r="N698" s="35">
        <v>9.8</v>
      </c>
      <c r="O698" s="36">
        <f t="shared" si="190"/>
        <v>8.2</v>
      </c>
      <c r="P698" s="29">
        <f>LOOKUP(O698,{0,6.6,6.8,7,7.2,7.4,7.6,7.8,8,8.2,8.4,8.6,8.8,9,9.2,9.4,9.6,9.9,10.2,10.3,10.4},{0,10,20,30,40,50,60,62,64,66,68,70,72,74,76,78,80,85,90,95,100})</f>
        <v>66</v>
      </c>
      <c r="Q698" s="5">
        <v>4.32</v>
      </c>
      <c r="R698" s="36">
        <f t="shared" si="191"/>
        <v>5.68</v>
      </c>
      <c r="S698" s="29">
        <f>LOOKUP(R698,{0,4.74,4.84,4.94,5.44,5.54,5.64,5.69,5.74,5.79,5.84,5.89,5.94,5.99,6.44,6.49,6.54,6.61,6.68,6.74,6.8},{0,10,20,30,40,50,60,62,64,66,68,70,72,74,76,78,80,85,90,95,100})</f>
        <v>60</v>
      </c>
      <c r="T698" s="27"/>
      <c r="U698" s="27"/>
      <c r="V698" s="27">
        <f t="shared" si="192"/>
        <v>60</v>
      </c>
      <c r="W698" s="27"/>
      <c r="X698" s="19">
        <f t="shared" si="193"/>
        <v>44</v>
      </c>
      <c r="Y698" s="13">
        <f t="shared" si="194"/>
        <v>62.8571428571429</v>
      </c>
      <c r="Z698" s="19"/>
    </row>
    <row r="699" ht="15.6" spans="1:26">
      <c r="A699" s="27">
        <v>315</v>
      </c>
      <c r="B699" s="27">
        <v>42</v>
      </c>
      <c r="C699" s="28" t="s">
        <v>778</v>
      </c>
      <c r="D699" s="28" t="s">
        <v>46</v>
      </c>
      <c r="E699" s="27">
        <v>17.5</v>
      </c>
      <c r="F699" s="29">
        <f>LOOKUP(E699,{0,1.5,2.3,3.1,3.9,4.7,5.5,6.8,8.1,9.4,10.7,12,13.3,14.6,15.9,17.2,18.5,20.2,21.9,23.6,25.3},{0,10,20,30,40,50,60,62,64,66,68,70,72,74,76,78,80,85,90,95,100})</f>
        <v>78</v>
      </c>
      <c r="G699" s="27">
        <v>180</v>
      </c>
      <c r="H699" s="29">
        <f>LOOKUP(G699,{0,125,130,135,140,145,150,153,156,159,162,165,168,171,174,177,180,187,194,200,206},{0,10,20,30,40,50,60,62,64,66,68,70,72,74,76,78,80,85,90,95,100})</f>
        <v>80</v>
      </c>
      <c r="I699" s="27">
        <v>46</v>
      </c>
      <c r="J699" s="29">
        <f>LOOKUP(I699,{0,15,17,19,21,23,25,27,29,31,33,35,37,39,41,43,45,48,51,53,55},{0,10,20,30,40,50,60,62,64,66,68,70,72,74,76,78,80,85,90,95,100})</f>
        <v>80</v>
      </c>
      <c r="K699" s="35"/>
      <c r="L699" s="35"/>
      <c r="M699" s="35">
        <f t="shared" si="189"/>
        <v>80</v>
      </c>
      <c r="N699" s="35">
        <v>8.6</v>
      </c>
      <c r="O699" s="36">
        <f t="shared" si="190"/>
        <v>9.4</v>
      </c>
      <c r="P699" s="29">
        <f>LOOKUP(O699,{0,6.6,6.8,7,7.2,7.4,7.6,7.8,8,8.2,8.4,8.6,8.8,9,9.2,9.4,9.6,9.9,10.2,10.3,10.4},{0,10,20,30,40,50,60,62,64,66,68,70,72,74,76,78,80,85,90,95,100})</f>
        <v>78</v>
      </c>
      <c r="Q699" s="5">
        <v>4.03</v>
      </c>
      <c r="R699" s="36">
        <f t="shared" si="191"/>
        <v>5.97</v>
      </c>
      <c r="S699" s="29">
        <f>LOOKUP(R699,{0,4.74,4.84,4.94,5.44,5.54,5.64,5.69,5.74,5.79,5.84,5.89,5.94,5.99,6.44,6.49,6.54,6.61,6.68,6.74,6.8},{0,10,20,30,40,50,60,62,64,66,68,70,72,74,76,78,80,85,90,95,100})</f>
        <v>72</v>
      </c>
      <c r="T699" s="27"/>
      <c r="U699" s="27"/>
      <c r="V699" s="27">
        <f t="shared" si="192"/>
        <v>72</v>
      </c>
      <c r="W699" s="27"/>
      <c r="X699" s="19">
        <f t="shared" si="193"/>
        <v>53.8</v>
      </c>
      <c r="Y699" s="13">
        <f t="shared" si="194"/>
        <v>76.8571428571429</v>
      </c>
      <c r="Z699" s="19"/>
    </row>
    <row r="700" ht="15.6" spans="1:26">
      <c r="A700" s="27">
        <v>315</v>
      </c>
      <c r="B700" s="27">
        <v>43</v>
      </c>
      <c r="C700" s="28" t="s">
        <v>779</v>
      </c>
      <c r="D700" s="28" t="s">
        <v>46</v>
      </c>
      <c r="E700" s="27">
        <v>9</v>
      </c>
      <c r="F700" s="29">
        <f>LOOKUP(E700,{0,1.5,2.3,3.1,3.9,4.7,5.5,6.8,8.1,9.4,10.7,12,13.3,14.6,15.9,17.2,18.5,20.2,21.9,23.6,25.3},{0,10,20,30,40,50,60,62,64,66,68,70,72,74,76,78,80,85,90,95,100})</f>
        <v>64</v>
      </c>
      <c r="G700" s="27">
        <v>147</v>
      </c>
      <c r="H700" s="29">
        <f>LOOKUP(G700,{0,125,130,135,140,145,150,153,156,159,162,165,168,171,174,177,180,187,194,200,206},{0,10,20,30,40,50,60,62,64,66,68,70,72,74,76,78,80,85,90,95,100})</f>
        <v>50</v>
      </c>
      <c r="I700" s="27">
        <v>39</v>
      </c>
      <c r="J700" s="29">
        <f>LOOKUP(I700,{0,15,17,19,21,23,25,27,29,31,33,35,37,39,41,43,45,48,51,53,55},{0,10,20,30,40,50,60,62,64,66,68,70,72,74,76,78,80,85,90,95,100})</f>
        <v>74</v>
      </c>
      <c r="K700" s="35"/>
      <c r="L700" s="35"/>
      <c r="M700" s="35">
        <f t="shared" si="189"/>
        <v>74</v>
      </c>
      <c r="N700" s="35">
        <v>10.6</v>
      </c>
      <c r="O700" s="36">
        <f t="shared" si="190"/>
        <v>7.4</v>
      </c>
      <c r="P700" s="29">
        <f>LOOKUP(O700,{0,6.6,6.8,7,7.2,7.4,7.6,7.8,8,8.2,8.4,8.6,8.8,9,9.2,9.4,9.6,9.9,10.2,10.3,10.4},{0,10,20,30,40,50,60,62,64,66,68,70,72,74,76,78,80,85,90,95,100})</f>
        <v>50</v>
      </c>
      <c r="Q700" s="5" t="s">
        <v>77</v>
      </c>
      <c r="R700" s="27"/>
      <c r="S700" s="27"/>
      <c r="T700" s="27"/>
      <c r="U700" s="27"/>
      <c r="V700" s="27"/>
      <c r="W700" s="42">
        <v>50</v>
      </c>
      <c r="X700" s="19">
        <f t="shared" si="193"/>
        <v>28.8</v>
      </c>
      <c r="Y700" s="13">
        <v>50</v>
      </c>
      <c r="Z700" s="19"/>
    </row>
    <row r="701" ht="15.6" spans="1:26">
      <c r="A701" s="27">
        <v>315</v>
      </c>
      <c r="B701" s="27">
        <v>44</v>
      </c>
      <c r="C701" s="28" t="s">
        <v>780</v>
      </c>
      <c r="D701" s="28" t="s">
        <v>46</v>
      </c>
      <c r="E701" s="27">
        <v>18.5</v>
      </c>
      <c r="F701" s="29">
        <f>LOOKUP(E701,{0,1.5,2.3,3.1,3.9,4.7,5.5,6.8,8.1,9.4,10.7,12,13.3,14.6,15.9,17.2,18.5,20.2,21.9,23.6,25.3},{0,10,20,30,40,50,60,62,64,66,68,70,72,74,76,78,80,85,90,95,100})</f>
        <v>80</v>
      </c>
      <c r="G701" s="27">
        <v>178</v>
      </c>
      <c r="H701" s="29">
        <f>LOOKUP(G701,{0,125,130,135,140,145,150,153,156,159,162,165,168,171,174,177,180,187,194,200,206},{0,10,20,30,40,50,60,62,64,66,68,70,72,74,76,78,80,85,90,95,100})</f>
        <v>78</v>
      </c>
      <c r="I701" s="27">
        <v>48</v>
      </c>
      <c r="J701" s="29">
        <f>LOOKUP(I701,{0,15,17,19,21,23,25,27,29,31,33,35,37,39,41,43,45,48,51,53,55},{0,10,20,30,40,50,60,62,64,66,68,70,72,74,76,78,80,85,90,95,100})</f>
        <v>85</v>
      </c>
      <c r="K701" s="35"/>
      <c r="L701" s="35"/>
      <c r="M701" s="35">
        <f t="shared" si="189"/>
        <v>85</v>
      </c>
      <c r="N701" s="35">
        <v>8.2</v>
      </c>
      <c r="O701" s="36">
        <f t="shared" si="190"/>
        <v>9.8</v>
      </c>
      <c r="P701" s="29">
        <f>LOOKUP(O701,{0,6.6,6.8,7,7.2,7.4,7.6,7.8,8,8.2,8.4,8.6,8.8,9,9.2,9.4,9.6,9.9,10.2,10.3,10.4},{0,10,20,30,40,50,60,62,64,66,68,70,72,74,76,78,80,85,90,95,100})</f>
        <v>80</v>
      </c>
      <c r="Q701" s="5">
        <v>4.3</v>
      </c>
      <c r="R701" s="36">
        <f t="shared" ref="R701:R710" si="195">10-Q701</f>
        <v>5.7</v>
      </c>
      <c r="S701" s="29">
        <f>LOOKUP(R701,{0,4.74,4.84,4.94,5.44,5.54,5.64,5.69,5.74,5.79,5.84,5.89,5.94,5.99,6.44,6.49,6.54,6.61,6.68,6.74,6.8},{0,10,20,30,40,50,60,62,64,66,68,70,72,74,76,78,80,85,90,95,100})</f>
        <v>62</v>
      </c>
      <c r="T701" s="27"/>
      <c r="U701" s="27"/>
      <c r="V701" s="27">
        <f t="shared" si="192"/>
        <v>62</v>
      </c>
      <c r="W701" s="27"/>
      <c r="X701" s="19">
        <f t="shared" si="193"/>
        <v>52.7</v>
      </c>
      <c r="Y701" s="13">
        <f t="shared" si="194"/>
        <v>75.2857142857143</v>
      </c>
      <c r="Z701" s="19"/>
    </row>
    <row r="702" ht="15.6" spans="1:26">
      <c r="A702" s="27">
        <v>315</v>
      </c>
      <c r="B702" s="27">
        <v>45</v>
      </c>
      <c r="C702" s="28" t="s">
        <v>781</v>
      </c>
      <c r="D702" s="28" t="s">
        <v>46</v>
      </c>
      <c r="E702" s="27">
        <v>8.5</v>
      </c>
      <c r="F702" s="29">
        <f>LOOKUP(E702,{0,1.5,2.3,3.1,3.9,4.7,5.5,6.8,8.1,9.4,10.7,12,13.3,14.6,15.9,17.2,18.5,20.2,21.9,23.6,25.3},{0,10,20,30,40,50,60,62,64,66,68,70,72,74,76,78,80,85,90,95,100})</f>
        <v>64</v>
      </c>
      <c r="G702" s="27">
        <v>180</v>
      </c>
      <c r="H702" s="29">
        <f>LOOKUP(G702,{0,125,130,135,140,145,150,153,156,159,162,165,168,171,174,177,180,187,194,200,206},{0,10,20,30,40,50,60,62,64,66,68,70,72,74,76,78,80,85,90,95,100})</f>
        <v>80</v>
      </c>
      <c r="I702" s="27">
        <v>51</v>
      </c>
      <c r="J702" s="29">
        <f>LOOKUP(I702,{0,15,17,19,21,23,25,27,29,31,33,35,37,39,41,43,45,48,51,53,55},{0,10,20,30,40,50,60,62,64,66,68,70,72,74,76,78,80,85,90,95,100})</f>
        <v>90</v>
      </c>
      <c r="K702" s="35"/>
      <c r="L702" s="39"/>
      <c r="M702" s="35">
        <f t="shared" si="189"/>
        <v>90</v>
      </c>
      <c r="N702" s="35">
        <v>8.7</v>
      </c>
      <c r="O702" s="36">
        <f t="shared" si="190"/>
        <v>9.3</v>
      </c>
      <c r="P702" s="29">
        <f>LOOKUP(O702,{0,6.6,6.8,7,7.2,7.4,7.6,7.8,8,8.2,8.4,8.6,8.8,9,9.2,9.4,9.6,9.9,10.2,10.3,10.4},{0,10,20,30,40,50,60,62,64,66,68,70,72,74,76,78,80,85,90,95,100})</f>
        <v>76</v>
      </c>
      <c r="Q702" s="5">
        <v>4.14</v>
      </c>
      <c r="R702" s="36">
        <f t="shared" si="195"/>
        <v>5.86</v>
      </c>
      <c r="S702" s="29">
        <f>LOOKUP(R702,{0,4.74,4.84,4.94,5.44,5.54,5.64,5.69,5.74,5.79,5.84,5.89,5.94,5.99,6.44,6.49,6.54,6.61,6.68,6.74,6.8},{0,10,20,30,40,50,60,62,64,66,68,70,72,74,76,78,80,85,90,95,100})</f>
        <v>68</v>
      </c>
      <c r="T702" s="27"/>
      <c r="U702" s="27"/>
      <c r="V702" s="27">
        <f t="shared" si="192"/>
        <v>68</v>
      </c>
      <c r="W702" s="27"/>
      <c r="X702" s="19">
        <f t="shared" si="193"/>
        <v>52.2</v>
      </c>
      <c r="Y702" s="13">
        <f t="shared" si="194"/>
        <v>74.5714285714286</v>
      </c>
      <c r="Z702" s="19"/>
    </row>
    <row r="703" ht="15.6" spans="1:26">
      <c r="A703" s="27">
        <v>315</v>
      </c>
      <c r="B703" s="27">
        <v>46</v>
      </c>
      <c r="C703" s="28" t="s">
        <v>782</v>
      </c>
      <c r="D703" s="28" t="s">
        <v>46</v>
      </c>
      <c r="E703" s="27">
        <v>23.5</v>
      </c>
      <c r="F703" s="29">
        <f>LOOKUP(E703,{0,1.5,2.3,3.1,3.9,4.7,5.5,6.8,8.1,9.4,10.7,12,13.3,14.6,15.9,17.2,18.5,20.2,21.9,23.6,25.3},{0,10,20,30,40,50,60,62,64,66,68,70,72,74,76,78,80,85,90,95,100})</f>
        <v>90</v>
      </c>
      <c r="G703" s="27">
        <v>170</v>
      </c>
      <c r="H703" s="29">
        <f>LOOKUP(G703,{0,125,130,135,140,145,150,153,156,159,162,165,168,171,174,177,180,187,194,200,206},{0,10,20,30,40,50,60,62,64,66,68,70,72,74,76,78,80,85,90,95,100})</f>
        <v>72</v>
      </c>
      <c r="I703" s="27">
        <v>35</v>
      </c>
      <c r="J703" s="29">
        <f>LOOKUP(I703,{0,15,17,19,21,23,25,27,29,31,33,35,37,39,41,43,45,48,51,53,55},{0,10,20,30,40,50,60,62,64,66,68,70,72,74,76,78,80,85,90,95,100})</f>
        <v>70</v>
      </c>
      <c r="K703" s="35"/>
      <c r="L703" s="35"/>
      <c r="M703" s="35">
        <f t="shared" si="189"/>
        <v>70</v>
      </c>
      <c r="N703" s="35">
        <v>8.7</v>
      </c>
      <c r="O703" s="36">
        <f t="shared" si="190"/>
        <v>9.3</v>
      </c>
      <c r="P703" s="29">
        <f>LOOKUP(O703,{0,6.6,6.8,7,7.2,7.4,7.6,7.8,8,8.2,8.4,8.6,8.8,9,9.2,9.4,9.6,9.9,10.2,10.3,10.4},{0,10,20,30,40,50,60,62,64,66,68,70,72,74,76,78,80,85,90,95,100})</f>
        <v>76</v>
      </c>
      <c r="Q703" s="5">
        <v>4.18</v>
      </c>
      <c r="R703" s="36">
        <f t="shared" si="195"/>
        <v>5.82</v>
      </c>
      <c r="S703" s="29">
        <f>LOOKUP(R703,{0,4.74,4.84,4.94,5.44,5.54,5.64,5.69,5.74,5.79,5.84,5.89,5.94,5.99,6.44,6.49,6.54,6.61,6.68,6.74,6.8},{0,10,20,30,40,50,60,62,64,66,68,70,72,74,76,78,80,85,90,95,100})</f>
        <v>66</v>
      </c>
      <c r="T703" s="27"/>
      <c r="U703" s="27"/>
      <c r="V703" s="27">
        <f t="shared" si="192"/>
        <v>66</v>
      </c>
      <c r="W703" s="27"/>
      <c r="X703" s="19">
        <f t="shared" si="193"/>
        <v>51.6</v>
      </c>
      <c r="Y703" s="13">
        <f t="shared" si="194"/>
        <v>73.7142857142857</v>
      </c>
      <c r="Z703" s="19"/>
    </row>
    <row r="704" ht="15.6" spans="1:26">
      <c r="A704" s="27">
        <v>315</v>
      </c>
      <c r="B704" s="27">
        <v>47</v>
      </c>
      <c r="C704" s="28" t="s">
        <v>783</v>
      </c>
      <c r="D704" s="28" t="s">
        <v>46</v>
      </c>
      <c r="E704" s="27">
        <v>7</v>
      </c>
      <c r="F704" s="29">
        <f>LOOKUP(E704,{0,1.5,2.3,3.1,3.9,4.7,5.5,6.8,8.1,9.4,10.7,12,13.3,14.6,15.9,17.2,18.5,20.2,21.9,23.6,25.3},{0,10,20,30,40,50,60,62,64,66,68,70,72,74,76,78,80,85,90,95,100})</f>
        <v>62</v>
      </c>
      <c r="G704" s="27">
        <v>178</v>
      </c>
      <c r="H704" s="29">
        <f>LOOKUP(G704,{0,125,130,135,140,145,150,153,156,159,162,165,168,171,174,177,180,187,194,200,206},{0,10,20,30,40,50,60,62,64,66,68,70,72,74,76,78,80,85,90,95,100})</f>
        <v>78</v>
      </c>
      <c r="I704" s="27">
        <v>50</v>
      </c>
      <c r="J704" s="29">
        <f>LOOKUP(I704,{0,15,17,19,21,23,25,27,29,31,33,35,37,39,41,43,45,48,51,53,55},{0,10,20,30,40,50,60,62,64,66,68,70,72,74,76,78,80,85,90,95,100})</f>
        <v>85</v>
      </c>
      <c r="K704" s="35"/>
      <c r="L704" s="35"/>
      <c r="M704" s="35">
        <f t="shared" si="189"/>
        <v>85</v>
      </c>
      <c r="N704" s="35">
        <v>9.2</v>
      </c>
      <c r="O704" s="36">
        <f t="shared" si="190"/>
        <v>8.8</v>
      </c>
      <c r="P704" s="29">
        <f>LOOKUP(O704,{0,6.6,6.8,7,7.2,7.4,7.6,7.8,8,8.2,8.4,8.6,8.8,9,9.2,9.4,9.6,9.9,10.2,10.3,10.4},{0,10,20,30,40,50,60,62,64,66,68,70,72,74,76,78,80,85,90,95,100})</f>
        <v>72</v>
      </c>
      <c r="Q704" s="5">
        <v>3.38</v>
      </c>
      <c r="R704" s="36">
        <f t="shared" si="195"/>
        <v>6.62</v>
      </c>
      <c r="S704" s="29">
        <f>LOOKUP(R704,{0,4.74,4.84,4.94,5.44,5.54,5.64,5.69,5.74,5.79,5.84,5.89,5.94,5.99,6.44,6.49,6.54,6.61,6.68,6.74,6.8},{0,10,20,30,40,50,60,62,64,66,68,70,72,74,76,78,80,85,90,95,100})</f>
        <v>85</v>
      </c>
      <c r="T704" s="27"/>
      <c r="U704" s="27"/>
      <c r="V704" s="27">
        <f t="shared" si="192"/>
        <v>85</v>
      </c>
      <c r="W704" s="27"/>
      <c r="X704" s="19">
        <f t="shared" si="193"/>
        <v>53.9</v>
      </c>
      <c r="Y704" s="13">
        <f t="shared" si="194"/>
        <v>77</v>
      </c>
      <c r="Z704" s="19"/>
    </row>
    <row r="705" ht="15.6" spans="1:26">
      <c r="A705" s="27">
        <v>315</v>
      </c>
      <c r="B705" s="27">
        <v>48</v>
      </c>
      <c r="C705" s="28" t="s">
        <v>784</v>
      </c>
      <c r="D705" s="28" t="s">
        <v>46</v>
      </c>
      <c r="E705" s="27">
        <v>19</v>
      </c>
      <c r="F705" s="29">
        <f>LOOKUP(E705,{0,1.5,2.3,3.1,3.9,4.7,5.5,6.8,8.1,9.4,10.7,12,13.3,14.6,15.9,17.2,18.5,20.2,21.9,23.6,25.3},{0,10,20,30,40,50,60,62,64,66,68,70,72,74,76,78,80,85,90,95,100})</f>
        <v>80</v>
      </c>
      <c r="G705" s="27">
        <v>175</v>
      </c>
      <c r="H705" s="29">
        <f>LOOKUP(G705,{0,125,130,135,140,145,150,153,156,159,162,165,168,171,174,177,180,187,194,200,206},{0,10,20,30,40,50,60,62,64,66,68,70,72,74,76,78,80,85,90,95,100})</f>
        <v>76</v>
      </c>
      <c r="I705" s="27" t="s">
        <v>77</v>
      </c>
      <c r="J705" s="29"/>
      <c r="K705" s="35"/>
      <c r="L705" s="35"/>
      <c r="M705" s="35"/>
      <c r="N705" s="35">
        <v>9.4</v>
      </c>
      <c r="O705" s="36">
        <f t="shared" si="190"/>
        <v>8.6</v>
      </c>
      <c r="P705" s="29">
        <f>LOOKUP(O705,{0,6.6,6.8,7,7.2,7.4,7.6,7.8,8,8.2,8.4,8.6,8.8,9,9.2,9.4,9.6,9.9,10.2,10.3,10.4},{0,10,20,30,40,50,60,62,64,66,68,70,72,74,76,78,80,85,90,95,100})</f>
        <v>70</v>
      </c>
      <c r="Q705" s="5">
        <v>4.27</v>
      </c>
      <c r="R705" s="36">
        <f t="shared" si="195"/>
        <v>5.73</v>
      </c>
      <c r="S705" s="29">
        <f>LOOKUP(R705,{0,4.74,4.84,4.94,5.44,5.54,5.64,5.69,5.74,5.79,5.84,5.89,5.94,5.99,6.44,6.49,6.54,6.61,6.68,6.74,6.8},{0,10,20,30,40,50,60,62,64,66,68,70,72,74,76,78,80,85,90,95,100})</f>
        <v>62</v>
      </c>
      <c r="T705" s="27"/>
      <c r="U705" s="27"/>
      <c r="V705" s="27">
        <f t="shared" si="192"/>
        <v>62</v>
      </c>
      <c r="W705" s="27"/>
      <c r="X705" s="19">
        <f t="shared" si="193"/>
        <v>42</v>
      </c>
      <c r="Y705" s="13">
        <f t="shared" si="194"/>
        <v>60</v>
      </c>
      <c r="Z705" s="19"/>
    </row>
    <row r="706" ht="15.6" spans="1:26">
      <c r="A706" s="27">
        <v>315</v>
      </c>
      <c r="B706" s="27">
        <v>49</v>
      </c>
      <c r="C706" s="28" t="s">
        <v>785</v>
      </c>
      <c r="D706" s="28" t="s">
        <v>46</v>
      </c>
      <c r="E706" s="27">
        <v>20.5</v>
      </c>
      <c r="F706" s="29">
        <f>LOOKUP(E706,{0,1.5,2.3,3.1,3.9,4.7,5.5,6.8,8.1,9.4,10.7,12,13.3,14.6,15.9,17.2,18.5,20.2,21.9,23.6,25.3},{0,10,20,30,40,50,60,62,64,66,68,70,72,74,76,78,80,85,90,95,100})</f>
        <v>85</v>
      </c>
      <c r="G706" s="27">
        <v>188</v>
      </c>
      <c r="H706" s="29">
        <f>LOOKUP(G706,{0,125,130,135,140,145,150,153,156,159,162,165,168,171,174,177,180,187,194,200,206},{0,10,20,30,40,50,60,62,64,66,68,70,72,74,76,78,80,85,90,95,100})</f>
        <v>85</v>
      </c>
      <c r="I706" s="27">
        <v>48</v>
      </c>
      <c r="J706" s="29">
        <f>LOOKUP(I706,{0,15,17,19,21,23,25,27,29,31,33,35,37,39,41,43,45,48,51,53,55},{0,10,20,30,40,50,60,62,64,66,68,70,72,74,76,78,80,85,90,95,100})</f>
        <v>85</v>
      </c>
      <c r="K706" s="35"/>
      <c r="L706" s="35"/>
      <c r="M706" s="35">
        <f t="shared" si="189"/>
        <v>85</v>
      </c>
      <c r="N706" s="35">
        <v>8.9</v>
      </c>
      <c r="O706" s="36">
        <f t="shared" si="190"/>
        <v>9.1</v>
      </c>
      <c r="P706" s="29">
        <f>LOOKUP(O706,{0,6.6,6.8,7,7.2,7.4,7.6,7.8,8,8.2,8.4,8.6,8.8,9,9.2,9.4,9.6,9.9,10.2,10.3,10.4},{0,10,20,30,40,50,60,62,64,66,68,70,72,74,76,78,80,85,90,95,100})</f>
        <v>74</v>
      </c>
      <c r="Q706" s="5">
        <v>4.26</v>
      </c>
      <c r="R706" s="36">
        <f t="shared" si="195"/>
        <v>5.74</v>
      </c>
      <c r="S706" s="29">
        <f>LOOKUP(R706,{0,4.74,4.84,4.94,5.44,5.54,5.64,5.69,5.74,5.79,5.84,5.89,5.94,5.99,6.44,6.49,6.54,6.61,6.68,6.74,6.8},{0,10,20,30,40,50,60,62,64,66,68,70,72,74,76,78,80,85,90,95,100})</f>
        <v>64</v>
      </c>
      <c r="T706" s="27"/>
      <c r="U706" s="27"/>
      <c r="V706" s="27">
        <f t="shared" si="192"/>
        <v>64</v>
      </c>
      <c r="W706" s="27"/>
      <c r="X706" s="19">
        <f t="shared" si="193"/>
        <v>53.1</v>
      </c>
      <c r="Y706" s="13">
        <f t="shared" si="194"/>
        <v>75.8571428571428</v>
      </c>
      <c r="Z706" s="19"/>
    </row>
    <row r="707" ht="15.6" spans="1:26">
      <c r="A707" s="27">
        <v>315</v>
      </c>
      <c r="B707" s="27">
        <v>50</v>
      </c>
      <c r="C707" s="38" t="s">
        <v>786</v>
      </c>
      <c r="D707" s="38" t="s">
        <v>46</v>
      </c>
      <c r="E707" s="27">
        <v>8.5</v>
      </c>
      <c r="F707" s="29">
        <f>LOOKUP(E707,{0,1.5,2.3,3.1,3.9,4.7,5.5,6.8,8.1,9.4,10.7,12,13.3,14.6,15.9,17.2,18.5,20.2,21.9,23.6,25.3},{0,10,20,30,40,50,60,62,64,66,68,70,72,74,76,78,80,85,90,95,100})</f>
        <v>64</v>
      </c>
      <c r="G707" s="27">
        <v>175</v>
      </c>
      <c r="H707" s="29">
        <f>LOOKUP(G707,{0,125,130,135,140,145,150,153,156,159,162,165,168,171,174,177,180,187,194,200,206},{0,10,20,30,40,50,60,62,64,66,68,70,72,74,76,78,80,85,90,95,100})</f>
        <v>76</v>
      </c>
      <c r="I707" s="27">
        <v>39</v>
      </c>
      <c r="J707" s="29">
        <f>LOOKUP(I707,{0,15,17,19,21,23,25,27,29,31,33,35,37,39,41,43,45,48,51,53,55},{0,10,20,30,40,50,60,62,64,66,68,70,72,74,76,78,80,85,90,95,100})</f>
        <v>74</v>
      </c>
      <c r="K707" s="35"/>
      <c r="L707" s="35"/>
      <c r="M707" s="35">
        <f t="shared" si="189"/>
        <v>74</v>
      </c>
      <c r="N707" s="35">
        <v>8.7</v>
      </c>
      <c r="O707" s="36">
        <f t="shared" si="190"/>
        <v>9.3</v>
      </c>
      <c r="P707" s="29">
        <f>LOOKUP(O707,{0,6.6,6.8,7,7.2,7.4,7.6,7.8,8,8.2,8.4,8.6,8.8,9,9.2,9.4,9.6,9.9,10.2,10.3,10.4},{0,10,20,30,40,50,60,62,64,66,68,70,72,74,76,78,80,85,90,95,100})</f>
        <v>76</v>
      </c>
      <c r="Q707" s="5">
        <v>4.24</v>
      </c>
      <c r="R707" s="36">
        <f t="shared" si="195"/>
        <v>5.76</v>
      </c>
      <c r="S707" s="29">
        <f>LOOKUP(R707,{0,4.74,4.84,4.94,5.44,5.54,5.64,5.69,5.74,5.79,5.84,5.89,5.94,5.99,6.44,6.49,6.54,6.61,6.68,6.74,6.8},{0,10,20,30,40,50,60,62,64,66,68,70,72,74,76,78,80,85,90,95,100})</f>
        <v>64</v>
      </c>
      <c r="T707" s="27"/>
      <c r="U707" s="27"/>
      <c r="V707" s="27">
        <f t="shared" si="192"/>
        <v>64</v>
      </c>
      <c r="W707" s="27"/>
      <c r="X707" s="19">
        <f t="shared" si="193"/>
        <v>49.4</v>
      </c>
      <c r="Y707" s="13">
        <f t="shared" si="194"/>
        <v>70.5714285714286</v>
      </c>
      <c r="Z707" s="22"/>
    </row>
    <row r="708" ht="15.6" spans="1:26">
      <c r="A708" s="27">
        <v>316</v>
      </c>
      <c r="B708" s="27">
        <v>1</v>
      </c>
      <c r="C708" s="30" t="s">
        <v>788</v>
      </c>
      <c r="D708" s="28" t="s">
        <v>12</v>
      </c>
      <c r="E708" s="27">
        <v>1</v>
      </c>
      <c r="F708" s="29">
        <f>LOOKUP(E708,{0,-1.8,-0.8,0.2,1.2,2.2,3.2,4.6,6,7.4,8.8,10.2,11.6,13,14.4,15.8,17.2,19.1,21,22.8,24.6},{0,10,20,30,40,50,60,62,64,66,68,70,72,74,76,78,80,85,90,95,100})</f>
        <v>30</v>
      </c>
      <c r="G708" s="27">
        <v>230</v>
      </c>
      <c r="H708" s="29">
        <f>LOOKUP(G708,{0,180,185,190,195,200,205,209,213,217,221,225,229,233,237,241,245,253,260,265,270},{0,10,20,30,40,50,60,62,64,66,68,70,72,74,76,78,80,85,90,95,100})</f>
        <v>72</v>
      </c>
      <c r="I708" s="27">
        <v>8</v>
      </c>
      <c r="J708" s="29">
        <f>LOOKUP(I708,{0,4,5,6,7,8,9,10,11,12,13,14,15,16,17,18},{0,10,20,30,40,50,60,64,68,72,76,80,85,90,95,100})</f>
        <v>50</v>
      </c>
      <c r="K708" s="44"/>
      <c r="L708" s="35"/>
      <c r="M708" s="35">
        <f t="shared" si="189"/>
        <v>50</v>
      </c>
      <c r="N708" s="35">
        <v>6.8</v>
      </c>
      <c r="O708" s="36">
        <f t="shared" si="190"/>
        <v>11.2</v>
      </c>
      <c r="P708" s="29">
        <f>LOOKUP(O708,{0,7.8,8,8.2,8.4,8.6,8.8,9,9.2,9.4,9.6,9.8,10,10.2,10.4,10.6,10.8,10.9,11,11.1,11.2},{0,10,20,30,40,50,60,62,64,66,68,70,72,74,76,78,80,85,90,95,100})</f>
        <v>100</v>
      </c>
      <c r="Q708" s="5">
        <v>4.54</v>
      </c>
      <c r="R708" s="36">
        <f t="shared" si="195"/>
        <v>5.46</v>
      </c>
      <c r="S708" s="29">
        <f>LOOKUP(R708,{0,3.85,4.45,4.65,4.85,5.45,5.65,5.7,5.75,5.8,5.85,5.9,5.95,6,6.45,6.5,6.55,6.63,6.7,6.75,6.8},{0,10,20,30,40,50,60,62,64,66,68,70,72,74,76,78,80,85,90,95,100})</f>
        <v>50</v>
      </c>
      <c r="T708" s="27"/>
      <c r="U708" s="27"/>
      <c r="V708" s="27">
        <f t="shared" si="192"/>
        <v>50</v>
      </c>
      <c r="W708" s="27"/>
      <c r="X708" s="19">
        <f t="shared" si="193"/>
        <v>45.2</v>
      </c>
      <c r="Y708" s="13">
        <f t="shared" si="194"/>
        <v>64.5714285714286</v>
      </c>
      <c r="Z708" s="20"/>
    </row>
    <row r="709" ht="15.6" spans="1:26">
      <c r="A709" s="27">
        <v>316</v>
      </c>
      <c r="B709" s="27">
        <v>2</v>
      </c>
      <c r="C709" s="28" t="s">
        <v>789</v>
      </c>
      <c r="D709" s="28" t="s">
        <v>12</v>
      </c>
      <c r="E709" s="27">
        <v>4</v>
      </c>
      <c r="F709" s="29">
        <f>LOOKUP(E709,{0,-1.8,-0.8,0.2,1.2,2.2,3.2,4.6,6,7.4,8.8,10.2,11.6,13,14.4,15.8,17.2,19.1,21,22.8,24.6},{0,10,20,30,40,50,60,62,64,66,68,70,72,74,76,78,80,85,90,95,100})</f>
        <v>60</v>
      </c>
      <c r="G709" s="27">
        <v>250</v>
      </c>
      <c r="H709" s="29">
        <f>LOOKUP(G709,{0,180,185,190,195,200,205,209,213,217,221,225,229,233,237,241,245,253,260,265,270},{0,10,20,30,40,50,60,62,64,66,68,70,72,74,76,78,80,85,90,95,100})</f>
        <v>80</v>
      </c>
      <c r="I709" s="27">
        <v>29</v>
      </c>
      <c r="J709" s="29">
        <f>LOOKUP(I709,{0,4,5,6,7,8,9,10,11,12,13,14,15,16,17,18},{0,10,20,30,40,50,60,64,68,72,76,80,85,90,95,100})</f>
        <v>100</v>
      </c>
      <c r="K709" s="44">
        <f>I709-18</f>
        <v>11</v>
      </c>
      <c r="L709" s="40">
        <f>LOOKUP(K709,{0,1,2,3,4,5,6,7,8,9,10},{0,1,2,3,4,5,6,7,8,9,10})</f>
        <v>10</v>
      </c>
      <c r="M709" s="35">
        <f t="shared" si="189"/>
        <v>110</v>
      </c>
      <c r="N709" s="35">
        <v>7</v>
      </c>
      <c r="O709" s="36">
        <f t="shared" si="190"/>
        <v>11</v>
      </c>
      <c r="P709" s="29">
        <f>LOOKUP(O709,{0,7.8,8,8.2,8.4,8.6,8.8,9,9.2,9.4,9.6,9.8,10,10.2,10.4,10.6,10.8,10.9,11,11.1,11.2},{0,10,20,30,40,50,60,62,64,66,68,70,72,74,76,78,80,85,90,95,100})</f>
        <v>90</v>
      </c>
      <c r="Q709" s="5">
        <v>4.54</v>
      </c>
      <c r="R709" s="36">
        <f t="shared" si="195"/>
        <v>5.46</v>
      </c>
      <c r="S709" s="29">
        <f>LOOKUP(R709,{0,3.85,4.45,4.65,4.85,5.45,5.65,5.7,5.75,5.8,5.85,5.9,5.95,6,6.45,6.5,6.55,6.63,6.7,6.75,6.8},{0,10,20,30,40,50,60,62,64,66,68,70,72,74,76,78,80,85,90,95,100})</f>
        <v>50</v>
      </c>
      <c r="T709" s="27"/>
      <c r="U709" s="27"/>
      <c r="V709" s="27">
        <f t="shared" si="192"/>
        <v>50</v>
      </c>
      <c r="W709" s="27"/>
      <c r="X709" s="19">
        <f t="shared" si="193"/>
        <v>52</v>
      </c>
      <c r="Y709" s="13">
        <f t="shared" si="194"/>
        <v>84.2857142857143</v>
      </c>
      <c r="Z709" s="19"/>
    </row>
    <row r="710" ht="15.6" spans="1:26">
      <c r="A710" s="27">
        <v>316</v>
      </c>
      <c r="B710" s="27">
        <v>3</v>
      </c>
      <c r="C710" s="28" t="s">
        <v>790</v>
      </c>
      <c r="D710" s="28" t="s">
        <v>12</v>
      </c>
      <c r="E710" s="27">
        <v>3</v>
      </c>
      <c r="F710" s="29">
        <f>LOOKUP(E710,{0,-1.8,-0.8,0.2,1.2,2.2,3.2,4.6,6,7.4,8.8,10.2,11.6,13,14.4,15.8,17.2,19.1,21,22.8,24.6},{0,10,20,30,40,50,60,62,64,66,68,70,72,74,76,78,80,85,90,95,100})</f>
        <v>50</v>
      </c>
      <c r="G710" s="27">
        <v>280</v>
      </c>
      <c r="H710" s="29">
        <f>LOOKUP(G710,{0,180,185,190,195,200,205,209,213,217,221,225,229,233,237,241,245,253,260,265,270},{0,10,20,30,40,50,60,62,64,66,68,70,72,74,76,78,80,85,90,95,100})</f>
        <v>100</v>
      </c>
      <c r="I710" s="27">
        <v>10</v>
      </c>
      <c r="J710" s="29">
        <f>LOOKUP(I710,{0,4,5,6,7,8,9,10,11,12,13,14,15,16,17,18},{0,10,20,30,40,50,60,64,68,72,76,80,85,90,95,100})</f>
        <v>64</v>
      </c>
      <c r="K710" s="44"/>
      <c r="L710" s="35"/>
      <c r="M710" s="35">
        <f t="shared" si="189"/>
        <v>64</v>
      </c>
      <c r="N710" s="35">
        <v>6.5</v>
      </c>
      <c r="O710" s="36">
        <f t="shared" si="190"/>
        <v>11.5</v>
      </c>
      <c r="P710" s="29">
        <f>LOOKUP(O710,{0,7.8,8,8.2,8.4,8.6,8.8,9,9.2,9.4,9.6,9.8,10,10.2,10.4,10.6,10.8,10.9,11,11.1,11.2},{0,10,20,30,40,50,60,62,64,66,68,70,72,74,76,78,80,85,90,95,100})</f>
        <v>100</v>
      </c>
      <c r="Q710" s="5">
        <v>3.18</v>
      </c>
      <c r="R710" s="36">
        <f t="shared" si="195"/>
        <v>6.82</v>
      </c>
      <c r="S710" s="29">
        <f>LOOKUP(R710,{0,3.85,4.45,4.65,4.85,5.45,5.65,5.7,5.75,5.8,5.85,5.9,5.95,6,6.45,6.5,6.55,6.63,6.7,6.75,6.8},{0,10,20,30,40,50,60,62,64,66,68,70,72,74,76,78,80,85,90,95,100})</f>
        <v>100</v>
      </c>
      <c r="T710" s="27">
        <f>3.2-Q710</f>
        <v>0.02</v>
      </c>
      <c r="U710" s="29">
        <f>LOOKUP(T710,{0,0.04,0.08,0.12,0.16,0.2,0.23,0.26,0.29,0.32,0.35},{0,1,2,3,4,5,6,7,8,9,10})</f>
        <v>0</v>
      </c>
      <c r="V710" s="27">
        <f t="shared" si="192"/>
        <v>100</v>
      </c>
      <c r="W710" s="27"/>
      <c r="X710" s="19">
        <f t="shared" si="193"/>
        <v>61.4</v>
      </c>
      <c r="Y710" s="13">
        <f t="shared" si="194"/>
        <v>87.7142857142857</v>
      </c>
      <c r="Z710" s="19"/>
    </row>
    <row r="711" ht="15.6" spans="1:26">
      <c r="A711" s="27">
        <v>316</v>
      </c>
      <c r="B711" s="27">
        <v>4</v>
      </c>
      <c r="C711" s="28" t="s">
        <v>791</v>
      </c>
      <c r="D711" s="28" t="s">
        <v>12</v>
      </c>
      <c r="E711" s="27"/>
      <c r="F711" s="29"/>
      <c r="G711" s="27"/>
      <c r="H711" s="29"/>
      <c r="I711" s="27"/>
      <c r="J711" s="35"/>
      <c r="K711" s="44"/>
      <c r="L711" s="35"/>
      <c r="M711" s="35"/>
      <c r="N711" s="35"/>
      <c r="O711" s="5"/>
      <c r="P711" s="5"/>
      <c r="Q711" s="5"/>
      <c r="R711" s="27"/>
      <c r="S711" s="27"/>
      <c r="T711" s="27"/>
      <c r="U711" s="27"/>
      <c r="V711" s="27"/>
      <c r="W711" s="27">
        <v>50</v>
      </c>
      <c r="X711" s="19"/>
      <c r="Y711" s="19">
        <v>50</v>
      </c>
      <c r="Z711" s="19"/>
    </row>
    <row r="712" ht="15.6" spans="1:26">
      <c r="A712" s="27">
        <v>316</v>
      </c>
      <c r="B712" s="27">
        <v>5</v>
      </c>
      <c r="C712" s="28" t="s">
        <v>792</v>
      </c>
      <c r="D712" s="28" t="s">
        <v>12</v>
      </c>
      <c r="E712" s="27">
        <v>11</v>
      </c>
      <c r="F712" s="29">
        <f>LOOKUP(E712,{0,-1.8,-0.8,0.2,1.2,2.2,3.2,4.6,6,7.4,8.8,10.2,11.6,13,14.4,15.8,17.2,19.1,21,22.8,24.6},{0,10,20,30,40,50,60,62,64,66,68,70,72,74,76,78,80,85,90,95,100})</f>
        <v>70</v>
      </c>
      <c r="G712" s="27">
        <v>260</v>
      </c>
      <c r="H712" s="29">
        <f>LOOKUP(G712,{0,180,185,190,195,200,205,209,213,217,221,225,229,233,237,241,245,253,260,265,270},{0,10,20,30,40,50,60,62,64,66,68,70,72,74,76,78,80,85,90,95,100})</f>
        <v>90</v>
      </c>
      <c r="I712" s="27">
        <v>17</v>
      </c>
      <c r="J712" s="29">
        <f>LOOKUP(I712,{0,4,5,6,7,8,9,10,11,12,13,14,15,16,17,18},{0,10,20,30,40,50,60,64,68,72,76,80,85,90,95,100})</f>
        <v>95</v>
      </c>
      <c r="K712" s="44"/>
      <c r="L712" s="35"/>
      <c r="M712" s="35">
        <f t="shared" ref="M712:M721" si="196">J712+L712</f>
        <v>95</v>
      </c>
      <c r="N712" s="35">
        <v>6.9</v>
      </c>
      <c r="O712" s="36">
        <f t="shared" ref="O712:O721" si="197">18-N712</f>
        <v>11.1</v>
      </c>
      <c r="P712" s="29">
        <f>LOOKUP(O712,{0,7.8,8,8.2,8.4,8.6,8.8,9,9.2,9.4,9.6,9.8,10,10.2,10.4,10.6,10.8,10.9,11,11.1,11.2},{0,10,20,30,40,50,60,62,64,66,68,70,72,74,76,78,80,85,90,95,100})</f>
        <v>95</v>
      </c>
      <c r="Q712" s="5">
        <v>4.54</v>
      </c>
      <c r="R712" s="36">
        <f t="shared" ref="R712:R721" si="198">10-Q712</f>
        <v>5.46</v>
      </c>
      <c r="S712" s="29">
        <f>LOOKUP(R712,{0,3.85,4.45,4.65,4.85,5.45,5.65,5.7,5.75,5.8,5.85,5.9,5.95,6,6.45,6.5,6.55,6.63,6.7,6.75,6.8},{0,10,20,30,40,50,60,62,64,66,68,70,72,74,76,78,80,85,90,95,100})</f>
        <v>50</v>
      </c>
      <c r="T712" s="27"/>
      <c r="U712" s="27"/>
      <c r="V712" s="27">
        <f t="shared" ref="V712:V721" si="199">S712+U712</f>
        <v>50</v>
      </c>
      <c r="W712" s="27"/>
      <c r="X712" s="19">
        <f t="shared" ref="X712:X721" si="200">F712*0.1+H712*0.1+J712*0.1+P712*0.2+S712*0.2</f>
        <v>54.5</v>
      </c>
      <c r="Y712" s="13">
        <f t="shared" ref="Y712:Y721" si="201">X712/0.7+L712+U712</f>
        <v>77.8571428571429</v>
      </c>
      <c r="Z712" s="19"/>
    </row>
    <row r="713" ht="15.6" spans="1:26">
      <c r="A713" s="27">
        <v>316</v>
      </c>
      <c r="B713" s="27">
        <v>6</v>
      </c>
      <c r="C713" s="28" t="s">
        <v>793</v>
      </c>
      <c r="D713" s="28" t="s">
        <v>12</v>
      </c>
      <c r="E713" s="27">
        <v>18</v>
      </c>
      <c r="F713" s="29">
        <f>LOOKUP(E713,{0,-1.8,-0.8,0.2,1.2,2.2,3.2,4.6,6,7.4,8.8,10.2,11.6,13,14.4,15.8,17.2,19.1,21,22.8,24.6},{0,10,20,30,40,50,60,62,64,66,68,70,72,74,76,78,80,85,90,95,100})</f>
        <v>80</v>
      </c>
      <c r="G713" s="27">
        <v>195</v>
      </c>
      <c r="H713" s="29">
        <f>LOOKUP(G713,{0,180,185,190,195,200,205,209,213,217,221,225,229,233,237,241,245,253,260,265,270},{0,10,20,30,40,50,60,62,64,66,68,70,72,74,76,78,80,85,90,95,100})</f>
        <v>40</v>
      </c>
      <c r="I713" s="27">
        <v>0</v>
      </c>
      <c r="J713" s="29">
        <f>LOOKUP(I713,{0,4,5,6,7,8,9,10,11,12,13,14,15,16,17,18},{0,10,20,30,40,50,60,64,68,72,76,80,85,90,95,100})</f>
        <v>0</v>
      </c>
      <c r="K713" s="44"/>
      <c r="L713" s="35"/>
      <c r="M713" s="35">
        <f t="shared" si="196"/>
        <v>0</v>
      </c>
      <c r="N713" s="35">
        <v>7.9</v>
      </c>
      <c r="O713" s="36">
        <f t="shared" si="197"/>
        <v>10.1</v>
      </c>
      <c r="P713" s="29">
        <f>LOOKUP(O713,{0,7.8,8,8.2,8.4,8.6,8.8,9,9.2,9.4,9.6,9.8,10,10.2,10.4,10.6,10.8,10.9,11,11.1,11.2},{0,10,20,30,40,50,60,62,64,66,68,70,72,74,76,78,80,85,90,95,100})</f>
        <v>72</v>
      </c>
      <c r="Q713" s="5">
        <v>4.54</v>
      </c>
      <c r="R713" s="36">
        <f t="shared" si="198"/>
        <v>5.46</v>
      </c>
      <c r="S713" s="29">
        <f>LOOKUP(R713,{0,3.85,4.45,4.65,4.85,5.45,5.65,5.7,5.75,5.8,5.85,5.9,5.95,6,6.45,6.5,6.55,6.63,6.7,6.75,6.8},{0,10,20,30,40,50,60,62,64,66,68,70,72,74,76,78,80,85,90,95,100})</f>
        <v>50</v>
      </c>
      <c r="T713" s="27"/>
      <c r="U713" s="27"/>
      <c r="V713" s="27">
        <f t="shared" si="199"/>
        <v>50</v>
      </c>
      <c r="W713" s="27"/>
      <c r="X713" s="19">
        <f t="shared" si="200"/>
        <v>36.4</v>
      </c>
      <c r="Y713" s="13">
        <f t="shared" si="201"/>
        <v>52</v>
      </c>
      <c r="Z713" s="19"/>
    </row>
    <row r="714" ht="15.6" spans="1:26">
      <c r="A714" s="27">
        <v>316</v>
      </c>
      <c r="B714" s="27">
        <v>7</v>
      </c>
      <c r="C714" s="28" t="s">
        <v>794</v>
      </c>
      <c r="D714" s="28" t="s">
        <v>12</v>
      </c>
      <c r="E714" s="27">
        <v>17.2</v>
      </c>
      <c r="F714" s="29">
        <f>LOOKUP(E714,{0,-1.8,-0.8,0.2,1.2,2.2,3.2,4.6,6,7.4,8.8,10.2,11.6,13,14.4,15.8,17.2,19.1,21,22.8,24.6},{0,10,20,30,40,50,60,62,64,66,68,70,72,74,76,78,80,85,90,95,100})</f>
        <v>80</v>
      </c>
      <c r="G714" s="27">
        <v>190</v>
      </c>
      <c r="H714" s="29">
        <f>LOOKUP(G714,{0,180,185,190,195,200,205,209,213,217,221,225,229,233,237,241,245,253,260,265,270},{0,10,20,30,40,50,60,62,64,66,68,70,72,74,76,78,80,85,90,95,100})</f>
        <v>30</v>
      </c>
      <c r="I714" s="27">
        <v>0</v>
      </c>
      <c r="J714" s="29">
        <f>LOOKUP(I714,{0,4,5,6,7,8,9,10,11,12,13,14,15,16,17,18},{0,10,20,30,40,50,60,64,68,72,76,80,85,90,95,100})</f>
        <v>0</v>
      </c>
      <c r="K714" s="44"/>
      <c r="L714" s="35"/>
      <c r="M714" s="35">
        <f t="shared" si="196"/>
        <v>0</v>
      </c>
      <c r="N714" s="35">
        <v>8.1</v>
      </c>
      <c r="O714" s="36">
        <f t="shared" si="197"/>
        <v>9.9</v>
      </c>
      <c r="P714" s="29">
        <f>LOOKUP(O714,{0,7.8,8,8.2,8.4,8.6,8.8,9,9.2,9.4,9.6,9.8,10,10.2,10.4,10.6,10.8,10.9,11,11.1,11.2},{0,10,20,30,40,50,60,62,64,66,68,70,72,74,76,78,80,85,90,95,100})</f>
        <v>70</v>
      </c>
      <c r="Q714" s="5">
        <v>4.54</v>
      </c>
      <c r="R714" s="36">
        <f t="shared" si="198"/>
        <v>5.46</v>
      </c>
      <c r="S714" s="29">
        <f>LOOKUP(R714,{0,3.85,4.45,4.65,4.85,5.45,5.65,5.7,5.75,5.8,5.85,5.9,5.95,6,6.45,6.5,6.55,6.63,6.7,6.75,6.8},{0,10,20,30,40,50,60,62,64,66,68,70,72,74,76,78,80,85,90,95,100})</f>
        <v>50</v>
      </c>
      <c r="T714" s="27"/>
      <c r="U714" s="27"/>
      <c r="V714" s="27">
        <f t="shared" si="199"/>
        <v>50</v>
      </c>
      <c r="W714" s="27"/>
      <c r="X714" s="19">
        <f t="shared" si="200"/>
        <v>35</v>
      </c>
      <c r="Y714" s="13">
        <f t="shared" si="201"/>
        <v>50</v>
      </c>
      <c r="Z714" s="19"/>
    </row>
    <row r="715" ht="15.6" spans="1:26">
      <c r="A715" s="27">
        <v>316</v>
      </c>
      <c r="B715" s="27">
        <v>8</v>
      </c>
      <c r="C715" s="28" t="s">
        <v>795</v>
      </c>
      <c r="D715" s="28" t="s">
        <v>12</v>
      </c>
      <c r="E715" s="27">
        <v>14</v>
      </c>
      <c r="F715" s="29">
        <f>LOOKUP(E715,{0,-1.8,-0.8,0.2,1.2,2.2,3.2,4.6,6,7.4,8.8,10.2,11.6,13,14.4,15.8,17.2,19.1,21,22.8,24.6},{0,10,20,30,40,50,60,62,64,66,68,70,72,74,76,78,80,85,90,95,100})</f>
        <v>74</v>
      </c>
      <c r="G715" s="27">
        <v>250</v>
      </c>
      <c r="H715" s="29">
        <f>LOOKUP(G715,{0,180,185,190,195,200,205,209,213,217,221,225,229,233,237,241,245,253,260,265,270},{0,10,20,30,40,50,60,62,64,66,68,70,72,74,76,78,80,85,90,95,100})</f>
        <v>80</v>
      </c>
      <c r="I715" s="27">
        <v>2</v>
      </c>
      <c r="J715" s="29">
        <f>LOOKUP(I715,{0,4,5,6,7,8,9,10,11,12,13,14,15,16,17,18},{0,10,20,30,40,50,60,64,68,72,76,80,85,90,95,100})</f>
        <v>0</v>
      </c>
      <c r="K715" s="44"/>
      <c r="L715" s="35"/>
      <c r="M715" s="35">
        <f t="shared" si="196"/>
        <v>0</v>
      </c>
      <c r="N715" s="35">
        <v>6.8</v>
      </c>
      <c r="O715" s="36">
        <f t="shared" si="197"/>
        <v>11.2</v>
      </c>
      <c r="P715" s="29">
        <f>LOOKUP(O715,{0,7.8,8,8.2,8.4,8.6,8.8,9,9.2,9.4,9.6,9.8,10,10.2,10.4,10.6,10.8,10.9,11,11.1,11.2},{0,10,20,30,40,50,60,62,64,66,68,70,72,74,76,78,80,85,90,95,100})</f>
        <v>100</v>
      </c>
      <c r="Q715" s="5">
        <v>4.54</v>
      </c>
      <c r="R715" s="36">
        <f t="shared" si="198"/>
        <v>5.46</v>
      </c>
      <c r="S715" s="29">
        <f>LOOKUP(R715,{0,3.85,4.45,4.65,4.85,5.45,5.65,5.7,5.75,5.8,5.85,5.9,5.95,6,6.45,6.5,6.55,6.63,6.7,6.75,6.8},{0,10,20,30,40,50,60,62,64,66,68,70,72,74,76,78,80,85,90,95,100})</f>
        <v>50</v>
      </c>
      <c r="T715" s="27"/>
      <c r="U715" s="27"/>
      <c r="V715" s="27">
        <f t="shared" si="199"/>
        <v>50</v>
      </c>
      <c r="W715" s="27"/>
      <c r="X715" s="19">
        <f t="shared" si="200"/>
        <v>45.4</v>
      </c>
      <c r="Y715" s="13">
        <f t="shared" si="201"/>
        <v>64.8571428571429</v>
      </c>
      <c r="Z715" s="19"/>
    </row>
    <row r="716" ht="15.6" spans="1:26">
      <c r="A716" s="27">
        <v>316</v>
      </c>
      <c r="B716" s="27">
        <v>9</v>
      </c>
      <c r="C716" s="28" t="s">
        <v>796</v>
      </c>
      <c r="D716" s="28" t="s">
        <v>12</v>
      </c>
      <c r="E716" s="27">
        <v>14</v>
      </c>
      <c r="F716" s="29">
        <f>LOOKUP(E716,{0,-1.8,-0.8,0.2,1.2,2.2,3.2,4.6,6,7.4,8.8,10.2,11.6,13,14.4,15.8,17.2,19.1,21,22.8,24.6},{0,10,20,30,40,50,60,62,64,66,68,70,72,74,76,78,80,85,90,95,100})</f>
        <v>74</v>
      </c>
      <c r="G716" s="27">
        <v>235</v>
      </c>
      <c r="H716" s="29">
        <f>LOOKUP(G716,{0,180,185,190,195,200,205,209,213,217,221,225,229,233,237,241,245,253,260,265,270},{0,10,20,30,40,50,60,62,64,66,68,70,72,74,76,78,80,85,90,95,100})</f>
        <v>74</v>
      </c>
      <c r="I716" s="27">
        <v>10</v>
      </c>
      <c r="J716" s="29">
        <f>LOOKUP(I716,{0,4,5,6,7,8,9,10,11,12,13,14,15,16,17,18},{0,10,20,30,40,50,60,64,68,72,76,80,85,90,95,100})</f>
        <v>64</v>
      </c>
      <c r="K716" s="44"/>
      <c r="L716" s="35"/>
      <c r="M716" s="35">
        <f t="shared" si="196"/>
        <v>64</v>
      </c>
      <c r="N716" s="35">
        <v>6.7</v>
      </c>
      <c r="O716" s="36">
        <f t="shared" si="197"/>
        <v>11.3</v>
      </c>
      <c r="P716" s="29">
        <f>LOOKUP(O716,{0,7.8,8,8.2,8.4,8.6,8.8,9,9.2,9.4,9.6,9.8,10,10.2,10.4,10.6,10.8,10.9,11,11.1,11.2},{0,10,20,30,40,50,60,62,64,66,68,70,72,74,76,78,80,85,90,95,100})</f>
        <v>100</v>
      </c>
      <c r="Q716" s="5">
        <v>4.54</v>
      </c>
      <c r="R716" s="36">
        <f t="shared" si="198"/>
        <v>5.46</v>
      </c>
      <c r="S716" s="29">
        <f>LOOKUP(R716,{0,3.85,4.45,4.65,4.85,5.45,5.65,5.7,5.75,5.8,5.85,5.9,5.95,6,6.45,6.5,6.55,6.63,6.7,6.75,6.8},{0,10,20,30,40,50,60,62,64,66,68,70,72,74,76,78,80,85,90,95,100})</f>
        <v>50</v>
      </c>
      <c r="T716" s="27"/>
      <c r="U716" s="27"/>
      <c r="V716" s="27">
        <f t="shared" si="199"/>
        <v>50</v>
      </c>
      <c r="W716" s="27"/>
      <c r="X716" s="19">
        <f t="shared" si="200"/>
        <v>51.2</v>
      </c>
      <c r="Y716" s="13">
        <f t="shared" si="201"/>
        <v>73.1428571428572</v>
      </c>
      <c r="Z716" s="19"/>
    </row>
    <row r="717" ht="15.6" spans="1:26">
      <c r="A717" s="27">
        <v>316</v>
      </c>
      <c r="B717" s="27">
        <v>10</v>
      </c>
      <c r="C717" s="28" t="s">
        <v>797</v>
      </c>
      <c r="D717" s="28" t="s">
        <v>12</v>
      </c>
      <c r="E717" s="27">
        <v>8.2</v>
      </c>
      <c r="F717" s="29">
        <f>LOOKUP(E717,{0,-1.8,-0.8,0.2,1.2,2.2,3.2,4.6,6,7.4,8.8,10.2,11.6,13,14.4,15.8,17.2,19.1,21,22.8,24.6},{0,10,20,30,40,50,60,62,64,66,68,70,72,74,76,78,80,85,90,95,100})</f>
        <v>66</v>
      </c>
      <c r="G717" s="27">
        <v>265</v>
      </c>
      <c r="H717" s="29">
        <f>LOOKUP(G717,{0,180,185,190,195,200,205,209,213,217,221,225,229,233,237,241,245,253,260,265,270},{0,10,20,30,40,50,60,62,64,66,68,70,72,74,76,78,80,85,90,95,100})</f>
        <v>95</v>
      </c>
      <c r="I717" s="27">
        <v>10</v>
      </c>
      <c r="J717" s="29">
        <f>LOOKUP(I717,{0,4,5,6,7,8,9,10,11,12,13,14,15,16,17,18},{0,10,20,30,40,50,60,64,68,72,76,80,85,90,95,100})</f>
        <v>64</v>
      </c>
      <c r="K717" s="44"/>
      <c r="L717" s="35"/>
      <c r="M717" s="35">
        <f t="shared" si="196"/>
        <v>64</v>
      </c>
      <c r="N717" s="35">
        <v>7</v>
      </c>
      <c r="O717" s="36">
        <f t="shared" si="197"/>
        <v>11</v>
      </c>
      <c r="P717" s="29">
        <f>LOOKUP(O717,{0,7.8,8,8.2,8.4,8.6,8.8,9,9.2,9.4,9.6,9.8,10,10.2,10.4,10.6,10.8,10.9,11,11.1,11.2},{0,10,20,30,40,50,60,62,64,66,68,70,72,74,76,78,80,85,90,95,100})</f>
        <v>90</v>
      </c>
      <c r="Q717" s="5">
        <v>4.54</v>
      </c>
      <c r="R717" s="36">
        <f t="shared" si="198"/>
        <v>5.46</v>
      </c>
      <c r="S717" s="29">
        <f>LOOKUP(R717,{0,3.85,4.45,4.65,4.85,5.45,5.65,5.7,5.75,5.8,5.85,5.9,5.95,6,6.45,6.5,6.55,6.63,6.7,6.75,6.8},{0,10,20,30,40,50,60,62,64,66,68,70,72,74,76,78,80,85,90,95,100})</f>
        <v>50</v>
      </c>
      <c r="T717" s="27"/>
      <c r="U717" s="27"/>
      <c r="V717" s="27">
        <f t="shared" si="199"/>
        <v>50</v>
      </c>
      <c r="W717" s="27"/>
      <c r="X717" s="19">
        <f t="shared" si="200"/>
        <v>50.5</v>
      </c>
      <c r="Y717" s="13">
        <f t="shared" si="201"/>
        <v>72.1428571428572</v>
      </c>
      <c r="Z717" s="19"/>
    </row>
    <row r="718" ht="15.6" spans="1:26">
      <c r="A718" s="27">
        <v>316</v>
      </c>
      <c r="B718" s="27">
        <v>11</v>
      </c>
      <c r="C718" s="28" t="s">
        <v>798</v>
      </c>
      <c r="D718" s="28" t="s">
        <v>12</v>
      </c>
      <c r="E718" s="27">
        <v>16.5</v>
      </c>
      <c r="F718" s="29">
        <f>LOOKUP(E718,{0,-1.8,-0.8,0.2,1.2,2.2,3.2,4.6,6,7.4,8.8,10.2,11.6,13,14.4,15.8,17.2,19.1,21,22.8,24.6},{0,10,20,30,40,50,60,62,64,66,68,70,72,74,76,78,80,85,90,95,100})</f>
        <v>78</v>
      </c>
      <c r="G718" s="27">
        <v>195</v>
      </c>
      <c r="H718" s="29">
        <f>LOOKUP(G718,{0,180,185,190,195,200,205,209,213,217,221,225,229,233,237,241,245,253,260,265,270},{0,10,20,30,40,50,60,62,64,66,68,70,72,74,76,78,80,85,90,95,100})</f>
        <v>40</v>
      </c>
      <c r="I718" s="27">
        <v>0</v>
      </c>
      <c r="J718" s="29">
        <f>LOOKUP(I718,{0,4,5,6,7,8,9,10,11,12,13,14,15,16,17,18},{0,10,20,30,40,50,60,64,68,72,76,80,85,90,95,100})</f>
        <v>0</v>
      </c>
      <c r="K718" s="44"/>
      <c r="L718" s="35"/>
      <c r="M718" s="35">
        <f t="shared" si="196"/>
        <v>0</v>
      </c>
      <c r="N718" s="35">
        <v>7.9</v>
      </c>
      <c r="O718" s="36">
        <f t="shared" si="197"/>
        <v>10.1</v>
      </c>
      <c r="P718" s="29">
        <f>LOOKUP(O718,{0,7.8,8,8.2,8.4,8.6,8.8,9,9.2,9.4,9.6,9.8,10,10.2,10.4,10.6,10.8,10.9,11,11.1,11.2},{0,10,20,30,40,50,60,62,64,66,68,70,72,74,76,78,80,85,90,95,100})</f>
        <v>72</v>
      </c>
      <c r="Q718" s="5">
        <v>4.54</v>
      </c>
      <c r="R718" s="36">
        <f t="shared" si="198"/>
        <v>5.46</v>
      </c>
      <c r="S718" s="29">
        <f>LOOKUP(R718,{0,3.85,4.45,4.65,4.85,5.45,5.65,5.7,5.75,5.8,5.85,5.9,5.95,6,6.45,6.5,6.55,6.63,6.7,6.75,6.8},{0,10,20,30,40,50,60,62,64,66,68,70,72,74,76,78,80,85,90,95,100})</f>
        <v>50</v>
      </c>
      <c r="T718" s="27"/>
      <c r="U718" s="27"/>
      <c r="V718" s="27">
        <f t="shared" si="199"/>
        <v>50</v>
      </c>
      <c r="W718" s="27"/>
      <c r="X718" s="19">
        <f t="shared" si="200"/>
        <v>36.2</v>
      </c>
      <c r="Y718" s="13">
        <f t="shared" si="201"/>
        <v>51.7142857142857</v>
      </c>
      <c r="Z718" s="19"/>
    </row>
    <row r="719" ht="15.6" spans="1:26">
      <c r="A719" s="27">
        <v>316</v>
      </c>
      <c r="B719" s="27">
        <v>12</v>
      </c>
      <c r="C719" s="28" t="s">
        <v>799</v>
      </c>
      <c r="D719" s="28" t="s">
        <v>12</v>
      </c>
      <c r="E719" s="27">
        <v>6.3</v>
      </c>
      <c r="F719" s="29">
        <f>LOOKUP(E719,{0,-1.8,-0.8,0.2,1.2,2.2,3.2,4.6,6,7.4,8.8,10.2,11.6,13,14.4,15.8,17.2,19.1,21,22.8,24.6},{0,10,20,30,40,50,60,62,64,66,68,70,72,74,76,78,80,85,90,95,100})</f>
        <v>64</v>
      </c>
      <c r="G719" s="27">
        <v>210</v>
      </c>
      <c r="H719" s="29">
        <f>LOOKUP(G719,{0,180,185,190,195,200,205,209,213,217,221,225,229,233,237,241,245,253,260,265,270},{0,10,20,30,40,50,60,62,64,66,68,70,72,74,76,78,80,85,90,95,100})</f>
        <v>62</v>
      </c>
      <c r="I719" s="27">
        <v>5</v>
      </c>
      <c r="J719" s="29">
        <f>LOOKUP(I719,{0,4,5,6,7,8,9,10,11,12,13,14,15,16,17,18},{0,10,20,30,40,50,60,64,68,72,76,80,85,90,95,100})</f>
        <v>20</v>
      </c>
      <c r="K719" s="44"/>
      <c r="L719" s="35"/>
      <c r="M719" s="35">
        <f t="shared" si="196"/>
        <v>20</v>
      </c>
      <c r="N719" s="35">
        <v>6.8</v>
      </c>
      <c r="O719" s="36">
        <f t="shared" si="197"/>
        <v>11.2</v>
      </c>
      <c r="P719" s="29">
        <f>LOOKUP(O719,{0,7.8,8,8.2,8.4,8.6,8.8,9,9.2,9.4,9.6,9.8,10,10.2,10.4,10.6,10.8,10.9,11,11.1,11.2},{0,10,20,30,40,50,60,62,64,66,68,70,72,74,76,78,80,85,90,95,100})</f>
        <v>100</v>
      </c>
      <c r="Q719" s="5">
        <v>4.54</v>
      </c>
      <c r="R719" s="36">
        <f t="shared" si="198"/>
        <v>5.46</v>
      </c>
      <c r="S719" s="29">
        <f>LOOKUP(R719,{0,3.85,4.45,4.65,4.85,5.45,5.65,5.7,5.75,5.8,5.85,5.9,5.95,6,6.45,6.5,6.55,6.63,6.7,6.75,6.8},{0,10,20,30,40,50,60,62,64,66,68,70,72,74,76,78,80,85,90,95,100})</f>
        <v>50</v>
      </c>
      <c r="T719" s="27"/>
      <c r="U719" s="27"/>
      <c r="V719" s="27">
        <f t="shared" si="199"/>
        <v>50</v>
      </c>
      <c r="W719" s="27"/>
      <c r="X719" s="19">
        <f t="shared" si="200"/>
        <v>44.6</v>
      </c>
      <c r="Y719" s="13">
        <f t="shared" si="201"/>
        <v>63.7142857142857</v>
      </c>
      <c r="Z719" s="19"/>
    </row>
    <row r="720" ht="15.6" spans="1:26">
      <c r="A720" s="27">
        <v>316</v>
      </c>
      <c r="B720" s="27">
        <v>13</v>
      </c>
      <c r="C720" s="30" t="s">
        <v>801</v>
      </c>
      <c r="D720" s="28" t="s">
        <v>46</v>
      </c>
      <c r="E720" s="27">
        <v>16</v>
      </c>
      <c r="F720" s="29">
        <f>LOOKUP(E720,{0,1.5,2.3,3.1,3.9,4.7,5.5,6.8,8.1,9.4,10.7,12,13.3,14.6,15.9,17.2,18.5,20.2,21.9,23.6,25.3},{0,10,20,30,40,50,60,62,64,66,68,70,72,74,76,78,80,85,90,95,100})</f>
        <v>76</v>
      </c>
      <c r="G720" s="27">
        <v>172</v>
      </c>
      <c r="H720" s="29">
        <f>LOOKUP(G720,{0,125,130,135,140,145,150,153,156,159,162,165,168,171,174,177,180,187,194,200,206},{0,10,20,30,40,50,60,62,64,66,68,70,72,74,76,78,80,85,90,95,100})</f>
        <v>74</v>
      </c>
      <c r="I720" s="27">
        <v>48</v>
      </c>
      <c r="J720" s="29">
        <f>LOOKUP(I720,{0,15,17,19,21,23,25,27,29,31,33,35,37,39,41,43,45,48,51,53,55},{0,10,20,30,40,50,60,62,64,66,68,70,72,74,76,78,80,85,90,95,100})</f>
        <v>85</v>
      </c>
      <c r="K720" s="35"/>
      <c r="L720" s="35"/>
      <c r="M720" s="35">
        <f t="shared" si="196"/>
        <v>85</v>
      </c>
      <c r="N720" s="35">
        <v>9.6</v>
      </c>
      <c r="O720" s="36">
        <f t="shared" si="197"/>
        <v>8.4</v>
      </c>
      <c r="P720" s="29">
        <f>LOOKUP(O720,{0,6.6,6.8,7,7.2,7.4,7.6,7.8,8,8.2,8.4,8.6,8.8,9,9.2,9.4,9.6,9.9,10.2,10.3,10.4},{0,10,20,30,40,50,60,62,64,66,68,70,72,74,76,78,80,85,90,95,100})</f>
        <v>68</v>
      </c>
      <c r="Q720" s="5">
        <v>4.05</v>
      </c>
      <c r="R720" s="36">
        <f t="shared" si="198"/>
        <v>5.95</v>
      </c>
      <c r="S720" s="29">
        <f>LOOKUP(R720,{0,4.74,4.84,4.94,5.44,5.54,5.64,5.69,5.74,5.79,5.84,5.89,5.94,5.99,6.44,6.49,6.54,6.61,6.68,6.74,6.8},{0,10,20,30,40,50,60,62,64,66,68,70,72,74,76,78,80,85,90,95,100})</f>
        <v>72</v>
      </c>
      <c r="T720" s="27"/>
      <c r="U720" s="27"/>
      <c r="V720" s="27">
        <f t="shared" si="199"/>
        <v>72</v>
      </c>
      <c r="W720" s="27"/>
      <c r="X720" s="19">
        <f t="shared" si="200"/>
        <v>51.5</v>
      </c>
      <c r="Y720" s="13">
        <f t="shared" si="201"/>
        <v>73.5714285714286</v>
      </c>
      <c r="Z720" s="19"/>
    </row>
    <row r="721" ht="15.6" spans="1:26">
      <c r="A721" s="27">
        <v>316</v>
      </c>
      <c r="B721" s="27">
        <v>14</v>
      </c>
      <c r="C721" s="28" t="s">
        <v>802</v>
      </c>
      <c r="D721" s="28" t="s">
        <v>46</v>
      </c>
      <c r="E721" s="27">
        <v>13</v>
      </c>
      <c r="F721" s="29">
        <f>LOOKUP(E721,{0,1.5,2.3,3.1,3.9,4.7,5.5,6.8,8.1,9.4,10.7,12,13.3,14.6,15.9,17.2,18.5,20.2,21.9,23.6,25.3},{0,10,20,30,40,50,60,62,64,66,68,70,72,74,76,78,80,85,90,95,100})</f>
        <v>70</v>
      </c>
      <c r="G721" s="27">
        <v>200</v>
      </c>
      <c r="H721" s="29">
        <f>LOOKUP(G721,{0,125,130,135,140,145,150,153,156,159,162,165,168,171,174,177,180,187,194,200,206},{0,10,20,30,40,50,60,62,64,66,68,70,72,74,76,78,80,85,90,95,100})</f>
        <v>95</v>
      </c>
      <c r="I721" s="27">
        <v>43</v>
      </c>
      <c r="J721" s="29">
        <f>LOOKUP(I721,{0,15,17,19,21,23,25,27,29,31,33,35,37,39,41,43,45,48,51,53,55},{0,10,20,30,40,50,60,62,64,66,68,70,72,74,76,78,80,85,90,95,100})</f>
        <v>78</v>
      </c>
      <c r="K721" s="35"/>
      <c r="L721" s="35"/>
      <c r="M721" s="35">
        <f t="shared" si="196"/>
        <v>78</v>
      </c>
      <c r="N721" s="35">
        <v>7.9</v>
      </c>
      <c r="O721" s="36">
        <f t="shared" si="197"/>
        <v>10.1</v>
      </c>
      <c r="P721" s="29">
        <f>LOOKUP(O721,{0,6.6,6.8,7,7.2,7.4,7.6,7.8,8,8.2,8.4,8.6,8.8,9,9.2,9.4,9.6,9.9,10.2,10.3,10.4},{0,10,20,30,40,50,60,62,64,66,68,70,72,74,76,78,80,85,90,95,100})</f>
        <v>85</v>
      </c>
      <c r="Q721" s="5">
        <v>4.06</v>
      </c>
      <c r="R721" s="36">
        <f t="shared" si="198"/>
        <v>5.94</v>
      </c>
      <c r="S721" s="29">
        <f>LOOKUP(R721,{0,4.74,4.84,4.94,5.44,5.54,5.64,5.69,5.74,5.79,5.84,5.89,5.94,5.99,6.44,6.49,6.54,6.61,6.68,6.74,6.8},{0,10,20,30,40,50,60,62,64,66,68,70,72,74,76,78,80,85,90,95,100})</f>
        <v>72</v>
      </c>
      <c r="T721" s="27"/>
      <c r="U721" s="27"/>
      <c r="V721" s="27">
        <f t="shared" si="199"/>
        <v>72</v>
      </c>
      <c r="W721" s="27"/>
      <c r="X721" s="19">
        <f t="shared" si="200"/>
        <v>55.7</v>
      </c>
      <c r="Y721" s="13">
        <f t="shared" si="201"/>
        <v>79.5714285714286</v>
      </c>
      <c r="Z721" s="19"/>
    </row>
    <row r="722" spans="1:26">
      <c r="A722" s="27">
        <v>316</v>
      </c>
      <c r="B722" s="27">
        <v>15</v>
      </c>
      <c r="C722" s="28" t="s">
        <v>803</v>
      </c>
      <c r="D722" s="28" t="s">
        <v>46</v>
      </c>
      <c r="E722" s="27"/>
      <c r="F722" s="27"/>
      <c r="G722" s="27"/>
      <c r="H722" s="27"/>
      <c r="I722" s="27"/>
      <c r="J722" s="35"/>
      <c r="K722" s="35"/>
      <c r="L722" s="35"/>
      <c r="M722" s="35"/>
      <c r="N722" s="35"/>
      <c r="O722" s="5"/>
      <c r="P722" s="5"/>
      <c r="Q722" s="5"/>
      <c r="R722" s="27"/>
      <c r="S722" s="27"/>
      <c r="T722" s="27"/>
      <c r="U722" s="27"/>
      <c r="V722" s="27"/>
      <c r="W722" s="27">
        <v>50</v>
      </c>
      <c r="X722" s="19"/>
      <c r="Y722" s="19">
        <v>50</v>
      </c>
      <c r="Z722" s="19"/>
    </row>
    <row r="723" ht="15.6" spans="1:26">
      <c r="A723" s="27">
        <v>316</v>
      </c>
      <c r="B723" s="27">
        <v>16</v>
      </c>
      <c r="C723" s="28" t="s">
        <v>804</v>
      </c>
      <c r="D723" s="28" t="s">
        <v>46</v>
      </c>
      <c r="E723" s="27">
        <v>19</v>
      </c>
      <c r="F723" s="29">
        <f>LOOKUP(E723,{0,1.5,2.3,3.1,3.9,4.7,5.5,6.8,8.1,9.4,10.7,12,13.3,14.6,15.9,17.2,18.5,20.2,21.9,23.6,25.3},{0,10,20,30,40,50,60,62,64,66,68,70,72,74,76,78,80,85,90,95,100})</f>
        <v>80</v>
      </c>
      <c r="G723" s="27">
        <v>175</v>
      </c>
      <c r="H723" s="29">
        <f>LOOKUP(G723,{0,125,130,135,140,145,150,153,156,159,162,165,168,171,174,177,180,187,194,200,206},{0,10,20,30,40,50,60,62,64,66,68,70,72,74,76,78,80,85,90,95,100})</f>
        <v>76</v>
      </c>
      <c r="I723" s="27">
        <v>46</v>
      </c>
      <c r="J723" s="29">
        <f>LOOKUP(I723,{0,15,17,19,21,23,25,27,29,31,33,35,37,39,41,43,45,48,51,53,55},{0,10,20,30,40,50,60,62,64,66,68,70,72,74,76,78,80,85,90,95,100})</f>
        <v>80</v>
      </c>
      <c r="K723" s="35"/>
      <c r="L723" s="35"/>
      <c r="M723" s="35">
        <f t="shared" ref="M723:M735" si="202">J723+L723</f>
        <v>80</v>
      </c>
      <c r="N723" s="35">
        <v>8.2</v>
      </c>
      <c r="O723" s="36">
        <f t="shared" ref="O723:O735" si="203">18-N723</f>
        <v>9.8</v>
      </c>
      <c r="P723" s="29">
        <f>LOOKUP(O723,{0,6.6,6.8,7,7.2,7.4,7.6,7.8,8,8.2,8.4,8.6,8.8,9,9.2,9.4,9.6,9.9,10.2,10.3,10.4},{0,10,20,30,40,50,60,62,64,66,68,70,72,74,76,78,80,85,90,95,100})</f>
        <v>80</v>
      </c>
      <c r="Q723" s="5">
        <v>3.24</v>
      </c>
      <c r="R723" s="36">
        <f t="shared" ref="R723:R735" si="204">10-Q723</f>
        <v>6.76</v>
      </c>
      <c r="S723" s="29">
        <f>LOOKUP(R723,{0,4.74,4.84,4.94,5.44,5.54,5.64,5.69,5.74,5.79,5.84,5.89,5.94,5.99,6.44,6.49,6.54,6.61,6.68,6.74,6.8},{0,10,20,30,40,50,60,62,64,66,68,70,72,74,76,78,80,85,90,95,100})</f>
        <v>95</v>
      </c>
      <c r="T723" s="27"/>
      <c r="U723" s="27"/>
      <c r="V723" s="27">
        <f t="shared" ref="V723:V735" si="205">S723+U723</f>
        <v>95</v>
      </c>
      <c r="W723" s="27"/>
      <c r="X723" s="19">
        <f t="shared" ref="X723:X735" si="206">F723*0.1+H723*0.1+J723*0.1+P723*0.2+S723*0.2</f>
        <v>58.6</v>
      </c>
      <c r="Y723" s="13">
        <f t="shared" ref="Y723:Y735" si="207">X723/0.7+L723+U723</f>
        <v>83.7142857142857</v>
      </c>
      <c r="Z723" s="19"/>
    </row>
    <row r="724" ht="15.6" spans="1:26">
      <c r="A724" s="27">
        <v>316</v>
      </c>
      <c r="B724" s="27">
        <v>17</v>
      </c>
      <c r="C724" s="28" t="s">
        <v>805</v>
      </c>
      <c r="D724" s="28" t="s">
        <v>46</v>
      </c>
      <c r="E724" s="27">
        <v>6</v>
      </c>
      <c r="F724" s="29">
        <f>LOOKUP(E724,{0,1.5,2.3,3.1,3.9,4.7,5.5,6.8,8.1,9.4,10.7,12,13.3,14.6,15.9,17.2,18.5,20.2,21.9,23.6,25.3},{0,10,20,30,40,50,60,62,64,66,68,70,72,74,76,78,80,85,90,95,100})</f>
        <v>60</v>
      </c>
      <c r="G724" s="27">
        <v>185</v>
      </c>
      <c r="H724" s="29">
        <f>LOOKUP(G724,{0,125,130,135,140,145,150,153,156,159,162,165,168,171,174,177,180,187,194,200,206},{0,10,20,30,40,50,60,62,64,66,68,70,72,74,76,78,80,85,90,95,100})</f>
        <v>80</v>
      </c>
      <c r="I724" s="27">
        <v>45</v>
      </c>
      <c r="J724" s="29">
        <f>LOOKUP(I724,{0,15,17,19,21,23,25,27,29,31,33,35,37,39,41,43,45,48,51,53,55},{0,10,20,30,40,50,60,62,64,66,68,70,72,74,76,78,80,85,90,95,100})</f>
        <v>80</v>
      </c>
      <c r="K724" s="35"/>
      <c r="L724" s="35"/>
      <c r="M724" s="35">
        <f t="shared" si="202"/>
        <v>80</v>
      </c>
      <c r="N724" s="35">
        <v>8.7</v>
      </c>
      <c r="O724" s="36">
        <f t="shared" si="203"/>
        <v>9.3</v>
      </c>
      <c r="P724" s="29">
        <f>LOOKUP(O724,{0,6.6,6.8,7,7.2,7.4,7.6,7.8,8,8.2,8.4,8.6,8.8,9,9.2,9.4,9.6,9.9,10.2,10.3,10.4},{0,10,20,30,40,50,60,62,64,66,68,70,72,74,76,78,80,85,90,95,100})</f>
        <v>76</v>
      </c>
      <c r="Q724" s="5">
        <v>4.04</v>
      </c>
      <c r="R724" s="36">
        <f t="shared" si="204"/>
        <v>5.96</v>
      </c>
      <c r="S724" s="29">
        <f>LOOKUP(R724,{0,4.74,4.84,4.94,5.44,5.54,5.64,5.69,5.74,5.79,5.84,5.89,5.94,5.99,6.44,6.49,6.54,6.61,6.68,6.74,6.8},{0,10,20,30,40,50,60,62,64,66,68,70,72,74,76,78,80,85,90,95,100})</f>
        <v>72</v>
      </c>
      <c r="T724" s="27"/>
      <c r="U724" s="27"/>
      <c r="V724" s="27">
        <f t="shared" si="205"/>
        <v>72</v>
      </c>
      <c r="W724" s="27"/>
      <c r="X724" s="19">
        <f t="shared" si="206"/>
        <v>51.6</v>
      </c>
      <c r="Y724" s="13">
        <f t="shared" si="207"/>
        <v>73.7142857142857</v>
      </c>
      <c r="Z724" s="19"/>
    </row>
    <row r="725" ht="15.6" spans="1:26">
      <c r="A725" s="27">
        <v>316</v>
      </c>
      <c r="B725" s="27">
        <v>18</v>
      </c>
      <c r="C725" s="28" t="s">
        <v>806</v>
      </c>
      <c r="D725" s="28" t="s">
        <v>46</v>
      </c>
      <c r="E725" s="27">
        <v>11</v>
      </c>
      <c r="F725" s="29">
        <f>LOOKUP(E725,{0,1.5,2.3,3.1,3.9,4.7,5.5,6.8,8.1,9.4,10.7,12,13.3,14.6,15.9,17.2,18.5,20.2,21.9,23.6,25.3},{0,10,20,30,40,50,60,62,64,66,68,70,72,74,76,78,80,85,90,95,100})</f>
        <v>68</v>
      </c>
      <c r="G725" s="27">
        <v>125</v>
      </c>
      <c r="H725" s="29">
        <f>LOOKUP(G725,{0,125,130,135,140,145,150,153,156,159,162,165,168,171,174,177,180,187,194,200,206},{0,10,20,30,40,50,60,62,64,66,68,70,72,74,76,78,80,85,90,95,100})</f>
        <v>10</v>
      </c>
      <c r="I725" s="27">
        <v>40</v>
      </c>
      <c r="J725" s="29">
        <f>LOOKUP(I725,{0,15,17,19,21,23,25,27,29,31,33,35,37,39,41,43,45,48,51,53,55},{0,10,20,30,40,50,60,62,64,66,68,70,72,74,76,78,80,85,90,95,100})</f>
        <v>74</v>
      </c>
      <c r="K725" s="35"/>
      <c r="L725" s="35"/>
      <c r="M725" s="35">
        <f t="shared" si="202"/>
        <v>74</v>
      </c>
      <c r="N725" s="35">
        <v>10</v>
      </c>
      <c r="O725" s="36">
        <f t="shared" si="203"/>
        <v>8</v>
      </c>
      <c r="P725" s="29">
        <f>LOOKUP(O725,{0,6.6,6.8,7,7.2,7.4,7.6,7.8,8,8.2,8.4,8.6,8.8,9,9.2,9.4,9.6,9.9,10.2,10.3,10.4},{0,10,20,30,40,50,60,62,64,66,68,70,72,74,76,78,80,85,90,95,100})</f>
        <v>64</v>
      </c>
      <c r="Q725" s="5">
        <v>5.3</v>
      </c>
      <c r="R725" s="36">
        <f t="shared" si="204"/>
        <v>4.7</v>
      </c>
      <c r="S725" s="29">
        <f>LOOKUP(R725,{0,4.74,4.84,4.94,5.44,5.54,5.64,5.69,5.74,5.79,5.84,5.89,5.94,5.99,6.44,6.49,6.54,6.61,6.68,6.74,6.8},{0,10,20,30,40,50,60,62,64,66,68,70,72,74,76,78,80,85,90,95,100})</f>
        <v>0</v>
      </c>
      <c r="T725" s="27"/>
      <c r="U725" s="27"/>
      <c r="V725" s="27">
        <f t="shared" si="205"/>
        <v>0</v>
      </c>
      <c r="W725" s="27"/>
      <c r="X725" s="19">
        <f t="shared" si="206"/>
        <v>28</v>
      </c>
      <c r="Y725" s="13">
        <f t="shared" si="207"/>
        <v>40</v>
      </c>
      <c r="Z725" s="19"/>
    </row>
    <row r="726" ht="15.6" spans="1:26">
      <c r="A726" s="27">
        <v>316</v>
      </c>
      <c r="B726" s="27">
        <v>19</v>
      </c>
      <c r="C726" s="28" t="s">
        <v>807</v>
      </c>
      <c r="D726" s="28" t="s">
        <v>46</v>
      </c>
      <c r="E726" s="27">
        <v>18.5</v>
      </c>
      <c r="F726" s="29">
        <f>LOOKUP(E726,{0,1.5,2.3,3.1,3.9,4.7,5.5,6.8,8.1,9.4,10.7,12,13.3,14.6,15.9,17.2,18.5,20.2,21.9,23.6,25.3},{0,10,20,30,40,50,60,62,64,66,68,70,72,74,76,78,80,85,90,95,100})</f>
        <v>80</v>
      </c>
      <c r="G726" s="27">
        <v>163</v>
      </c>
      <c r="H726" s="29">
        <f>LOOKUP(G726,{0,125,130,135,140,145,150,153,156,159,162,165,168,171,174,177,180,187,194,200,206},{0,10,20,30,40,50,60,62,64,66,68,70,72,74,76,78,80,85,90,95,100})</f>
        <v>68</v>
      </c>
      <c r="I726" s="27">
        <v>40</v>
      </c>
      <c r="J726" s="29">
        <f>LOOKUP(I726,{0,15,17,19,21,23,25,27,29,31,33,35,37,39,41,43,45,48,51,53,55},{0,10,20,30,40,50,60,62,64,66,68,70,72,74,76,78,80,85,90,95,100})</f>
        <v>74</v>
      </c>
      <c r="K726" s="35"/>
      <c r="L726" s="35"/>
      <c r="M726" s="35">
        <f t="shared" si="202"/>
        <v>74</v>
      </c>
      <c r="N726" s="35">
        <v>9.1</v>
      </c>
      <c r="O726" s="36">
        <f t="shared" si="203"/>
        <v>8.9</v>
      </c>
      <c r="P726" s="29">
        <f>LOOKUP(O726,{0,6.6,6.8,7,7.2,7.4,7.6,7.8,8,8.2,8.4,8.6,8.8,9,9.2,9.4,9.6,9.9,10.2,10.3,10.4},{0,10,20,30,40,50,60,62,64,66,68,70,72,74,76,78,80,85,90,95,100})</f>
        <v>72</v>
      </c>
      <c r="Q726" s="5">
        <v>4.16</v>
      </c>
      <c r="R726" s="36">
        <f t="shared" si="204"/>
        <v>5.84</v>
      </c>
      <c r="S726" s="29">
        <f>LOOKUP(R726,{0,4.74,4.84,4.94,5.44,5.54,5.64,5.69,5.74,5.79,5.84,5.89,5.94,5.99,6.44,6.49,6.54,6.61,6.68,6.74,6.8},{0,10,20,30,40,50,60,62,64,66,68,70,72,74,76,78,80,85,90,95,100})</f>
        <v>68</v>
      </c>
      <c r="T726" s="27"/>
      <c r="U726" s="27"/>
      <c r="V726" s="27">
        <f t="shared" si="205"/>
        <v>68</v>
      </c>
      <c r="W726" s="27"/>
      <c r="X726" s="19">
        <f t="shared" si="206"/>
        <v>50.2</v>
      </c>
      <c r="Y726" s="13">
        <f t="shared" si="207"/>
        <v>71.7142857142857</v>
      </c>
      <c r="Z726" s="19"/>
    </row>
    <row r="727" ht="15.6" spans="1:26">
      <c r="A727" s="27">
        <v>316</v>
      </c>
      <c r="B727" s="27">
        <v>20</v>
      </c>
      <c r="C727" s="28" t="s">
        <v>808</v>
      </c>
      <c r="D727" s="28" t="s">
        <v>46</v>
      </c>
      <c r="E727" s="27">
        <v>26</v>
      </c>
      <c r="F727" s="29">
        <f>LOOKUP(E727,{0,1.5,2.3,3.1,3.9,4.7,5.5,6.8,8.1,9.4,10.7,12,13.3,14.6,15.9,17.2,18.5,20.2,21.9,23.6,25.3},{0,10,20,30,40,50,60,62,64,66,68,70,72,74,76,78,80,85,90,95,100})</f>
        <v>100</v>
      </c>
      <c r="G727" s="27">
        <v>211</v>
      </c>
      <c r="H727" s="29">
        <f>LOOKUP(G727,{0,125,130,135,140,145,150,153,156,159,162,165,168,171,174,177,180,187,194,200,206},{0,10,20,30,40,50,60,62,64,66,68,70,72,74,76,78,80,85,90,95,100})</f>
        <v>100</v>
      </c>
      <c r="I727" s="27">
        <v>42</v>
      </c>
      <c r="J727" s="29">
        <f>LOOKUP(I727,{0,15,17,19,21,23,25,27,29,31,33,35,37,39,41,43,45,48,51,53,55},{0,10,20,30,40,50,60,62,64,66,68,70,72,74,76,78,80,85,90,95,100})</f>
        <v>76</v>
      </c>
      <c r="K727" s="35"/>
      <c r="L727" s="35"/>
      <c r="M727" s="35">
        <f t="shared" si="202"/>
        <v>76</v>
      </c>
      <c r="N727" s="35">
        <v>8</v>
      </c>
      <c r="O727" s="36">
        <f t="shared" si="203"/>
        <v>10</v>
      </c>
      <c r="P727" s="29">
        <f>LOOKUP(O727,{0,6.6,6.8,7,7.2,7.4,7.6,7.8,8,8.2,8.4,8.6,8.8,9,9.2,9.4,9.6,9.9,10.2,10.3,10.4},{0,10,20,30,40,50,60,62,64,66,68,70,72,74,76,78,80,85,90,95,100})</f>
        <v>85</v>
      </c>
      <c r="Q727" s="5">
        <v>3.39</v>
      </c>
      <c r="R727" s="36">
        <f t="shared" si="204"/>
        <v>6.61</v>
      </c>
      <c r="S727" s="29">
        <f>LOOKUP(R727,{0,4.74,4.84,4.94,5.44,5.54,5.64,5.69,5.74,5.79,5.84,5.89,5.94,5.99,6.44,6.49,6.54,6.61,6.68,6.74,6.8},{0,10,20,30,40,50,60,62,64,66,68,70,72,74,76,78,80,85,90,95,100})</f>
        <v>85</v>
      </c>
      <c r="T727" s="27"/>
      <c r="U727" s="27"/>
      <c r="V727" s="27">
        <f t="shared" si="205"/>
        <v>85</v>
      </c>
      <c r="W727" s="27"/>
      <c r="X727" s="19">
        <f t="shared" si="206"/>
        <v>61.6</v>
      </c>
      <c r="Y727" s="13">
        <f t="shared" si="207"/>
        <v>88</v>
      </c>
      <c r="Z727" s="19"/>
    </row>
    <row r="728" ht="15.6" spans="1:26">
      <c r="A728" s="27">
        <v>316</v>
      </c>
      <c r="B728" s="27">
        <v>21</v>
      </c>
      <c r="C728" s="28" t="s">
        <v>809</v>
      </c>
      <c r="D728" s="28" t="s">
        <v>46</v>
      </c>
      <c r="E728" s="27">
        <v>27.5</v>
      </c>
      <c r="F728" s="29">
        <f>LOOKUP(E728,{0,1.5,2.3,3.1,3.9,4.7,5.5,6.8,8.1,9.4,10.7,12,13.3,14.6,15.9,17.2,18.5,20.2,21.9,23.6,25.3},{0,10,20,30,40,50,60,62,64,66,68,70,72,74,76,78,80,85,90,95,100})</f>
        <v>100</v>
      </c>
      <c r="G728" s="27">
        <v>155</v>
      </c>
      <c r="H728" s="29">
        <f>LOOKUP(G728,{0,125,130,135,140,145,150,153,156,159,162,165,168,171,174,177,180,187,194,200,206},{0,10,20,30,40,50,60,62,64,66,68,70,72,74,76,78,80,85,90,95,100})</f>
        <v>62</v>
      </c>
      <c r="I728" s="27">
        <v>30</v>
      </c>
      <c r="J728" s="29">
        <f>LOOKUP(I728,{0,15,17,19,21,23,25,27,29,31,33,35,37,39,41,43,45,48,51,53,55},{0,10,20,30,40,50,60,62,64,66,68,70,72,74,76,78,80,85,90,95,100})</f>
        <v>64</v>
      </c>
      <c r="K728" s="35"/>
      <c r="L728" s="35"/>
      <c r="M728" s="35">
        <f t="shared" si="202"/>
        <v>64</v>
      </c>
      <c r="N728" s="35">
        <v>9.9</v>
      </c>
      <c r="O728" s="36">
        <f t="shared" si="203"/>
        <v>8.1</v>
      </c>
      <c r="P728" s="29">
        <f>LOOKUP(O728,{0,6.6,6.8,7,7.2,7.4,7.6,7.8,8,8.2,8.4,8.6,8.8,9,9.2,9.4,9.6,9.9,10.2,10.3,10.4},{0,10,20,30,40,50,60,62,64,66,68,70,72,74,76,78,80,85,90,95,100})</f>
        <v>64</v>
      </c>
      <c r="Q728" s="5">
        <v>4.14</v>
      </c>
      <c r="R728" s="36">
        <f t="shared" si="204"/>
        <v>5.86</v>
      </c>
      <c r="S728" s="29">
        <f>LOOKUP(R728,{0,4.74,4.84,4.94,5.44,5.54,5.64,5.69,5.74,5.79,5.84,5.89,5.94,5.99,6.44,6.49,6.54,6.61,6.68,6.74,6.8},{0,10,20,30,40,50,60,62,64,66,68,70,72,74,76,78,80,85,90,95,100})</f>
        <v>68</v>
      </c>
      <c r="T728" s="27"/>
      <c r="U728" s="27"/>
      <c r="V728" s="27">
        <f t="shared" si="205"/>
        <v>68</v>
      </c>
      <c r="W728" s="27"/>
      <c r="X728" s="19">
        <f t="shared" si="206"/>
        <v>49</v>
      </c>
      <c r="Y728" s="13">
        <f t="shared" si="207"/>
        <v>70</v>
      </c>
      <c r="Z728" s="19"/>
    </row>
    <row r="729" ht="15.6" spans="1:26">
      <c r="A729" s="27">
        <v>316</v>
      </c>
      <c r="B729" s="27">
        <v>22</v>
      </c>
      <c r="C729" s="28" t="s">
        <v>810</v>
      </c>
      <c r="D729" s="28" t="s">
        <v>46</v>
      </c>
      <c r="E729" s="27">
        <v>14</v>
      </c>
      <c r="F729" s="29">
        <f>LOOKUP(E729,{0,1.5,2.3,3.1,3.9,4.7,5.5,6.8,8.1,9.4,10.7,12,13.3,14.6,15.9,17.2,18.5,20.2,21.9,23.6,25.3},{0,10,20,30,40,50,60,62,64,66,68,70,72,74,76,78,80,85,90,95,100})</f>
        <v>72</v>
      </c>
      <c r="G729" s="27">
        <v>194</v>
      </c>
      <c r="H729" s="29">
        <f>LOOKUP(G729,{0,125,130,135,140,145,150,153,156,159,162,165,168,171,174,177,180,187,194,200,206},{0,10,20,30,40,50,60,62,64,66,68,70,72,74,76,78,80,85,90,95,100})</f>
        <v>90</v>
      </c>
      <c r="I729" s="27">
        <v>36</v>
      </c>
      <c r="J729" s="29">
        <f>LOOKUP(I729,{0,15,17,19,21,23,25,27,29,31,33,35,37,39,41,43,45,48,51,53,55},{0,10,20,30,40,50,60,62,64,66,68,70,72,74,76,78,80,85,90,95,100})</f>
        <v>70</v>
      </c>
      <c r="K729" s="35"/>
      <c r="L729" s="35"/>
      <c r="M729" s="35">
        <f t="shared" si="202"/>
        <v>70</v>
      </c>
      <c r="N729" s="35">
        <v>8.8</v>
      </c>
      <c r="O729" s="36">
        <f t="shared" si="203"/>
        <v>9.2</v>
      </c>
      <c r="P729" s="29">
        <f>LOOKUP(O729,{0,6.6,6.8,7,7.2,7.4,7.6,7.8,8,8.2,8.4,8.6,8.8,9,9.2,9.4,9.6,9.9,10.2,10.3,10.4},{0,10,20,30,40,50,60,62,64,66,68,70,72,74,76,78,80,85,90,95,100})</f>
        <v>76</v>
      </c>
      <c r="Q729" s="5">
        <v>4.5</v>
      </c>
      <c r="R729" s="36">
        <f t="shared" si="204"/>
        <v>5.5</v>
      </c>
      <c r="S729" s="29">
        <f>LOOKUP(R729,{0,4.74,4.84,4.94,5.44,5.54,5.64,5.69,5.74,5.79,5.84,5.89,5.94,5.99,6.44,6.49,6.54,6.61,6.68,6.74,6.8},{0,10,20,30,40,50,60,62,64,66,68,70,72,74,76,78,80,85,90,95,100})</f>
        <v>40</v>
      </c>
      <c r="T729" s="27"/>
      <c r="U729" s="27"/>
      <c r="V729" s="27">
        <f t="shared" si="205"/>
        <v>40</v>
      </c>
      <c r="W729" s="27"/>
      <c r="X729" s="19">
        <f t="shared" si="206"/>
        <v>46.4</v>
      </c>
      <c r="Y729" s="13">
        <f t="shared" si="207"/>
        <v>66.2857142857143</v>
      </c>
      <c r="Z729" s="19"/>
    </row>
    <row r="730" ht="15.6" spans="1:26">
      <c r="A730" s="27">
        <v>316</v>
      </c>
      <c r="B730" s="27">
        <v>23</v>
      </c>
      <c r="C730" s="30" t="s">
        <v>812</v>
      </c>
      <c r="D730" s="28" t="s">
        <v>46</v>
      </c>
      <c r="E730" s="27">
        <v>15.4</v>
      </c>
      <c r="F730" s="29">
        <f>LOOKUP(E730,{0,1.5,2.3,3.1,3.9,4.7,5.5,6.8,8.1,9.4,10.7,12,13.3,14.6,15.9,17.2,18.5,20.2,21.9,23.6,25.3},{0,10,20,30,40,50,60,62,64,66,68,70,72,74,76,78,80,85,90,95,100})</f>
        <v>74</v>
      </c>
      <c r="G730" s="27">
        <v>183</v>
      </c>
      <c r="H730" s="29">
        <f>LOOKUP(G730,{0,125,130,135,140,145,150,153,156,159,162,165,168,171,174,177,180,187,194,200,206},{0,10,20,30,40,50,60,62,64,66,68,70,72,74,76,78,80,85,90,95,100})</f>
        <v>80</v>
      </c>
      <c r="I730" s="27">
        <v>44</v>
      </c>
      <c r="J730" s="29">
        <f>LOOKUP(I730,{0,15,17,19,21,23,25,27,29,31,33,35,37,39,41,43,45,48,51,53,55},{0,10,20,30,40,50,60,62,64,66,68,70,72,74,76,78,80,85,90,95,100})</f>
        <v>78</v>
      </c>
      <c r="K730" s="35"/>
      <c r="L730" s="35"/>
      <c r="M730" s="35">
        <f t="shared" si="202"/>
        <v>78</v>
      </c>
      <c r="N730" s="35">
        <v>8.3</v>
      </c>
      <c r="O730" s="36">
        <f t="shared" si="203"/>
        <v>9.7</v>
      </c>
      <c r="P730" s="29">
        <f>LOOKUP(O730,{0,6.6,6.8,7,7.2,7.4,7.6,7.8,8,8.2,8.4,8.6,8.8,9,9.2,9.4,9.6,9.9,10.2,10.3,10.4},{0,10,20,30,40,50,60,62,64,66,68,70,72,74,76,78,80,85,90,95,100})</f>
        <v>80</v>
      </c>
      <c r="Q730" s="5">
        <v>3.44</v>
      </c>
      <c r="R730" s="36">
        <f t="shared" si="204"/>
        <v>6.56</v>
      </c>
      <c r="S730" s="29">
        <f>LOOKUP(R730,{0,4.74,4.84,4.94,5.44,5.54,5.64,5.69,5.74,5.79,5.84,5.89,5.94,5.99,6.44,6.49,6.54,6.61,6.68,6.74,6.8},{0,10,20,30,40,50,60,62,64,66,68,70,72,74,76,78,80,85,90,95,100})</f>
        <v>80</v>
      </c>
      <c r="T730" s="27"/>
      <c r="U730" s="27"/>
      <c r="V730" s="27">
        <f t="shared" si="205"/>
        <v>80</v>
      </c>
      <c r="W730" s="27"/>
      <c r="X730" s="19">
        <f t="shared" si="206"/>
        <v>55.2</v>
      </c>
      <c r="Y730" s="13">
        <f t="shared" si="207"/>
        <v>78.8571428571429</v>
      </c>
      <c r="Z730" s="19"/>
    </row>
    <row r="731" ht="15.6" spans="1:26">
      <c r="A731" s="27">
        <v>316</v>
      </c>
      <c r="B731" s="27">
        <v>24</v>
      </c>
      <c r="C731" s="28" t="s">
        <v>813</v>
      </c>
      <c r="D731" s="28" t="s">
        <v>46</v>
      </c>
      <c r="E731" s="27">
        <v>11.5</v>
      </c>
      <c r="F731" s="29">
        <f>LOOKUP(E731,{0,1.5,2.3,3.1,3.9,4.7,5.5,6.8,8.1,9.4,10.7,12,13.3,14.6,15.9,17.2,18.5,20.2,21.9,23.6,25.3},{0,10,20,30,40,50,60,62,64,66,68,70,72,74,76,78,80,85,90,95,100})</f>
        <v>68</v>
      </c>
      <c r="G731" s="27">
        <v>175</v>
      </c>
      <c r="H731" s="29">
        <f>LOOKUP(G731,{0,125,130,135,140,145,150,153,156,159,162,165,168,171,174,177,180,187,194,200,206},{0,10,20,30,40,50,60,62,64,66,68,70,72,74,76,78,80,85,90,95,100})</f>
        <v>76</v>
      </c>
      <c r="I731" s="27">
        <v>41</v>
      </c>
      <c r="J731" s="29">
        <f>LOOKUP(I731,{0,15,17,19,21,23,25,27,29,31,33,35,37,39,41,43,45,48,51,53,55},{0,10,20,30,40,50,60,62,64,66,68,70,72,74,76,78,80,85,90,95,100})</f>
        <v>76</v>
      </c>
      <c r="K731" s="35"/>
      <c r="L731" s="35"/>
      <c r="M731" s="35">
        <f t="shared" si="202"/>
        <v>76</v>
      </c>
      <c r="N731" s="35">
        <v>9</v>
      </c>
      <c r="O731" s="36">
        <f t="shared" si="203"/>
        <v>9</v>
      </c>
      <c r="P731" s="29">
        <f>LOOKUP(O731,{0,6.6,6.8,7,7.2,7.4,7.6,7.8,8,8.2,8.4,8.6,8.8,9,9.2,9.4,9.6,9.9,10.2,10.3,10.4},{0,10,20,30,40,50,60,62,64,66,68,70,72,74,76,78,80,85,90,95,100})</f>
        <v>74</v>
      </c>
      <c r="Q731" s="5">
        <v>4.19</v>
      </c>
      <c r="R731" s="36">
        <f t="shared" si="204"/>
        <v>5.81</v>
      </c>
      <c r="S731" s="29">
        <f>LOOKUP(R731,{0,4.74,4.84,4.94,5.44,5.54,5.64,5.69,5.74,5.79,5.84,5.89,5.94,5.99,6.44,6.49,6.54,6.61,6.68,6.74,6.8},{0,10,20,30,40,50,60,62,64,66,68,70,72,74,76,78,80,85,90,95,100})</f>
        <v>66</v>
      </c>
      <c r="T731" s="27"/>
      <c r="U731" s="27"/>
      <c r="V731" s="27">
        <f t="shared" si="205"/>
        <v>66</v>
      </c>
      <c r="W731" s="27"/>
      <c r="X731" s="19">
        <f t="shared" si="206"/>
        <v>50</v>
      </c>
      <c r="Y731" s="13">
        <f t="shared" si="207"/>
        <v>71.4285714285714</v>
      </c>
      <c r="Z731" s="20"/>
    </row>
    <row r="732" ht="15.6" spans="1:26">
      <c r="A732" s="27">
        <v>316</v>
      </c>
      <c r="B732" s="27">
        <v>25</v>
      </c>
      <c r="C732" s="28" t="s">
        <v>814</v>
      </c>
      <c r="D732" s="28" t="s">
        <v>46</v>
      </c>
      <c r="E732" s="27">
        <v>21.6</v>
      </c>
      <c r="F732" s="29">
        <f>LOOKUP(E732,{0,1.5,2.3,3.1,3.9,4.7,5.5,6.8,8.1,9.4,10.7,12,13.3,14.6,15.9,17.2,18.5,20.2,21.9,23.6,25.3},{0,10,20,30,40,50,60,62,64,66,68,70,72,74,76,78,80,85,90,95,100})</f>
        <v>85</v>
      </c>
      <c r="G732" s="27">
        <v>175</v>
      </c>
      <c r="H732" s="29">
        <f>LOOKUP(G732,{0,125,130,135,140,145,150,153,156,159,162,165,168,171,174,177,180,187,194,200,206},{0,10,20,30,40,50,60,62,64,66,68,70,72,74,76,78,80,85,90,95,100})</f>
        <v>76</v>
      </c>
      <c r="I732" s="27">
        <v>46</v>
      </c>
      <c r="J732" s="29">
        <f>LOOKUP(I732,{0,15,17,19,21,23,25,27,29,31,33,35,37,39,41,43,45,48,51,53,55},{0,10,20,30,40,50,60,62,64,66,68,70,72,74,76,78,80,85,90,95,100})</f>
        <v>80</v>
      </c>
      <c r="K732" s="35"/>
      <c r="L732" s="35"/>
      <c r="M732" s="35">
        <f t="shared" si="202"/>
        <v>80</v>
      </c>
      <c r="N732" s="35">
        <v>9</v>
      </c>
      <c r="O732" s="36">
        <f t="shared" si="203"/>
        <v>9</v>
      </c>
      <c r="P732" s="29">
        <f>LOOKUP(O732,{0,6.6,6.8,7,7.2,7.4,7.6,7.8,8,8.2,8.4,8.6,8.8,9,9.2,9.4,9.6,9.9,10.2,10.3,10.4},{0,10,20,30,40,50,60,62,64,66,68,70,72,74,76,78,80,85,90,95,100})</f>
        <v>74</v>
      </c>
      <c r="Q732" s="5">
        <v>4.36</v>
      </c>
      <c r="R732" s="36">
        <f t="shared" si="204"/>
        <v>5.64</v>
      </c>
      <c r="S732" s="29">
        <f>LOOKUP(R732,{0,4.74,4.84,4.94,5.44,5.54,5.64,5.69,5.74,5.79,5.84,5.89,5.94,5.99,6.44,6.49,6.54,6.61,6.68,6.74,6.8},{0,10,20,30,40,50,60,62,64,66,68,70,72,74,76,78,80,85,90,95,100})</f>
        <v>60</v>
      </c>
      <c r="T732" s="27"/>
      <c r="U732" s="27"/>
      <c r="V732" s="27">
        <f t="shared" si="205"/>
        <v>60</v>
      </c>
      <c r="W732" s="27"/>
      <c r="X732" s="19">
        <f t="shared" si="206"/>
        <v>50.9</v>
      </c>
      <c r="Y732" s="13">
        <f t="shared" si="207"/>
        <v>72.7142857142857</v>
      </c>
      <c r="Z732" s="19"/>
    </row>
    <row r="733" ht="15.6" spans="1:26">
      <c r="A733" s="27">
        <v>316</v>
      </c>
      <c r="B733" s="27">
        <v>26</v>
      </c>
      <c r="C733" s="28" t="s">
        <v>815</v>
      </c>
      <c r="D733" s="28" t="s">
        <v>46</v>
      </c>
      <c r="E733" s="27">
        <v>14</v>
      </c>
      <c r="F733" s="29">
        <f>LOOKUP(E733,{0,1.5,2.3,3.1,3.9,4.7,5.5,6.8,8.1,9.4,10.7,12,13.3,14.6,15.9,17.2,18.5,20.2,21.9,23.6,25.3},{0,10,20,30,40,50,60,62,64,66,68,70,72,74,76,78,80,85,90,95,100})</f>
        <v>72</v>
      </c>
      <c r="G733" s="27">
        <v>184</v>
      </c>
      <c r="H733" s="29">
        <f>LOOKUP(G733,{0,125,130,135,140,145,150,153,156,159,162,165,168,171,174,177,180,187,194,200,206},{0,10,20,30,40,50,60,62,64,66,68,70,72,74,76,78,80,85,90,95,100})</f>
        <v>80</v>
      </c>
      <c r="I733" s="27">
        <v>45</v>
      </c>
      <c r="J733" s="29">
        <f>LOOKUP(I733,{0,15,17,19,21,23,25,27,29,31,33,35,37,39,41,43,45,48,51,53,55},{0,10,20,30,40,50,60,62,64,66,68,70,72,74,76,78,80,85,90,95,100})</f>
        <v>80</v>
      </c>
      <c r="K733" s="35"/>
      <c r="L733" s="35"/>
      <c r="M733" s="35">
        <f t="shared" si="202"/>
        <v>80</v>
      </c>
      <c r="N733" s="35">
        <v>9.1</v>
      </c>
      <c r="O733" s="36">
        <f t="shared" si="203"/>
        <v>8.9</v>
      </c>
      <c r="P733" s="29">
        <f>LOOKUP(O733,{0,6.6,6.8,7,7.2,7.4,7.6,7.8,8,8.2,8.4,8.6,8.8,9,9.2,9.4,9.6,9.9,10.2,10.3,10.4},{0,10,20,30,40,50,60,62,64,66,68,70,72,74,76,78,80,85,90,95,100})</f>
        <v>72</v>
      </c>
      <c r="Q733" s="5">
        <v>4.08</v>
      </c>
      <c r="R733" s="36">
        <f t="shared" si="204"/>
        <v>5.92</v>
      </c>
      <c r="S733" s="29">
        <f>LOOKUP(R733,{0,4.74,4.84,4.94,5.44,5.54,5.64,5.69,5.74,5.79,5.84,5.89,5.94,5.99,6.44,6.49,6.54,6.61,6.68,6.74,6.8},{0,10,20,30,40,50,60,62,64,66,68,70,72,74,76,78,80,85,90,95,100})</f>
        <v>70</v>
      </c>
      <c r="T733" s="27"/>
      <c r="U733" s="27"/>
      <c r="V733" s="27">
        <f t="shared" si="205"/>
        <v>70</v>
      </c>
      <c r="W733" s="27"/>
      <c r="X733" s="19">
        <f t="shared" si="206"/>
        <v>51.6</v>
      </c>
      <c r="Y733" s="13">
        <f t="shared" si="207"/>
        <v>73.7142857142857</v>
      </c>
      <c r="Z733" s="19"/>
    </row>
    <row r="734" ht="15.6" spans="1:26">
      <c r="A734" s="27">
        <v>316</v>
      </c>
      <c r="B734" s="27">
        <v>27</v>
      </c>
      <c r="C734" s="28" t="s">
        <v>816</v>
      </c>
      <c r="D734" s="28" t="s">
        <v>46</v>
      </c>
      <c r="E734" s="27">
        <v>3</v>
      </c>
      <c r="F734" s="29">
        <f>LOOKUP(E734,{0,1.5,2.3,3.1,3.9,4.7,5.5,6.8,8.1,9.4,10.7,12,13.3,14.6,15.9,17.2,18.5,20.2,21.9,23.6,25.3},{0,10,20,30,40,50,60,62,64,66,68,70,72,74,76,78,80,85,90,95,100})</f>
        <v>20</v>
      </c>
      <c r="G734" s="27">
        <v>164</v>
      </c>
      <c r="H734" s="29">
        <f>LOOKUP(G734,{0,125,130,135,140,145,150,153,156,159,162,165,168,171,174,177,180,187,194,200,206},{0,10,20,30,40,50,60,62,64,66,68,70,72,74,76,78,80,85,90,95,100})</f>
        <v>68</v>
      </c>
      <c r="I734" s="27">
        <v>38</v>
      </c>
      <c r="J734" s="29">
        <f>LOOKUP(I734,{0,15,17,19,21,23,25,27,29,31,33,35,37,39,41,43,45,48,51,53,55},{0,10,20,30,40,50,60,62,64,66,68,70,72,74,76,78,80,85,90,95,100})</f>
        <v>72</v>
      </c>
      <c r="K734" s="35"/>
      <c r="L734" s="35"/>
      <c r="M734" s="35">
        <f t="shared" si="202"/>
        <v>72</v>
      </c>
      <c r="N734" s="35">
        <v>9.5</v>
      </c>
      <c r="O734" s="36">
        <f t="shared" si="203"/>
        <v>8.5</v>
      </c>
      <c r="P734" s="29">
        <f>LOOKUP(O734,{0,6.6,6.8,7,7.2,7.4,7.6,7.8,8,8.2,8.4,8.6,8.8,9,9.2,9.4,9.6,9.9,10.2,10.3,10.4},{0,10,20,30,40,50,60,62,64,66,68,70,72,74,76,78,80,85,90,95,100})</f>
        <v>68</v>
      </c>
      <c r="Q734" s="5">
        <v>4.13</v>
      </c>
      <c r="R734" s="36">
        <f t="shared" si="204"/>
        <v>5.87</v>
      </c>
      <c r="S734" s="29">
        <f>LOOKUP(R734,{0,4.74,4.84,4.94,5.44,5.54,5.64,5.69,5.74,5.79,5.84,5.89,5.94,5.99,6.44,6.49,6.54,6.61,6.68,6.74,6.8},{0,10,20,30,40,50,60,62,64,66,68,70,72,74,76,78,80,85,90,95,100})</f>
        <v>68</v>
      </c>
      <c r="T734" s="27"/>
      <c r="U734" s="27"/>
      <c r="V734" s="27">
        <f t="shared" si="205"/>
        <v>68</v>
      </c>
      <c r="W734" s="27"/>
      <c r="X734" s="19">
        <f t="shared" si="206"/>
        <v>43.2</v>
      </c>
      <c r="Y734" s="13">
        <f t="shared" si="207"/>
        <v>61.7142857142857</v>
      </c>
      <c r="Z734" s="19"/>
    </row>
    <row r="735" ht="15.6" spans="1:26">
      <c r="A735" s="27">
        <v>316</v>
      </c>
      <c r="B735" s="27">
        <v>28</v>
      </c>
      <c r="C735" s="28" t="s">
        <v>817</v>
      </c>
      <c r="D735" s="28" t="s">
        <v>46</v>
      </c>
      <c r="E735" s="27">
        <v>22.5</v>
      </c>
      <c r="F735" s="29">
        <f>LOOKUP(E735,{0,1.5,2.3,3.1,3.9,4.7,5.5,6.8,8.1,9.4,10.7,12,13.3,14.6,15.9,17.2,18.5,20.2,21.9,23.6,25.3},{0,10,20,30,40,50,60,62,64,66,68,70,72,74,76,78,80,85,90,95,100})</f>
        <v>90</v>
      </c>
      <c r="G735" s="27">
        <v>192</v>
      </c>
      <c r="H735" s="29">
        <f>LOOKUP(G735,{0,125,130,135,140,145,150,153,156,159,162,165,168,171,174,177,180,187,194,200,206},{0,10,20,30,40,50,60,62,64,66,68,70,72,74,76,78,80,85,90,95,100})</f>
        <v>85</v>
      </c>
      <c r="I735" s="27">
        <v>55</v>
      </c>
      <c r="J735" s="29">
        <f>LOOKUP(I735,{0,15,17,19,21,23,25,27,29,31,33,35,37,39,41,43,45,48,51,53,55},{0,10,20,30,40,50,60,62,64,66,68,70,72,74,76,78,80,85,90,95,100})</f>
        <v>100</v>
      </c>
      <c r="K735" s="35"/>
      <c r="L735" s="35"/>
      <c r="M735" s="35">
        <f t="shared" si="202"/>
        <v>100</v>
      </c>
      <c r="N735" s="35">
        <v>8.4</v>
      </c>
      <c r="O735" s="36">
        <f t="shared" si="203"/>
        <v>9.6</v>
      </c>
      <c r="P735" s="29">
        <f>LOOKUP(O735,{0,6.6,6.8,7,7.2,7.4,7.6,7.8,8,8.2,8.4,8.6,8.8,9,9.2,9.4,9.6,9.9,10.2,10.3,10.4},{0,10,20,30,40,50,60,62,64,66,68,70,72,74,76,78,80,85,90,95,100})</f>
        <v>80</v>
      </c>
      <c r="Q735" s="5">
        <v>4.58</v>
      </c>
      <c r="R735" s="36">
        <f t="shared" si="204"/>
        <v>5.42</v>
      </c>
      <c r="S735" s="29">
        <f>LOOKUP(R735,{0,4.74,4.84,4.94,5.44,5.54,5.64,5.69,5.74,5.79,5.84,5.89,5.94,5.99,6.44,6.49,6.54,6.61,6.68,6.74,6.8},{0,10,20,30,40,50,60,62,64,66,68,70,72,74,76,78,80,85,90,95,100})</f>
        <v>30</v>
      </c>
      <c r="T735" s="27"/>
      <c r="U735" s="27"/>
      <c r="V735" s="27">
        <f t="shared" si="205"/>
        <v>30</v>
      </c>
      <c r="W735" s="27"/>
      <c r="X735" s="19">
        <f t="shared" si="206"/>
        <v>49.5</v>
      </c>
      <c r="Y735" s="13">
        <f t="shared" si="207"/>
        <v>70.7142857142857</v>
      </c>
      <c r="Z735" s="19"/>
    </row>
    <row r="736" spans="1:26">
      <c r="A736" s="27">
        <v>316</v>
      </c>
      <c r="B736" s="27">
        <v>29</v>
      </c>
      <c r="C736" s="28" t="s">
        <v>818</v>
      </c>
      <c r="D736" s="28" t="s">
        <v>46</v>
      </c>
      <c r="E736" s="27"/>
      <c r="F736" s="27"/>
      <c r="G736" s="27"/>
      <c r="H736" s="27"/>
      <c r="I736" s="27"/>
      <c r="J736" s="35"/>
      <c r="K736" s="35"/>
      <c r="L736" s="35"/>
      <c r="M736" s="35"/>
      <c r="N736" s="35"/>
      <c r="O736" s="5"/>
      <c r="P736" s="5"/>
      <c r="Q736" s="5"/>
      <c r="R736" s="27"/>
      <c r="S736" s="27"/>
      <c r="T736" s="27"/>
      <c r="U736" s="27"/>
      <c r="V736" s="27"/>
      <c r="W736" s="27">
        <v>50</v>
      </c>
      <c r="X736" s="19"/>
      <c r="Y736" s="19">
        <v>50</v>
      </c>
      <c r="Z736" s="19"/>
    </row>
    <row r="737" ht="15.6" spans="1:26">
      <c r="A737" s="27">
        <v>316</v>
      </c>
      <c r="B737" s="27">
        <v>30</v>
      </c>
      <c r="C737" s="28" t="s">
        <v>819</v>
      </c>
      <c r="D737" s="28" t="s">
        <v>46</v>
      </c>
      <c r="E737" s="27">
        <v>29.8</v>
      </c>
      <c r="F737" s="29">
        <f>LOOKUP(E737,{0,1.5,2.3,3.1,3.9,4.7,5.5,6.8,8.1,9.4,10.7,12,13.3,14.6,15.9,17.2,18.5,20.2,21.9,23.6,25.3},{0,10,20,30,40,50,60,62,64,66,68,70,72,74,76,78,80,85,90,95,100})</f>
        <v>100</v>
      </c>
      <c r="G737" s="27">
        <v>220</v>
      </c>
      <c r="H737" s="29">
        <f>LOOKUP(G737,{0,125,130,135,140,145,150,153,156,159,162,165,168,171,174,177,180,187,194,200,206},{0,10,20,30,40,50,60,62,64,66,68,70,72,74,76,78,80,85,90,95,100})</f>
        <v>100</v>
      </c>
      <c r="I737" s="27">
        <v>34</v>
      </c>
      <c r="J737" s="29">
        <f>LOOKUP(I737,{0,15,17,19,21,23,25,27,29,31,33,35,37,39,41,43,45,48,51,53,55},{0,10,20,30,40,50,60,62,64,66,68,70,72,74,76,78,80,85,90,95,100})</f>
        <v>68</v>
      </c>
      <c r="K737" s="35"/>
      <c r="L737" s="35"/>
      <c r="M737" s="35">
        <f t="shared" ref="M737:M740" si="208">J737+L737</f>
        <v>68</v>
      </c>
      <c r="N737" s="35">
        <v>7.8</v>
      </c>
      <c r="O737" s="36">
        <f t="shared" ref="O737:O740" si="209">18-N737</f>
        <v>10.2</v>
      </c>
      <c r="P737" s="29">
        <f>LOOKUP(O737,{0,6.6,6.8,7,7.2,7.4,7.6,7.8,8,8.2,8.4,8.6,8.8,9,9.2,9.4,9.6,9.9,10.2,10.3,10.4},{0,10,20,30,40,50,60,62,64,66,68,70,72,74,76,78,80,85,90,95,100})</f>
        <v>90</v>
      </c>
      <c r="Q737" s="5">
        <v>3.37</v>
      </c>
      <c r="R737" s="36">
        <f t="shared" ref="R737:R740" si="210">10-Q737</f>
        <v>6.63</v>
      </c>
      <c r="S737" s="29">
        <f>LOOKUP(R737,{0,4.74,4.84,4.94,5.44,5.54,5.64,5.69,5.74,5.79,5.84,5.89,5.94,5.99,6.44,6.49,6.54,6.61,6.68,6.74,6.8},{0,10,20,30,40,50,60,62,64,66,68,70,72,74,76,78,80,85,90,95,100})</f>
        <v>85</v>
      </c>
      <c r="T737" s="27"/>
      <c r="U737" s="27"/>
      <c r="V737" s="27">
        <f t="shared" ref="V737:V740" si="211">S737+U737</f>
        <v>85</v>
      </c>
      <c r="W737" s="27"/>
      <c r="X737" s="19">
        <f t="shared" ref="X737:X740" si="212">F737*0.1+H737*0.1+J737*0.1+P737*0.2+S737*0.2</f>
        <v>61.8</v>
      </c>
      <c r="Y737" s="13">
        <f t="shared" ref="Y737:Y740" si="213">X737/0.7+L737+U737</f>
        <v>88.2857142857143</v>
      </c>
      <c r="Z737" s="19"/>
    </row>
    <row r="738" ht="15.6" spans="1:26">
      <c r="A738" s="27">
        <v>316</v>
      </c>
      <c r="B738" s="27">
        <v>31</v>
      </c>
      <c r="C738" s="28" t="s">
        <v>820</v>
      </c>
      <c r="D738" s="28" t="s">
        <v>46</v>
      </c>
      <c r="E738" s="27">
        <v>8.2</v>
      </c>
      <c r="F738" s="29">
        <f>LOOKUP(E738,{0,1.5,2.3,3.1,3.9,4.7,5.5,6.8,8.1,9.4,10.7,12,13.3,14.6,15.9,17.2,18.5,20.2,21.9,23.6,25.3},{0,10,20,30,40,50,60,62,64,66,68,70,72,74,76,78,80,85,90,95,100})</f>
        <v>64</v>
      </c>
      <c r="G738" s="27">
        <v>182</v>
      </c>
      <c r="H738" s="29">
        <f>LOOKUP(G738,{0,125,130,135,140,145,150,153,156,159,162,165,168,171,174,177,180,187,194,200,206},{0,10,20,30,40,50,60,62,64,66,68,70,72,74,76,78,80,85,90,95,100})</f>
        <v>80</v>
      </c>
      <c r="I738" s="27">
        <v>41</v>
      </c>
      <c r="J738" s="29">
        <f>LOOKUP(I738,{0,15,17,19,21,23,25,27,29,31,33,35,37,39,41,43,45,48,51,53,55},{0,10,20,30,40,50,60,62,64,66,68,70,72,74,76,78,80,85,90,95,100})</f>
        <v>76</v>
      </c>
      <c r="K738" s="35"/>
      <c r="L738" s="35"/>
      <c r="M738" s="35">
        <f t="shared" si="208"/>
        <v>76</v>
      </c>
      <c r="N738" s="35">
        <v>8.4</v>
      </c>
      <c r="O738" s="36">
        <f t="shared" si="209"/>
        <v>9.6</v>
      </c>
      <c r="P738" s="29">
        <f>LOOKUP(O738,{0,6.6,6.8,7,7.2,7.4,7.6,7.8,8,8.2,8.4,8.6,8.8,9,9.2,9.4,9.6,9.9,10.2,10.3,10.4},{0,10,20,30,40,50,60,62,64,66,68,70,72,74,76,78,80,85,90,95,100})</f>
        <v>80</v>
      </c>
      <c r="Q738" s="5">
        <v>4.13</v>
      </c>
      <c r="R738" s="36">
        <f t="shared" si="210"/>
        <v>5.87</v>
      </c>
      <c r="S738" s="29">
        <f>LOOKUP(R738,{0,4.74,4.84,4.94,5.44,5.54,5.64,5.69,5.74,5.79,5.84,5.89,5.94,5.99,6.44,6.49,6.54,6.61,6.68,6.74,6.8},{0,10,20,30,40,50,60,62,64,66,68,70,72,74,76,78,80,85,90,95,100})</f>
        <v>68</v>
      </c>
      <c r="T738" s="27"/>
      <c r="U738" s="27"/>
      <c r="V738" s="27">
        <f t="shared" si="211"/>
        <v>68</v>
      </c>
      <c r="W738" s="27"/>
      <c r="X738" s="19">
        <f t="shared" si="212"/>
        <v>51.6</v>
      </c>
      <c r="Y738" s="13">
        <f t="shared" si="213"/>
        <v>73.7142857142857</v>
      </c>
      <c r="Z738" s="19"/>
    </row>
    <row r="739" ht="15.6" spans="1:26">
      <c r="A739" s="27">
        <v>316</v>
      </c>
      <c r="B739" s="27">
        <v>32</v>
      </c>
      <c r="C739" s="30" t="s">
        <v>822</v>
      </c>
      <c r="D739" s="28" t="s">
        <v>46</v>
      </c>
      <c r="E739" s="27">
        <v>21.5</v>
      </c>
      <c r="F739" s="29">
        <f>LOOKUP(E739,{0,1.5,2.3,3.1,3.9,4.7,5.5,6.8,8.1,9.4,10.7,12,13.3,14.6,15.9,17.2,18.5,20.2,21.9,23.6,25.3},{0,10,20,30,40,50,60,62,64,66,68,70,72,74,76,78,80,85,90,95,100})</f>
        <v>85</v>
      </c>
      <c r="G739" s="27">
        <v>174</v>
      </c>
      <c r="H739" s="29">
        <f>LOOKUP(G739,{0,125,130,135,140,145,150,153,156,159,162,165,168,171,174,177,180,187,194,200,206},{0,10,20,30,40,50,60,62,64,66,68,70,72,74,76,78,80,85,90,95,100})</f>
        <v>76</v>
      </c>
      <c r="I739" s="27">
        <v>48</v>
      </c>
      <c r="J739" s="29">
        <f>LOOKUP(I739,{0,15,17,19,21,23,25,27,29,31,33,35,37,39,41,43,45,48,51,53,55},{0,10,20,30,40,50,60,62,64,66,68,70,72,74,76,78,80,85,90,95,100})</f>
        <v>85</v>
      </c>
      <c r="K739" s="35"/>
      <c r="L739" s="35"/>
      <c r="M739" s="35">
        <f t="shared" si="208"/>
        <v>85</v>
      </c>
      <c r="N739" s="35">
        <v>9.7</v>
      </c>
      <c r="O739" s="36">
        <f t="shared" si="209"/>
        <v>8.3</v>
      </c>
      <c r="P739" s="29">
        <f>LOOKUP(O739,{0,6.6,6.8,7,7.2,7.4,7.6,7.8,8,8.2,8.4,8.6,8.8,9,9.2,9.4,9.6,9.9,10.2,10.3,10.4},{0,10,20,30,40,50,60,62,64,66,68,70,72,74,76,78,80,85,90,95,100})</f>
        <v>66</v>
      </c>
      <c r="Q739" s="5">
        <v>4.11</v>
      </c>
      <c r="R739" s="36">
        <f t="shared" si="210"/>
        <v>5.89</v>
      </c>
      <c r="S739" s="29">
        <f>LOOKUP(R739,{0,4.74,4.84,4.94,5.44,5.54,5.64,5.69,5.74,5.79,5.84,5.89,5.94,5.99,6.44,6.49,6.54,6.61,6.68,6.74,6.8},{0,10,20,30,40,50,60,62,64,66,68,70,72,74,76,78,80,85,90,95,100})</f>
        <v>70</v>
      </c>
      <c r="T739" s="27"/>
      <c r="U739" s="27"/>
      <c r="V739" s="27">
        <f t="shared" si="211"/>
        <v>70</v>
      </c>
      <c r="W739" s="27"/>
      <c r="X739" s="19">
        <f t="shared" si="212"/>
        <v>51.8</v>
      </c>
      <c r="Y739" s="13">
        <f t="shared" si="213"/>
        <v>74</v>
      </c>
      <c r="Z739" s="19"/>
    </row>
    <row r="740" ht="15.6" spans="1:26">
      <c r="A740" s="27">
        <v>316</v>
      </c>
      <c r="B740" s="27">
        <v>33</v>
      </c>
      <c r="C740" s="28" t="s">
        <v>823</v>
      </c>
      <c r="D740" s="28" t="s">
        <v>46</v>
      </c>
      <c r="E740" s="27">
        <v>18.5</v>
      </c>
      <c r="F740" s="29">
        <f>LOOKUP(E740,{0,1.5,2.3,3.1,3.9,4.7,5.5,6.8,8.1,9.4,10.7,12,13.3,14.6,15.9,17.2,18.5,20.2,21.9,23.6,25.3},{0,10,20,30,40,50,60,62,64,66,68,70,72,74,76,78,80,85,90,95,100})</f>
        <v>80</v>
      </c>
      <c r="G740" s="27">
        <v>180</v>
      </c>
      <c r="H740" s="29">
        <f>LOOKUP(G740,{0,125,130,135,140,145,150,153,156,159,162,165,168,171,174,177,180,187,194,200,206},{0,10,20,30,40,50,60,62,64,66,68,70,72,74,76,78,80,85,90,95,100})</f>
        <v>80</v>
      </c>
      <c r="I740" s="27">
        <v>49</v>
      </c>
      <c r="J740" s="29">
        <f>LOOKUP(I740,{0,15,17,19,21,23,25,27,29,31,33,35,37,39,41,43,45,48,51,53,55},{0,10,20,30,40,50,60,62,64,66,68,70,72,74,76,78,80,85,90,95,100})</f>
        <v>85</v>
      </c>
      <c r="K740" s="35"/>
      <c r="L740" s="35"/>
      <c r="M740" s="35">
        <f t="shared" si="208"/>
        <v>85</v>
      </c>
      <c r="N740" s="35">
        <v>9.1</v>
      </c>
      <c r="O740" s="36">
        <f t="shared" si="209"/>
        <v>8.9</v>
      </c>
      <c r="P740" s="29">
        <f>LOOKUP(O740,{0,6.6,6.8,7,7.2,7.4,7.6,7.8,8,8.2,8.4,8.6,8.8,9,9.2,9.4,9.6,9.9,10.2,10.3,10.4},{0,10,20,30,40,50,60,62,64,66,68,70,72,74,76,78,80,85,90,95,100})</f>
        <v>72</v>
      </c>
      <c r="Q740" s="5">
        <v>4.2</v>
      </c>
      <c r="R740" s="36">
        <f t="shared" si="210"/>
        <v>5.8</v>
      </c>
      <c r="S740" s="29">
        <f>LOOKUP(R740,{0,4.74,4.84,4.94,5.44,5.54,5.64,5.69,5.74,5.79,5.84,5.89,5.94,5.99,6.44,6.49,6.54,6.61,6.68,6.74,6.8},{0,10,20,30,40,50,60,62,64,66,68,70,72,74,76,78,80,85,90,95,100})</f>
        <v>66</v>
      </c>
      <c r="T740" s="27"/>
      <c r="U740" s="27"/>
      <c r="V740" s="27">
        <f t="shared" si="211"/>
        <v>66</v>
      </c>
      <c r="W740" s="27"/>
      <c r="X740" s="19">
        <f t="shared" si="212"/>
        <v>52.1</v>
      </c>
      <c r="Y740" s="13">
        <f t="shared" si="213"/>
        <v>74.4285714285714</v>
      </c>
      <c r="Z740" s="19"/>
    </row>
    <row r="741" spans="1:26">
      <c r="A741" s="27">
        <v>316</v>
      </c>
      <c r="B741" s="27">
        <v>34</v>
      </c>
      <c r="C741" s="28" t="s">
        <v>824</v>
      </c>
      <c r="D741" s="28" t="s">
        <v>46</v>
      </c>
      <c r="E741" s="27"/>
      <c r="F741" s="27"/>
      <c r="G741" s="27"/>
      <c r="H741" s="27"/>
      <c r="I741" s="27"/>
      <c r="J741" s="35"/>
      <c r="K741" s="35"/>
      <c r="L741" s="35"/>
      <c r="M741" s="35"/>
      <c r="N741" s="35"/>
      <c r="O741" s="5"/>
      <c r="P741" s="5"/>
      <c r="Q741" s="5"/>
      <c r="R741" s="27"/>
      <c r="S741" s="27"/>
      <c r="T741" s="27"/>
      <c r="U741" s="27"/>
      <c r="V741" s="27"/>
      <c r="W741" s="27">
        <v>50</v>
      </c>
      <c r="X741" s="19"/>
      <c r="Y741" s="19">
        <v>50</v>
      </c>
      <c r="Z741" s="19"/>
    </row>
    <row r="742" ht="15.6" spans="1:26">
      <c r="A742" s="27">
        <v>316</v>
      </c>
      <c r="B742" s="27">
        <v>35</v>
      </c>
      <c r="C742" s="28" t="s">
        <v>825</v>
      </c>
      <c r="D742" s="28" t="s">
        <v>46</v>
      </c>
      <c r="E742" s="27">
        <v>9.5</v>
      </c>
      <c r="F742" s="29">
        <f>LOOKUP(E742,{0,1.5,2.3,3.1,3.9,4.7,5.5,6.8,8.1,9.4,10.7,12,13.3,14.6,15.9,17.2,18.5,20.2,21.9,23.6,25.3},{0,10,20,30,40,50,60,62,64,66,68,70,72,74,76,78,80,85,90,95,100})</f>
        <v>66</v>
      </c>
      <c r="G742" s="27">
        <v>169</v>
      </c>
      <c r="H742" s="29">
        <f>LOOKUP(G742,{0,125,130,135,140,145,150,153,156,159,162,165,168,171,174,177,180,187,194,200,206},{0,10,20,30,40,50,60,62,64,66,68,70,72,74,76,78,80,85,90,95,100})</f>
        <v>72</v>
      </c>
      <c r="I742" s="27">
        <v>32</v>
      </c>
      <c r="J742" s="29">
        <f>LOOKUP(I742,{0,15,17,19,21,23,25,27,29,31,33,35,37,39,41,43,45,48,51,53,55},{0,10,20,30,40,50,60,62,64,66,68,70,72,74,76,78,80,85,90,95,100})</f>
        <v>66</v>
      </c>
      <c r="K742" s="35"/>
      <c r="L742" s="35"/>
      <c r="M742" s="35">
        <f t="shared" ref="M742:M744" si="214">J742+L742</f>
        <v>66</v>
      </c>
      <c r="N742" s="35">
        <v>9.1</v>
      </c>
      <c r="O742" s="36">
        <f t="shared" ref="O742:O744" si="215">18-N742</f>
        <v>8.9</v>
      </c>
      <c r="P742" s="29">
        <f>LOOKUP(O742,{0,6.6,6.8,7,7.2,7.4,7.6,7.8,8,8.2,8.4,8.6,8.8,9,9.2,9.4,9.6,9.9,10.2,10.3,10.4},{0,10,20,30,40,50,60,62,64,66,68,70,72,74,76,78,80,85,90,95,100})</f>
        <v>72</v>
      </c>
      <c r="Q742" s="5">
        <v>4.25</v>
      </c>
      <c r="R742" s="36">
        <f t="shared" ref="R742:R744" si="216">10-Q742</f>
        <v>5.75</v>
      </c>
      <c r="S742" s="29">
        <f>LOOKUP(R742,{0,4.74,4.84,4.94,5.44,5.54,5.64,5.69,5.74,5.79,5.84,5.89,5.94,5.99,6.44,6.49,6.54,6.61,6.68,6.74,6.8},{0,10,20,30,40,50,60,62,64,66,68,70,72,74,76,78,80,85,90,95,100})</f>
        <v>64</v>
      </c>
      <c r="T742" s="27"/>
      <c r="U742" s="27"/>
      <c r="V742" s="27">
        <f t="shared" ref="V742:V744" si="217">S742+U742</f>
        <v>64</v>
      </c>
      <c r="W742" s="27"/>
      <c r="X742" s="19">
        <f t="shared" ref="X742:X744" si="218">F742*0.1+H742*0.1+J742*0.1+P742*0.2+S742*0.2</f>
        <v>47.6</v>
      </c>
      <c r="Y742" s="13">
        <f t="shared" ref="Y742:Y744" si="219">X742/0.7+L742+U742</f>
        <v>68</v>
      </c>
      <c r="Z742" s="19"/>
    </row>
    <row r="743" ht="15.6" spans="1:26">
      <c r="A743" s="27">
        <v>316</v>
      </c>
      <c r="B743" s="27">
        <v>36</v>
      </c>
      <c r="C743" s="28" t="s">
        <v>826</v>
      </c>
      <c r="D743" s="28" t="s">
        <v>46</v>
      </c>
      <c r="E743" s="27">
        <v>16</v>
      </c>
      <c r="F743" s="29">
        <f>LOOKUP(E743,{0,1.5,2.3,3.1,3.9,4.7,5.5,6.8,8.1,9.4,10.7,12,13.3,14.6,15.9,17.2,18.5,20.2,21.9,23.6,25.3},{0,10,20,30,40,50,60,62,64,66,68,70,72,74,76,78,80,85,90,95,100})</f>
        <v>76</v>
      </c>
      <c r="G743" s="27">
        <v>160</v>
      </c>
      <c r="H743" s="29">
        <f>LOOKUP(G743,{0,125,130,135,140,145,150,153,156,159,162,165,168,171,174,177,180,187,194,200,206},{0,10,20,30,40,50,60,62,64,66,68,70,72,74,76,78,80,85,90,95,100})</f>
        <v>66</v>
      </c>
      <c r="I743" s="27">
        <v>49</v>
      </c>
      <c r="J743" s="29">
        <f>LOOKUP(I743,{0,15,17,19,21,23,25,27,29,31,33,35,37,39,41,43,45,48,51,53,55},{0,10,20,30,40,50,60,62,64,66,68,70,72,74,76,78,80,85,90,95,100})</f>
        <v>85</v>
      </c>
      <c r="K743" s="35"/>
      <c r="L743" s="35"/>
      <c r="M743" s="35">
        <f t="shared" si="214"/>
        <v>85</v>
      </c>
      <c r="N743" s="35">
        <v>8.7</v>
      </c>
      <c r="O743" s="36">
        <f t="shared" si="215"/>
        <v>9.3</v>
      </c>
      <c r="P743" s="29">
        <f>LOOKUP(O743,{0,6.6,6.8,7,7.2,7.4,7.6,7.8,8,8.2,8.4,8.6,8.8,9,9.2,9.4,9.6,9.9,10.2,10.3,10.4},{0,10,20,30,40,50,60,62,64,66,68,70,72,74,76,78,80,85,90,95,100})</f>
        <v>76</v>
      </c>
      <c r="Q743" s="5">
        <v>4</v>
      </c>
      <c r="R743" s="36">
        <f t="shared" si="216"/>
        <v>6</v>
      </c>
      <c r="S743" s="29">
        <f>LOOKUP(R743,{0,4.74,4.84,4.94,5.44,5.54,5.64,5.69,5.74,5.79,5.84,5.89,5.94,5.99,6.44,6.49,6.54,6.61,6.68,6.74,6.8},{0,10,20,30,40,50,60,62,64,66,68,70,72,74,76,78,80,85,90,95,100})</f>
        <v>74</v>
      </c>
      <c r="T743" s="27"/>
      <c r="U743" s="27"/>
      <c r="V743" s="27">
        <f t="shared" si="217"/>
        <v>74</v>
      </c>
      <c r="W743" s="27"/>
      <c r="X743" s="19">
        <f t="shared" si="218"/>
        <v>52.7</v>
      </c>
      <c r="Y743" s="13">
        <f t="shared" si="219"/>
        <v>75.2857142857143</v>
      </c>
      <c r="Z743" s="19"/>
    </row>
    <row r="744" ht="15.6" spans="1:26">
      <c r="A744" s="27">
        <v>316</v>
      </c>
      <c r="B744" s="27">
        <v>37</v>
      </c>
      <c r="C744" s="28" t="s">
        <v>827</v>
      </c>
      <c r="D744" s="28" t="s">
        <v>46</v>
      </c>
      <c r="E744" s="27">
        <v>18</v>
      </c>
      <c r="F744" s="29">
        <f>LOOKUP(E744,{0,1.5,2.3,3.1,3.9,4.7,5.5,6.8,8.1,9.4,10.7,12,13.3,14.6,15.9,17.2,18.5,20.2,21.9,23.6,25.3},{0,10,20,30,40,50,60,62,64,66,68,70,72,74,76,78,80,85,90,95,100})</f>
        <v>78</v>
      </c>
      <c r="G744" s="27">
        <v>185</v>
      </c>
      <c r="H744" s="29">
        <f>LOOKUP(G744,{0,125,130,135,140,145,150,153,156,159,162,165,168,171,174,177,180,187,194,200,206},{0,10,20,30,40,50,60,62,64,66,68,70,72,74,76,78,80,85,90,95,100})</f>
        <v>80</v>
      </c>
      <c r="I744" s="27">
        <v>41</v>
      </c>
      <c r="J744" s="29">
        <f>LOOKUP(I744,{0,15,17,19,21,23,25,27,29,31,33,35,37,39,41,43,45,48,51,53,55},{0,10,20,30,40,50,60,62,64,66,68,70,72,74,76,78,80,85,90,95,100})</f>
        <v>76</v>
      </c>
      <c r="K744" s="35"/>
      <c r="L744" s="35"/>
      <c r="M744" s="35">
        <f t="shared" si="214"/>
        <v>76</v>
      </c>
      <c r="N744" s="35">
        <v>8.5</v>
      </c>
      <c r="O744" s="36">
        <f t="shared" si="215"/>
        <v>9.5</v>
      </c>
      <c r="P744" s="29">
        <f>LOOKUP(O744,{0,6.6,6.8,7,7.2,7.4,7.6,7.8,8,8.2,8.4,8.6,8.8,9,9.2,9.4,9.6,9.9,10.2,10.3,10.4},{0,10,20,30,40,50,60,62,64,66,68,70,72,74,76,78,80,85,90,95,100})</f>
        <v>78</v>
      </c>
      <c r="Q744" s="5">
        <v>4.03</v>
      </c>
      <c r="R744" s="36">
        <f t="shared" si="216"/>
        <v>5.97</v>
      </c>
      <c r="S744" s="29">
        <f>LOOKUP(R744,{0,4.74,4.84,4.94,5.44,5.54,5.64,5.69,5.74,5.79,5.84,5.89,5.94,5.99,6.44,6.49,6.54,6.61,6.68,6.74,6.8},{0,10,20,30,40,50,60,62,64,66,68,70,72,74,76,78,80,85,90,95,100})</f>
        <v>72</v>
      </c>
      <c r="T744" s="27"/>
      <c r="U744" s="27"/>
      <c r="V744" s="27">
        <f t="shared" si="217"/>
        <v>72</v>
      </c>
      <c r="W744" s="27"/>
      <c r="X744" s="19">
        <f t="shared" si="218"/>
        <v>53.4</v>
      </c>
      <c r="Y744" s="13">
        <f t="shared" si="219"/>
        <v>76.2857142857143</v>
      </c>
      <c r="Z744" s="19"/>
    </row>
    <row r="745" spans="1:26">
      <c r="A745" s="27">
        <v>316</v>
      </c>
      <c r="B745" s="27">
        <v>38</v>
      </c>
      <c r="C745" s="28" t="s">
        <v>828</v>
      </c>
      <c r="D745" s="28" t="s">
        <v>46</v>
      </c>
      <c r="E745" s="27"/>
      <c r="F745" s="27"/>
      <c r="G745" s="27"/>
      <c r="H745" s="27"/>
      <c r="I745" s="27"/>
      <c r="J745" s="35"/>
      <c r="K745" s="35"/>
      <c r="L745" s="35"/>
      <c r="M745" s="35"/>
      <c r="N745" s="35"/>
      <c r="O745" s="5"/>
      <c r="P745" s="5"/>
      <c r="Q745" s="5"/>
      <c r="R745" s="27"/>
      <c r="S745" s="27"/>
      <c r="T745" s="27"/>
      <c r="U745" s="27"/>
      <c r="V745" s="27"/>
      <c r="W745" s="27">
        <v>50</v>
      </c>
      <c r="X745" s="20"/>
      <c r="Y745" s="19">
        <v>50</v>
      </c>
      <c r="Z745" s="20"/>
    </row>
    <row r="746" ht="15.6" spans="1:26">
      <c r="A746" s="27">
        <v>316</v>
      </c>
      <c r="B746" s="27">
        <v>39</v>
      </c>
      <c r="C746" s="28" t="s">
        <v>829</v>
      </c>
      <c r="D746" s="28" t="s">
        <v>46</v>
      </c>
      <c r="E746" s="27">
        <v>15</v>
      </c>
      <c r="F746" s="29">
        <f>LOOKUP(E746,{0,1.5,2.3,3.1,3.9,4.7,5.5,6.8,8.1,9.4,10.7,12,13.3,14.6,15.9,17.2,18.5,20.2,21.9,23.6,25.3},{0,10,20,30,40,50,60,62,64,66,68,70,72,74,76,78,80,85,90,95,100})</f>
        <v>74</v>
      </c>
      <c r="G746" s="27">
        <v>182</v>
      </c>
      <c r="H746" s="29">
        <f>LOOKUP(G746,{0,125,130,135,140,145,150,153,156,159,162,165,168,171,174,177,180,187,194,200,206},{0,10,20,30,40,50,60,62,64,66,68,70,72,74,76,78,80,85,90,95,100})</f>
        <v>80</v>
      </c>
      <c r="I746" s="27">
        <v>48</v>
      </c>
      <c r="J746" s="29">
        <f>LOOKUP(I746,{0,15,17,19,21,23,25,27,29,31,33,35,37,39,41,43,45,48,51,53,55},{0,10,20,30,40,50,60,62,64,66,68,70,72,74,76,78,80,85,90,95,100})</f>
        <v>85</v>
      </c>
      <c r="K746" s="35"/>
      <c r="L746" s="35"/>
      <c r="M746" s="35">
        <f t="shared" ref="M746:M752" si="220">J746+L746</f>
        <v>85</v>
      </c>
      <c r="N746" s="35">
        <v>9.1</v>
      </c>
      <c r="O746" s="36">
        <f t="shared" ref="O746:O752" si="221">18-N746</f>
        <v>8.9</v>
      </c>
      <c r="P746" s="29">
        <f>LOOKUP(O746,{0,6.6,6.8,7,7.2,7.4,7.6,7.8,8,8.2,8.4,8.6,8.8,9,9.2,9.4,9.6,9.9,10.2,10.3,10.4},{0,10,20,30,40,50,60,62,64,66,68,70,72,74,76,78,80,85,90,95,100})</f>
        <v>72</v>
      </c>
      <c r="Q746" s="5">
        <v>4.11</v>
      </c>
      <c r="R746" s="36">
        <f t="shared" ref="R746:R752" si="222">10-Q746</f>
        <v>5.89</v>
      </c>
      <c r="S746" s="29">
        <f>LOOKUP(R746,{0,4.74,4.84,4.94,5.44,5.54,5.64,5.69,5.74,5.79,5.84,5.89,5.94,5.99,6.44,6.49,6.54,6.61,6.68,6.74,6.8},{0,10,20,30,40,50,60,62,64,66,68,70,72,74,76,78,80,85,90,95,100})</f>
        <v>70</v>
      </c>
      <c r="T746" s="27"/>
      <c r="U746" s="27"/>
      <c r="V746" s="27">
        <f t="shared" ref="V746:V752" si="223">S746+U746</f>
        <v>70</v>
      </c>
      <c r="W746" s="27"/>
      <c r="X746" s="19">
        <f t="shared" ref="X746:X752" si="224">F746*0.1+H746*0.1+J746*0.1+P746*0.2+S746*0.2</f>
        <v>52.3</v>
      </c>
      <c r="Y746" s="13">
        <f t="shared" ref="Y746:Y752" si="225">X746/0.7+L746+U746</f>
        <v>74.7142857142857</v>
      </c>
      <c r="Z746" s="19"/>
    </row>
    <row r="747" ht="15.6" spans="1:26">
      <c r="A747" s="27">
        <v>316</v>
      </c>
      <c r="B747" s="27">
        <v>40</v>
      </c>
      <c r="C747" s="28" t="s">
        <v>830</v>
      </c>
      <c r="D747" s="28" t="s">
        <v>46</v>
      </c>
      <c r="E747" s="27">
        <v>12.5</v>
      </c>
      <c r="F747" s="29">
        <f>LOOKUP(E747,{0,1.5,2.3,3.1,3.9,4.7,5.5,6.8,8.1,9.4,10.7,12,13.3,14.6,15.9,17.2,18.5,20.2,21.9,23.6,25.3},{0,10,20,30,40,50,60,62,64,66,68,70,72,74,76,78,80,85,90,95,100})</f>
        <v>70</v>
      </c>
      <c r="G747" s="27">
        <v>170</v>
      </c>
      <c r="H747" s="29">
        <f>LOOKUP(G747,{0,125,130,135,140,145,150,153,156,159,162,165,168,171,174,177,180,187,194,200,206},{0,10,20,30,40,50,60,62,64,66,68,70,72,74,76,78,80,85,90,95,100})</f>
        <v>72</v>
      </c>
      <c r="I747" s="27">
        <v>37</v>
      </c>
      <c r="J747" s="29">
        <f>LOOKUP(I747,{0,15,17,19,21,23,25,27,29,31,33,35,37,39,41,43,45,48,51,53,55},{0,10,20,30,40,50,60,62,64,66,68,70,72,74,76,78,80,85,90,95,100})</f>
        <v>72</v>
      </c>
      <c r="K747" s="35"/>
      <c r="L747" s="35"/>
      <c r="M747" s="35">
        <f t="shared" si="220"/>
        <v>72</v>
      </c>
      <c r="N747" s="35">
        <v>10</v>
      </c>
      <c r="O747" s="36">
        <f t="shared" si="221"/>
        <v>8</v>
      </c>
      <c r="P747" s="29">
        <f>LOOKUP(O747,{0,6.6,6.8,7,7.2,7.4,7.6,7.8,8,8.2,8.4,8.6,8.8,9,9.2,9.4,9.6,9.9,10.2,10.3,10.4},{0,10,20,30,40,50,60,62,64,66,68,70,72,74,76,78,80,85,90,95,100})</f>
        <v>64</v>
      </c>
      <c r="Q747" s="5">
        <v>4.4</v>
      </c>
      <c r="R747" s="36">
        <f t="shared" si="222"/>
        <v>5.6</v>
      </c>
      <c r="S747" s="29">
        <f>LOOKUP(R747,{0,4.74,4.84,4.94,5.44,5.54,5.64,5.69,5.74,5.79,5.84,5.89,5.94,5.99,6.44,6.49,6.54,6.61,6.68,6.74,6.8},{0,10,20,30,40,50,60,62,64,66,68,70,72,74,76,78,80,85,90,95,100})</f>
        <v>50</v>
      </c>
      <c r="T747" s="27"/>
      <c r="U747" s="27"/>
      <c r="V747" s="27">
        <f t="shared" si="223"/>
        <v>50</v>
      </c>
      <c r="W747" s="27"/>
      <c r="X747" s="19">
        <f t="shared" si="224"/>
        <v>44.2</v>
      </c>
      <c r="Y747" s="13">
        <f t="shared" si="225"/>
        <v>63.1428571428572</v>
      </c>
      <c r="Z747" s="19"/>
    </row>
    <row r="748" ht="15.6" spans="1:26">
      <c r="A748" s="27">
        <v>316</v>
      </c>
      <c r="B748" s="27">
        <v>41</v>
      </c>
      <c r="C748" s="30" t="s">
        <v>832</v>
      </c>
      <c r="D748" s="28" t="s">
        <v>46</v>
      </c>
      <c r="E748" s="27">
        <v>22</v>
      </c>
      <c r="F748" s="29">
        <f>LOOKUP(E748,{0,1.5,2.3,3.1,3.9,4.7,5.5,6.8,8.1,9.4,10.7,12,13.3,14.6,15.9,17.2,18.5,20.2,21.9,23.6,25.3},{0,10,20,30,40,50,60,62,64,66,68,70,72,74,76,78,80,85,90,95,100})</f>
        <v>90</v>
      </c>
      <c r="G748" s="27">
        <v>165</v>
      </c>
      <c r="H748" s="29">
        <f>LOOKUP(G748,{0,125,130,135,140,145,150,153,156,159,162,165,168,171,174,177,180,187,194,200,206},{0,10,20,30,40,50,60,62,64,66,68,70,72,74,76,78,80,85,90,95,100})</f>
        <v>70</v>
      </c>
      <c r="I748" s="27">
        <v>20</v>
      </c>
      <c r="J748" s="29">
        <f>LOOKUP(I748,{0,15,17,19,21,23,25,27,29,31,33,35,37,39,41,43,45,48,51,53,55},{0,10,20,30,40,50,60,62,64,66,68,70,72,74,76,78,80,85,90,95,100})</f>
        <v>30</v>
      </c>
      <c r="K748" s="35"/>
      <c r="L748" s="35"/>
      <c r="M748" s="35">
        <f t="shared" si="220"/>
        <v>30</v>
      </c>
      <c r="N748" s="35">
        <v>9.8</v>
      </c>
      <c r="O748" s="36">
        <f t="shared" si="221"/>
        <v>8.2</v>
      </c>
      <c r="P748" s="29">
        <f>LOOKUP(O748,{0,6.6,6.8,7,7.2,7.4,7.6,7.8,8,8.2,8.4,8.6,8.8,9,9.2,9.4,9.6,9.9,10.2,10.3,10.4},{0,10,20,30,40,50,60,62,64,66,68,70,72,74,76,78,80,85,90,95,100})</f>
        <v>66</v>
      </c>
      <c r="Q748" s="5">
        <v>4.12</v>
      </c>
      <c r="R748" s="36">
        <f t="shared" si="222"/>
        <v>5.88</v>
      </c>
      <c r="S748" s="29">
        <f>LOOKUP(R748,{0,4.74,4.84,4.94,5.44,5.54,5.64,5.69,5.74,5.79,5.84,5.89,5.94,5.99,6.44,6.49,6.54,6.61,6.68,6.74,6.8},{0,10,20,30,40,50,60,62,64,66,68,70,72,74,76,78,80,85,90,95,100})</f>
        <v>68</v>
      </c>
      <c r="T748" s="27"/>
      <c r="U748" s="27"/>
      <c r="V748" s="27">
        <f t="shared" si="223"/>
        <v>68</v>
      </c>
      <c r="W748" s="27"/>
      <c r="X748" s="19">
        <f t="shared" si="224"/>
        <v>45.8</v>
      </c>
      <c r="Y748" s="13">
        <f t="shared" si="225"/>
        <v>65.4285714285714</v>
      </c>
      <c r="Z748" s="19"/>
    </row>
    <row r="749" ht="15.6" spans="1:26">
      <c r="A749" s="27">
        <v>316</v>
      </c>
      <c r="B749" s="27">
        <v>42</v>
      </c>
      <c r="C749" s="28" t="s">
        <v>833</v>
      </c>
      <c r="D749" s="28" t="s">
        <v>46</v>
      </c>
      <c r="E749" s="27">
        <v>27.6</v>
      </c>
      <c r="F749" s="29">
        <f>LOOKUP(E749,{0,1.5,2.3,3.1,3.9,4.7,5.5,6.8,8.1,9.4,10.7,12,13.3,14.6,15.9,17.2,18.5,20.2,21.9,23.6,25.3},{0,10,20,30,40,50,60,62,64,66,68,70,72,74,76,78,80,85,90,95,100})</f>
        <v>100</v>
      </c>
      <c r="G749" s="27">
        <v>209</v>
      </c>
      <c r="H749" s="29">
        <f>LOOKUP(G749,{0,125,130,135,140,145,150,153,156,159,162,165,168,171,174,177,180,187,194,200,206},{0,10,20,30,40,50,60,62,64,66,68,70,72,74,76,78,80,85,90,95,100})</f>
        <v>100</v>
      </c>
      <c r="I749" s="27">
        <v>49</v>
      </c>
      <c r="J749" s="29">
        <f>LOOKUP(I749,{0,15,17,19,21,23,25,27,29,31,33,35,37,39,41,43,45,48,51,53,55},{0,10,20,30,40,50,60,62,64,66,68,70,72,74,76,78,80,85,90,95,100})</f>
        <v>85</v>
      </c>
      <c r="K749" s="35"/>
      <c r="L749" s="35"/>
      <c r="M749" s="35">
        <f t="shared" si="220"/>
        <v>85</v>
      </c>
      <c r="N749" s="35">
        <v>7.8</v>
      </c>
      <c r="O749" s="36">
        <f t="shared" si="221"/>
        <v>10.2</v>
      </c>
      <c r="P749" s="29">
        <f>LOOKUP(O749,{0,6.6,6.8,7,7.2,7.4,7.6,7.8,8,8.2,8.4,8.6,8.8,9,9.2,9.4,9.6,9.9,10.2,10.3,10.4},{0,10,20,30,40,50,60,62,64,66,68,70,72,74,76,78,80,85,90,95,100})</f>
        <v>90</v>
      </c>
      <c r="Q749" s="5">
        <v>4.05</v>
      </c>
      <c r="R749" s="36">
        <f t="shared" si="222"/>
        <v>5.95</v>
      </c>
      <c r="S749" s="29">
        <f>LOOKUP(R749,{0,4.74,4.84,4.94,5.44,5.54,5.64,5.69,5.74,5.79,5.84,5.89,5.94,5.99,6.44,6.49,6.54,6.61,6.68,6.74,6.8},{0,10,20,30,40,50,60,62,64,66,68,70,72,74,76,78,80,85,90,95,100})</f>
        <v>72</v>
      </c>
      <c r="T749" s="27"/>
      <c r="U749" s="27"/>
      <c r="V749" s="27">
        <f t="shared" si="223"/>
        <v>72</v>
      </c>
      <c r="W749" s="27"/>
      <c r="X749" s="19">
        <f t="shared" si="224"/>
        <v>60.9</v>
      </c>
      <c r="Y749" s="13">
        <f t="shared" si="225"/>
        <v>87</v>
      </c>
      <c r="Z749" s="19"/>
    </row>
    <row r="750" ht="15.6" spans="1:26">
      <c r="A750" s="27">
        <v>316</v>
      </c>
      <c r="B750" s="27">
        <v>43</v>
      </c>
      <c r="C750" s="28" t="s">
        <v>834</v>
      </c>
      <c r="D750" s="28" t="s">
        <v>46</v>
      </c>
      <c r="E750" s="27">
        <v>26.5</v>
      </c>
      <c r="F750" s="29">
        <f>LOOKUP(E750,{0,1.5,2.3,3.1,3.9,4.7,5.5,6.8,8.1,9.4,10.7,12,13.3,14.6,15.9,17.2,18.5,20.2,21.9,23.6,25.3},{0,10,20,30,40,50,60,62,64,66,68,70,72,74,76,78,80,85,90,95,100})</f>
        <v>100</v>
      </c>
      <c r="G750" s="27">
        <v>193</v>
      </c>
      <c r="H750" s="29">
        <f>LOOKUP(G750,{0,125,130,135,140,145,150,153,156,159,162,165,168,171,174,177,180,187,194,200,206},{0,10,20,30,40,50,60,62,64,66,68,70,72,74,76,78,80,85,90,95,100})</f>
        <v>85</v>
      </c>
      <c r="I750" s="27">
        <v>51</v>
      </c>
      <c r="J750" s="29">
        <f>LOOKUP(I750,{0,15,17,19,21,23,25,27,29,31,33,35,37,39,41,43,45,48,51,53,55},{0,10,20,30,40,50,60,62,64,66,68,70,72,74,76,78,80,85,90,95,100})</f>
        <v>90</v>
      </c>
      <c r="K750" s="35"/>
      <c r="L750" s="35"/>
      <c r="M750" s="35">
        <f t="shared" si="220"/>
        <v>90</v>
      </c>
      <c r="N750" s="35">
        <v>8.5</v>
      </c>
      <c r="O750" s="36">
        <f t="shared" si="221"/>
        <v>9.5</v>
      </c>
      <c r="P750" s="29">
        <f>LOOKUP(O750,{0,6.6,6.8,7,7.2,7.4,7.6,7.8,8,8.2,8.4,8.6,8.8,9,9.2,9.4,9.6,9.9,10.2,10.3,10.4},{0,10,20,30,40,50,60,62,64,66,68,70,72,74,76,78,80,85,90,95,100})</f>
        <v>78</v>
      </c>
      <c r="Q750" s="5">
        <v>4.1</v>
      </c>
      <c r="R750" s="36">
        <f t="shared" si="222"/>
        <v>5.9</v>
      </c>
      <c r="S750" s="29">
        <f>LOOKUP(R750,{0,4.74,4.84,4.94,5.44,5.54,5.64,5.69,5.74,5.79,5.84,5.89,5.94,5.99,6.44,6.49,6.54,6.61,6.68,6.74,6.8},{0,10,20,30,40,50,60,62,64,66,68,70,72,74,76,78,80,85,90,95,100})</f>
        <v>70</v>
      </c>
      <c r="T750" s="27"/>
      <c r="U750" s="27"/>
      <c r="V750" s="27">
        <f t="shared" si="223"/>
        <v>70</v>
      </c>
      <c r="W750" s="27"/>
      <c r="X750" s="19">
        <f t="shared" si="224"/>
        <v>57.1</v>
      </c>
      <c r="Y750" s="13">
        <f t="shared" si="225"/>
        <v>81.5714285714286</v>
      </c>
      <c r="Z750" s="19"/>
    </row>
    <row r="751" ht="15.6" spans="1:26">
      <c r="A751" s="27">
        <v>316</v>
      </c>
      <c r="B751" s="27">
        <v>44</v>
      </c>
      <c r="C751" s="28" t="s">
        <v>835</v>
      </c>
      <c r="D751" s="28" t="s">
        <v>46</v>
      </c>
      <c r="E751" s="27">
        <v>12.5</v>
      </c>
      <c r="F751" s="29">
        <f>LOOKUP(E751,{0,1.5,2.3,3.1,3.9,4.7,5.5,6.8,8.1,9.4,10.7,12,13.3,14.6,15.9,17.2,18.5,20.2,21.9,23.6,25.3},{0,10,20,30,40,50,60,62,64,66,68,70,72,74,76,78,80,85,90,95,100})</f>
        <v>70</v>
      </c>
      <c r="G751" s="27">
        <v>170</v>
      </c>
      <c r="H751" s="29">
        <f>LOOKUP(G751,{0,125,130,135,140,145,150,153,156,159,162,165,168,171,174,177,180,187,194,200,206},{0,10,20,30,40,50,60,62,64,66,68,70,72,74,76,78,80,85,90,95,100})</f>
        <v>72</v>
      </c>
      <c r="I751" s="27">
        <v>45</v>
      </c>
      <c r="J751" s="29">
        <f>LOOKUP(I751,{0,15,17,19,21,23,25,27,29,31,33,35,37,39,41,43,45,48,51,53,55},{0,10,20,30,40,50,60,62,64,66,68,70,72,74,76,78,80,85,90,95,100})</f>
        <v>80</v>
      </c>
      <c r="K751" s="35"/>
      <c r="L751" s="35"/>
      <c r="M751" s="35">
        <f t="shared" si="220"/>
        <v>80</v>
      </c>
      <c r="N751" s="35">
        <v>9</v>
      </c>
      <c r="O751" s="36">
        <f t="shared" si="221"/>
        <v>9</v>
      </c>
      <c r="P751" s="29">
        <f>LOOKUP(O751,{0,6.6,6.8,7,7.2,7.4,7.6,7.8,8,8.2,8.4,8.6,8.8,9,9.2,9.4,9.6,9.9,10.2,10.3,10.4},{0,10,20,30,40,50,60,62,64,66,68,70,72,74,76,78,80,85,90,95,100})</f>
        <v>74</v>
      </c>
      <c r="Q751" s="5">
        <v>4.14</v>
      </c>
      <c r="R751" s="36">
        <f t="shared" si="222"/>
        <v>5.86</v>
      </c>
      <c r="S751" s="29">
        <f>LOOKUP(R751,{0,4.74,4.84,4.94,5.44,5.54,5.64,5.69,5.74,5.79,5.84,5.89,5.94,5.99,6.44,6.49,6.54,6.61,6.68,6.74,6.8},{0,10,20,30,40,50,60,62,64,66,68,70,72,74,76,78,80,85,90,95,100})</f>
        <v>68</v>
      </c>
      <c r="T751" s="27"/>
      <c r="U751" s="27"/>
      <c r="V751" s="27">
        <f t="shared" si="223"/>
        <v>68</v>
      </c>
      <c r="W751" s="27"/>
      <c r="X751" s="19">
        <f t="shared" si="224"/>
        <v>50.6</v>
      </c>
      <c r="Y751" s="13">
        <f t="shared" si="225"/>
        <v>72.2857142857143</v>
      </c>
      <c r="Z751" s="19"/>
    </row>
    <row r="752" ht="15.6" spans="1:26">
      <c r="A752" s="27">
        <v>316</v>
      </c>
      <c r="B752" s="27">
        <v>45</v>
      </c>
      <c r="C752" s="28" t="s">
        <v>836</v>
      </c>
      <c r="D752" s="28" t="s">
        <v>46</v>
      </c>
      <c r="E752" s="27">
        <v>7</v>
      </c>
      <c r="F752" s="29">
        <f>LOOKUP(E752,{0,1.5,2.3,3.1,3.9,4.7,5.5,6.8,8.1,9.4,10.7,12,13.3,14.6,15.9,17.2,18.5,20.2,21.9,23.6,25.3},{0,10,20,30,40,50,60,62,64,66,68,70,72,74,76,78,80,85,90,95,100})</f>
        <v>62</v>
      </c>
      <c r="G752" s="27">
        <v>130</v>
      </c>
      <c r="H752" s="29">
        <f>LOOKUP(G752,{0,125,130,135,140,145,150,153,156,159,162,165,168,171,174,177,180,187,194,200,206},{0,10,20,30,40,50,60,62,64,66,68,70,72,74,76,78,80,85,90,95,100})</f>
        <v>20</v>
      </c>
      <c r="I752" s="27">
        <v>29</v>
      </c>
      <c r="J752" s="29">
        <f>LOOKUP(I752,{0,15,17,19,21,23,25,27,29,31,33,35,37,39,41,43,45,48,51,53,55},{0,10,20,30,40,50,60,62,64,66,68,70,72,74,76,78,80,85,90,95,100})</f>
        <v>64</v>
      </c>
      <c r="K752" s="35"/>
      <c r="L752" s="35"/>
      <c r="M752" s="35">
        <f t="shared" si="220"/>
        <v>64</v>
      </c>
      <c r="N752" s="35">
        <v>10</v>
      </c>
      <c r="O752" s="36">
        <f t="shared" si="221"/>
        <v>8</v>
      </c>
      <c r="P752" s="29">
        <f>LOOKUP(O752,{0,6.6,6.8,7,7.2,7.4,7.6,7.8,8,8.2,8.4,8.6,8.8,9,9.2,9.4,9.6,9.9,10.2,10.3,10.4},{0,10,20,30,40,50,60,62,64,66,68,70,72,74,76,78,80,85,90,95,100})</f>
        <v>64</v>
      </c>
      <c r="Q752" s="5">
        <v>4.17</v>
      </c>
      <c r="R752" s="36">
        <f t="shared" si="222"/>
        <v>5.83</v>
      </c>
      <c r="S752" s="29">
        <f>LOOKUP(R752,{0,4.74,4.84,4.94,5.44,5.54,5.64,5.69,5.74,5.79,5.84,5.89,5.94,5.99,6.44,6.49,6.54,6.61,6.68,6.74,6.8},{0,10,20,30,40,50,60,62,64,66,68,70,72,74,76,78,80,85,90,95,100})</f>
        <v>66</v>
      </c>
      <c r="T752" s="27"/>
      <c r="U752" s="27"/>
      <c r="V752" s="27">
        <f t="shared" si="223"/>
        <v>66</v>
      </c>
      <c r="W752" s="27"/>
      <c r="X752" s="19">
        <f t="shared" si="224"/>
        <v>40.6</v>
      </c>
      <c r="Y752" s="13">
        <f t="shared" si="225"/>
        <v>58</v>
      </c>
      <c r="Z752" s="19"/>
    </row>
    <row r="753" spans="1:26">
      <c r="A753" s="27">
        <v>316</v>
      </c>
      <c r="B753" s="27">
        <v>46</v>
      </c>
      <c r="C753" s="28" t="s">
        <v>837</v>
      </c>
      <c r="D753" s="28" t="s">
        <v>46</v>
      </c>
      <c r="E753" s="27"/>
      <c r="F753" s="27"/>
      <c r="G753" s="27"/>
      <c r="H753" s="27"/>
      <c r="I753" s="27"/>
      <c r="J753" s="35"/>
      <c r="K753" s="35"/>
      <c r="L753" s="35"/>
      <c r="M753" s="35"/>
      <c r="N753" s="35"/>
      <c r="O753" s="5"/>
      <c r="P753" s="5"/>
      <c r="Q753" s="5"/>
      <c r="R753" s="27"/>
      <c r="S753" s="27"/>
      <c r="T753" s="27"/>
      <c r="U753" s="27"/>
      <c r="V753" s="27"/>
      <c r="W753" s="27">
        <v>50</v>
      </c>
      <c r="X753" s="19"/>
      <c r="Y753" s="19">
        <v>50</v>
      </c>
      <c r="Z753" s="19"/>
    </row>
    <row r="754" ht="15.6" spans="1:26">
      <c r="A754" s="27">
        <v>316</v>
      </c>
      <c r="B754" s="27">
        <v>47</v>
      </c>
      <c r="C754" s="28" t="s">
        <v>838</v>
      </c>
      <c r="D754" s="28" t="s">
        <v>46</v>
      </c>
      <c r="E754" s="27">
        <v>14.5</v>
      </c>
      <c r="F754" s="29">
        <f>LOOKUP(E754,{0,1.5,2.3,3.1,3.9,4.7,5.5,6.8,8.1,9.4,10.7,12,13.3,14.6,15.9,17.2,18.5,20.2,21.9,23.6,25.3},{0,10,20,30,40,50,60,62,64,66,68,70,72,74,76,78,80,85,90,95,100})</f>
        <v>72</v>
      </c>
      <c r="G754" s="27">
        <v>140</v>
      </c>
      <c r="H754" s="29">
        <f>LOOKUP(G754,{0,125,130,135,140,145,150,153,156,159,162,165,168,171,174,177,180,187,194,200,206},{0,10,20,30,40,50,60,62,64,66,68,70,72,74,76,78,80,85,90,95,100})</f>
        <v>40</v>
      </c>
      <c r="I754" s="27">
        <v>35</v>
      </c>
      <c r="J754" s="29">
        <f>LOOKUP(I754,{0,15,17,19,21,23,25,27,29,31,33,35,37,39,41,43,45,48,51,53,55},{0,10,20,30,40,50,60,62,64,66,68,70,72,74,76,78,80,85,90,95,100})</f>
        <v>70</v>
      </c>
      <c r="K754" s="35"/>
      <c r="L754" s="35"/>
      <c r="M754" s="35">
        <f>J754+L754</f>
        <v>70</v>
      </c>
      <c r="N754" s="35">
        <v>9.7</v>
      </c>
      <c r="O754" s="36">
        <f>18-N754</f>
        <v>8.3</v>
      </c>
      <c r="P754" s="29">
        <f>LOOKUP(O754,{0,6.6,6.8,7,7.2,7.4,7.6,7.8,8,8.2,8.4,8.6,8.8,9,9.2,9.4,9.6,9.9,10.2,10.3,10.4},{0,10,20,30,40,50,60,62,64,66,68,70,72,74,76,78,80,85,90,95,100})</f>
        <v>66</v>
      </c>
      <c r="Q754" s="5">
        <v>5.49</v>
      </c>
      <c r="R754" s="36">
        <f>10-Q754</f>
        <v>4.51</v>
      </c>
      <c r="S754" s="29">
        <f>LOOKUP(R754,{0,4.74,4.84,4.94,5.44,5.54,5.64,5.69,5.74,5.79,5.84,5.89,5.94,5.99,6.44,6.49,6.54,6.61,6.68,6.74,6.8},{0,10,20,30,40,50,60,62,64,66,68,70,72,74,76,78,80,85,90,95,100})</f>
        <v>0</v>
      </c>
      <c r="T754" s="27"/>
      <c r="U754" s="27"/>
      <c r="V754" s="27">
        <f>S754+U754</f>
        <v>0</v>
      </c>
      <c r="W754" s="27"/>
      <c r="X754" s="19">
        <f>F754*0.1+H754*0.1+J754*0.1+P754*0.2+S754*0.2</f>
        <v>31.4</v>
      </c>
      <c r="Y754" s="13">
        <f>X754/0.7+L754+U754</f>
        <v>44.8571428571429</v>
      </c>
      <c r="Z754" s="20"/>
    </row>
    <row r="755" ht="15.6" spans="1:26">
      <c r="A755" s="27">
        <v>316</v>
      </c>
      <c r="B755" s="27">
        <v>48</v>
      </c>
      <c r="C755" s="28" t="s">
        <v>839</v>
      </c>
      <c r="D755" s="28" t="s">
        <v>46</v>
      </c>
      <c r="E755" s="27">
        <v>20.6</v>
      </c>
      <c r="F755" s="29">
        <f>LOOKUP(E755,{0,1.5,2.3,3.1,3.9,4.7,5.5,6.8,8.1,9.4,10.7,12,13.3,14.6,15.9,17.2,18.5,20.2,21.9,23.6,25.3},{0,10,20,30,40,50,60,62,64,66,68,70,72,74,76,78,80,85,90,95,100})</f>
        <v>85</v>
      </c>
      <c r="G755" s="27">
        <v>175</v>
      </c>
      <c r="H755" s="29">
        <f>LOOKUP(G755,{0,125,130,135,140,145,150,153,156,159,162,165,168,171,174,177,180,187,194,200,206},{0,10,20,30,40,50,60,62,64,66,68,70,72,74,76,78,80,85,90,95,100})</f>
        <v>76</v>
      </c>
      <c r="I755" s="27">
        <v>47</v>
      </c>
      <c r="J755" s="29">
        <f>LOOKUP(I755,{0,15,17,19,21,23,25,27,29,31,33,35,37,39,41,43,45,48,51,53,55},{0,10,20,30,40,50,60,62,64,66,68,70,72,74,76,78,80,85,90,95,100})</f>
        <v>80</v>
      </c>
      <c r="K755" s="35"/>
      <c r="L755" s="35"/>
      <c r="M755" s="35">
        <f>J755+L755</f>
        <v>80</v>
      </c>
      <c r="N755" s="35">
        <v>9</v>
      </c>
      <c r="O755" s="36">
        <f>18-N755</f>
        <v>9</v>
      </c>
      <c r="P755" s="29">
        <f>LOOKUP(O755,{0,6.6,6.8,7,7.2,7.4,7.6,7.8,8,8.2,8.4,8.6,8.8,9,9.2,9.4,9.6,9.9,10.2,10.3,10.4},{0,10,20,30,40,50,60,62,64,66,68,70,72,74,76,78,80,85,90,95,100})</f>
        <v>74</v>
      </c>
      <c r="Q755" s="5">
        <v>3.48</v>
      </c>
      <c r="R755" s="36">
        <f>10-Q755</f>
        <v>6.52</v>
      </c>
      <c r="S755" s="29">
        <f>LOOKUP(R755,{0,4.74,4.84,4.94,5.44,5.54,5.64,5.69,5.74,5.79,5.84,5.89,5.94,5.99,6.44,6.49,6.54,6.61,6.68,6.74,6.8},{0,10,20,30,40,50,60,62,64,66,68,70,72,74,76,78,80,85,90,95,100})</f>
        <v>78</v>
      </c>
      <c r="T755" s="27"/>
      <c r="U755" s="27"/>
      <c r="V755" s="27">
        <f>S755+U755</f>
        <v>78</v>
      </c>
      <c r="W755" s="27"/>
      <c r="X755" s="19">
        <f>F755*0.1+H755*0.1+J755*0.1+P755*0.2+S755*0.2</f>
        <v>54.5</v>
      </c>
      <c r="Y755" s="13">
        <f>X755/0.7+L755+U755</f>
        <v>77.8571428571429</v>
      </c>
      <c r="Z755" s="19"/>
    </row>
  </sheetData>
  <autoFilter ref="A1:Z755">
    <extLst/>
  </autoFilter>
  <sortState ref="A2:Y755">
    <sortCondition ref="A2:A755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2"/>
  <sheetViews>
    <sheetView workbookViewId="0">
      <selection activeCell="H780" sqref="H780"/>
    </sheetView>
  </sheetViews>
  <sheetFormatPr defaultColWidth="9" defaultRowHeight="14.4"/>
  <cols>
    <col min="6" max="6" width="12.6296296296296"/>
    <col min="8" max="8" width="12.6296296296296"/>
    <col min="10" max="10" width="12.6296296296296"/>
    <col min="16" max="16" width="12.6296296296296"/>
    <col min="19" max="19" width="12.6296296296296"/>
    <col min="22" max="22" width="12.6296296296296"/>
    <col min="24" max="25" width="12.6296296296296"/>
  </cols>
  <sheetData>
    <row r="1" spans="1:25">
      <c r="A1" s="2" t="s">
        <v>1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840</v>
      </c>
      <c r="G1" s="4" t="s">
        <v>6</v>
      </c>
      <c r="H1" s="4" t="s">
        <v>841</v>
      </c>
      <c r="I1" s="4" t="s">
        <v>7</v>
      </c>
      <c r="J1" s="4" t="s">
        <v>842</v>
      </c>
      <c r="K1" s="4" t="s">
        <v>843</v>
      </c>
      <c r="L1" s="4" t="s">
        <v>844</v>
      </c>
      <c r="M1" s="4" t="s">
        <v>845</v>
      </c>
      <c r="N1" s="4" t="s">
        <v>8</v>
      </c>
      <c r="O1" s="4" t="s">
        <v>846</v>
      </c>
      <c r="P1" s="4" t="s">
        <v>847</v>
      </c>
      <c r="Q1" s="4" t="s">
        <v>9</v>
      </c>
      <c r="R1" s="2" t="s">
        <v>846</v>
      </c>
      <c r="S1" s="2" t="s">
        <v>848</v>
      </c>
      <c r="T1" s="4" t="s">
        <v>843</v>
      </c>
      <c r="U1" s="4" t="s">
        <v>844</v>
      </c>
      <c r="V1" s="2" t="s">
        <v>849</v>
      </c>
      <c r="W1" s="2" t="s">
        <v>10</v>
      </c>
      <c r="X1" s="12" t="s">
        <v>850</v>
      </c>
      <c r="Y1" s="15" t="s">
        <v>851</v>
      </c>
    </row>
    <row r="2" ht="15.6" hidden="1" outlineLevel="2" spans="1:25">
      <c r="A2" s="5">
        <v>301</v>
      </c>
      <c r="B2" s="5">
        <v>1</v>
      </c>
      <c r="C2" s="6" t="s">
        <v>11</v>
      </c>
      <c r="D2" s="5" t="s">
        <v>12</v>
      </c>
      <c r="E2" s="5">
        <v>-2</v>
      </c>
      <c r="F2" s="7">
        <v>0</v>
      </c>
      <c r="G2" s="5">
        <v>250</v>
      </c>
      <c r="H2" s="7">
        <f>LOOKUP(G2,{0,180,185,190,195,200,205,209,213,217,221,225,229,233,237,241,245,253,260,265,270},{0,10,20,30,40,50,60,62,64,66,68,70,72,74,76,78,80,85,90,95,100})</f>
        <v>80</v>
      </c>
      <c r="I2" s="5">
        <v>6</v>
      </c>
      <c r="J2" s="7">
        <f>LOOKUP(I2,{0,4,5,6,7,8,9,10,11,12,13,14,15,16,17,18},{0,10,20,30,40,50,60,64,68,72,76,80,85,90,95,100})</f>
        <v>30</v>
      </c>
      <c r="K2" s="5"/>
      <c r="L2" s="5"/>
      <c r="M2" s="5">
        <f t="shared" ref="M2:M28" si="0">J2+L2</f>
        <v>30</v>
      </c>
      <c r="N2" s="5">
        <v>7.2</v>
      </c>
      <c r="O2" s="10">
        <f t="shared" ref="O2:O28" si="1">18-N2</f>
        <v>10.8</v>
      </c>
      <c r="P2" s="7">
        <f>LOOKUP(O2,{0,7.8,8,8.2,8.4,8.6,8.8,9,9.2,9.4,9.6,9.8,10,10.2,10.4,10.6,10.8,10.9,11,11.1,11.2},{0,10,20,30,40,50,60,62,64,66,68,70,72,74,76,78,80,85,90,95,100})</f>
        <v>80</v>
      </c>
      <c r="Q2" s="5">
        <v>3.39</v>
      </c>
      <c r="R2" s="10">
        <f t="shared" ref="R2:R28" si="2">10-Q2</f>
        <v>6.61</v>
      </c>
      <c r="S2" s="7">
        <f>LOOKUP(R2,{0,3.85,4.45,4.65,4.85,5.45,5.65,5.7,5.75,5.8,5.85,5.9,5.95,6,6.45,6.5,6.55,6.63,6.7,6.75,6.8},{0,10,20,30,40,50,60,62,64,66,68,70,72,74,76,78,80,85,90,95,100})</f>
        <v>80</v>
      </c>
      <c r="T2" s="5"/>
      <c r="U2" s="5"/>
      <c r="V2" s="5">
        <f t="shared" ref="V2:V28" si="3">S2+U2</f>
        <v>80</v>
      </c>
      <c r="W2" s="5"/>
      <c r="X2" s="13">
        <f t="shared" ref="X2:X28" si="4">F2*0.1+H2*0.1+J2*0.1+P2*0.2+S2*0.2</f>
        <v>43</v>
      </c>
      <c r="Y2" s="13">
        <f t="shared" ref="Y2:Y28" si="5">X2/0.7+L2+U2</f>
        <v>61.4285714285714</v>
      </c>
    </row>
    <row r="3" ht="15.6" hidden="1" outlineLevel="2" spans="1:25">
      <c r="A3" s="5">
        <v>301</v>
      </c>
      <c r="B3" s="5">
        <v>2</v>
      </c>
      <c r="C3" s="5" t="s">
        <v>13</v>
      </c>
      <c r="D3" s="5" t="s">
        <v>12</v>
      </c>
      <c r="E3" s="5">
        <v>-5</v>
      </c>
      <c r="F3" s="7">
        <v>0</v>
      </c>
      <c r="G3" s="5">
        <v>200</v>
      </c>
      <c r="H3" s="7">
        <f>LOOKUP(G3,{0,180,185,190,195,200,205,209,213,217,221,225,229,233,237,241,245,253,260,265,270},{0,10,20,30,40,50,60,62,64,66,68,70,72,74,76,78,80,85,90,95,100})</f>
        <v>50</v>
      </c>
      <c r="I3" s="5">
        <v>0</v>
      </c>
      <c r="J3" s="7">
        <f>LOOKUP(I3,{0,4,5,6,7,8,9,10,11,12,13,14,15,16,17,18},{0,10,20,30,40,50,60,64,68,72,76,80,85,90,95,100})</f>
        <v>0</v>
      </c>
      <c r="K3" s="5"/>
      <c r="L3" s="5"/>
      <c r="M3" s="5">
        <f t="shared" si="0"/>
        <v>0</v>
      </c>
      <c r="N3" s="5">
        <v>7.2</v>
      </c>
      <c r="O3" s="10">
        <f t="shared" si="1"/>
        <v>10.8</v>
      </c>
      <c r="P3" s="7">
        <f>LOOKUP(O3,{0,7.8,8,8.2,8.4,8.6,8.8,9,9.2,9.4,9.6,9.8,10,10.2,10.4,10.6,10.8,10.9,11,11.1,11.2},{0,10,20,30,40,50,60,62,64,66,68,70,72,74,76,78,80,85,90,95,100})</f>
        <v>80</v>
      </c>
      <c r="Q3" s="5">
        <v>5.08</v>
      </c>
      <c r="R3" s="10">
        <f t="shared" si="2"/>
        <v>4.92</v>
      </c>
      <c r="S3" s="7">
        <f>LOOKUP(R3,{0,3.85,4.45,4.65,4.85,5.45,5.65,5.7,5.75,5.8,5.85,5.9,5.95,6,6.45,6.5,6.55,6.63,6.7,6.75,6.8},{0,10,20,30,40,50,60,62,64,66,68,70,72,74,76,78,80,85,90,95,100})</f>
        <v>40</v>
      </c>
      <c r="T3" s="5"/>
      <c r="U3" s="5"/>
      <c r="V3" s="5">
        <f t="shared" si="3"/>
        <v>40</v>
      </c>
      <c r="W3" s="5"/>
      <c r="X3" s="13">
        <f t="shared" si="4"/>
        <v>29</v>
      </c>
      <c r="Y3" s="13">
        <f t="shared" si="5"/>
        <v>41.4285714285714</v>
      </c>
    </row>
    <row r="4" ht="15.6" hidden="1" outlineLevel="2" spans="1:25">
      <c r="A4" s="5">
        <v>301</v>
      </c>
      <c r="B4" s="5">
        <v>3</v>
      </c>
      <c r="C4" s="5" t="s">
        <v>14</v>
      </c>
      <c r="D4" s="5" t="s">
        <v>12</v>
      </c>
      <c r="E4" s="5">
        <v>3.5</v>
      </c>
      <c r="F4" s="7">
        <f>LOOKUP(E4,{0,-1.8,-0.8,0.2,1.2,2.2,3.2,4.6,6,7.4,8.8,10.2,11.6,13,14.4,15.8,17.2,19.1,21,22.8,24.6},{0,10,20,30,40,50,60,62,64,66,68,70,72,74,76,78,80,85,90,95,100})</f>
        <v>60</v>
      </c>
      <c r="G4" s="5">
        <v>190</v>
      </c>
      <c r="H4" s="7">
        <f>LOOKUP(G4,{0,180,185,190,195,200,205,209,213,217,221,225,229,233,237,241,245,253,260,265,270},{0,10,20,30,40,50,60,62,64,66,68,70,72,74,76,78,80,85,90,95,100})</f>
        <v>30</v>
      </c>
      <c r="I4" s="5">
        <v>1</v>
      </c>
      <c r="J4" s="7">
        <f>LOOKUP(I4,{0,4,5,6,7,8,9,10,11,12,13,14,15,16,17,18},{0,10,20,30,40,50,60,64,68,72,76,80,85,90,95,100})</f>
        <v>0</v>
      </c>
      <c r="K4" s="5"/>
      <c r="L4" s="5"/>
      <c r="M4" s="5">
        <f t="shared" si="0"/>
        <v>0</v>
      </c>
      <c r="N4" s="5">
        <v>8.3</v>
      </c>
      <c r="O4" s="10">
        <f t="shared" si="1"/>
        <v>9.7</v>
      </c>
      <c r="P4" s="7">
        <f>LOOKUP(O4,{0,7.8,8,8.2,8.4,8.6,8.8,9,9.2,9.4,9.6,9.8,10,10.2,10.4,10.6,10.8,10.9,11,11.1,11.2},{0,10,20,30,40,50,60,62,64,66,68,70,72,74,76,78,80,85,90,95,100})</f>
        <v>68</v>
      </c>
      <c r="Q4" s="5">
        <v>5.27</v>
      </c>
      <c r="R4" s="10">
        <f t="shared" si="2"/>
        <v>4.73</v>
      </c>
      <c r="S4" s="7">
        <f>LOOKUP(R4,{0,3.85,4.45,4.65,4.85,5.45,5.65,5.7,5.75,5.8,5.85,5.9,5.95,6,6.45,6.5,6.55,6.63,6.7,6.75,6.8},{0,10,20,30,40,50,60,62,64,66,68,70,72,74,76,78,80,85,90,95,100})</f>
        <v>30</v>
      </c>
      <c r="T4" s="5"/>
      <c r="U4" s="5"/>
      <c r="V4" s="5">
        <f t="shared" si="3"/>
        <v>30</v>
      </c>
      <c r="W4" s="5"/>
      <c r="X4" s="13">
        <f t="shared" si="4"/>
        <v>28.6</v>
      </c>
      <c r="Y4" s="13">
        <f t="shared" si="5"/>
        <v>40.8571428571429</v>
      </c>
    </row>
    <row r="5" ht="15.6" hidden="1" outlineLevel="2" spans="1:25">
      <c r="A5" s="5">
        <v>301</v>
      </c>
      <c r="B5" s="5">
        <v>4</v>
      </c>
      <c r="C5" s="5" t="s">
        <v>15</v>
      </c>
      <c r="D5" s="5" t="s">
        <v>12</v>
      </c>
      <c r="E5" s="5">
        <v>5</v>
      </c>
      <c r="F5" s="7">
        <f>LOOKUP(E5,{0,-1.8,-0.8,0.2,1.2,2.2,3.2,4.6,6,7.4,8.8,10.2,11.6,13,14.4,15.8,17.2,19.1,21,22.8,24.6},{0,10,20,30,40,50,60,62,64,66,68,70,72,74,76,78,80,85,90,95,100})</f>
        <v>62</v>
      </c>
      <c r="G5" s="5">
        <v>200</v>
      </c>
      <c r="H5" s="7">
        <f>LOOKUP(G5,{0,180,185,190,195,200,205,209,213,217,221,225,229,233,237,241,245,253,260,265,270},{0,10,20,30,40,50,60,62,64,66,68,70,72,74,76,78,80,85,90,95,100})</f>
        <v>50</v>
      </c>
      <c r="I5" s="5">
        <v>1</v>
      </c>
      <c r="J5" s="7">
        <f>LOOKUP(I5,{0,4,5,6,7,8,9,10,11,12,13,14,15,16,17,18},{0,10,20,30,40,50,60,64,68,72,76,80,85,90,95,100})</f>
        <v>0</v>
      </c>
      <c r="K5" s="5"/>
      <c r="L5" s="5"/>
      <c r="M5" s="5">
        <f t="shared" si="0"/>
        <v>0</v>
      </c>
      <c r="N5" s="5">
        <v>10</v>
      </c>
      <c r="O5" s="10">
        <f t="shared" si="1"/>
        <v>8</v>
      </c>
      <c r="P5" s="7">
        <f>LOOKUP(O5,{0,7.8,8,8.2,8.4,8.6,8.8,9,9.2,9.4,9.6,9.8,10,10.2,10.4,10.6,10.8,10.9,11,11.1,11.2},{0,10,20,30,40,50,60,62,64,66,68,70,72,74,76,78,80,85,90,95,100})</f>
        <v>20</v>
      </c>
      <c r="Q5" s="5">
        <v>5.03</v>
      </c>
      <c r="R5" s="10">
        <f t="shared" si="2"/>
        <v>4.97</v>
      </c>
      <c r="S5" s="7">
        <f>LOOKUP(R5,{0,3.85,4.45,4.65,4.85,5.45,5.65,5.7,5.75,5.8,5.85,5.9,5.95,6,6.45,6.5,6.55,6.63,6.7,6.75,6.8},{0,10,20,30,40,50,60,62,64,66,68,70,72,74,76,78,80,85,90,95,100})</f>
        <v>40</v>
      </c>
      <c r="T5" s="5"/>
      <c r="U5" s="5"/>
      <c r="V5" s="5">
        <f t="shared" si="3"/>
        <v>40</v>
      </c>
      <c r="W5" s="5"/>
      <c r="X5" s="13">
        <f t="shared" si="4"/>
        <v>23.2</v>
      </c>
      <c r="Y5" s="13">
        <f t="shared" si="5"/>
        <v>33.1428571428571</v>
      </c>
    </row>
    <row r="6" ht="15.6" hidden="1" outlineLevel="2" spans="1:25">
      <c r="A6" s="5">
        <v>301</v>
      </c>
      <c r="B6" s="5">
        <v>5</v>
      </c>
      <c r="C6" s="5" t="s">
        <v>16</v>
      </c>
      <c r="D6" s="5" t="s">
        <v>12</v>
      </c>
      <c r="E6" s="5">
        <v>1</v>
      </c>
      <c r="F6" s="7">
        <f>LOOKUP(E6,{0,-1.8,-0.8,0.2,1.2,2.2,3.2,4.6,6,7.4,8.8,10.2,11.6,13,14.4,15.8,17.2,19.1,21,22.8,24.6},{0,10,20,30,40,50,60,62,64,66,68,70,72,74,76,78,80,85,90,95,100})</f>
        <v>30</v>
      </c>
      <c r="G6" s="5">
        <v>170</v>
      </c>
      <c r="H6" s="7">
        <f>LOOKUP(G6,{0,180,185,190,195,200,205,209,213,217,221,225,229,233,237,241,245,253,260,265,270},{0,10,20,30,40,50,60,62,64,66,68,70,72,74,76,78,80,85,90,95,100})</f>
        <v>0</v>
      </c>
      <c r="I6" s="5">
        <v>0</v>
      </c>
      <c r="J6" s="7">
        <f>LOOKUP(I6,{0,4,5,6,7,8,9,10,11,12,13,14,15,16,17,18},{0,10,20,30,40,50,60,64,68,72,76,80,85,90,95,100})</f>
        <v>0</v>
      </c>
      <c r="K6" s="5"/>
      <c r="L6" s="5"/>
      <c r="M6" s="5">
        <f t="shared" si="0"/>
        <v>0</v>
      </c>
      <c r="N6" s="5">
        <v>9.2</v>
      </c>
      <c r="O6" s="10">
        <f t="shared" si="1"/>
        <v>8.8</v>
      </c>
      <c r="P6" s="7">
        <f>LOOKUP(O6,{0,7.8,8,8.2,8.4,8.6,8.8,9,9.2,9.4,9.6,9.8,10,10.2,10.4,10.6,10.8,10.9,11,11.1,11.2},{0,10,20,30,40,50,60,62,64,66,68,70,72,74,76,78,80,85,90,95,100})</f>
        <v>60</v>
      </c>
      <c r="Q6" s="5">
        <v>5.27</v>
      </c>
      <c r="R6" s="10">
        <f t="shared" si="2"/>
        <v>4.73</v>
      </c>
      <c r="S6" s="7">
        <f>LOOKUP(R6,{0,3.85,4.45,4.65,4.85,5.45,5.65,5.7,5.75,5.8,5.85,5.9,5.95,6,6.45,6.5,6.55,6.63,6.7,6.75,6.8},{0,10,20,30,40,50,60,62,64,66,68,70,72,74,76,78,80,85,90,95,100})</f>
        <v>30</v>
      </c>
      <c r="T6" s="5"/>
      <c r="U6" s="5"/>
      <c r="V6" s="5">
        <f t="shared" si="3"/>
        <v>30</v>
      </c>
      <c r="W6" s="5"/>
      <c r="X6" s="13">
        <f t="shared" si="4"/>
        <v>21</v>
      </c>
      <c r="Y6" s="13">
        <f t="shared" si="5"/>
        <v>30</v>
      </c>
    </row>
    <row r="7" ht="15.6" hidden="1" outlineLevel="2" spans="1:25">
      <c r="A7" s="5">
        <v>301</v>
      </c>
      <c r="B7" s="5">
        <v>6</v>
      </c>
      <c r="C7" s="5" t="s">
        <v>17</v>
      </c>
      <c r="D7" s="5" t="s">
        <v>12</v>
      </c>
      <c r="E7" s="5">
        <v>11</v>
      </c>
      <c r="F7" s="7">
        <f>LOOKUP(E7,{0,-1.8,-0.8,0.2,1.2,2.2,3.2,4.6,6,7.4,8.8,10.2,11.6,13,14.4,15.8,17.2,19.1,21,22.8,24.6},{0,10,20,30,40,50,60,62,64,66,68,70,72,74,76,78,80,85,90,95,100})</f>
        <v>70</v>
      </c>
      <c r="G7" s="5">
        <v>219</v>
      </c>
      <c r="H7" s="7">
        <f>LOOKUP(G7,{0,180,185,190,195,200,205,209,213,217,221,225,229,233,237,241,245,253,260,265,270},{0,10,20,30,40,50,60,62,64,66,68,70,72,74,76,78,80,85,90,95,100})</f>
        <v>66</v>
      </c>
      <c r="I7" s="5">
        <v>5</v>
      </c>
      <c r="J7" s="7">
        <f>LOOKUP(I7,{0,4,5,6,7,8,9,10,11,12,13,14,15,16,17,18},{0,10,20,30,40,50,60,64,68,72,76,80,85,90,95,100})</f>
        <v>20</v>
      </c>
      <c r="K7" s="5"/>
      <c r="L7" s="5"/>
      <c r="M7" s="5">
        <f t="shared" si="0"/>
        <v>20</v>
      </c>
      <c r="N7" s="5">
        <v>7.6</v>
      </c>
      <c r="O7" s="10">
        <f t="shared" si="1"/>
        <v>10.4</v>
      </c>
      <c r="P7" s="7">
        <f>LOOKUP(O7,{0,7.8,8,8.2,8.4,8.6,8.8,9,9.2,9.4,9.6,9.8,10,10.2,10.4,10.6,10.8,10.9,11,11.1,11.2},{0,10,20,30,40,50,60,62,64,66,68,70,72,74,76,78,80,85,90,95,100})</f>
        <v>76</v>
      </c>
      <c r="Q7" s="5">
        <v>3.53</v>
      </c>
      <c r="R7" s="10">
        <f t="shared" si="2"/>
        <v>6.47</v>
      </c>
      <c r="S7" s="7">
        <f>LOOKUP(R7,{0,3.85,4.45,4.65,4.85,5.45,5.65,5.7,5.75,5.8,5.85,5.9,5.95,6,6.45,6.5,6.55,6.63,6.7,6.75,6.8},{0,10,20,30,40,50,60,62,64,66,68,70,72,74,76,78,80,85,90,95,100})</f>
        <v>76</v>
      </c>
      <c r="T7" s="5"/>
      <c r="U7" s="5"/>
      <c r="V7" s="5">
        <f t="shared" si="3"/>
        <v>76</v>
      </c>
      <c r="W7" s="5"/>
      <c r="X7" s="13">
        <f t="shared" si="4"/>
        <v>46</v>
      </c>
      <c r="Y7" s="13">
        <f t="shared" si="5"/>
        <v>65.7142857142857</v>
      </c>
    </row>
    <row r="8" ht="15.6" hidden="1" outlineLevel="2" spans="1:25">
      <c r="A8" s="5">
        <v>301</v>
      </c>
      <c r="B8" s="5">
        <v>8</v>
      </c>
      <c r="C8" s="5" t="s">
        <v>18</v>
      </c>
      <c r="D8" s="5" t="s">
        <v>12</v>
      </c>
      <c r="E8" s="5">
        <v>3</v>
      </c>
      <c r="F8" s="7">
        <f>LOOKUP(E8,{0,-1.8,-0.8,0.2,1.2,2.2,3.2,4.6,6,7.4,8.8,10.2,11.6,13,14.4,15.8,17.2,19.1,21,22.8,24.6},{0,10,20,30,40,50,60,62,64,66,68,70,72,74,76,78,80,85,90,95,100})</f>
        <v>50</v>
      </c>
      <c r="G8" s="5">
        <v>220</v>
      </c>
      <c r="H8" s="7">
        <f>LOOKUP(G8,{0,180,185,190,195,200,205,209,213,217,221,225,229,233,237,241,245,253,260,265,270},{0,10,20,30,40,50,60,62,64,66,68,70,72,74,76,78,80,85,90,95,100})</f>
        <v>66</v>
      </c>
      <c r="I8" s="5">
        <v>5</v>
      </c>
      <c r="J8" s="7">
        <f>LOOKUP(I8,{0,4,5,6,7,8,9,10,11,12,13,14,15,16,17,18},{0,10,20,30,40,50,60,64,68,72,76,80,85,90,95,100})</f>
        <v>20</v>
      </c>
      <c r="K8" s="5"/>
      <c r="L8" s="5"/>
      <c r="M8" s="5">
        <f t="shared" si="0"/>
        <v>20</v>
      </c>
      <c r="N8" s="5">
        <v>7.1</v>
      </c>
      <c r="O8" s="10">
        <f t="shared" si="1"/>
        <v>10.9</v>
      </c>
      <c r="P8" s="7">
        <f>LOOKUP(O8,{0,7.8,8,8.2,8.4,8.6,8.8,9,9.2,9.4,9.6,9.8,10,10.2,10.4,10.6,10.8,10.9,11,11.1,11.2},{0,10,20,30,40,50,60,62,64,66,68,70,72,74,76,78,80,85,90,95,100})</f>
        <v>85</v>
      </c>
      <c r="Q8" s="5">
        <v>4.29</v>
      </c>
      <c r="R8" s="10">
        <f t="shared" si="2"/>
        <v>5.71</v>
      </c>
      <c r="S8" s="7">
        <f>LOOKUP(R8,{0,3.85,4.45,4.65,4.85,5.45,5.65,5.7,5.75,5.8,5.85,5.9,5.95,6,6.45,6.5,6.55,6.63,6.7,6.75,6.8},{0,10,20,30,40,50,60,62,64,66,68,70,72,74,76,78,80,85,90,95,100})</f>
        <v>62</v>
      </c>
      <c r="T8" s="5"/>
      <c r="U8" s="5"/>
      <c r="V8" s="5">
        <f t="shared" si="3"/>
        <v>62</v>
      </c>
      <c r="W8" s="5"/>
      <c r="X8" s="13">
        <f t="shared" si="4"/>
        <v>43</v>
      </c>
      <c r="Y8" s="13">
        <f t="shared" si="5"/>
        <v>61.4285714285714</v>
      </c>
    </row>
    <row r="9" ht="15.6" hidden="1" outlineLevel="2" spans="1:25">
      <c r="A9" s="5">
        <v>301</v>
      </c>
      <c r="B9" s="5">
        <v>9</v>
      </c>
      <c r="C9" s="5" t="s">
        <v>19</v>
      </c>
      <c r="D9" s="5" t="s">
        <v>12</v>
      </c>
      <c r="E9" s="5">
        <v>6.5</v>
      </c>
      <c r="F9" s="7">
        <f>LOOKUP(E9,{0,-1.8,-0.8,0.2,1.2,2.2,3.2,4.6,6,7.4,8.8,10.2,11.6,13,14.4,15.8,17.2,19.1,21,22.8,24.6},{0,10,20,30,40,50,60,62,64,66,68,70,72,74,76,78,80,85,90,95,100})</f>
        <v>64</v>
      </c>
      <c r="G9" s="5">
        <v>210</v>
      </c>
      <c r="H9" s="7">
        <f>LOOKUP(G9,{0,180,185,190,195,200,205,209,213,217,221,225,229,233,237,241,245,253,260,265,270},{0,10,20,30,40,50,60,62,64,66,68,70,72,74,76,78,80,85,90,95,100})</f>
        <v>62</v>
      </c>
      <c r="I9" s="5">
        <v>1</v>
      </c>
      <c r="J9" s="7">
        <f>LOOKUP(I9,{0,4,5,6,7,8,9,10,11,12,13,14,15,16,17,18},{0,10,20,30,40,50,60,64,68,72,76,80,85,90,95,100})</f>
        <v>0</v>
      </c>
      <c r="K9" s="5"/>
      <c r="L9" s="5"/>
      <c r="M9" s="5">
        <f t="shared" si="0"/>
        <v>0</v>
      </c>
      <c r="N9" s="5">
        <v>7.8</v>
      </c>
      <c r="O9" s="10">
        <f t="shared" si="1"/>
        <v>10.2</v>
      </c>
      <c r="P9" s="7">
        <f>LOOKUP(O9,{0,7.8,8,8.2,8.4,8.6,8.8,9,9.2,9.4,9.6,9.8,10,10.2,10.4,10.6,10.8,10.9,11,11.1,11.2},{0,10,20,30,40,50,60,62,64,66,68,70,72,74,76,78,80,85,90,95,100})</f>
        <v>74</v>
      </c>
      <c r="Q9" s="5">
        <v>5.27</v>
      </c>
      <c r="R9" s="10">
        <f t="shared" si="2"/>
        <v>4.73</v>
      </c>
      <c r="S9" s="7">
        <f>LOOKUP(R9,{0,3.85,4.45,4.65,4.85,5.45,5.65,5.7,5.75,5.8,5.85,5.9,5.95,6,6.45,6.5,6.55,6.63,6.7,6.75,6.8},{0,10,20,30,40,50,60,62,64,66,68,70,72,74,76,78,80,85,90,95,100})</f>
        <v>30</v>
      </c>
      <c r="T9" s="5"/>
      <c r="U9" s="5"/>
      <c r="V9" s="5">
        <f t="shared" si="3"/>
        <v>30</v>
      </c>
      <c r="W9" s="5"/>
      <c r="X9" s="13">
        <f t="shared" si="4"/>
        <v>33.4</v>
      </c>
      <c r="Y9" s="13">
        <f t="shared" si="5"/>
        <v>47.7142857142857</v>
      </c>
    </row>
    <row r="10" ht="15.6" hidden="1" outlineLevel="2" spans="1:25">
      <c r="A10" s="5">
        <v>301</v>
      </c>
      <c r="B10" s="5">
        <v>10</v>
      </c>
      <c r="C10" s="5" t="s">
        <v>20</v>
      </c>
      <c r="D10" s="5" t="s">
        <v>12</v>
      </c>
      <c r="E10" s="5">
        <v>13</v>
      </c>
      <c r="F10" s="7">
        <f>LOOKUP(E10,{0,-1.8,-0.8,0.2,1.2,2.2,3.2,4.6,6,7.4,8.8,10.2,11.6,13,14.4,15.8,17.2,19.1,21,22.8,24.6},{0,10,20,30,40,50,60,62,64,66,68,70,72,74,76,78,80,85,90,95,100})</f>
        <v>74</v>
      </c>
      <c r="G10" s="5">
        <v>265</v>
      </c>
      <c r="H10" s="7">
        <f>LOOKUP(G10,{0,180,185,190,195,200,205,209,213,217,221,225,229,233,237,241,245,253,260,265,270},{0,10,20,30,40,50,60,62,64,66,68,70,72,74,76,78,80,85,90,95,100})</f>
        <v>95</v>
      </c>
      <c r="I10" s="5">
        <v>1</v>
      </c>
      <c r="J10" s="7">
        <f>LOOKUP(I10,{0,4,5,6,7,8,9,10,11,12,13,14,15,16,17,18},{0,10,20,30,40,50,60,64,68,72,76,80,85,90,95,100})</f>
        <v>0</v>
      </c>
      <c r="K10" s="5"/>
      <c r="L10" s="5"/>
      <c r="M10" s="5">
        <f t="shared" si="0"/>
        <v>0</v>
      </c>
      <c r="N10" s="5">
        <v>7.6</v>
      </c>
      <c r="O10" s="10">
        <f t="shared" si="1"/>
        <v>10.4</v>
      </c>
      <c r="P10" s="7">
        <f>LOOKUP(O10,{0,7.8,8,8.2,8.4,8.6,8.8,9,9.2,9.4,9.6,9.8,10,10.2,10.4,10.6,10.8,10.9,11,11.1,11.2},{0,10,20,30,40,50,60,62,64,66,68,70,72,74,76,78,80,85,90,95,100})</f>
        <v>76</v>
      </c>
      <c r="Q10" s="5">
        <v>5.09</v>
      </c>
      <c r="R10" s="10">
        <f t="shared" si="2"/>
        <v>4.91</v>
      </c>
      <c r="S10" s="7">
        <f>LOOKUP(R10,{0,3.85,4.45,4.65,4.85,5.45,5.65,5.7,5.75,5.8,5.85,5.9,5.95,6,6.45,6.5,6.55,6.63,6.7,6.75,6.8},{0,10,20,30,40,50,60,62,64,66,68,70,72,74,76,78,80,85,90,95,100})</f>
        <v>40</v>
      </c>
      <c r="T10" s="5"/>
      <c r="U10" s="5"/>
      <c r="V10" s="5">
        <f t="shared" si="3"/>
        <v>40</v>
      </c>
      <c r="W10" s="5"/>
      <c r="X10" s="13">
        <f t="shared" si="4"/>
        <v>40.1</v>
      </c>
      <c r="Y10" s="13">
        <f t="shared" si="5"/>
        <v>57.2857142857143</v>
      </c>
    </row>
    <row r="11" ht="15.6" hidden="1" outlineLevel="2" spans="1:25">
      <c r="A11" s="5">
        <v>301</v>
      </c>
      <c r="B11" s="5">
        <v>11</v>
      </c>
      <c r="C11" s="6" t="s">
        <v>22</v>
      </c>
      <c r="D11" s="5" t="s">
        <v>12</v>
      </c>
      <c r="E11" s="5">
        <v>8</v>
      </c>
      <c r="F11" s="7">
        <f>LOOKUP(E11,{0,-1.8,-0.8,0.2,1.2,2.2,3.2,4.6,6,7.4,8.8,10.2,11.6,13,14.4,15.8,17.2,19.1,21,22.8,24.6},{0,10,20,30,40,50,60,62,64,66,68,70,72,74,76,78,80,85,90,95,100})</f>
        <v>66</v>
      </c>
      <c r="G11" s="5">
        <v>222</v>
      </c>
      <c r="H11" s="7">
        <f>LOOKUP(G11,{0,180,185,190,195,200,205,209,213,217,221,225,229,233,237,241,245,253,260,265,270},{0,10,20,30,40,50,60,62,64,66,68,70,72,74,76,78,80,85,90,95,100})</f>
        <v>68</v>
      </c>
      <c r="I11" s="5">
        <v>8</v>
      </c>
      <c r="J11" s="7">
        <f>LOOKUP(I11,{0,4,5,6,7,8,9,10,11,12,13,14,15,16,17,18},{0,10,20,30,40,50,60,64,68,72,76,80,85,90,95,100})</f>
        <v>50</v>
      </c>
      <c r="K11" s="5"/>
      <c r="L11" s="5"/>
      <c r="M11" s="5">
        <f t="shared" si="0"/>
        <v>50</v>
      </c>
      <c r="N11" s="5">
        <v>8.4</v>
      </c>
      <c r="O11" s="10">
        <f t="shared" si="1"/>
        <v>9.6</v>
      </c>
      <c r="P11" s="7">
        <f>LOOKUP(O11,{0,7.8,8,8.2,8.4,8.6,8.8,9,9.2,9.4,9.6,9.8,10,10.2,10.4,10.6,10.8,10.9,11,11.1,11.2},{0,10,20,30,40,50,60,62,64,66,68,70,72,74,76,78,80,85,90,95,100})</f>
        <v>68</v>
      </c>
      <c r="Q11" s="5">
        <v>4.06</v>
      </c>
      <c r="R11" s="10">
        <f t="shared" si="2"/>
        <v>5.94</v>
      </c>
      <c r="S11" s="7">
        <f>LOOKUP(R11,{0,3.85,4.45,4.65,4.85,5.45,5.65,5.7,5.75,5.8,5.85,5.9,5.95,6,6.45,6.5,6.55,6.63,6.7,6.75,6.8},{0,10,20,30,40,50,60,62,64,66,68,70,72,74,76,78,80,85,90,95,100})</f>
        <v>70</v>
      </c>
      <c r="T11" s="5"/>
      <c r="U11" s="5"/>
      <c r="V11" s="5">
        <f t="shared" si="3"/>
        <v>70</v>
      </c>
      <c r="W11" s="5"/>
      <c r="X11" s="13">
        <f t="shared" si="4"/>
        <v>46</v>
      </c>
      <c r="Y11" s="13">
        <f t="shared" si="5"/>
        <v>65.7142857142857</v>
      </c>
    </row>
    <row r="12" ht="15.6" hidden="1" outlineLevel="2" spans="1:25">
      <c r="A12" s="5">
        <v>301</v>
      </c>
      <c r="B12" s="5">
        <v>12</v>
      </c>
      <c r="C12" s="5" t="s">
        <v>23</v>
      </c>
      <c r="D12" s="5" t="s">
        <v>12</v>
      </c>
      <c r="E12" s="5">
        <v>17.5</v>
      </c>
      <c r="F12" s="7">
        <f>LOOKUP(E12,{0,-1.8,-0.8,0.2,1.2,2.2,3.2,4.6,6,7.4,8.8,10.2,11.6,13,14.4,15.8,17.2,19.1,21,22.8,24.6},{0,10,20,30,40,50,60,62,64,66,68,70,72,74,76,78,80,85,90,95,100})</f>
        <v>80</v>
      </c>
      <c r="G12" s="5">
        <v>195</v>
      </c>
      <c r="H12" s="7">
        <f>LOOKUP(G12,{0,180,185,190,195,200,205,209,213,217,221,225,229,233,237,241,245,253,260,265,270},{0,10,20,30,40,50,60,62,64,66,68,70,72,74,76,78,80,85,90,95,100})</f>
        <v>40</v>
      </c>
      <c r="I12" s="5">
        <v>4</v>
      </c>
      <c r="J12" s="7">
        <f>LOOKUP(I12,{0,4,5,6,7,8,9,10,11,12,13,14,15,16,17,18},{0,10,20,30,40,50,60,64,68,72,76,80,85,90,95,100})</f>
        <v>10</v>
      </c>
      <c r="K12" s="5"/>
      <c r="L12" s="5"/>
      <c r="M12" s="5">
        <f t="shared" si="0"/>
        <v>10</v>
      </c>
      <c r="N12" s="5">
        <v>8.7</v>
      </c>
      <c r="O12" s="10">
        <f t="shared" si="1"/>
        <v>9.3</v>
      </c>
      <c r="P12" s="7">
        <f>LOOKUP(O12,{0,7.8,8,8.2,8.4,8.6,8.8,9,9.2,9.4,9.6,9.8,10,10.2,10.4,10.6,10.8,10.9,11,11.1,11.2},{0,10,20,30,40,50,60,62,64,66,68,70,72,74,76,78,80,85,90,95,100})</f>
        <v>64</v>
      </c>
      <c r="Q12" s="5">
        <v>4.14</v>
      </c>
      <c r="R12" s="10">
        <f t="shared" si="2"/>
        <v>5.86</v>
      </c>
      <c r="S12" s="7">
        <f>LOOKUP(R12,{0,3.85,4.45,4.65,4.85,5.45,5.65,5.7,5.75,5.8,5.85,5.9,5.95,6,6.45,6.5,6.55,6.63,6.7,6.75,6.8},{0,10,20,30,40,50,60,62,64,66,68,70,72,74,76,78,80,85,90,95,100})</f>
        <v>68</v>
      </c>
      <c r="T12" s="5"/>
      <c r="U12" s="5"/>
      <c r="V12" s="5">
        <f t="shared" si="3"/>
        <v>68</v>
      </c>
      <c r="W12" s="5"/>
      <c r="X12" s="13">
        <f t="shared" si="4"/>
        <v>39.4</v>
      </c>
      <c r="Y12" s="13">
        <f t="shared" si="5"/>
        <v>56.2857142857143</v>
      </c>
    </row>
    <row r="13" ht="15.6" hidden="1" outlineLevel="2" spans="1:25">
      <c r="A13" s="5">
        <v>301</v>
      </c>
      <c r="B13" s="5">
        <v>13</v>
      </c>
      <c r="C13" s="5" t="s">
        <v>24</v>
      </c>
      <c r="D13" s="5" t="s">
        <v>12</v>
      </c>
      <c r="E13" s="5">
        <v>2.5</v>
      </c>
      <c r="F13" s="7">
        <f>LOOKUP(E13,{0,-1.8,-0.8,0.2,1.2,2.2,3.2,4.6,6,7.4,8.8,10.2,11.6,13,14.4,15.8,17.2,19.1,21,22.8,24.6},{0,10,20,30,40,50,60,62,64,66,68,70,72,74,76,78,80,85,90,95,100})</f>
        <v>50</v>
      </c>
      <c r="G13" s="5">
        <v>175</v>
      </c>
      <c r="H13" s="7">
        <f>LOOKUP(G13,{0,180,185,190,195,200,205,209,213,217,221,225,229,233,237,241,245,253,260,265,270},{0,10,20,30,40,50,60,62,64,66,68,70,72,74,76,78,80,85,90,95,100})</f>
        <v>0</v>
      </c>
      <c r="I13" s="5">
        <v>1</v>
      </c>
      <c r="J13" s="7">
        <f>LOOKUP(I13,{0,4,5,6,7,8,9,10,11,12,13,14,15,16,17,18},{0,10,20,30,40,50,60,64,68,72,76,80,85,90,95,100})</f>
        <v>0</v>
      </c>
      <c r="K13" s="5"/>
      <c r="L13" s="5"/>
      <c r="M13" s="5">
        <f t="shared" si="0"/>
        <v>0</v>
      </c>
      <c r="N13" s="5">
        <v>8.4</v>
      </c>
      <c r="O13" s="10">
        <f t="shared" si="1"/>
        <v>9.6</v>
      </c>
      <c r="P13" s="7">
        <f>LOOKUP(O13,{0,7.8,8,8.2,8.4,8.6,8.8,9,9.2,9.4,9.6,9.8,10,10.2,10.4,10.6,10.8,10.9,11,11.1,11.2},{0,10,20,30,40,50,60,62,64,66,68,70,72,74,76,78,80,85,90,95,100})</f>
        <v>68</v>
      </c>
      <c r="Q13" s="5">
        <v>4.49</v>
      </c>
      <c r="R13" s="10">
        <f t="shared" si="2"/>
        <v>5.51</v>
      </c>
      <c r="S13" s="7">
        <f>LOOKUP(R13,{0,3.85,4.45,4.65,4.85,5.45,5.65,5.7,5.75,5.8,5.85,5.9,5.95,6,6.45,6.5,6.55,6.63,6.7,6.75,6.8},{0,10,20,30,40,50,60,62,64,66,68,70,72,74,76,78,80,85,90,95,100})</f>
        <v>50</v>
      </c>
      <c r="T13" s="5"/>
      <c r="U13" s="5"/>
      <c r="V13" s="5">
        <f t="shared" si="3"/>
        <v>50</v>
      </c>
      <c r="W13" s="5"/>
      <c r="X13" s="13">
        <f t="shared" si="4"/>
        <v>28.6</v>
      </c>
      <c r="Y13" s="13">
        <f t="shared" si="5"/>
        <v>40.8571428571429</v>
      </c>
    </row>
    <row r="14" ht="15.6" hidden="1" outlineLevel="2" spans="1:25">
      <c r="A14" s="5">
        <v>301</v>
      </c>
      <c r="B14" s="5">
        <v>14</v>
      </c>
      <c r="C14" s="5" t="s">
        <v>25</v>
      </c>
      <c r="D14" s="5" t="s">
        <v>12</v>
      </c>
      <c r="E14" s="5">
        <v>0</v>
      </c>
      <c r="F14" s="7">
        <f>LOOKUP(E14,{0,-1.8,-0.8,0.2,1.2,2.2,3.2,4.6,6,7.4,8.8,10.2,11.6,13,14.4,15.8,17.2,19.1,21,22.8,24.6},{0,10,20,30,40,50,60,62,64,66,68,70,72,74,76,78,80,85,90,95,100})</f>
        <v>20</v>
      </c>
      <c r="G14" s="5">
        <v>200</v>
      </c>
      <c r="H14" s="7">
        <f>LOOKUP(G14,{0,180,185,190,195,200,205,209,213,217,221,225,229,233,237,241,245,253,260,265,270},{0,10,20,30,40,50,60,62,64,66,68,70,72,74,76,78,80,85,90,95,100})</f>
        <v>50</v>
      </c>
      <c r="I14" s="5">
        <v>10</v>
      </c>
      <c r="J14" s="7">
        <f>LOOKUP(I14,{0,4,5,6,7,8,9,10,11,12,13,14,15,16,17,18},{0,10,20,30,40,50,60,64,68,72,76,80,85,90,95,100})</f>
        <v>64</v>
      </c>
      <c r="K14" s="5"/>
      <c r="L14" s="5"/>
      <c r="M14" s="5">
        <f t="shared" si="0"/>
        <v>64</v>
      </c>
      <c r="N14" s="5">
        <v>8.4</v>
      </c>
      <c r="O14" s="10">
        <f t="shared" si="1"/>
        <v>9.6</v>
      </c>
      <c r="P14" s="7">
        <f>LOOKUP(O14,{0,7.8,8,8.2,8.4,8.6,8.8,9,9.2,9.4,9.6,9.8,10,10.2,10.4,10.6,10.8,10.9,11,11.1,11.2},{0,10,20,30,40,50,60,62,64,66,68,70,72,74,76,78,80,85,90,95,100})</f>
        <v>68</v>
      </c>
      <c r="Q14" s="5">
        <v>4.14</v>
      </c>
      <c r="R14" s="10">
        <f t="shared" si="2"/>
        <v>5.86</v>
      </c>
      <c r="S14" s="7">
        <f>LOOKUP(R14,{0,3.85,4.45,4.65,4.85,5.45,5.65,5.7,5.75,5.8,5.85,5.9,5.95,6,6.45,6.5,6.55,6.63,6.7,6.75,6.8},{0,10,20,30,40,50,60,62,64,66,68,70,72,74,76,78,80,85,90,95,100})</f>
        <v>68</v>
      </c>
      <c r="T14" s="5"/>
      <c r="U14" s="5"/>
      <c r="V14" s="5">
        <f t="shared" si="3"/>
        <v>68</v>
      </c>
      <c r="W14" s="5"/>
      <c r="X14" s="13">
        <f t="shared" si="4"/>
        <v>40.6</v>
      </c>
      <c r="Y14" s="13">
        <f t="shared" si="5"/>
        <v>58</v>
      </c>
    </row>
    <row r="15" ht="15.6" hidden="1" outlineLevel="2" spans="1:25">
      <c r="A15" s="5">
        <v>301</v>
      </c>
      <c r="B15" s="5">
        <v>15</v>
      </c>
      <c r="C15" s="5" t="s">
        <v>26</v>
      </c>
      <c r="D15" s="5" t="s">
        <v>12</v>
      </c>
      <c r="E15" s="5">
        <v>20</v>
      </c>
      <c r="F15" s="7">
        <f>LOOKUP(E15,{0,-1.8,-0.8,0.2,1.2,2.2,3.2,4.6,6,7.4,8.8,10.2,11.6,13,14.4,15.8,17.2,19.1,21,22.8,24.6},{0,10,20,30,40,50,60,62,64,66,68,70,72,74,76,78,80,85,90,95,100})</f>
        <v>85</v>
      </c>
      <c r="G15" s="5">
        <v>250</v>
      </c>
      <c r="H15" s="7">
        <f>LOOKUP(G15,{0,180,185,190,195,200,205,209,213,217,221,225,229,233,237,241,245,253,260,265,270},{0,10,20,30,40,50,60,62,64,66,68,70,72,74,76,78,80,85,90,95,100})</f>
        <v>80</v>
      </c>
      <c r="I15" s="5">
        <v>0</v>
      </c>
      <c r="J15" s="7">
        <f>LOOKUP(I15,{0,4,5,6,7,8,9,10,11,12,13,14,15,16,17,18},{0,10,20,30,40,50,60,64,68,72,76,80,85,90,95,100})</f>
        <v>0</v>
      </c>
      <c r="K15" s="5"/>
      <c r="L15" s="5"/>
      <c r="M15" s="5">
        <f t="shared" si="0"/>
        <v>0</v>
      </c>
      <c r="N15" s="5">
        <v>7.1</v>
      </c>
      <c r="O15" s="10">
        <f t="shared" si="1"/>
        <v>10.9</v>
      </c>
      <c r="P15" s="7">
        <f>LOOKUP(O15,{0,7.8,8,8.2,8.4,8.6,8.8,9,9.2,9.4,9.6,9.8,10,10.2,10.4,10.6,10.8,10.9,11,11.1,11.2},{0,10,20,30,40,50,60,62,64,66,68,70,72,74,76,78,80,85,90,95,100})</f>
        <v>85</v>
      </c>
      <c r="Q15" s="5">
        <v>4.32</v>
      </c>
      <c r="R15" s="10">
        <f t="shared" si="2"/>
        <v>5.68</v>
      </c>
      <c r="S15" s="7">
        <f>LOOKUP(R15,{0,3.85,4.45,4.65,4.85,5.45,5.65,5.7,5.75,5.8,5.85,5.9,5.95,6,6.45,6.5,6.55,6.63,6.7,6.75,6.8},{0,10,20,30,40,50,60,62,64,66,68,70,72,74,76,78,80,85,90,95,100})</f>
        <v>60</v>
      </c>
      <c r="T15" s="5"/>
      <c r="U15" s="5"/>
      <c r="V15" s="5">
        <f t="shared" si="3"/>
        <v>60</v>
      </c>
      <c r="W15" s="5"/>
      <c r="X15" s="13">
        <f t="shared" si="4"/>
        <v>45.5</v>
      </c>
      <c r="Y15" s="13">
        <f t="shared" si="5"/>
        <v>65</v>
      </c>
    </row>
    <row r="16" ht="15.6" hidden="1" outlineLevel="2" spans="1:25">
      <c r="A16" s="5">
        <v>301</v>
      </c>
      <c r="B16" s="5">
        <v>16</v>
      </c>
      <c r="C16" s="5" t="s">
        <v>27</v>
      </c>
      <c r="D16" s="5" t="s">
        <v>12</v>
      </c>
      <c r="E16" s="5">
        <v>7.5</v>
      </c>
      <c r="F16" s="7">
        <f>LOOKUP(E16,{0,-1.8,-0.8,0.2,1.2,2.2,3.2,4.6,6,7.4,8.8,10.2,11.6,13,14.4,15.8,17.2,19.1,21,22.8,24.6},{0,10,20,30,40,50,60,62,64,66,68,70,72,74,76,78,80,85,90,95,100})</f>
        <v>66</v>
      </c>
      <c r="G16" s="5">
        <v>218</v>
      </c>
      <c r="H16" s="7">
        <f>LOOKUP(G16,{0,180,185,190,195,200,205,209,213,217,221,225,229,233,237,241,245,253,260,265,270},{0,10,20,30,40,50,60,62,64,66,68,70,72,74,76,78,80,85,90,95,100})</f>
        <v>66</v>
      </c>
      <c r="I16" s="5">
        <v>13</v>
      </c>
      <c r="J16" s="7">
        <f>LOOKUP(I16,{0,4,5,6,7,8,9,10,11,12,13,14,15,16,17,18},{0,10,20,30,40,50,60,64,68,72,76,80,85,90,95,100})</f>
        <v>76</v>
      </c>
      <c r="K16" s="5"/>
      <c r="L16" s="5"/>
      <c r="M16" s="5">
        <f t="shared" si="0"/>
        <v>76</v>
      </c>
      <c r="N16" s="5">
        <v>7.4</v>
      </c>
      <c r="O16" s="10">
        <f t="shared" si="1"/>
        <v>10.6</v>
      </c>
      <c r="P16" s="7">
        <f>LOOKUP(O16,{0,7.8,8,8.2,8.4,8.6,8.8,9,9.2,9.4,9.6,9.8,10,10.2,10.4,10.6,10.8,10.9,11,11.1,11.2},{0,10,20,30,40,50,60,62,64,66,68,70,72,74,76,78,80,85,90,95,100})</f>
        <v>78</v>
      </c>
      <c r="Q16" s="5">
        <v>3.47</v>
      </c>
      <c r="R16" s="10">
        <f t="shared" si="2"/>
        <v>6.53</v>
      </c>
      <c r="S16" s="7">
        <f>LOOKUP(R16,{0,3.85,4.45,4.65,4.85,5.45,5.65,5.7,5.75,5.8,5.85,5.9,5.95,6,6.45,6.5,6.55,6.63,6.7,6.75,6.8},{0,10,20,30,40,50,60,62,64,66,68,70,72,74,76,78,80,85,90,95,100})</f>
        <v>78</v>
      </c>
      <c r="T16" s="5"/>
      <c r="U16" s="5"/>
      <c r="V16" s="5">
        <f t="shared" si="3"/>
        <v>78</v>
      </c>
      <c r="W16" s="5"/>
      <c r="X16" s="13">
        <f t="shared" si="4"/>
        <v>52</v>
      </c>
      <c r="Y16" s="13">
        <f t="shared" si="5"/>
        <v>74.2857142857143</v>
      </c>
    </row>
    <row r="17" ht="15.6" hidden="1" outlineLevel="2" spans="1:25">
      <c r="A17" s="5">
        <v>301</v>
      </c>
      <c r="B17" s="5">
        <v>17</v>
      </c>
      <c r="C17" s="5" t="s">
        <v>28</v>
      </c>
      <c r="D17" s="5" t="s">
        <v>12</v>
      </c>
      <c r="E17" s="5">
        <v>3.5</v>
      </c>
      <c r="F17" s="7">
        <f>LOOKUP(E17,{0,-1.8,-0.8,0.2,1.2,2.2,3.2,4.6,6,7.4,8.8,10.2,11.6,13,14.4,15.8,17.2,19.1,21,22.8,24.6},{0,10,20,30,40,50,60,62,64,66,68,70,72,74,76,78,80,85,90,95,100})</f>
        <v>60</v>
      </c>
      <c r="G17" s="5">
        <v>212</v>
      </c>
      <c r="H17" s="7">
        <f>LOOKUP(G17,{0,180,185,190,195,200,205,209,213,217,221,225,229,233,237,241,245,253,260,265,270},{0,10,20,30,40,50,60,62,64,66,68,70,72,74,76,78,80,85,90,95,100})</f>
        <v>62</v>
      </c>
      <c r="I17" s="5">
        <v>4</v>
      </c>
      <c r="J17" s="7">
        <f>LOOKUP(I17,{0,4,5,6,7,8,9,10,11,12,13,14,15,16,17,18},{0,10,20,30,40,50,60,64,68,72,76,80,85,90,95,100})</f>
        <v>10</v>
      </c>
      <c r="K17" s="5"/>
      <c r="L17" s="5"/>
      <c r="M17" s="5">
        <f t="shared" si="0"/>
        <v>10</v>
      </c>
      <c r="N17" s="5">
        <v>7.8</v>
      </c>
      <c r="O17" s="10">
        <f t="shared" si="1"/>
        <v>10.2</v>
      </c>
      <c r="P17" s="7">
        <f>LOOKUP(O17,{0,7.8,8,8.2,8.4,8.6,8.8,9,9.2,9.4,9.6,9.8,10,10.2,10.4,10.6,10.8,10.9,11,11.1,11.2},{0,10,20,30,40,50,60,62,64,66,68,70,72,74,76,78,80,85,90,95,100})</f>
        <v>74</v>
      </c>
      <c r="Q17" s="5">
        <v>3.44</v>
      </c>
      <c r="R17" s="10">
        <f t="shared" si="2"/>
        <v>6.56</v>
      </c>
      <c r="S17" s="7">
        <f>LOOKUP(R17,{0,3.85,4.45,4.65,4.85,5.45,5.65,5.7,5.75,5.8,5.85,5.9,5.95,6,6.45,6.5,6.55,6.63,6.7,6.75,6.8},{0,10,20,30,40,50,60,62,64,66,68,70,72,74,76,78,80,85,90,95,100})</f>
        <v>80</v>
      </c>
      <c r="T17" s="5"/>
      <c r="U17" s="5"/>
      <c r="V17" s="5">
        <f t="shared" si="3"/>
        <v>80</v>
      </c>
      <c r="W17" s="5"/>
      <c r="X17" s="13">
        <f t="shared" si="4"/>
        <v>44</v>
      </c>
      <c r="Y17" s="13">
        <f t="shared" si="5"/>
        <v>62.8571428571429</v>
      </c>
    </row>
    <row r="18" ht="15.6" hidden="1" outlineLevel="2" spans="1:25">
      <c r="A18" s="5">
        <v>301</v>
      </c>
      <c r="B18" s="5">
        <v>18</v>
      </c>
      <c r="C18" s="5" t="s">
        <v>29</v>
      </c>
      <c r="D18" s="5" t="s">
        <v>12</v>
      </c>
      <c r="E18" s="5">
        <v>18</v>
      </c>
      <c r="F18" s="7">
        <f>LOOKUP(E18,{0,-1.8,-0.8,0.2,1.2,2.2,3.2,4.6,6,7.4,8.8,10.2,11.6,13,14.4,15.8,17.2,19.1,21,22.8,24.6},{0,10,20,30,40,50,60,62,64,66,68,70,72,74,76,78,80,85,90,95,100})</f>
        <v>80</v>
      </c>
      <c r="G18" s="5">
        <v>265</v>
      </c>
      <c r="H18" s="7">
        <f>LOOKUP(G18,{0,180,185,190,195,200,205,209,213,217,221,225,229,233,237,241,245,253,260,265,270},{0,10,20,30,40,50,60,62,64,66,68,70,72,74,76,78,80,85,90,95,100})</f>
        <v>95</v>
      </c>
      <c r="I18" s="5">
        <v>10</v>
      </c>
      <c r="J18" s="7">
        <f>LOOKUP(I18,{0,4,5,6,7,8,9,10,11,12,13,14,15,16,17,18},{0,10,20,30,40,50,60,64,68,72,76,80,85,90,95,100})</f>
        <v>64</v>
      </c>
      <c r="K18" s="5"/>
      <c r="L18" s="5"/>
      <c r="M18" s="5">
        <f t="shared" si="0"/>
        <v>64</v>
      </c>
      <c r="N18" s="5">
        <v>7.8</v>
      </c>
      <c r="O18" s="10">
        <f t="shared" si="1"/>
        <v>10.2</v>
      </c>
      <c r="P18" s="7">
        <f>LOOKUP(O18,{0,7.8,8,8.2,8.4,8.6,8.8,9,9.2,9.4,9.6,9.8,10,10.2,10.4,10.6,10.8,10.9,11,11.1,11.2},{0,10,20,30,40,50,60,62,64,66,68,70,72,74,76,78,80,85,90,95,100})</f>
        <v>74</v>
      </c>
      <c r="Q18" s="5">
        <v>4.2</v>
      </c>
      <c r="R18" s="10">
        <f t="shared" si="2"/>
        <v>5.8</v>
      </c>
      <c r="S18" s="7">
        <f>LOOKUP(R18,{0,3.85,4.45,4.65,4.85,5.45,5.65,5.7,5.75,5.8,5.85,5.9,5.95,6,6.45,6.5,6.55,6.63,6.7,6.75,6.8},{0,10,20,30,40,50,60,62,64,66,68,70,72,74,76,78,80,85,90,95,100})</f>
        <v>66</v>
      </c>
      <c r="T18" s="5"/>
      <c r="U18" s="5"/>
      <c r="V18" s="5">
        <f t="shared" si="3"/>
        <v>66</v>
      </c>
      <c r="W18" s="5"/>
      <c r="X18" s="13">
        <f t="shared" si="4"/>
        <v>51.9</v>
      </c>
      <c r="Y18" s="13">
        <f t="shared" si="5"/>
        <v>74.1428571428572</v>
      </c>
    </row>
    <row r="19" ht="15.6" hidden="1" outlineLevel="2" spans="1:25">
      <c r="A19" s="5">
        <v>301</v>
      </c>
      <c r="B19" s="5">
        <v>19</v>
      </c>
      <c r="C19" s="5" t="s">
        <v>30</v>
      </c>
      <c r="D19" s="5" t="s">
        <v>12</v>
      </c>
      <c r="E19" s="5">
        <v>3.5</v>
      </c>
      <c r="F19" s="7">
        <f>LOOKUP(E19,{0,-1.8,-0.8,0.2,1.2,2.2,3.2,4.6,6,7.4,8.8,10.2,11.6,13,14.4,15.8,17.2,19.1,21,22.8,24.6},{0,10,20,30,40,50,60,62,64,66,68,70,72,74,76,78,80,85,90,95,100})</f>
        <v>60</v>
      </c>
      <c r="G19" s="5">
        <v>210</v>
      </c>
      <c r="H19" s="7">
        <f>LOOKUP(G19,{0,180,185,190,195,200,205,209,213,217,221,225,229,233,237,241,245,253,260,265,270},{0,10,20,30,40,50,60,62,64,66,68,70,72,74,76,78,80,85,90,95,100})</f>
        <v>62</v>
      </c>
      <c r="I19" s="5">
        <v>1</v>
      </c>
      <c r="J19" s="7">
        <f>LOOKUP(I19,{0,4,5,6,7,8,9,10,11,12,13,14,15,16,17,18},{0,10,20,30,40,50,60,64,68,72,76,80,85,90,95,100})</f>
        <v>0</v>
      </c>
      <c r="K19" s="5"/>
      <c r="L19" s="5"/>
      <c r="M19" s="5">
        <f t="shared" si="0"/>
        <v>0</v>
      </c>
      <c r="N19" s="5">
        <v>8.4</v>
      </c>
      <c r="O19" s="10">
        <f t="shared" si="1"/>
        <v>9.6</v>
      </c>
      <c r="P19" s="7">
        <f>LOOKUP(O19,{0,7.8,8,8.2,8.4,8.6,8.8,9,9.2,9.4,9.6,9.8,10,10.2,10.4,10.6,10.8,10.9,11,11.1,11.2},{0,10,20,30,40,50,60,62,64,66,68,70,72,74,76,78,80,85,90,95,100})</f>
        <v>68</v>
      </c>
      <c r="Q19" s="5">
        <v>3.55</v>
      </c>
      <c r="R19" s="10">
        <f t="shared" si="2"/>
        <v>6.45</v>
      </c>
      <c r="S19" s="7">
        <f>LOOKUP(R19,{0,3.85,4.45,4.65,4.85,5.45,5.65,5.7,5.75,5.8,5.85,5.9,5.95,6,6.45,6.5,6.55,6.63,6.7,6.75,6.8},{0,10,20,30,40,50,60,62,64,66,68,70,72,74,76,78,80,85,90,95,100})</f>
        <v>76</v>
      </c>
      <c r="T19" s="5"/>
      <c r="U19" s="5"/>
      <c r="V19" s="5">
        <f t="shared" si="3"/>
        <v>76</v>
      </c>
      <c r="W19" s="5"/>
      <c r="X19" s="13">
        <f t="shared" si="4"/>
        <v>41</v>
      </c>
      <c r="Y19" s="13">
        <f t="shared" si="5"/>
        <v>58.5714285714286</v>
      </c>
    </row>
    <row r="20" ht="15.6" hidden="1" outlineLevel="2" spans="1:25">
      <c r="A20" s="5">
        <v>301</v>
      </c>
      <c r="B20" s="5">
        <v>20</v>
      </c>
      <c r="C20" s="5" t="s">
        <v>31</v>
      </c>
      <c r="D20" s="5" t="s">
        <v>12</v>
      </c>
      <c r="E20" s="5">
        <v>14.5</v>
      </c>
      <c r="F20" s="7">
        <f>LOOKUP(E20,{0,-1.8,-0.8,0.2,1.2,2.2,3.2,4.6,6,7.4,8.8,10.2,11.6,13,14.4,15.8,17.2,19.1,21,22.8,24.6},{0,10,20,30,40,50,60,62,64,66,68,70,72,74,76,78,80,85,90,95,100})</f>
        <v>76</v>
      </c>
      <c r="G20" s="5">
        <v>242</v>
      </c>
      <c r="H20" s="7">
        <f>LOOKUP(G20,{0,180,185,190,195,200,205,209,213,217,221,225,229,233,237,241,245,253,260,265,270},{0,10,20,30,40,50,60,62,64,66,68,70,72,74,76,78,80,85,90,95,100})</f>
        <v>78</v>
      </c>
      <c r="I20" s="5">
        <v>13</v>
      </c>
      <c r="J20" s="7">
        <f>LOOKUP(I20,{0,4,5,6,7,8,9,10,11,12,13,14,15,16,17,18},{0,10,20,30,40,50,60,64,68,72,76,80,85,90,95,100})</f>
        <v>76</v>
      </c>
      <c r="K20" s="5"/>
      <c r="L20" s="5"/>
      <c r="M20" s="5">
        <f t="shared" si="0"/>
        <v>76</v>
      </c>
      <c r="N20" s="5">
        <v>7.8</v>
      </c>
      <c r="O20" s="10">
        <f t="shared" si="1"/>
        <v>10.2</v>
      </c>
      <c r="P20" s="7">
        <f>LOOKUP(O20,{0,7.8,8,8.2,8.4,8.6,8.8,9,9.2,9.4,9.6,9.8,10,10.2,10.4,10.6,10.8,10.9,11,11.1,11.2},{0,10,20,30,40,50,60,62,64,66,68,70,72,74,76,78,80,85,90,95,100})</f>
        <v>74</v>
      </c>
      <c r="Q20" s="5">
        <v>3.47</v>
      </c>
      <c r="R20" s="10">
        <f t="shared" si="2"/>
        <v>6.53</v>
      </c>
      <c r="S20" s="7">
        <f>LOOKUP(R20,{0,3.85,4.45,4.65,4.85,5.45,5.65,5.7,5.75,5.8,5.85,5.9,5.95,6,6.45,6.5,6.55,6.63,6.7,6.75,6.8},{0,10,20,30,40,50,60,62,64,66,68,70,72,74,76,78,80,85,90,95,100})</f>
        <v>78</v>
      </c>
      <c r="T20" s="5"/>
      <c r="U20" s="5"/>
      <c r="V20" s="5">
        <f t="shared" si="3"/>
        <v>78</v>
      </c>
      <c r="W20" s="5"/>
      <c r="X20" s="13">
        <f t="shared" si="4"/>
        <v>53.4</v>
      </c>
      <c r="Y20" s="13">
        <f t="shared" si="5"/>
        <v>76.2857142857143</v>
      </c>
    </row>
    <row r="21" ht="15.6" hidden="1" outlineLevel="2" spans="1:25">
      <c r="A21" s="5">
        <v>301</v>
      </c>
      <c r="B21" s="5">
        <v>21</v>
      </c>
      <c r="C21" s="6" t="s">
        <v>33</v>
      </c>
      <c r="D21" s="5" t="s">
        <v>12</v>
      </c>
      <c r="E21" s="5">
        <v>10.7</v>
      </c>
      <c r="F21" s="7">
        <f>LOOKUP(E21,{0,-1.8,-0.8,0.2,1.2,2.2,3.2,4.6,6,7.4,8.8,10.2,11.6,13,14.4,15.8,17.2,19.1,21,22.8,24.6},{0,10,20,30,40,50,60,62,64,66,68,70,72,74,76,78,80,85,90,95,100})</f>
        <v>70</v>
      </c>
      <c r="G21" s="5">
        <v>235</v>
      </c>
      <c r="H21" s="7">
        <f>LOOKUP(G21,{0,180,185,190,195,200,205,209,213,217,221,225,229,233,237,241,245,253,260,265,270},{0,10,20,30,40,50,60,62,64,66,68,70,72,74,76,78,80,85,90,95,100})</f>
        <v>74</v>
      </c>
      <c r="I21" s="5">
        <v>16</v>
      </c>
      <c r="J21" s="7">
        <f>LOOKUP(I21,{0,4,5,6,7,8,9,10,11,12,13,14,15,16,17,18},{0,10,20,30,40,50,60,64,68,72,76,80,85,90,95,100})</f>
        <v>90</v>
      </c>
      <c r="K21" s="5"/>
      <c r="L21" s="5"/>
      <c r="M21" s="5">
        <f t="shared" si="0"/>
        <v>90</v>
      </c>
      <c r="N21" s="5">
        <v>6.8</v>
      </c>
      <c r="O21" s="10">
        <f t="shared" si="1"/>
        <v>11.2</v>
      </c>
      <c r="P21" s="7">
        <f>LOOKUP(O21,{0,7.8,8,8.2,8.4,8.6,8.8,9,9.2,9.4,9.6,9.8,10,10.2,10.4,10.6,10.8,10.9,11,11.1,11.2},{0,10,20,30,40,50,60,62,64,66,68,70,72,74,76,78,80,85,90,95,100})</f>
        <v>100</v>
      </c>
      <c r="Q21" s="5">
        <v>3.35</v>
      </c>
      <c r="R21" s="10">
        <f t="shared" si="2"/>
        <v>6.65</v>
      </c>
      <c r="S21" s="7">
        <f>LOOKUP(R21,{0,3.85,4.45,4.65,4.85,5.45,5.65,5.7,5.75,5.8,5.85,5.9,5.95,6,6.45,6.5,6.55,6.63,6.7,6.75,6.8},{0,10,20,30,40,50,60,62,64,66,68,70,72,74,76,78,80,85,90,95,100})</f>
        <v>85</v>
      </c>
      <c r="T21" s="5"/>
      <c r="U21" s="5"/>
      <c r="V21" s="5">
        <f t="shared" si="3"/>
        <v>85</v>
      </c>
      <c r="W21" s="5"/>
      <c r="X21" s="13">
        <f t="shared" si="4"/>
        <v>60.4</v>
      </c>
      <c r="Y21" s="13">
        <f t="shared" si="5"/>
        <v>86.2857142857143</v>
      </c>
    </row>
    <row r="22" ht="15.6" hidden="1" outlineLevel="2" spans="1:25">
      <c r="A22" s="5">
        <v>301</v>
      </c>
      <c r="B22" s="5">
        <v>22</v>
      </c>
      <c r="C22" s="5" t="s">
        <v>34</v>
      </c>
      <c r="D22" s="5" t="s">
        <v>12</v>
      </c>
      <c r="E22" s="5">
        <v>21</v>
      </c>
      <c r="F22" s="7">
        <f>LOOKUP(E22,{0,-1.8,-0.8,0.2,1.2,2.2,3.2,4.6,6,7.4,8.8,10.2,11.6,13,14.4,15.8,17.2,19.1,21,22.8,24.6},{0,10,20,30,40,50,60,62,64,66,68,70,72,74,76,78,80,85,90,95,100})</f>
        <v>90</v>
      </c>
      <c r="G22" s="5">
        <v>220</v>
      </c>
      <c r="H22" s="7">
        <f>LOOKUP(G22,{0,180,185,190,195,200,205,209,213,217,221,225,229,233,237,241,245,253,260,265,270},{0,10,20,30,40,50,60,62,64,66,68,70,72,74,76,78,80,85,90,95,100})</f>
        <v>66</v>
      </c>
      <c r="I22" s="5">
        <v>5</v>
      </c>
      <c r="J22" s="7">
        <f>LOOKUP(I22,{0,4,5,6,7,8,9,10,11,12,13,14,15,16,17,18},{0,10,20,30,40,50,60,64,68,72,76,80,85,90,95,100})</f>
        <v>20</v>
      </c>
      <c r="K22" s="5"/>
      <c r="L22" s="5"/>
      <c r="M22" s="5">
        <f t="shared" si="0"/>
        <v>20</v>
      </c>
      <c r="N22" s="5">
        <v>7.7</v>
      </c>
      <c r="O22" s="10">
        <f t="shared" si="1"/>
        <v>10.3</v>
      </c>
      <c r="P22" s="7">
        <f>LOOKUP(O22,{0,7.8,8,8.2,8.4,8.6,8.8,9,9.2,9.4,9.6,9.8,10,10.2,10.4,10.6,10.8,10.9,11,11.1,11.2},{0,10,20,30,40,50,60,62,64,66,68,70,72,74,76,78,80,85,90,95,100})</f>
        <v>74</v>
      </c>
      <c r="Q22" s="5">
        <v>4.09</v>
      </c>
      <c r="R22" s="10">
        <f t="shared" si="2"/>
        <v>5.91</v>
      </c>
      <c r="S22" s="7">
        <f>LOOKUP(R22,{0,3.85,4.45,4.65,4.85,5.45,5.65,5.7,5.75,5.8,5.85,5.9,5.95,6,6.45,6.5,6.55,6.63,6.7,6.75,6.8},{0,10,20,30,40,50,60,62,64,66,68,70,72,74,76,78,80,85,90,95,100})</f>
        <v>70</v>
      </c>
      <c r="T22" s="5"/>
      <c r="U22" s="5"/>
      <c r="V22" s="5">
        <f t="shared" si="3"/>
        <v>70</v>
      </c>
      <c r="W22" s="5"/>
      <c r="X22" s="13">
        <f t="shared" si="4"/>
        <v>46.4</v>
      </c>
      <c r="Y22" s="13">
        <f t="shared" si="5"/>
        <v>66.2857142857143</v>
      </c>
    </row>
    <row r="23" ht="15.6" hidden="1" outlineLevel="2" spans="1:25">
      <c r="A23" s="5">
        <v>301</v>
      </c>
      <c r="B23" s="5">
        <v>23</v>
      </c>
      <c r="C23" s="5" t="s">
        <v>35</v>
      </c>
      <c r="D23" s="5" t="s">
        <v>12</v>
      </c>
      <c r="E23" s="5">
        <v>17</v>
      </c>
      <c r="F23" s="7">
        <f>LOOKUP(E23,{0,-1.8,-0.8,0.2,1.2,2.2,3.2,4.6,6,7.4,8.8,10.2,11.6,13,14.4,15.8,17.2,19.1,21,22.8,24.6},{0,10,20,30,40,50,60,62,64,66,68,70,72,74,76,78,80,85,90,95,100})</f>
        <v>78</v>
      </c>
      <c r="G23" s="5">
        <v>248</v>
      </c>
      <c r="H23" s="7">
        <f>LOOKUP(G23,{0,180,185,190,195,200,205,209,213,217,221,225,229,233,237,241,245,253,260,265,270},{0,10,20,30,40,50,60,62,64,66,68,70,72,74,76,78,80,85,90,95,100})</f>
        <v>80</v>
      </c>
      <c r="I23" s="5">
        <v>20</v>
      </c>
      <c r="J23" s="7">
        <f>LOOKUP(I23,{0,4,5,6,7,8,9,10,11,12,13,14,15,16,17,18},{0,10,20,30,40,50,60,64,68,72,76,80,85,90,95,100})</f>
        <v>100</v>
      </c>
      <c r="K23" s="5">
        <f>I23-18</f>
        <v>2</v>
      </c>
      <c r="L23" s="7">
        <f>LOOKUP(K23,{0,1,2,3,4,5,6,7,8,9,10},{0,1,2,3,4,5,6,7,8,9,10})</f>
        <v>2</v>
      </c>
      <c r="M23" s="5">
        <f t="shared" si="0"/>
        <v>102</v>
      </c>
      <c r="N23" s="5">
        <v>6.7</v>
      </c>
      <c r="O23" s="10">
        <f t="shared" si="1"/>
        <v>11.3</v>
      </c>
      <c r="P23" s="7">
        <f>LOOKUP(O23,{0,7.8,8,8.2,8.4,8.6,8.8,9,9.2,9.4,9.6,9.8,10,10.2,10.4,10.6,10.8,10.9,11,11.1,11.2},{0,10,20,30,40,50,60,62,64,66,68,70,72,74,76,78,80,85,90,95,100})</f>
        <v>100</v>
      </c>
      <c r="Q23" s="5">
        <v>4.01</v>
      </c>
      <c r="R23" s="10">
        <f t="shared" si="2"/>
        <v>5.99</v>
      </c>
      <c r="S23" s="7">
        <f>LOOKUP(R23,{0,3.85,4.45,4.65,4.85,5.45,5.65,5.7,5.75,5.8,5.85,5.9,5.95,6,6.45,6.5,6.55,6.63,6.7,6.75,6.8},{0,10,20,30,40,50,60,62,64,66,68,70,72,74,76,78,80,85,90,95,100})</f>
        <v>72</v>
      </c>
      <c r="T23" s="5"/>
      <c r="U23" s="5"/>
      <c r="V23" s="5">
        <f t="shared" si="3"/>
        <v>72</v>
      </c>
      <c r="W23" s="5"/>
      <c r="X23" s="13">
        <f t="shared" si="4"/>
        <v>60.2</v>
      </c>
      <c r="Y23" s="13">
        <f t="shared" si="5"/>
        <v>88</v>
      </c>
    </row>
    <row r="24" ht="15.6" hidden="1" outlineLevel="2" spans="1:25">
      <c r="A24" s="5">
        <v>301</v>
      </c>
      <c r="B24" s="5">
        <v>24</v>
      </c>
      <c r="C24" s="5" t="s">
        <v>36</v>
      </c>
      <c r="D24" s="5" t="s">
        <v>12</v>
      </c>
      <c r="E24" s="5">
        <v>11</v>
      </c>
      <c r="F24" s="7">
        <f>LOOKUP(E24,{0,-1.8,-0.8,0.2,1.2,2.2,3.2,4.6,6,7.4,8.8,10.2,11.6,13,14.4,15.8,17.2,19.1,21,22.8,24.6},{0,10,20,30,40,50,60,62,64,66,68,70,72,74,76,78,80,85,90,95,100})</f>
        <v>70</v>
      </c>
      <c r="G24" s="5">
        <v>186</v>
      </c>
      <c r="H24" s="7">
        <f>LOOKUP(G24,{0,180,185,190,195,200,205,209,213,217,221,225,229,233,237,241,245,253,260,265,270},{0,10,20,30,40,50,60,62,64,66,68,70,72,74,76,78,80,85,90,95,100})</f>
        <v>20</v>
      </c>
      <c r="I24" s="5">
        <v>0</v>
      </c>
      <c r="J24" s="7">
        <f>LOOKUP(I24,{0,4,5,6,7,8,9,10,11,12,13,14,15,16,17,18},{0,10,20,30,40,50,60,64,68,72,76,80,85,90,95,100})</f>
        <v>0</v>
      </c>
      <c r="K24" s="5"/>
      <c r="L24" s="5"/>
      <c r="M24" s="5">
        <f t="shared" si="0"/>
        <v>0</v>
      </c>
      <c r="N24" s="5">
        <v>7.6</v>
      </c>
      <c r="O24" s="10">
        <f t="shared" si="1"/>
        <v>10.4</v>
      </c>
      <c r="P24" s="7">
        <f>LOOKUP(O24,{0,7.8,8,8.2,8.4,8.6,8.8,9,9.2,9.4,9.6,9.8,10,10.2,10.4,10.6,10.8,10.9,11,11.1,11.2},{0,10,20,30,40,50,60,62,64,66,68,70,72,74,76,78,80,85,90,95,100})</f>
        <v>76</v>
      </c>
      <c r="Q24" s="5">
        <v>4.15</v>
      </c>
      <c r="R24" s="10">
        <f t="shared" si="2"/>
        <v>5.85</v>
      </c>
      <c r="S24" s="7">
        <f>LOOKUP(R24,{0,3.85,4.45,4.65,4.85,5.45,5.65,5.7,5.75,5.8,5.85,5.9,5.95,6,6.45,6.5,6.55,6.63,6.7,6.75,6.8},{0,10,20,30,40,50,60,62,64,66,68,70,72,74,76,78,80,85,90,95,100})</f>
        <v>68</v>
      </c>
      <c r="T24" s="5"/>
      <c r="U24" s="5"/>
      <c r="V24" s="5">
        <f t="shared" si="3"/>
        <v>68</v>
      </c>
      <c r="W24" s="5"/>
      <c r="X24" s="13">
        <f t="shared" si="4"/>
        <v>37.8</v>
      </c>
      <c r="Y24" s="13">
        <f t="shared" si="5"/>
        <v>54</v>
      </c>
    </row>
    <row r="25" ht="15.6" hidden="1" outlineLevel="2" spans="1:25">
      <c r="A25" s="5">
        <v>301</v>
      </c>
      <c r="B25" s="5">
        <v>25</v>
      </c>
      <c r="C25" s="5" t="s">
        <v>37</v>
      </c>
      <c r="D25" s="5" t="s">
        <v>12</v>
      </c>
      <c r="E25" s="5">
        <v>12</v>
      </c>
      <c r="F25" s="7">
        <f>LOOKUP(E25,{0,-1.8,-0.8,0.2,1.2,2.2,3.2,4.6,6,7.4,8.8,10.2,11.6,13,14.4,15.8,17.2,19.1,21,22.8,24.6},{0,10,20,30,40,50,60,62,64,66,68,70,72,74,76,78,80,85,90,95,100})</f>
        <v>72</v>
      </c>
      <c r="G25" s="5">
        <v>172</v>
      </c>
      <c r="H25" s="7">
        <f>LOOKUP(G25,{0,180,185,190,195,200,205,209,213,217,221,225,229,233,237,241,245,253,260,265,270},{0,10,20,30,40,50,60,62,64,66,68,70,72,74,76,78,80,85,90,95,100})</f>
        <v>0</v>
      </c>
      <c r="I25" s="5">
        <v>1</v>
      </c>
      <c r="J25" s="7">
        <f>LOOKUP(I25,{0,4,5,6,7,8,9,10,11,12,13,14,15,16,17,18},{0,10,20,30,40,50,60,64,68,72,76,80,85,90,95,100})</f>
        <v>0</v>
      </c>
      <c r="K25" s="5"/>
      <c r="L25" s="5"/>
      <c r="M25" s="5">
        <f t="shared" si="0"/>
        <v>0</v>
      </c>
      <c r="N25" s="5">
        <v>8.5</v>
      </c>
      <c r="O25" s="10">
        <f t="shared" si="1"/>
        <v>9.5</v>
      </c>
      <c r="P25" s="7">
        <f>LOOKUP(O25,{0,7.8,8,8.2,8.4,8.6,8.8,9,9.2,9.4,9.6,9.8,10,10.2,10.4,10.6,10.8,10.9,11,11.1,11.2},{0,10,20,30,40,50,60,62,64,66,68,70,72,74,76,78,80,85,90,95,100})</f>
        <v>66</v>
      </c>
      <c r="Q25" s="5">
        <v>4.11</v>
      </c>
      <c r="R25" s="10">
        <f t="shared" si="2"/>
        <v>5.89</v>
      </c>
      <c r="S25" s="7">
        <f>LOOKUP(R25,{0,3.85,4.45,4.65,4.85,5.45,5.65,5.7,5.75,5.8,5.85,5.9,5.95,6,6.45,6.5,6.55,6.63,6.7,6.75,6.8},{0,10,20,30,40,50,60,62,64,66,68,70,72,74,76,78,80,85,90,95,100})</f>
        <v>68</v>
      </c>
      <c r="T25" s="5"/>
      <c r="U25" s="5"/>
      <c r="V25" s="5">
        <f t="shared" si="3"/>
        <v>68</v>
      </c>
      <c r="W25" s="5"/>
      <c r="X25" s="13">
        <f t="shared" si="4"/>
        <v>34</v>
      </c>
      <c r="Y25" s="13">
        <f t="shared" si="5"/>
        <v>48.5714285714286</v>
      </c>
    </row>
    <row r="26" ht="15.6" hidden="1" outlineLevel="2" spans="1:25">
      <c r="A26" s="5">
        <v>301</v>
      </c>
      <c r="B26" s="5">
        <v>26</v>
      </c>
      <c r="C26" s="5" t="s">
        <v>38</v>
      </c>
      <c r="D26" s="5" t="s">
        <v>12</v>
      </c>
      <c r="E26" s="5">
        <v>19</v>
      </c>
      <c r="F26" s="7">
        <f>LOOKUP(E26,{0,-1.8,-0.8,0.2,1.2,2.2,3.2,4.6,6,7.4,8.8,10.2,11.6,13,14.4,15.8,17.2,19.1,21,22.8,24.6},{0,10,20,30,40,50,60,62,64,66,68,70,72,74,76,78,80,85,90,95,100})</f>
        <v>80</v>
      </c>
      <c r="G26" s="5">
        <v>255</v>
      </c>
      <c r="H26" s="7">
        <f>LOOKUP(G26,{0,180,185,190,195,200,205,209,213,217,221,225,229,233,237,241,245,253,260,265,270},{0,10,20,30,40,50,60,62,64,66,68,70,72,74,76,78,80,85,90,95,100})</f>
        <v>85</v>
      </c>
      <c r="I26" s="5">
        <v>10</v>
      </c>
      <c r="J26" s="7">
        <f>LOOKUP(I26,{0,4,5,6,7,8,9,10,11,12,13,14,15,16,17,18},{0,10,20,30,40,50,60,64,68,72,76,80,85,90,95,100})</f>
        <v>64</v>
      </c>
      <c r="K26" s="5"/>
      <c r="L26" s="5"/>
      <c r="M26" s="5">
        <f t="shared" si="0"/>
        <v>64</v>
      </c>
      <c r="N26" s="5">
        <v>7.1</v>
      </c>
      <c r="O26" s="10">
        <f t="shared" si="1"/>
        <v>10.9</v>
      </c>
      <c r="P26" s="7">
        <f>LOOKUP(O26,{0,7.8,8,8.2,8.4,8.6,8.8,9,9.2,9.4,9.6,9.8,10,10.2,10.4,10.6,10.8,10.9,11,11.1,11.2},{0,10,20,30,40,50,60,62,64,66,68,70,72,74,76,78,80,85,90,95,100})</f>
        <v>85</v>
      </c>
      <c r="Q26" s="5">
        <v>4.02</v>
      </c>
      <c r="R26" s="10">
        <f t="shared" si="2"/>
        <v>5.98</v>
      </c>
      <c r="S26" s="7">
        <f>LOOKUP(R26,{0,3.85,4.45,4.65,4.85,5.45,5.65,5.7,5.75,5.8,5.85,5.9,5.95,6,6.45,6.5,6.55,6.63,6.7,6.75,6.8},{0,10,20,30,40,50,60,62,64,66,68,70,72,74,76,78,80,85,90,95,100})</f>
        <v>72</v>
      </c>
      <c r="T26" s="5"/>
      <c r="U26" s="5"/>
      <c r="V26" s="5">
        <f t="shared" si="3"/>
        <v>72</v>
      </c>
      <c r="W26" s="5"/>
      <c r="X26" s="13">
        <f t="shared" si="4"/>
        <v>54.3</v>
      </c>
      <c r="Y26" s="13">
        <f t="shared" si="5"/>
        <v>77.5714285714286</v>
      </c>
    </row>
    <row r="27" ht="15.6" hidden="1" outlineLevel="2" spans="1:25">
      <c r="A27" s="5">
        <v>301</v>
      </c>
      <c r="B27" s="5">
        <v>27</v>
      </c>
      <c r="C27" s="5" t="s">
        <v>39</v>
      </c>
      <c r="D27" s="5" t="s">
        <v>12</v>
      </c>
      <c r="E27" s="5">
        <v>5</v>
      </c>
      <c r="F27" s="7">
        <f>LOOKUP(E27,{0,-1.8,-0.8,0.2,1.2,2.2,3.2,4.6,6,7.4,8.8,10.2,11.6,13,14.4,15.8,17.2,19.1,21,22.8,24.6},{0,10,20,30,40,50,60,62,64,66,68,70,72,74,76,78,80,85,90,95,100})</f>
        <v>62</v>
      </c>
      <c r="G27" s="5">
        <v>212</v>
      </c>
      <c r="H27" s="7">
        <f>LOOKUP(G27,{0,180,185,190,195,200,205,209,213,217,221,225,229,233,237,241,245,253,260,265,270},{0,10,20,30,40,50,60,62,64,66,68,70,72,74,76,78,80,85,90,95,100})</f>
        <v>62</v>
      </c>
      <c r="I27" s="5">
        <v>3</v>
      </c>
      <c r="J27" s="7">
        <f>LOOKUP(I27,{0,4,5,6,7,8,9,10,11,12,13,14,15,16,17,18},{0,10,20,30,40,50,60,64,68,72,76,80,85,90,95,100})</f>
        <v>0</v>
      </c>
      <c r="K27" s="5"/>
      <c r="L27" s="5"/>
      <c r="M27" s="5">
        <f t="shared" si="0"/>
        <v>0</v>
      </c>
      <c r="N27" s="5">
        <v>7.2</v>
      </c>
      <c r="O27" s="10">
        <f t="shared" si="1"/>
        <v>10.8</v>
      </c>
      <c r="P27" s="7">
        <f>LOOKUP(O27,{0,7.8,8,8.2,8.4,8.6,8.8,9,9.2,9.4,9.6,9.8,10,10.2,10.4,10.6,10.8,10.9,11,11.1,11.2},{0,10,20,30,40,50,60,62,64,66,68,70,72,74,76,78,80,85,90,95,100})</f>
        <v>80</v>
      </c>
      <c r="Q27" s="5">
        <v>4.57</v>
      </c>
      <c r="R27" s="10">
        <f t="shared" si="2"/>
        <v>5.43</v>
      </c>
      <c r="S27" s="7">
        <f>LOOKUP(R27,{0,3.85,4.45,4.65,4.85,5.45,5.65,5.7,5.75,5.8,5.85,5.9,5.95,6,6.45,6.5,6.55,6.63,6.7,6.75,6.8},{0,10,20,30,40,50,60,62,64,66,68,70,72,74,76,78,80,85,90,95,100})</f>
        <v>40</v>
      </c>
      <c r="T27" s="5"/>
      <c r="U27" s="5"/>
      <c r="V27" s="5">
        <f t="shared" si="3"/>
        <v>40</v>
      </c>
      <c r="W27" s="5"/>
      <c r="X27" s="13">
        <f t="shared" si="4"/>
        <v>36.4</v>
      </c>
      <c r="Y27" s="13">
        <f t="shared" si="5"/>
        <v>52</v>
      </c>
    </row>
    <row r="28" ht="15.6" hidden="1" outlineLevel="2" spans="1:25">
      <c r="A28" s="5">
        <v>301</v>
      </c>
      <c r="B28" s="5">
        <v>28</v>
      </c>
      <c r="C28" s="5" t="s">
        <v>40</v>
      </c>
      <c r="D28" s="5" t="s">
        <v>12</v>
      </c>
      <c r="E28" s="5">
        <v>18</v>
      </c>
      <c r="F28" s="7">
        <f>LOOKUP(E28,{0,-1.8,-0.8,0.2,1.2,2.2,3.2,4.6,6,7.4,8.8,10.2,11.6,13,14.4,15.8,17.2,19.1,21,22.8,24.6},{0,10,20,30,40,50,60,62,64,66,68,70,72,74,76,78,80,85,90,95,100})</f>
        <v>80</v>
      </c>
      <c r="G28" s="5">
        <v>225</v>
      </c>
      <c r="H28" s="7">
        <f>LOOKUP(G28,{0,180,185,190,195,200,205,209,213,217,221,225,229,233,237,241,245,253,260,265,270},{0,10,20,30,40,50,60,62,64,66,68,70,72,74,76,78,80,85,90,95,100})</f>
        <v>70</v>
      </c>
      <c r="I28" s="5">
        <v>3</v>
      </c>
      <c r="J28" s="7">
        <f>LOOKUP(I28,{0,4,5,6,7,8,9,10,11,12,13,14,15,16,17,18},{0,10,20,30,40,50,60,64,68,72,76,80,85,90,95,100})</f>
        <v>0</v>
      </c>
      <c r="K28" s="5"/>
      <c r="L28" s="5"/>
      <c r="M28" s="5">
        <f t="shared" si="0"/>
        <v>0</v>
      </c>
      <c r="N28" s="5">
        <v>7.6</v>
      </c>
      <c r="O28" s="10">
        <f t="shared" si="1"/>
        <v>10.4</v>
      </c>
      <c r="P28" s="7">
        <f>LOOKUP(O28,{0,7.8,8,8.2,8.4,8.6,8.8,9,9.2,9.4,9.6,9.8,10,10.2,10.4,10.6,10.8,10.9,11,11.1,11.2},{0,10,20,30,40,50,60,62,64,66,68,70,72,74,76,78,80,85,90,95,100})</f>
        <v>76</v>
      </c>
      <c r="Q28" s="5">
        <v>4.07</v>
      </c>
      <c r="R28" s="10">
        <f t="shared" si="2"/>
        <v>5.93</v>
      </c>
      <c r="S28" s="7">
        <f>LOOKUP(R28,{0,3.85,4.45,4.65,4.85,5.45,5.65,5.7,5.75,5.8,5.85,5.9,5.95,6,6.45,6.5,6.55,6.63,6.7,6.75,6.8},{0,10,20,30,40,50,60,62,64,66,68,70,72,74,76,78,80,85,90,95,100})</f>
        <v>70</v>
      </c>
      <c r="T28" s="5"/>
      <c r="U28" s="5"/>
      <c r="V28" s="5">
        <f t="shared" si="3"/>
        <v>70</v>
      </c>
      <c r="W28" s="5"/>
      <c r="X28" s="13">
        <f t="shared" si="4"/>
        <v>44.2</v>
      </c>
      <c r="Y28" s="13">
        <f t="shared" si="5"/>
        <v>63.1428571428572</v>
      </c>
    </row>
    <row r="29" ht="15.6" hidden="1" outlineLevel="2" spans="1:25">
      <c r="A29" s="5">
        <v>301</v>
      </c>
      <c r="B29" s="5">
        <v>29</v>
      </c>
      <c r="C29" s="5" t="s">
        <v>41</v>
      </c>
      <c r="D29" s="5" t="s">
        <v>12</v>
      </c>
      <c r="E29" s="5"/>
      <c r="F29" s="7"/>
      <c r="G29" s="5"/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50</v>
      </c>
      <c r="X29" s="13"/>
      <c r="Y29" s="13">
        <v>50</v>
      </c>
    </row>
    <row r="30" ht="15.6" hidden="1" outlineLevel="2" spans="1:25">
      <c r="A30" s="5">
        <v>301</v>
      </c>
      <c r="B30" s="5">
        <v>30</v>
      </c>
      <c r="C30" s="5" t="s">
        <v>42</v>
      </c>
      <c r="D30" s="5" t="s">
        <v>12</v>
      </c>
      <c r="E30" s="5">
        <v>10</v>
      </c>
      <c r="F30" s="7">
        <f>LOOKUP(E30,{0,-1.8,-0.8,0.2,1.2,2.2,3.2,4.6,6,7.4,8.8,10.2,11.6,13,14.4,15.8,17.2,19.1,21,22.8,24.6},{0,10,20,30,40,50,60,62,64,66,68,70,72,74,76,78,80,85,90,95,100})</f>
        <v>68</v>
      </c>
      <c r="G30" s="5">
        <v>225</v>
      </c>
      <c r="H30" s="7">
        <f>LOOKUP(G30,{0,180,185,190,195,200,205,209,213,217,221,225,229,233,237,241,245,253,260,265,270},{0,10,20,30,40,50,60,62,64,66,68,70,72,74,76,78,80,85,90,95,100})</f>
        <v>70</v>
      </c>
      <c r="I30" s="5">
        <v>1</v>
      </c>
      <c r="J30" s="7">
        <f>LOOKUP(I30,{0,4,5,6,7,8,9,10,11,12,13,14,15,16,17,18},{0,10,20,30,40,50,60,64,68,72,76,80,85,90,95,100})</f>
        <v>0</v>
      </c>
      <c r="K30" s="5"/>
      <c r="L30" s="5"/>
      <c r="M30" s="5">
        <f t="shared" ref="M30:M43" si="6">J30+L30</f>
        <v>0</v>
      </c>
      <c r="N30" s="5">
        <v>7.7</v>
      </c>
      <c r="O30" s="10">
        <f t="shared" ref="O30:O43" si="7">18-N30</f>
        <v>10.3</v>
      </c>
      <c r="P30" s="7">
        <f>LOOKUP(O30,{0,7.8,8,8.2,8.4,8.6,8.8,9,9.2,9.4,9.6,9.8,10,10.2,10.4,10.6,10.8,10.9,11,11.1,11.2},{0,10,20,30,40,50,60,62,64,66,68,70,72,74,76,78,80,85,90,95,100})</f>
        <v>74</v>
      </c>
      <c r="Q30" s="5">
        <v>4.26</v>
      </c>
      <c r="R30" s="10">
        <f t="shared" ref="R30:R43" si="8">10-Q30</f>
        <v>5.74</v>
      </c>
      <c r="S30" s="7">
        <f>LOOKUP(R30,{0,3.85,4.45,4.65,4.85,5.45,5.65,5.7,5.75,5.8,5.85,5.9,5.95,6,6.45,6.5,6.55,6.63,6.7,6.75,6.8},{0,10,20,30,40,50,60,62,64,66,68,70,72,74,76,78,80,85,90,95,100})</f>
        <v>62</v>
      </c>
      <c r="T30" s="5"/>
      <c r="U30" s="5"/>
      <c r="V30" s="5">
        <f t="shared" ref="V30:V43" si="9">S30+U30</f>
        <v>62</v>
      </c>
      <c r="W30" s="5"/>
      <c r="X30" s="13">
        <f t="shared" ref="X30:X43" si="10">F30*0.1+H30*0.1+J30*0.1+P30*0.2+S30*0.2</f>
        <v>41</v>
      </c>
      <c r="Y30" s="13">
        <f t="shared" ref="Y30:Y43" si="11">X30/0.7+L30+U30</f>
        <v>58.5714285714286</v>
      </c>
    </row>
    <row r="31" ht="15.6" hidden="1" outlineLevel="2" spans="1:25">
      <c r="A31" s="5">
        <v>301</v>
      </c>
      <c r="B31" s="5">
        <v>31</v>
      </c>
      <c r="C31" s="5" t="s">
        <v>43</v>
      </c>
      <c r="D31" s="5" t="s">
        <v>12</v>
      </c>
      <c r="E31" s="5">
        <v>13</v>
      </c>
      <c r="F31" s="7">
        <f>LOOKUP(E31,{0,-1.8,-0.8,0.2,1.2,2.2,3.2,4.6,6,7.4,8.8,10.2,11.6,13,14.4,15.8,17.2,19.1,21,22.8,24.6},{0,10,20,30,40,50,60,62,64,66,68,70,72,74,76,78,80,85,90,95,100})</f>
        <v>74</v>
      </c>
      <c r="G31" s="5">
        <v>200</v>
      </c>
      <c r="H31" s="7">
        <f>LOOKUP(G31,{0,180,185,190,195,200,205,209,213,217,221,225,229,233,237,241,245,253,260,265,270},{0,10,20,30,40,50,60,62,64,66,68,70,72,74,76,78,80,85,90,95,100})</f>
        <v>50</v>
      </c>
      <c r="I31" s="5">
        <v>0</v>
      </c>
      <c r="J31" s="7">
        <f>LOOKUP(I31,{0,4,5,6,7,8,9,10,11,12,13,14,15,16,17,18},{0,10,20,30,40,50,60,64,68,72,76,80,85,90,95,100})</f>
        <v>0</v>
      </c>
      <c r="K31" s="5"/>
      <c r="L31" s="5"/>
      <c r="M31" s="5">
        <f t="shared" si="6"/>
        <v>0</v>
      </c>
      <c r="N31" s="5">
        <v>7.7</v>
      </c>
      <c r="O31" s="10">
        <f t="shared" si="7"/>
        <v>10.3</v>
      </c>
      <c r="P31" s="7">
        <f>LOOKUP(O31,{0,7.8,8,8.2,8.4,8.6,8.8,9,9.2,9.4,9.6,9.8,10,10.2,10.4,10.6,10.8,10.9,11,11.1,11.2},{0,10,20,30,40,50,60,62,64,66,68,70,72,74,76,78,80,85,90,95,100})</f>
        <v>74</v>
      </c>
      <c r="Q31" s="5">
        <v>4.26</v>
      </c>
      <c r="R31" s="10">
        <f t="shared" si="8"/>
        <v>5.74</v>
      </c>
      <c r="S31" s="7">
        <f>LOOKUP(R31,{0,3.85,4.45,4.65,4.85,5.45,5.65,5.7,5.75,5.8,5.85,5.9,5.95,6,6.45,6.5,6.55,6.63,6.7,6.75,6.8},{0,10,20,30,40,50,60,62,64,66,68,70,72,74,76,78,80,85,90,95,100})</f>
        <v>62</v>
      </c>
      <c r="T31" s="5"/>
      <c r="U31" s="5"/>
      <c r="V31" s="5">
        <f t="shared" si="9"/>
        <v>62</v>
      </c>
      <c r="W31" s="5"/>
      <c r="X31" s="13">
        <f t="shared" si="10"/>
        <v>39.6</v>
      </c>
      <c r="Y31" s="13">
        <f t="shared" si="11"/>
        <v>56.5714285714286</v>
      </c>
    </row>
    <row r="32" ht="15.6" hidden="1" outlineLevel="2" spans="1:25">
      <c r="A32" s="5">
        <v>301</v>
      </c>
      <c r="B32" s="5">
        <v>32</v>
      </c>
      <c r="C32" s="6" t="s">
        <v>45</v>
      </c>
      <c r="D32" s="5" t="s">
        <v>46</v>
      </c>
      <c r="E32" s="5">
        <v>7.3</v>
      </c>
      <c r="F32" s="7">
        <f>LOOKUP(E32,{0,1.5,2.3,3.1,3.9,4.7,5.5,6.8,8.1,9.4,10.7,12,13.3,14.6,15.9,17.2,18.5,20.2,21.9,23.6,25.3},{0,10,20,30,40,50,60,62,64,66,68,70,72,74,76,78,80,85,90,95,100})</f>
        <v>62</v>
      </c>
      <c r="G32" s="5">
        <v>155</v>
      </c>
      <c r="H32" s="7">
        <f>LOOKUP(G32,{0,125,130,135,140,145,150,153,156,159,162,165,168,171,174,177,180,187,194,200,206},{0,10,20,30,40,50,60,62,64,66,68,70,72,74,76,78,80,85,90,95,100})</f>
        <v>62</v>
      </c>
      <c r="I32" s="5">
        <v>24</v>
      </c>
      <c r="J32" s="7">
        <f>LOOKUP(I32,{0,15,17,19,21,23,25,27,29,31,33,35,37,39,41,43,45,48,51,53,55},{0,10,20,30,40,50,60,62,64,66,68,70,72,74,76,78,80,85,90,95,100})</f>
        <v>50</v>
      </c>
      <c r="K32" s="5"/>
      <c r="L32" s="5"/>
      <c r="M32" s="5">
        <f t="shared" si="6"/>
        <v>50</v>
      </c>
      <c r="N32" s="5">
        <v>8.8</v>
      </c>
      <c r="O32" s="10">
        <f t="shared" si="7"/>
        <v>9.2</v>
      </c>
      <c r="P32" s="7">
        <f>LOOKUP(O32,{0,6.6,6.8,7,7.2,7.4,7.6,7.8,8,8.2,8.4,8.6,8.8,9,9.2,9.4,9.6,9.9,10.2,10.3,10.4},{0,10,20,30,40,50,60,62,64,66,68,70,72,74,76,78,80,85,90,95,100})</f>
        <v>76</v>
      </c>
      <c r="Q32" s="5">
        <v>4.56</v>
      </c>
      <c r="R32" s="10">
        <f t="shared" si="8"/>
        <v>5.44</v>
      </c>
      <c r="S32" s="7">
        <f>LOOKUP(R32,{0,4.74,4.84,4.94,5.44,5.54,5.64,5.69,5.74,5.79,5.84,5.89,5.94,5.99,6.44,6.49,6.54,6.61,6.68,6.74,6.8},{0,10,20,30,40,50,60,62,64,66,68,70,72,74,76,78,80,85,90,95,100})</f>
        <v>40</v>
      </c>
      <c r="T32" s="5"/>
      <c r="U32" s="5"/>
      <c r="V32" s="5">
        <f t="shared" si="9"/>
        <v>40</v>
      </c>
      <c r="W32" s="5"/>
      <c r="X32" s="13">
        <f t="shared" si="10"/>
        <v>40.6</v>
      </c>
      <c r="Y32" s="13">
        <f t="shared" si="11"/>
        <v>58</v>
      </c>
    </row>
    <row r="33" ht="15.6" hidden="1" outlineLevel="2" spans="1:25">
      <c r="A33" s="5">
        <v>301</v>
      </c>
      <c r="B33" s="5">
        <v>34</v>
      </c>
      <c r="C33" s="5" t="s">
        <v>47</v>
      </c>
      <c r="D33" s="5" t="s">
        <v>46</v>
      </c>
      <c r="E33" s="5">
        <v>18</v>
      </c>
      <c r="F33" s="7">
        <f>LOOKUP(E33,{0,1.5,2.3,3.1,3.9,4.7,5.5,6.8,8.1,9.4,10.7,12,13.3,14.6,15.9,17.2,18.5,20.2,21.9,23.6,25.3},{0,10,20,30,40,50,60,62,64,66,68,70,72,74,76,78,80,85,90,95,100})</f>
        <v>78</v>
      </c>
      <c r="G33" s="5">
        <v>172</v>
      </c>
      <c r="H33" s="7">
        <f>LOOKUP(G33,{0,125,130,135,140,145,150,153,156,159,162,165,168,171,174,177,180,187,194,200,206},{0,10,20,30,40,50,60,62,64,66,68,70,72,74,76,78,80,85,90,95,100})</f>
        <v>74</v>
      </c>
      <c r="I33" s="5">
        <v>50</v>
      </c>
      <c r="J33" s="7">
        <f>LOOKUP(I33,{0,15,17,19,21,23,25,27,29,31,33,35,37,39,41,43,45,48,51,53,55},{0,10,20,30,40,50,60,62,64,66,68,70,72,74,76,78,80,85,90,95,100})</f>
        <v>85</v>
      </c>
      <c r="K33" s="5"/>
      <c r="L33" s="5"/>
      <c r="M33" s="5">
        <f t="shared" si="6"/>
        <v>85</v>
      </c>
      <c r="N33" s="5">
        <v>8.5</v>
      </c>
      <c r="O33" s="10">
        <f t="shared" si="7"/>
        <v>9.5</v>
      </c>
      <c r="P33" s="7">
        <f>LOOKUP(O33,{0,6.6,6.8,7,7.2,7.4,7.6,7.8,8,8.2,8.4,8.6,8.8,9,9.2,9.4,9.6,9.9,10.2,10.3,10.4},{0,10,20,30,40,50,60,62,64,66,68,70,72,74,76,78,80,85,90,95,100})</f>
        <v>78</v>
      </c>
      <c r="Q33" s="5">
        <v>4.09</v>
      </c>
      <c r="R33" s="10">
        <f t="shared" si="8"/>
        <v>5.91</v>
      </c>
      <c r="S33" s="7">
        <f>LOOKUP(R33,{0,4.74,4.84,4.94,5.44,5.54,5.64,5.69,5.74,5.79,5.84,5.89,5.94,5.99,6.44,6.49,6.54,6.61,6.68,6.74,6.8},{0,10,20,30,40,50,60,62,64,66,68,70,72,74,76,78,80,85,90,95,100})</f>
        <v>70</v>
      </c>
      <c r="T33" s="5"/>
      <c r="U33" s="5"/>
      <c r="V33" s="5">
        <f t="shared" si="9"/>
        <v>70</v>
      </c>
      <c r="W33" s="5"/>
      <c r="X33" s="13">
        <f t="shared" si="10"/>
        <v>53.3</v>
      </c>
      <c r="Y33" s="13">
        <f t="shared" si="11"/>
        <v>76.1428571428572</v>
      </c>
    </row>
    <row r="34" ht="15.6" hidden="1" outlineLevel="2" spans="1:25">
      <c r="A34" s="5">
        <v>301</v>
      </c>
      <c r="B34" s="5">
        <v>35</v>
      </c>
      <c r="C34" s="5" t="s">
        <v>48</v>
      </c>
      <c r="D34" s="5" t="s">
        <v>46</v>
      </c>
      <c r="E34" s="5">
        <v>17.5</v>
      </c>
      <c r="F34" s="7">
        <f>LOOKUP(E34,{0,1.5,2.3,3.1,3.9,4.7,5.5,6.8,8.1,9.4,10.7,12,13.3,14.6,15.9,17.2,18.5,20.2,21.9,23.6,25.3},{0,10,20,30,40,50,60,62,64,66,68,70,72,74,76,78,80,85,90,95,100})</f>
        <v>78</v>
      </c>
      <c r="G34" s="5">
        <v>158</v>
      </c>
      <c r="H34" s="7">
        <f>LOOKUP(G34,{0,125,130,135,140,145,150,153,156,159,162,165,168,171,174,177,180,187,194,200,206},{0,10,20,30,40,50,60,62,64,66,68,70,72,74,76,78,80,85,90,95,100})</f>
        <v>64</v>
      </c>
      <c r="I34" s="5">
        <v>53</v>
      </c>
      <c r="J34" s="7">
        <f>LOOKUP(I34,{0,15,17,19,21,23,25,27,29,31,33,35,37,39,41,43,45,48,51,53,55},{0,10,20,30,40,50,60,62,64,66,68,70,72,74,76,78,80,85,90,95,100})</f>
        <v>95</v>
      </c>
      <c r="K34" s="5"/>
      <c r="L34" s="5"/>
      <c r="M34" s="5">
        <f t="shared" si="6"/>
        <v>95</v>
      </c>
      <c r="N34" s="5">
        <v>8.2</v>
      </c>
      <c r="O34" s="10">
        <f t="shared" si="7"/>
        <v>9.8</v>
      </c>
      <c r="P34" s="7">
        <f>LOOKUP(O34,{0,6.6,6.8,7,7.2,7.4,7.6,7.8,8,8.2,8.4,8.6,8.8,9,9.2,9.4,9.6,9.9,10.2,10.3,10.4},{0,10,20,30,40,50,60,62,64,66,68,70,72,74,76,78,80,85,90,95,100})</f>
        <v>80</v>
      </c>
      <c r="Q34" s="5">
        <v>3.51</v>
      </c>
      <c r="R34" s="10">
        <f t="shared" si="8"/>
        <v>6.49</v>
      </c>
      <c r="S34" s="7">
        <f>LOOKUP(R34,{0,4.74,4.84,4.94,5.44,5.54,5.64,5.69,5.74,5.79,5.84,5.89,5.94,5.99,6.44,6.49,6.54,6.61,6.68,6.74,6.8},{0,10,20,30,40,50,60,62,64,66,68,70,72,74,76,78,80,85,90,95,100})</f>
        <v>78</v>
      </c>
      <c r="T34" s="5"/>
      <c r="U34" s="5"/>
      <c r="V34" s="5">
        <f t="shared" si="9"/>
        <v>78</v>
      </c>
      <c r="W34" s="5"/>
      <c r="X34" s="13">
        <f t="shared" si="10"/>
        <v>55.3</v>
      </c>
      <c r="Y34" s="13">
        <f t="shared" si="11"/>
        <v>79</v>
      </c>
    </row>
    <row r="35" ht="15.6" hidden="1" outlineLevel="2" spans="1:25">
      <c r="A35" s="5">
        <v>301</v>
      </c>
      <c r="B35" s="5">
        <v>36</v>
      </c>
      <c r="C35" s="5" t="s">
        <v>49</v>
      </c>
      <c r="D35" s="5" t="s">
        <v>46</v>
      </c>
      <c r="E35" s="5">
        <v>16.3</v>
      </c>
      <c r="F35" s="7">
        <f>LOOKUP(E35,{0,1.5,2.3,3.1,3.9,4.7,5.5,6.8,8.1,9.4,10.7,12,13.3,14.6,15.9,17.2,18.5,20.2,21.9,23.6,25.3},{0,10,20,30,40,50,60,62,64,66,68,70,72,74,76,78,80,85,90,95,100})</f>
        <v>76</v>
      </c>
      <c r="G35" s="5">
        <v>196</v>
      </c>
      <c r="H35" s="7">
        <f>LOOKUP(G35,{0,125,130,135,140,145,150,153,156,159,162,165,168,171,174,177,180,187,194,200,206},{0,10,20,30,40,50,60,62,64,66,68,70,72,74,76,78,80,85,90,95,100})</f>
        <v>90</v>
      </c>
      <c r="I35" s="5">
        <v>43</v>
      </c>
      <c r="J35" s="7">
        <f>LOOKUP(I35,{0,15,17,19,21,23,25,27,29,31,33,35,37,39,41,43,45,48,51,53,55},{0,10,20,30,40,50,60,62,64,66,68,70,72,74,76,78,80,85,90,95,100})</f>
        <v>78</v>
      </c>
      <c r="K35" s="5"/>
      <c r="L35" s="5"/>
      <c r="M35" s="5">
        <f t="shared" si="6"/>
        <v>78</v>
      </c>
      <c r="N35" s="5">
        <v>8.5</v>
      </c>
      <c r="O35" s="10">
        <f t="shared" si="7"/>
        <v>9.5</v>
      </c>
      <c r="P35" s="7">
        <f>LOOKUP(O35,{0,6.6,6.8,7,7.2,7.4,7.6,7.8,8,8.2,8.4,8.6,8.8,9,9.2,9.4,9.6,9.9,10.2,10.3,10.4},{0,10,20,30,40,50,60,62,64,66,68,70,72,74,76,78,80,85,90,95,100})</f>
        <v>78</v>
      </c>
      <c r="Q35" s="5">
        <v>4.03</v>
      </c>
      <c r="R35" s="10">
        <f t="shared" si="8"/>
        <v>5.97</v>
      </c>
      <c r="S35" s="7">
        <f>LOOKUP(R35,{0,4.74,4.84,4.94,5.44,5.54,5.64,5.69,5.74,5.79,5.84,5.89,5.94,5.99,6.44,6.49,6.54,6.61,6.68,6.74,6.8},{0,10,20,30,40,50,60,62,64,66,68,70,72,74,76,78,80,85,90,95,100})</f>
        <v>72</v>
      </c>
      <c r="T35" s="5"/>
      <c r="U35" s="5"/>
      <c r="V35" s="5">
        <f t="shared" si="9"/>
        <v>72</v>
      </c>
      <c r="W35" s="5"/>
      <c r="X35" s="13">
        <f t="shared" si="10"/>
        <v>54.4</v>
      </c>
      <c r="Y35" s="13">
        <f t="shared" si="11"/>
        <v>77.7142857142857</v>
      </c>
    </row>
    <row r="36" ht="15.6" hidden="1" outlineLevel="2" spans="1:25">
      <c r="A36" s="5">
        <v>301</v>
      </c>
      <c r="B36" s="5">
        <v>37</v>
      </c>
      <c r="C36" s="5" t="s">
        <v>50</v>
      </c>
      <c r="D36" s="5" t="s">
        <v>46</v>
      </c>
      <c r="E36" s="5">
        <v>21</v>
      </c>
      <c r="F36" s="7">
        <f>LOOKUP(E36,{0,1.5,2.3,3.1,3.9,4.7,5.5,6.8,8.1,9.4,10.7,12,13.3,14.6,15.9,17.2,18.5,20.2,21.9,23.6,25.3},{0,10,20,30,40,50,60,62,64,66,68,70,72,74,76,78,80,85,90,95,100})</f>
        <v>85</v>
      </c>
      <c r="G36" s="5">
        <v>195</v>
      </c>
      <c r="H36" s="7">
        <f>LOOKUP(G36,{0,125,130,135,140,145,150,153,156,159,162,165,168,171,174,177,180,187,194,200,206},{0,10,20,30,40,50,60,62,64,66,68,70,72,74,76,78,80,85,90,95,100})</f>
        <v>90</v>
      </c>
      <c r="I36" s="5">
        <v>48</v>
      </c>
      <c r="J36" s="7">
        <f>LOOKUP(I36,{0,15,17,19,21,23,25,27,29,31,33,35,37,39,41,43,45,48,51,53,55},{0,10,20,30,40,50,60,62,64,66,68,70,72,74,76,78,80,85,90,95,100})</f>
        <v>85</v>
      </c>
      <c r="K36" s="5"/>
      <c r="L36" s="5"/>
      <c r="M36" s="5">
        <f t="shared" si="6"/>
        <v>85</v>
      </c>
      <c r="N36" s="5">
        <v>8.6</v>
      </c>
      <c r="O36" s="10">
        <f t="shared" si="7"/>
        <v>9.4</v>
      </c>
      <c r="P36" s="7">
        <f>LOOKUP(O36,{0,6.6,6.8,7,7.2,7.4,7.6,7.8,8,8.2,8.4,8.6,8.8,9,9.2,9.4,9.6,9.9,10.2,10.3,10.4},{0,10,20,30,40,50,60,62,64,66,68,70,72,74,76,78,80,85,90,95,100})</f>
        <v>78</v>
      </c>
      <c r="Q36" s="5">
        <v>4.04</v>
      </c>
      <c r="R36" s="10">
        <f t="shared" si="8"/>
        <v>5.96</v>
      </c>
      <c r="S36" s="7">
        <f>LOOKUP(R36,{0,4.74,4.84,4.94,5.44,5.54,5.64,5.69,5.74,5.79,5.84,5.89,5.94,5.99,6.44,6.49,6.54,6.61,6.68,6.74,6.8},{0,10,20,30,40,50,60,62,64,66,68,70,72,74,76,78,80,85,90,95,100})</f>
        <v>72</v>
      </c>
      <c r="T36" s="5"/>
      <c r="U36" s="5"/>
      <c r="V36" s="5">
        <f t="shared" si="9"/>
        <v>72</v>
      </c>
      <c r="W36" s="5"/>
      <c r="X36" s="13">
        <f t="shared" si="10"/>
        <v>56</v>
      </c>
      <c r="Y36" s="13">
        <f t="shared" si="11"/>
        <v>80</v>
      </c>
    </row>
    <row r="37" ht="15.6" hidden="1" outlineLevel="2" spans="1:25">
      <c r="A37" s="5">
        <v>301</v>
      </c>
      <c r="B37" s="5">
        <v>38</v>
      </c>
      <c r="C37" s="5" t="s">
        <v>51</v>
      </c>
      <c r="D37" s="5" t="s">
        <v>46</v>
      </c>
      <c r="E37" s="5">
        <v>26.5</v>
      </c>
      <c r="F37" s="7">
        <f>LOOKUP(E37,{0,1.5,2.3,3.1,3.9,4.7,5.5,6.8,8.1,9.4,10.7,12,13.3,14.6,15.9,17.2,18.5,20.2,21.9,23.6,25.3},{0,10,20,30,40,50,60,62,64,66,68,70,72,74,76,78,80,85,90,95,100})</f>
        <v>100</v>
      </c>
      <c r="G37" s="5">
        <v>197</v>
      </c>
      <c r="H37" s="7">
        <f>LOOKUP(G37,{0,125,130,135,140,145,150,153,156,159,162,165,168,171,174,177,180,187,194,200,206},{0,10,20,30,40,50,60,62,64,66,68,70,72,74,76,78,80,85,90,95,100})</f>
        <v>90</v>
      </c>
      <c r="I37" s="5">
        <v>58</v>
      </c>
      <c r="J37" s="7">
        <f>LOOKUP(I37,{0,15,17,19,21,23,25,27,29,31,33,35,37,39,41,43,45,48,51,53,55},{0,10,20,30,40,50,60,62,64,66,68,70,72,74,76,78,80,85,90,95,100})</f>
        <v>100</v>
      </c>
      <c r="K37" s="11">
        <f>I37-55</f>
        <v>3</v>
      </c>
      <c r="L37" s="7">
        <f>LOOKUP(K37,{0,2,4,6,7,8,9,10,11,12,13},{0,1,2,3,4,5,6,7,8,9,10})</f>
        <v>1</v>
      </c>
      <c r="M37" s="5">
        <f t="shared" si="6"/>
        <v>101</v>
      </c>
      <c r="N37" s="5">
        <v>8</v>
      </c>
      <c r="O37" s="10">
        <f t="shared" si="7"/>
        <v>10</v>
      </c>
      <c r="P37" s="7">
        <f>LOOKUP(O37,{0,6.6,6.8,7,7.2,7.4,7.6,7.8,8,8.2,8.4,8.6,8.8,9,9.2,9.4,9.6,9.9,10.2,10.3,10.4},{0,10,20,30,40,50,60,62,64,66,68,70,72,74,76,78,80,85,90,95,100})</f>
        <v>85</v>
      </c>
      <c r="Q37" s="5">
        <v>3.18</v>
      </c>
      <c r="R37" s="10">
        <f t="shared" si="8"/>
        <v>6.82</v>
      </c>
      <c r="S37" s="7">
        <f>LOOKUP(R37,{0,4.74,4.84,4.94,5.44,5.54,5.64,5.69,5.74,5.79,5.84,5.89,5.94,5.99,6.44,6.49,6.54,6.61,6.68,6.74,6.8},{0,10,20,30,40,50,60,62,64,66,68,70,72,74,76,78,80,85,90,95,100})</f>
        <v>100</v>
      </c>
      <c r="T37" s="10">
        <f>3.2-Q37</f>
        <v>0.02</v>
      </c>
      <c r="U37" s="7">
        <f>LOOKUP(T37,{0,0.05,0.1,0.15,0.2,0.25,0.3,0.35,0.4,0.45,0.5},{0,1,2,3,4,5,6,7,8,9,10})</f>
        <v>0</v>
      </c>
      <c r="V37" s="5">
        <f t="shared" si="9"/>
        <v>100</v>
      </c>
      <c r="W37" s="5"/>
      <c r="X37" s="13">
        <f t="shared" si="10"/>
        <v>66</v>
      </c>
      <c r="Y37" s="13">
        <f t="shared" si="11"/>
        <v>95.2857142857143</v>
      </c>
    </row>
    <row r="38" ht="15.6" hidden="1" outlineLevel="2" spans="1:25">
      <c r="A38" s="5">
        <v>301</v>
      </c>
      <c r="B38" s="5">
        <v>39</v>
      </c>
      <c r="C38" s="5" t="s">
        <v>52</v>
      </c>
      <c r="D38" s="5" t="s">
        <v>46</v>
      </c>
      <c r="E38" s="5">
        <v>10</v>
      </c>
      <c r="F38" s="7">
        <f>LOOKUP(E38,{0,1.5,2.3,3.1,3.9,4.7,5.5,6.8,8.1,9.4,10.7,12,13.3,14.6,15.9,17.2,18.5,20.2,21.9,23.6,25.3},{0,10,20,30,40,50,60,62,64,66,68,70,72,74,76,78,80,85,90,95,100})</f>
        <v>66</v>
      </c>
      <c r="G38" s="5">
        <v>182</v>
      </c>
      <c r="H38" s="7">
        <f>LOOKUP(G38,{0,125,130,135,140,145,150,153,156,159,162,165,168,171,174,177,180,187,194,200,206},{0,10,20,30,40,50,60,62,64,66,68,70,72,74,76,78,80,85,90,95,100})</f>
        <v>80</v>
      </c>
      <c r="I38" s="5">
        <v>51</v>
      </c>
      <c r="J38" s="7">
        <f>LOOKUP(I38,{0,15,17,19,21,23,25,27,29,31,33,35,37,39,41,43,45,48,51,53,55},{0,10,20,30,40,50,60,62,64,66,68,70,72,74,76,78,80,85,90,95,100})</f>
        <v>90</v>
      </c>
      <c r="K38" s="5"/>
      <c r="L38" s="5"/>
      <c r="M38" s="5">
        <f t="shared" si="6"/>
        <v>90</v>
      </c>
      <c r="N38" s="5">
        <v>8.3</v>
      </c>
      <c r="O38" s="10">
        <f t="shared" si="7"/>
        <v>9.7</v>
      </c>
      <c r="P38" s="7">
        <f>LOOKUP(O38,{0,6.6,6.8,7,7.2,7.4,7.6,7.8,8,8.2,8.4,8.6,8.8,9,9.2,9.4,9.6,9.9,10.2,10.3,10.4},{0,10,20,30,40,50,60,62,64,66,68,70,72,74,76,78,80,85,90,95,100})</f>
        <v>80</v>
      </c>
      <c r="Q38" s="5">
        <v>4.09</v>
      </c>
      <c r="R38" s="10">
        <f t="shared" si="8"/>
        <v>5.91</v>
      </c>
      <c r="S38" s="7">
        <f>LOOKUP(R38,{0,4.74,4.84,4.94,5.44,5.54,5.64,5.69,5.74,5.79,5.84,5.89,5.94,5.99,6.44,6.49,6.54,6.61,6.68,6.74,6.8},{0,10,20,30,40,50,60,62,64,66,68,70,72,74,76,78,80,85,90,95,100})</f>
        <v>70</v>
      </c>
      <c r="T38" s="5"/>
      <c r="U38" s="5"/>
      <c r="V38" s="5">
        <f t="shared" si="9"/>
        <v>70</v>
      </c>
      <c r="W38" s="5"/>
      <c r="X38" s="13">
        <f t="shared" si="10"/>
        <v>53.6</v>
      </c>
      <c r="Y38" s="13">
        <f t="shared" si="11"/>
        <v>76.5714285714286</v>
      </c>
    </row>
    <row r="39" ht="15.6" hidden="1" outlineLevel="2" spans="1:25">
      <c r="A39" s="5">
        <v>301</v>
      </c>
      <c r="B39" s="5">
        <v>40</v>
      </c>
      <c r="C39" s="5" t="s">
        <v>53</v>
      </c>
      <c r="D39" s="5" t="s">
        <v>46</v>
      </c>
      <c r="E39" s="5">
        <v>20</v>
      </c>
      <c r="F39" s="7">
        <f>LOOKUP(E39,{0,1.5,2.3,3.1,3.9,4.7,5.5,6.8,8.1,9.4,10.7,12,13.3,14.6,15.9,17.2,18.5,20.2,21.9,23.6,25.3},{0,10,20,30,40,50,60,62,64,66,68,70,72,74,76,78,80,85,90,95,100})</f>
        <v>80</v>
      </c>
      <c r="G39" s="5">
        <v>192</v>
      </c>
      <c r="H39" s="7">
        <f>LOOKUP(G39,{0,125,130,135,140,145,150,153,156,159,162,165,168,171,174,177,180,187,194,200,206},{0,10,20,30,40,50,60,62,64,66,68,70,72,74,76,78,80,85,90,95,100})</f>
        <v>85</v>
      </c>
      <c r="I39" s="5">
        <v>42</v>
      </c>
      <c r="J39" s="7">
        <f>LOOKUP(I39,{0,15,17,19,21,23,25,27,29,31,33,35,37,39,41,43,45,48,51,53,55},{0,10,20,30,40,50,60,62,64,66,68,70,72,74,76,78,80,85,90,95,100})</f>
        <v>76</v>
      </c>
      <c r="K39" s="5"/>
      <c r="L39" s="5"/>
      <c r="M39" s="5">
        <f t="shared" si="6"/>
        <v>76</v>
      </c>
      <c r="N39" s="5">
        <v>8.5</v>
      </c>
      <c r="O39" s="10">
        <f t="shared" si="7"/>
        <v>9.5</v>
      </c>
      <c r="P39" s="7">
        <f>LOOKUP(O39,{0,6.6,6.8,7,7.2,7.4,7.6,7.8,8,8.2,8.4,8.6,8.8,9,9.2,9.4,9.6,9.9,10.2,10.3,10.4},{0,10,20,30,40,50,60,62,64,66,68,70,72,74,76,78,80,85,90,95,100})</f>
        <v>78</v>
      </c>
      <c r="Q39" s="5">
        <v>3.18</v>
      </c>
      <c r="R39" s="10">
        <f t="shared" si="8"/>
        <v>6.82</v>
      </c>
      <c r="S39" s="7">
        <f>LOOKUP(R39,{0,4.74,4.84,4.94,5.44,5.54,5.64,5.69,5.74,5.79,5.84,5.89,5.94,5.99,6.44,6.49,6.54,6.61,6.68,6.74,6.8},{0,10,20,30,40,50,60,62,64,66,68,70,72,74,76,78,80,85,90,95,100})</f>
        <v>100</v>
      </c>
      <c r="T39" s="10">
        <f>3.2-Q39</f>
        <v>0.02</v>
      </c>
      <c r="U39" s="7">
        <f>LOOKUP(T39,{0,0.05,0.1,0.15,0.2,0.25,0.3,0.35,0.4,0.45,0.5},{0,1,2,3,4,5,6,7,8,9,10})</f>
        <v>0</v>
      </c>
      <c r="V39" s="5">
        <f t="shared" si="9"/>
        <v>100</v>
      </c>
      <c r="W39" s="5"/>
      <c r="X39" s="13">
        <f t="shared" si="10"/>
        <v>59.7</v>
      </c>
      <c r="Y39" s="13">
        <f t="shared" si="11"/>
        <v>85.2857142857143</v>
      </c>
    </row>
    <row r="40" ht="15.6" hidden="1" outlineLevel="2" spans="1:25">
      <c r="A40" s="5">
        <v>301</v>
      </c>
      <c r="B40" s="5">
        <v>41</v>
      </c>
      <c r="C40" s="5" t="s">
        <v>54</v>
      </c>
      <c r="D40" s="5" t="s">
        <v>46</v>
      </c>
      <c r="E40" s="5">
        <v>15</v>
      </c>
      <c r="F40" s="7">
        <f>LOOKUP(E40,{0,1.5,2.3,3.1,3.9,4.7,5.5,6.8,8.1,9.4,10.7,12,13.3,14.6,15.9,17.2,18.5,20.2,21.9,23.6,25.3},{0,10,20,30,40,50,60,62,64,66,68,70,72,74,76,78,80,85,90,95,100})</f>
        <v>74</v>
      </c>
      <c r="G40" s="5">
        <v>155</v>
      </c>
      <c r="H40" s="7">
        <f>LOOKUP(G40,{0,125,130,135,140,145,150,153,156,159,162,165,168,171,174,177,180,187,194,200,206},{0,10,20,30,40,50,60,62,64,66,68,70,72,74,76,78,80,85,90,95,100})</f>
        <v>62</v>
      </c>
      <c r="I40" s="5">
        <v>35</v>
      </c>
      <c r="J40" s="7">
        <f>LOOKUP(I40,{0,15,17,19,21,23,25,27,29,31,33,35,37,39,41,43,45,48,51,53,55},{0,10,20,30,40,50,60,62,64,66,68,70,72,74,76,78,80,85,90,95,100})</f>
        <v>70</v>
      </c>
      <c r="K40" s="5"/>
      <c r="L40" s="5"/>
      <c r="M40" s="5">
        <f t="shared" si="6"/>
        <v>70</v>
      </c>
      <c r="N40" s="5">
        <v>9</v>
      </c>
      <c r="O40" s="10">
        <f t="shared" si="7"/>
        <v>9</v>
      </c>
      <c r="P40" s="7">
        <f>LOOKUP(O40,{0,6.6,6.8,7,7.2,7.4,7.6,7.8,8,8.2,8.4,8.6,8.8,9,9.2,9.4,9.6,9.9,10.2,10.3,10.4},{0,10,20,30,40,50,60,62,64,66,68,70,72,74,76,78,80,85,90,95,100})</f>
        <v>74</v>
      </c>
      <c r="Q40" s="5">
        <v>3.56</v>
      </c>
      <c r="R40" s="10">
        <f t="shared" si="8"/>
        <v>6.44</v>
      </c>
      <c r="S40" s="7">
        <f>LOOKUP(R40,{0,4.74,4.84,4.94,5.44,5.54,5.64,5.69,5.74,5.79,5.84,5.89,5.94,5.99,6.44,6.49,6.54,6.61,6.68,6.74,6.8},{0,10,20,30,40,50,60,62,64,66,68,70,72,74,76,78,80,85,90,95,100})</f>
        <v>76</v>
      </c>
      <c r="T40" s="5"/>
      <c r="U40" s="5"/>
      <c r="V40" s="5">
        <f t="shared" si="9"/>
        <v>76</v>
      </c>
      <c r="W40" s="5"/>
      <c r="X40" s="13">
        <f t="shared" si="10"/>
        <v>50.6</v>
      </c>
      <c r="Y40" s="13">
        <f t="shared" si="11"/>
        <v>72.2857142857143</v>
      </c>
    </row>
    <row r="41" ht="15.6" hidden="1" outlineLevel="2" spans="1:25">
      <c r="A41" s="5">
        <v>301</v>
      </c>
      <c r="B41" s="5">
        <v>42</v>
      </c>
      <c r="C41" s="5" t="s">
        <v>55</v>
      </c>
      <c r="D41" s="5" t="s">
        <v>46</v>
      </c>
      <c r="E41" s="5">
        <v>9.6</v>
      </c>
      <c r="F41" s="7">
        <f>LOOKUP(E41,{0,1.5,2.3,3.1,3.9,4.7,5.5,6.8,8.1,9.4,10.7,12,13.3,14.6,15.9,17.2,18.5,20.2,21.9,23.6,25.3},{0,10,20,30,40,50,60,62,64,66,68,70,72,74,76,78,80,85,90,95,100})</f>
        <v>66</v>
      </c>
      <c r="G41" s="5">
        <v>166</v>
      </c>
      <c r="H41" s="7">
        <f>LOOKUP(G41,{0,125,130,135,140,145,150,153,156,159,162,165,168,171,174,177,180,187,194,200,206},{0,10,20,30,40,50,60,62,64,66,68,70,72,74,76,78,80,85,90,95,100})</f>
        <v>70</v>
      </c>
      <c r="I41" s="5">
        <v>41</v>
      </c>
      <c r="J41" s="7">
        <f>LOOKUP(I41,{0,15,17,19,21,23,25,27,29,31,33,35,37,39,41,43,45,48,51,53,55},{0,10,20,30,40,50,60,62,64,66,68,70,72,74,76,78,80,85,90,95,100})</f>
        <v>76</v>
      </c>
      <c r="K41" s="5"/>
      <c r="L41" s="5"/>
      <c r="M41" s="5">
        <f t="shared" si="6"/>
        <v>76</v>
      </c>
      <c r="N41" s="5">
        <v>9.3</v>
      </c>
      <c r="O41" s="10">
        <f t="shared" si="7"/>
        <v>8.7</v>
      </c>
      <c r="P41" s="7">
        <f>LOOKUP(O41,{0,6.6,6.8,7,7.2,7.4,7.6,7.8,8,8.2,8.4,8.6,8.8,9,9.2,9.4,9.6,9.9,10.2,10.3,10.4},{0,10,20,30,40,50,60,62,64,66,68,70,72,74,76,78,80,85,90,95,100})</f>
        <v>70</v>
      </c>
      <c r="Q41" s="5">
        <v>4.07</v>
      </c>
      <c r="R41" s="10">
        <f t="shared" si="8"/>
        <v>5.93</v>
      </c>
      <c r="S41" s="7">
        <f>LOOKUP(R41,{0,4.74,4.84,4.94,5.44,5.54,5.64,5.69,5.74,5.79,5.84,5.89,5.94,5.99,6.44,6.49,6.54,6.61,6.68,6.74,6.8},{0,10,20,30,40,50,60,62,64,66,68,70,72,74,76,78,80,85,90,95,100})</f>
        <v>70</v>
      </c>
      <c r="T41" s="5"/>
      <c r="U41" s="5"/>
      <c r="V41" s="5">
        <f t="shared" si="9"/>
        <v>70</v>
      </c>
      <c r="W41" s="5"/>
      <c r="X41" s="13">
        <f t="shared" si="10"/>
        <v>49.2</v>
      </c>
      <c r="Y41" s="13">
        <f t="shared" si="11"/>
        <v>70.2857142857143</v>
      </c>
    </row>
    <row r="42" ht="15.6" hidden="1" outlineLevel="2" spans="1:25">
      <c r="A42" s="5">
        <v>301</v>
      </c>
      <c r="B42" s="5">
        <v>43</v>
      </c>
      <c r="C42" s="5" t="s">
        <v>56</v>
      </c>
      <c r="D42" s="5" t="s">
        <v>46</v>
      </c>
      <c r="E42" s="5">
        <v>19</v>
      </c>
      <c r="F42" s="7">
        <f>LOOKUP(E42,{0,1.5,2.3,3.1,3.9,4.7,5.5,6.8,8.1,9.4,10.7,12,13.3,14.6,15.9,17.2,18.5,20.2,21.9,23.6,25.3},{0,10,20,30,40,50,60,62,64,66,68,70,72,74,76,78,80,85,90,95,100})</f>
        <v>80</v>
      </c>
      <c r="G42" s="5">
        <v>185</v>
      </c>
      <c r="H42" s="7">
        <f>LOOKUP(G42,{0,125,130,135,140,145,150,153,156,159,162,165,168,171,174,177,180,187,194,200,206},{0,10,20,30,40,50,60,62,64,66,68,70,72,74,76,78,80,85,90,95,100})</f>
        <v>80</v>
      </c>
      <c r="I42" s="5">
        <v>38</v>
      </c>
      <c r="J42" s="7">
        <f>LOOKUP(I42,{0,15,17,19,21,23,25,27,29,31,33,35,37,39,41,43,45,48,51,53,55},{0,10,20,30,40,50,60,62,64,66,68,70,72,74,76,78,80,85,90,95,100})</f>
        <v>72</v>
      </c>
      <c r="K42" s="5"/>
      <c r="L42" s="5"/>
      <c r="M42" s="5">
        <f t="shared" si="6"/>
        <v>72</v>
      </c>
      <c r="N42" s="5">
        <v>9</v>
      </c>
      <c r="O42" s="10">
        <f t="shared" si="7"/>
        <v>9</v>
      </c>
      <c r="P42" s="7">
        <f>LOOKUP(O42,{0,6.6,6.8,7,7.2,7.4,7.6,7.8,8,8.2,8.4,8.6,8.8,9,9.2,9.4,9.6,9.9,10.2,10.3,10.4},{0,10,20,30,40,50,60,62,64,66,68,70,72,74,76,78,80,85,90,95,100})</f>
        <v>74</v>
      </c>
      <c r="Q42" s="5">
        <v>4.24</v>
      </c>
      <c r="R42" s="10">
        <f t="shared" si="8"/>
        <v>5.76</v>
      </c>
      <c r="S42" s="7">
        <f>LOOKUP(R42,{0,4.74,4.84,4.94,5.44,5.54,5.64,5.69,5.74,5.79,5.84,5.89,5.94,5.99,6.44,6.49,6.54,6.61,6.68,6.74,6.8},{0,10,20,30,40,50,60,62,64,66,68,70,72,74,76,78,80,85,90,95,100})</f>
        <v>64</v>
      </c>
      <c r="T42" s="5"/>
      <c r="U42" s="5"/>
      <c r="V42" s="5">
        <f t="shared" si="9"/>
        <v>64</v>
      </c>
      <c r="W42" s="5"/>
      <c r="X42" s="13">
        <f t="shared" si="10"/>
        <v>50.8</v>
      </c>
      <c r="Y42" s="13">
        <f t="shared" si="11"/>
        <v>72.5714285714286</v>
      </c>
    </row>
    <row r="43" ht="15.6" outlineLevel="1" collapsed="1" spans="1:25">
      <c r="A43" s="6" t="s">
        <v>852</v>
      </c>
      <c r="B43" s="5"/>
      <c r="C43" s="5"/>
      <c r="D43" s="5"/>
      <c r="E43" s="5"/>
      <c r="F43" s="7">
        <f>SUBTOTAL(1,F2:F42)</f>
        <v>66.05</v>
      </c>
      <c r="G43" s="5"/>
      <c r="H43" s="7">
        <f>SUBTOTAL(1,H2:H42)</f>
        <v>63.1</v>
      </c>
      <c r="I43" s="5"/>
      <c r="J43" s="7">
        <f>SUBTOTAL(1,J2:J42)</f>
        <v>39.275</v>
      </c>
      <c r="K43" s="5"/>
      <c r="L43" s="5"/>
      <c r="M43" s="5">
        <f>SUBTOTAL(1,M2:M42)</f>
        <v>39.35</v>
      </c>
      <c r="N43" s="5"/>
      <c r="O43" s="10"/>
      <c r="P43" s="7">
        <f>SUBTOTAL(1,P2:P42)</f>
        <v>74.9</v>
      </c>
      <c r="Q43" s="5"/>
      <c r="R43" s="10"/>
      <c r="S43" s="7">
        <f>SUBTOTAL(1,S2:S42)</f>
        <v>65.075</v>
      </c>
      <c r="T43" s="5"/>
      <c r="U43" s="5"/>
      <c r="V43" s="5">
        <f>SUBTOTAL(1,V2:V42)</f>
        <v>65.075</v>
      </c>
      <c r="W43" s="5"/>
      <c r="X43" s="13">
        <f>SUBTOTAL(1,X2:X42)</f>
        <v>44.8375</v>
      </c>
      <c r="Y43" s="13">
        <f>SUBTOTAL(1,Y2:Y42)</f>
        <v>63.7839721254355</v>
      </c>
    </row>
    <row r="44" ht="15.6" hidden="1" outlineLevel="2" spans="1:25">
      <c r="A44" s="5">
        <v>302</v>
      </c>
      <c r="B44" s="5">
        <v>1</v>
      </c>
      <c r="C44" s="6" t="s">
        <v>58</v>
      </c>
      <c r="D44" s="5" t="s">
        <v>12</v>
      </c>
      <c r="E44" s="5">
        <v>-5</v>
      </c>
      <c r="F44" s="7">
        <v>0</v>
      </c>
      <c r="G44" s="5">
        <v>260</v>
      </c>
      <c r="H44" s="7">
        <f>LOOKUP(G44,{0,180,185,190,195,200,205,209,213,217,221,225,229,233,237,241,245,253,260,265,270},{0,10,20,30,40,50,60,62,64,66,68,70,72,74,76,78,80,85,90,95,100})</f>
        <v>90</v>
      </c>
      <c r="I44" s="5">
        <v>4</v>
      </c>
      <c r="J44" s="7">
        <f>LOOKUP(I44,{0,4,5,6,7,8,9,10,11,12,13,14,15,16,17,18},{0,10,20,30,40,50,60,64,68,72,76,80,85,90,95,100})</f>
        <v>10</v>
      </c>
      <c r="K44" s="5"/>
      <c r="L44" s="5"/>
      <c r="M44" s="5">
        <f>J44+L44</f>
        <v>10</v>
      </c>
      <c r="N44" s="5">
        <v>7.4</v>
      </c>
      <c r="O44" s="10">
        <f>18-N44</f>
        <v>10.6</v>
      </c>
      <c r="P44" s="7">
        <f>LOOKUP(O44,{0,7.8,8,8.2,8.4,8.6,8.8,9,9.2,9.4,9.6,9.8,10,10.2,10.4,10.6,10.8,10.9,11,11.1,11.2},{0,10,20,30,40,50,60,62,64,66,68,70,72,74,76,78,80,85,90,95,100})</f>
        <v>78</v>
      </c>
      <c r="Q44" s="5">
        <v>4.38</v>
      </c>
      <c r="R44" s="10">
        <f>10-Q44</f>
        <v>5.62</v>
      </c>
      <c r="S44" s="7">
        <f>LOOKUP(R44,{0,3.85,4.45,4.65,4.85,5.45,5.65,5.7,5.75,5.8,5.85,5.9,5.95,6,6.45,6.5,6.55,6.63,6.7,6.75,6.8},{0,10,20,30,40,50,60,62,64,66,68,70,72,74,76,78,80,85,90,95,100})</f>
        <v>50</v>
      </c>
      <c r="T44" s="5"/>
      <c r="U44" s="5"/>
      <c r="V44" s="5">
        <f>S44+U44</f>
        <v>50</v>
      </c>
      <c r="W44" s="5"/>
      <c r="X44" s="13">
        <f>F44*0.1+H44*0.1+J44*0.1+P44*0.2+S44*0.2</f>
        <v>35.6</v>
      </c>
      <c r="Y44" s="13">
        <f>X44/0.7+L44+U44</f>
        <v>50.8571428571429</v>
      </c>
    </row>
    <row r="45" ht="15.6" hidden="1" outlineLevel="2" spans="1:25">
      <c r="A45" s="5">
        <v>302</v>
      </c>
      <c r="B45" s="5">
        <v>2</v>
      </c>
      <c r="C45" s="5" t="s">
        <v>59</v>
      </c>
      <c r="D45" s="5" t="s">
        <v>12</v>
      </c>
      <c r="E45" s="5"/>
      <c r="F45" s="7"/>
      <c r="G45" s="5"/>
      <c r="H45" s="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50</v>
      </c>
      <c r="X45" s="13"/>
      <c r="Y45" s="13">
        <v>50</v>
      </c>
    </row>
    <row r="46" ht="15.6" hidden="1" outlineLevel="2" spans="1:25">
      <c r="A46" s="5">
        <v>302</v>
      </c>
      <c r="B46" s="5">
        <v>3</v>
      </c>
      <c r="C46" s="5" t="s">
        <v>60</v>
      </c>
      <c r="D46" s="5" t="s">
        <v>12</v>
      </c>
      <c r="E46" s="5">
        <v>-4.5</v>
      </c>
      <c r="F46" s="7">
        <v>0</v>
      </c>
      <c r="G46" s="5">
        <v>185</v>
      </c>
      <c r="H46" s="7">
        <f>LOOKUP(G46,{0,180,185,190,195,200,205,209,213,217,221,225,229,233,237,241,245,253,260,265,270},{0,10,20,30,40,50,60,62,64,66,68,70,72,74,76,78,80,85,90,95,100})</f>
        <v>20</v>
      </c>
      <c r="I46" s="5">
        <v>0</v>
      </c>
      <c r="J46" s="7">
        <f>LOOKUP(I46,{0,4,5,6,7,8,9,10,11,12,13,14,15,16,17,18},{0,10,20,30,40,50,60,64,68,72,76,80,85,90,95,100})</f>
        <v>0</v>
      </c>
      <c r="K46" s="5"/>
      <c r="L46" s="5"/>
      <c r="M46" s="5">
        <f t="shared" ref="M46:M73" si="12">J46+L46</f>
        <v>0</v>
      </c>
      <c r="N46" s="5">
        <v>8.8</v>
      </c>
      <c r="O46" s="10">
        <f t="shared" ref="O46:O73" si="13">18-N46</f>
        <v>9.2</v>
      </c>
      <c r="P46" s="7">
        <f>LOOKUP(O46,{0,7.8,8,8.2,8.4,8.6,8.8,9,9.2,9.4,9.6,9.8,10,10.2,10.4,10.6,10.8,10.9,11,11.1,11.2},{0,10,20,30,40,50,60,62,64,66,68,70,72,74,76,78,80,85,90,95,100})</f>
        <v>64</v>
      </c>
      <c r="Q46" s="5">
        <v>4.54</v>
      </c>
      <c r="R46" s="10">
        <f t="shared" ref="R46:R73" si="14">10-Q46</f>
        <v>5.46</v>
      </c>
      <c r="S46" s="7">
        <f>LOOKUP(R46,{0,3.85,4.45,4.65,4.85,5.45,5.65,5.7,5.75,5.8,5.85,5.9,5.95,6,6.45,6.5,6.55,6.63,6.7,6.75,6.8},{0,10,20,30,40,50,60,62,64,66,68,70,72,74,76,78,80,85,90,95,100})</f>
        <v>50</v>
      </c>
      <c r="T46" s="5"/>
      <c r="U46" s="5"/>
      <c r="V46" s="5">
        <f t="shared" ref="V46:V60" si="15">S46+U46</f>
        <v>50</v>
      </c>
      <c r="W46" s="5"/>
      <c r="X46" s="13">
        <f t="shared" ref="X46:X92" si="16">F46*0.1+H46*0.1+J46*0.1+P46*0.2+S46*0.2</f>
        <v>24.8</v>
      </c>
      <c r="Y46" s="13">
        <f t="shared" ref="Y46:Y60" si="17">X46/0.7+L46+U46</f>
        <v>35.4285714285714</v>
      </c>
    </row>
    <row r="47" ht="15.6" hidden="1" outlineLevel="2" spans="1:25">
      <c r="A47" s="5">
        <v>302</v>
      </c>
      <c r="B47" s="5">
        <v>4</v>
      </c>
      <c r="C47" s="5" t="s">
        <v>61</v>
      </c>
      <c r="D47" s="5" t="s">
        <v>12</v>
      </c>
      <c r="E47" s="5">
        <v>6.5</v>
      </c>
      <c r="F47" s="7">
        <f>LOOKUP(E47,{0,-1.8,-0.8,0.2,1.2,2.2,3.2,4.6,6,7.4,8.8,10.2,11.6,13,14.4,15.8,17.2,19.1,21,22.8,24.6},{0,10,20,30,40,50,60,62,64,66,68,70,72,74,76,78,80,85,90,95,100})</f>
        <v>64</v>
      </c>
      <c r="G47" s="5">
        <v>260</v>
      </c>
      <c r="H47" s="7">
        <f>LOOKUP(G47,{0,180,185,190,195,200,205,209,213,217,221,225,229,233,237,241,245,253,260,265,270},{0,10,20,30,40,50,60,62,64,66,68,70,72,74,76,78,80,85,90,95,100})</f>
        <v>90</v>
      </c>
      <c r="I47" s="5">
        <v>5</v>
      </c>
      <c r="J47" s="7">
        <f>LOOKUP(I47,{0,4,5,6,7,8,9,10,11,12,13,14,15,16,17,18},{0,10,20,30,40,50,60,64,68,72,76,80,85,90,95,100})</f>
        <v>20</v>
      </c>
      <c r="K47" s="5"/>
      <c r="L47" s="5"/>
      <c r="M47" s="5">
        <f t="shared" si="12"/>
        <v>20</v>
      </c>
      <c r="N47" s="5">
        <v>7.2</v>
      </c>
      <c r="O47" s="10">
        <f t="shared" si="13"/>
        <v>10.8</v>
      </c>
      <c r="P47" s="7">
        <f>LOOKUP(O47,{0,7.8,8,8.2,8.4,8.6,8.8,9,9.2,9.4,9.6,9.8,10,10.2,10.4,10.6,10.8,10.9,11,11.1,11.2},{0,10,20,30,40,50,60,62,64,66,68,70,72,74,76,78,80,85,90,95,100})</f>
        <v>80</v>
      </c>
      <c r="Q47" s="5">
        <v>4.21</v>
      </c>
      <c r="R47" s="10">
        <f t="shared" si="14"/>
        <v>5.79</v>
      </c>
      <c r="S47" s="7">
        <f>LOOKUP(R47,{0,3.85,4.45,4.65,4.85,5.45,5.65,5.7,5.75,5.8,5.85,5.9,5.95,6,6.45,6.5,6.55,6.63,6.7,6.75,6.8},{0,10,20,30,40,50,60,62,64,66,68,70,72,74,76,78,80,85,90,95,100})</f>
        <v>64</v>
      </c>
      <c r="T47" s="5"/>
      <c r="U47" s="5"/>
      <c r="V47" s="5">
        <f t="shared" si="15"/>
        <v>64</v>
      </c>
      <c r="W47" s="5"/>
      <c r="X47" s="13">
        <f t="shared" si="16"/>
        <v>46.2</v>
      </c>
      <c r="Y47" s="13">
        <f t="shared" si="17"/>
        <v>66</v>
      </c>
    </row>
    <row r="48" ht="15.6" hidden="1" outlineLevel="2" spans="1:25">
      <c r="A48" s="5">
        <v>302</v>
      </c>
      <c r="B48" s="5">
        <v>5</v>
      </c>
      <c r="C48" s="5" t="s">
        <v>62</v>
      </c>
      <c r="D48" s="5" t="s">
        <v>12</v>
      </c>
      <c r="E48" s="5">
        <v>4</v>
      </c>
      <c r="F48" s="7">
        <f>LOOKUP(E48,{0,-1.8,-0.8,0.2,1.2,2.2,3.2,4.6,6,7.4,8.8,10.2,11.6,13,14.4,15.8,17.2,19.1,21,22.8,24.6},{0,10,20,30,40,50,60,62,64,66,68,70,72,74,76,78,80,85,90,95,100})</f>
        <v>60</v>
      </c>
      <c r="G48" s="5">
        <v>222</v>
      </c>
      <c r="H48" s="7">
        <f>LOOKUP(G48,{0,180,185,190,195,200,205,209,213,217,221,225,229,233,237,241,245,253,260,265,270},{0,10,20,30,40,50,60,62,64,66,68,70,72,74,76,78,80,85,90,95,100})</f>
        <v>68</v>
      </c>
      <c r="I48" s="5">
        <v>7</v>
      </c>
      <c r="J48" s="7">
        <f>LOOKUP(I48,{0,4,5,6,7,8,9,10,11,12,13,14,15,16,17,18},{0,10,20,30,40,50,60,64,68,72,76,80,85,90,95,100})</f>
        <v>40</v>
      </c>
      <c r="K48" s="5"/>
      <c r="L48" s="5"/>
      <c r="M48" s="5">
        <f t="shared" si="12"/>
        <v>40</v>
      </c>
      <c r="N48" s="5">
        <v>7.5</v>
      </c>
      <c r="O48" s="10">
        <f t="shared" si="13"/>
        <v>10.5</v>
      </c>
      <c r="P48" s="7">
        <f>LOOKUP(O48,{0,7.8,8,8.2,8.4,8.6,8.8,9,9.2,9.4,9.6,9.8,10,10.2,10.4,10.6,10.8,10.9,11,11.1,11.2},{0,10,20,30,40,50,60,62,64,66,68,70,72,74,76,78,80,85,90,95,100})</f>
        <v>76</v>
      </c>
      <c r="Q48" s="5">
        <v>4.07</v>
      </c>
      <c r="R48" s="10">
        <f t="shared" si="14"/>
        <v>5.93</v>
      </c>
      <c r="S48" s="7">
        <f>LOOKUP(R48,{0,3.85,4.45,4.65,4.85,5.45,5.65,5.7,5.75,5.8,5.85,5.9,5.95,6,6.45,6.5,6.55,6.63,6.7,6.75,6.8},{0,10,20,30,40,50,60,62,64,66,68,70,72,74,76,78,80,85,90,95,100})</f>
        <v>70</v>
      </c>
      <c r="T48" s="5"/>
      <c r="U48" s="5"/>
      <c r="V48" s="5">
        <f t="shared" si="15"/>
        <v>70</v>
      </c>
      <c r="W48" s="5"/>
      <c r="X48" s="13">
        <f t="shared" si="16"/>
        <v>46</v>
      </c>
      <c r="Y48" s="13">
        <f t="shared" si="17"/>
        <v>65.7142857142857</v>
      </c>
    </row>
    <row r="49" ht="15.6" hidden="1" outlineLevel="2" spans="1:25">
      <c r="A49" s="5">
        <v>302</v>
      </c>
      <c r="B49" s="5">
        <v>6</v>
      </c>
      <c r="C49" s="5" t="s">
        <v>63</v>
      </c>
      <c r="D49" s="5" t="s">
        <v>12</v>
      </c>
      <c r="E49" s="5">
        <v>12.5</v>
      </c>
      <c r="F49" s="7">
        <f>LOOKUP(E49,{0,-1.8,-0.8,0.2,1.2,2.2,3.2,4.6,6,7.4,8.8,10.2,11.6,13,14.4,15.8,17.2,19.1,21,22.8,24.6},{0,10,20,30,40,50,60,62,64,66,68,70,72,74,76,78,80,85,90,95,100})</f>
        <v>72</v>
      </c>
      <c r="G49" s="5">
        <v>235</v>
      </c>
      <c r="H49" s="7">
        <f>LOOKUP(G49,{0,180,185,190,195,200,205,209,213,217,221,225,229,233,237,241,245,253,260,265,270},{0,10,20,30,40,50,60,62,64,66,68,70,72,74,76,78,80,85,90,95,100})</f>
        <v>74</v>
      </c>
      <c r="I49" s="5">
        <v>10</v>
      </c>
      <c r="J49" s="7">
        <f>LOOKUP(I49,{0,4,5,6,7,8,9,10,11,12,13,14,15,16,17,18},{0,10,20,30,40,50,60,64,68,72,76,80,85,90,95,100})</f>
        <v>64</v>
      </c>
      <c r="K49" s="5"/>
      <c r="L49" s="5"/>
      <c r="M49" s="5">
        <f t="shared" si="12"/>
        <v>64</v>
      </c>
      <c r="N49" s="5">
        <v>7.6</v>
      </c>
      <c r="O49" s="10">
        <f t="shared" si="13"/>
        <v>10.4</v>
      </c>
      <c r="P49" s="7">
        <f>LOOKUP(O49,{0,7.8,8,8.2,8.4,8.6,8.8,9,9.2,9.4,9.6,9.8,10,10.2,10.4,10.6,10.8,10.9,11,11.1,11.2},{0,10,20,30,40,50,60,62,64,66,68,70,72,74,76,78,80,85,90,95,100})</f>
        <v>76</v>
      </c>
      <c r="Q49" s="5">
        <v>4.21</v>
      </c>
      <c r="R49" s="10">
        <f t="shared" si="14"/>
        <v>5.79</v>
      </c>
      <c r="S49" s="7">
        <f>LOOKUP(R49,{0,3.85,4.45,4.65,4.85,5.45,5.65,5.7,5.75,5.8,5.85,5.9,5.95,6,6.45,6.5,6.55,6.63,6.7,6.75,6.8},{0,10,20,30,40,50,60,62,64,66,68,70,72,74,76,78,80,85,90,95,100})</f>
        <v>64</v>
      </c>
      <c r="T49" s="5"/>
      <c r="U49" s="5"/>
      <c r="V49" s="5">
        <f t="shared" si="15"/>
        <v>64</v>
      </c>
      <c r="W49" s="5"/>
      <c r="X49" s="13">
        <f t="shared" si="16"/>
        <v>49</v>
      </c>
      <c r="Y49" s="13">
        <f t="shared" si="17"/>
        <v>70</v>
      </c>
    </row>
    <row r="50" ht="15.6" hidden="1" outlineLevel="2" spans="1:25">
      <c r="A50" s="5">
        <v>302</v>
      </c>
      <c r="B50" s="5">
        <v>7</v>
      </c>
      <c r="C50" s="5" t="s">
        <v>64</v>
      </c>
      <c r="D50" s="5" t="s">
        <v>12</v>
      </c>
      <c r="E50" s="5">
        <v>-10</v>
      </c>
      <c r="F50" s="7">
        <v>0</v>
      </c>
      <c r="G50" s="5">
        <v>200</v>
      </c>
      <c r="H50" s="7">
        <f>LOOKUP(G50,{0,180,185,190,195,200,205,209,213,217,221,225,229,233,237,241,245,253,260,265,270},{0,10,20,30,40,50,60,62,64,66,68,70,72,74,76,78,80,85,90,95,100})</f>
        <v>50</v>
      </c>
      <c r="I50" s="5">
        <v>4</v>
      </c>
      <c r="J50" s="7">
        <f>LOOKUP(I50,{0,4,5,6,7,8,9,10,11,12,13,14,15,16,17,18},{0,10,20,30,40,50,60,64,68,72,76,80,85,90,95,100})</f>
        <v>10</v>
      </c>
      <c r="K50" s="5"/>
      <c r="L50" s="5"/>
      <c r="M50" s="5">
        <f t="shared" si="12"/>
        <v>10</v>
      </c>
      <c r="N50" s="5">
        <v>7.3</v>
      </c>
      <c r="O50" s="10">
        <f t="shared" si="13"/>
        <v>10.7</v>
      </c>
      <c r="P50" s="7">
        <f>LOOKUP(O50,{0,7.8,8,8.2,8.4,8.6,8.8,9,9.2,9.4,9.6,9.8,10,10.2,10.4,10.6,10.8,10.9,11,11.1,11.2},{0,10,20,30,40,50,60,62,64,66,68,70,72,74,76,78,80,85,90,95,100})</f>
        <v>78</v>
      </c>
      <c r="Q50" s="5">
        <v>4.2</v>
      </c>
      <c r="R50" s="10">
        <f t="shared" si="14"/>
        <v>5.8</v>
      </c>
      <c r="S50" s="7">
        <f>LOOKUP(R50,{0,3.85,4.45,4.65,4.85,5.45,5.65,5.7,5.75,5.8,5.85,5.9,5.95,6,6.45,6.5,6.55,6.63,6.7,6.75,6.8},{0,10,20,30,40,50,60,62,64,66,68,70,72,74,76,78,80,85,90,95,100})</f>
        <v>66</v>
      </c>
      <c r="T50" s="5"/>
      <c r="U50" s="5"/>
      <c r="V50" s="5">
        <f t="shared" si="15"/>
        <v>66</v>
      </c>
      <c r="W50" s="5"/>
      <c r="X50" s="13">
        <f t="shared" si="16"/>
        <v>34.8</v>
      </c>
      <c r="Y50" s="13">
        <f t="shared" si="17"/>
        <v>49.7142857142857</v>
      </c>
    </row>
    <row r="51" ht="15.6" hidden="1" outlineLevel="2" spans="1:25">
      <c r="A51" s="5">
        <v>302</v>
      </c>
      <c r="B51" s="5">
        <v>8</v>
      </c>
      <c r="C51" s="5" t="s">
        <v>65</v>
      </c>
      <c r="D51" s="5" t="s">
        <v>12</v>
      </c>
      <c r="E51" s="5">
        <v>10.5</v>
      </c>
      <c r="F51" s="7">
        <f>LOOKUP(E51,{0,-1.8,-0.8,0.2,1.2,2.2,3.2,4.6,6,7.4,8.8,10.2,11.6,13,14.4,15.8,17.2,19.1,21,22.8,24.6},{0,10,20,30,40,50,60,62,64,66,68,70,72,74,76,78,80,85,90,95,100})</f>
        <v>70</v>
      </c>
      <c r="G51" s="5">
        <v>238</v>
      </c>
      <c r="H51" s="7">
        <f>LOOKUP(G51,{0,180,185,190,195,200,205,209,213,217,221,225,229,233,237,241,245,253,260,265,270},{0,10,20,30,40,50,60,62,64,66,68,70,72,74,76,78,80,85,90,95,100})</f>
        <v>76</v>
      </c>
      <c r="I51" s="5">
        <v>4</v>
      </c>
      <c r="J51" s="7">
        <f>LOOKUP(I51,{0,4,5,6,7,8,9,10,11,12,13,14,15,16,17,18},{0,10,20,30,40,50,60,64,68,72,76,80,85,90,95,100})</f>
        <v>10</v>
      </c>
      <c r="K51" s="5"/>
      <c r="L51" s="5"/>
      <c r="M51" s="5">
        <f t="shared" si="12"/>
        <v>10</v>
      </c>
      <c r="N51" s="5">
        <v>7.9</v>
      </c>
      <c r="O51" s="10">
        <f t="shared" si="13"/>
        <v>10.1</v>
      </c>
      <c r="P51" s="7">
        <f>LOOKUP(O51,{0,7.8,8,8.2,8.4,8.6,8.8,9,9.2,9.4,9.6,9.8,10,10.2,10.4,10.6,10.8,10.9,11,11.1,11.2},{0,10,20,30,40,50,60,62,64,66,68,70,72,74,76,78,80,85,90,95,100})</f>
        <v>72</v>
      </c>
      <c r="Q51" s="5">
        <v>4.36</v>
      </c>
      <c r="R51" s="10">
        <f t="shared" si="14"/>
        <v>5.64</v>
      </c>
      <c r="S51" s="7">
        <f>LOOKUP(R51,{0,3.85,4.45,4.65,4.85,5.45,5.65,5.7,5.75,5.8,5.85,5.9,5.95,6,6.45,6.5,6.55,6.63,6.7,6.75,6.8},{0,10,20,30,40,50,60,62,64,66,68,70,72,74,76,78,80,85,90,95,100})</f>
        <v>50</v>
      </c>
      <c r="T51" s="5"/>
      <c r="U51" s="5"/>
      <c r="V51" s="5">
        <f t="shared" si="15"/>
        <v>50</v>
      </c>
      <c r="W51" s="5"/>
      <c r="X51" s="13">
        <f t="shared" si="16"/>
        <v>40</v>
      </c>
      <c r="Y51" s="13">
        <f t="shared" si="17"/>
        <v>57.1428571428571</v>
      </c>
    </row>
    <row r="52" ht="15.6" hidden="1" outlineLevel="2" spans="1:25">
      <c r="A52" s="5">
        <v>302</v>
      </c>
      <c r="B52" s="5">
        <v>9</v>
      </c>
      <c r="C52" s="5" t="s">
        <v>66</v>
      </c>
      <c r="D52" s="5" t="s">
        <v>12</v>
      </c>
      <c r="E52" s="5">
        <v>12</v>
      </c>
      <c r="F52" s="7">
        <f>LOOKUP(E52,{0,-1.8,-0.8,0.2,1.2,2.2,3.2,4.6,6,7.4,8.8,10.2,11.6,13,14.4,15.8,17.2,19.1,21,22.8,24.6},{0,10,20,30,40,50,60,62,64,66,68,70,72,74,76,78,80,85,90,95,100})</f>
        <v>72</v>
      </c>
      <c r="G52" s="5">
        <v>241</v>
      </c>
      <c r="H52" s="7">
        <f>LOOKUP(G52,{0,180,185,190,195,200,205,209,213,217,221,225,229,233,237,241,245,253,260,265,270},{0,10,20,30,40,50,60,62,64,66,68,70,72,74,76,78,80,85,90,95,100})</f>
        <v>78</v>
      </c>
      <c r="I52" s="5">
        <v>5</v>
      </c>
      <c r="J52" s="7">
        <f>LOOKUP(I52,{0,4,5,6,7,8,9,10,11,12,13,14,15,16,17,18},{0,10,20,30,40,50,60,64,68,72,76,80,85,90,95,100})</f>
        <v>20</v>
      </c>
      <c r="K52" s="5"/>
      <c r="L52" s="5"/>
      <c r="M52" s="5">
        <f t="shared" si="12"/>
        <v>20</v>
      </c>
      <c r="N52" s="5">
        <v>7.7</v>
      </c>
      <c r="O52" s="10">
        <f t="shared" si="13"/>
        <v>10.3</v>
      </c>
      <c r="P52" s="7">
        <f>LOOKUP(O52,{0,7.8,8,8.2,8.4,8.6,8.8,9,9.2,9.4,9.6,9.8,10,10.2,10.4,10.6,10.8,10.9,11,11.1,11.2},{0,10,20,30,40,50,60,62,64,66,68,70,72,74,76,78,80,85,90,95,100})</f>
        <v>74</v>
      </c>
      <c r="Q52" s="5">
        <v>4.11</v>
      </c>
      <c r="R52" s="10">
        <f t="shared" si="14"/>
        <v>5.89</v>
      </c>
      <c r="S52" s="7">
        <f>LOOKUP(R52,{0,3.85,4.45,4.65,4.85,5.45,5.65,5.7,5.75,5.8,5.85,5.9,5.95,6,6.45,6.5,6.55,6.63,6.7,6.75,6.8},{0,10,20,30,40,50,60,62,64,66,68,70,72,74,76,78,80,85,90,95,100})</f>
        <v>68</v>
      </c>
      <c r="T52" s="5"/>
      <c r="U52" s="5"/>
      <c r="V52" s="5">
        <f t="shared" si="15"/>
        <v>68</v>
      </c>
      <c r="W52" s="5"/>
      <c r="X52" s="13">
        <f t="shared" si="16"/>
        <v>45.4</v>
      </c>
      <c r="Y52" s="13">
        <f t="shared" si="17"/>
        <v>64.8571428571429</v>
      </c>
    </row>
    <row r="53" ht="15.6" hidden="1" outlineLevel="2" spans="1:25">
      <c r="A53" s="5">
        <v>302</v>
      </c>
      <c r="B53" s="5">
        <v>10</v>
      </c>
      <c r="C53" s="5" t="s">
        <v>67</v>
      </c>
      <c r="D53" s="5" t="s">
        <v>12</v>
      </c>
      <c r="E53" s="5">
        <v>2</v>
      </c>
      <c r="F53" s="7">
        <f>LOOKUP(E53,{0,-1.8,-0.8,0.2,1.2,2.2,3.2,4.6,6,7.4,8.8,10.2,11.6,13,14.4,15.8,17.2,19.1,21,22.8,24.6},{0,10,20,30,40,50,60,62,64,66,68,70,72,74,76,78,80,85,90,95,100})</f>
        <v>40</v>
      </c>
      <c r="G53" s="5">
        <v>229</v>
      </c>
      <c r="H53" s="7">
        <f>LOOKUP(G53,{0,180,185,190,195,200,205,209,213,217,221,225,229,233,237,241,245,253,260,265,270},{0,10,20,30,40,50,60,62,64,66,68,70,72,74,76,78,80,85,90,95,100})</f>
        <v>72</v>
      </c>
      <c r="I53" s="5">
        <v>2</v>
      </c>
      <c r="J53" s="7">
        <f>LOOKUP(I53,{0,4,5,6,7,8,9,10,11,12,13,14,15,16,17,18},{0,10,20,30,40,50,60,64,68,72,76,80,85,90,95,100})</f>
        <v>0</v>
      </c>
      <c r="K53" s="5"/>
      <c r="L53" s="5"/>
      <c r="M53" s="5">
        <f t="shared" si="12"/>
        <v>0</v>
      </c>
      <c r="N53" s="5">
        <v>8</v>
      </c>
      <c r="O53" s="10">
        <f t="shared" si="13"/>
        <v>10</v>
      </c>
      <c r="P53" s="7">
        <f>LOOKUP(O53,{0,7.8,8,8.2,8.4,8.6,8.8,9,9.2,9.4,9.6,9.8,10,10.2,10.4,10.6,10.8,10.9,11,11.1,11.2},{0,10,20,30,40,50,60,62,64,66,68,70,72,74,76,78,80,85,90,95,100})</f>
        <v>72</v>
      </c>
      <c r="Q53" s="5">
        <v>4.15</v>
      </c>
      <c r="R53" s="10">
        <f t="shared" si="14"/>
        <v>5.85</v>
      </c>
      <c r="S53" s="7">
        <f>LOOKUP(R53,{0,3.85,4.45,4.65,4.85,5.45,5.65,5.7,5.75,5.8,5.85,5.9,5.95,6,6.45,6.5,6.55,6.63,6.7,6.75,6.8},{0,10,20,30,40,50,60,62,64,66,68,70,72,74,76,78,80,85,90,95,100})</f>
        <v>68</v>
      </c>
      <c r="T53" s="5"/>
      <c r="U53" s="5"/>
      <c r="V53" s="5">
        <f t="shared" si="15"/>
        <v>68</v>
      </c>
      <c r="W53" s="5"/>
      <c r="X53" s="13">
        <f t="shared" si="16"/>
        <v>39.2</v>
      </c>
      <c r="Y53" s="13">
        <f t="shared" si="17"/>
        <v>56</v>
      </c>
    </row>
    <row r="54" ht="15.6" hidden="1" outlineLevel="2" spans="1:25">
      <c r="A54" s="5">
        <v>302</v>
      </c>
      <c r="B54" s="5">
        <v>11</v>
      </c>
      <c r="C54" s="6" t="s">
        <v>69</v>
      </c>
      <c r="D54" s="5" t="s">
        <v>12</v>
      </c>
      <c r="E54" s="5">
        <v>19</v>
      </c>
      <c r="F54" s="7">
        <f>LOOKUP(E54,{0,-1.8,-0.8,0.2,1.2,2.2,3.2,4.6,6,7.4,8.8,10.2,11.6,13,14.4,15.8,17.2,19.1,21,22.8,24.6},{0,10,20,30,40,50,60,62,64,66,68,70,72,74,76,78,80,85,90,95,100})</f>
        <v>80</v>
      </c>
      <c r="G54" s="5">
        <v>215</v>
      </c>
      <c r="H54" s="7">
        <f>LOOKUP(G54,{0,180,185,190,195,200,205,209,213,217,221,225,229,233,237,241,245,253,260,265,270},{0,10,20,30,40,50,60,62,64,66,68,70,72,74,76,78,80,85,90,95,100})</f>
        <v>64</v>
      </c>
      <c r="I54" s="5">
        <v>3</v>
      </c>
      <c r="J54" s="7">
        <f>LOOKUP(I54,{0,4,5,6,7,8,9,10,11,12,13,14,15,16,17,18},{0,10,20,30,40,50,60,64,68,72,76,80,85,90,95,100})</f>
        <v>0</v>
      </c>
      <c r="K54" s="5"/>
      <c r="L54" s="5"/>
      <c r="M54" s="5">
        <f t="shared" si="12"/>
        <v>0</v>
      </c>
      <c r="N54" s="5">
        <v>7.5</v>
      </c>
      <c r="O54" s="10">
        <f t="shared" si="13"/>
        <v>10.5</v>
      </c>
      <c r="P54" s="7">
        <f>LOOKUP(O54,{0,7.8,8,8.2,8.4,8.6,8.8,9,9.2,9.4,9.6,9.8,10,10.2,10.4,10.6,10.8,10.9,11,11.1,11.2},{0,10,20,30,40,50,60,62,64,66,68,70,72,74,76,78,80,85,90,95,100})</f>
        <v>76</v>
      </c>
      <c r="Q54" s="5">
        <v>4.15</v>
      </c>
      <c r="R54" s="10">
        <f t="shared" si="14"/>
        <v>5.85</v>
      </c>
      <c r="S54" s="7">
        <f>LOOKUP(R54,{0,3.85,4.45,4.65,4.85,5.45,5.65,5.7,5.75,5.8,5.85,5.9,5.95,6,6.45,6.5,6.55,6.63,6.7,6.75,6.8},{0,10,20,30,40,50,60,62,64,66,68,70,72,74,76,78,80,85,90,95,100})</f>
        <v>68</v>
      </c>
      <c r="T54" s="5"/>
      <c r="U54" s="5"/>
      <c r="V54" s="5">
        <f t="shared" si="15"/>
        <v>68</v>
      </c>
      <c r="W54" s="5"/>
      <c r="X54" s="13">
        <f t="shared" si="16"/>
        <v>43.2</v>
      </c>
      <c r="Y54" s="13">
        <f t="shared" si="17"/>
        <v>61.7142857142857</v>
      </c>
    </row>
    <row r="55" ht="15.6" hidden="1" outlineLevel="2" spans="1:25">
      <c r="A55" s="5">
        <v>302</v>
      </c>
      <c r="B55" s="5">
        <v>12</v>
      </c>
      <c r="C55" s="5" t="s">
        <v>70</v>
      </c>
      <c r="D55" s="5" t="s">
        <v>12</v>
      </c>
      <c r="E55" s="5">
        <v>9</v>
      </c>
      <c r="F55" s="7">
        <f>LOOKUP(E55,{0,-1.8,-0.8,0.2,1.2,2.2,3.2,4.6,6,7.4,8.8,10.2,11.6,13,14.4,15.8,17.2,19.1,21,22.8,24.6},{0,10,20,30,40,50,60,62,64,66,68,70,72,74,76,78,80,85,90,95,100})</f>
        <v>68</v>
      </c>
      <c r="G55" s="5">
        <v>220</v>
      </c>
      <c r="H55" s="7">
        <f>LOOKUP(G55,{0,180,185,190,195,200,205,209,213,217,221,225,229,233,237,241,245,253,260,265,270},{0,10,20,30,40,50,60,62,64,66,68,70,72,74,76,78,80,85,90,95,100})</f>
        <v>66</v>
      </c>
      <c r="I55" s="5">
        <v>5</v>
      </c>
      <c r="J55" s="7">
        <f>LOOKUP(I55,{0,4,5,6,7,8,9,10,11,12,13,14,15,16,17,18},{0,10,20,30,40,50,60,64,68,72,76,80,85,90,95,100})</f>
        <v>20</v>
      </c>
      <c r="K55" s="5"/>
      <c r="L55" s="5"/>
      <c r="M55" s="5">
        <f t="shared" si="12"/>
        <v>20</v>
      </c>
      <c r="N55" s="5">
        <v>10.2</v>
      </c>
      <c r="O55" s="10">
        <f t="shared" si="13"/>
        <v>7.8</v>
      </c>
      <c r="P55" s="7">
        <f>LOOKUP(O55,{0,7.8,8,8.2,8.4,8.6,8.8,9,9.2,9.4,9.6,9.8,10,10.2,10.4,10.6,10.8,10.9,11,11.1,11.2},{0,10,20,30,40,50,60,62,64,66,68,70,72,74,76,78,80,85,90,95,100})</f>
        <v>10</v>
      </c>
      <c r="Q55" s="5">
        <v>4.16</v>
      </c>
      <c r="R55" s="10">
        <f t="shared" si="14"/>
        <v>5.84</v>
      </c>
      <c r="S55" s="7">
        <f>LOOKUP(R55,{0,3.85,4.45,4.65,4.85,5.45,5.65,5.7,5.75,5.8,5.85,5.9,5.95,6,6.45,6.5,6.55,6.63,6.7,6.75,6.8},{0,10,20,30,40,50,60,62,64,66,68,70,72,74,76,78,80,85,90,95,100})</f>
        <v>66</v>
      </c>
      <c r="T55" s="5"/>
      <c r="U55" s="5"/>
      <c r="V55" s="5">
        <f t="shared" si="15"/>
        <v>66</v>
      </c>
      <c r="W55" s="5"/>
      <c r="X55" s="13">
        <f t="shared" si="16"/>
        <v>30.6</v>
      </c>
      <c r="Y55" s="13">
        <f t="shared" si="17"/>
        <v>43.7142857142857</v>
      </c>
    </row>
    <row r="56" ht="15.6" hidden="1" outlineLevel="2" spans="1:25">
      <c r="A56" s="5">
        <v>302</v>
      </c>
      <c r="B56" s="5">
        <v>13</v>
      </c>
      <c r="C56" s="5" t="s">
        <v>71</v>
      </c>
      <c r="D56" s="5" t="s">
        <v>12</v>
      </c>
      <c r="E56" s="5">
        <v>14.2</v>
      </c>
      <c r="F56" s="7">
        <f>LOOKUP(E56,{0,-1.8,-0.8,0.2,1.2,2.2,3.2,4.6,6,7.4,8.8,10.2,11.6,13,14.4,15.8,17.2,19.1,21,22.8,24.6},{0,10,20,30,40,50,60,62,64,66,68,70,72,74,76,78,80,85,90,95,100})</f>
        <v>74</v>
      </c>
      <c r="G56" s="5">
        <v>235</v>
      </c>
      <c r="H56" s="7">
        <f>LOOKUP(G56,{0,180,185,190,195,200,205,209,213,217,221,225,229,233,237,241,245,253,260,265,270},{0,10,20,30,40,50,60,62,64,66,68,70,72,74,76,78,80,85,90,95,100})</f>
        <v>74</v>
      </c>
      <c r="I56" s="5">
        <v>0</v>
      </c>
      <c r="J56" s="7">
        <f>LOOKUP(I56,{0,4,5,6,7,8,9,10,11,12,13,14,15,16,17,18},{0,10,20,30,40,50,60,64,68,72,76,80,85,90,95,100})</f>
        <v>0</v>
      </c>
      <c r="K56" s="5"/>
      <c r="L56" s="5"/>
      <c r="M56" s="5">
        <f t="shared" si="12"/>
        <v>0</v>
      </c>
      <c r="N56" s="5">
        <v>7.4</v>
      </c>
      <c r="O56" s="10">
        <f t="shared" si="13"/>
        <v>10.6</v>
      </c>
      <c r="P56" s="7">
        <f>LOOKUP(O56,{0,7.8,8,8.2,8.4,8.6,8.8,9,9.2,9.4,9.6,9.8,10,10.2,10.4,10.6,10.8,10.9,11,11.1,11.2},{0,10,20,30,40,50,60,62,64,66,68,70,72,74,76,78,80,85,90,95,100})</f>
        <v>78</v>
      </c>
      <c r="Q56" s="5">
        <v>5.27</v>
      </c>
      <c r="R56" s="10">
        <f t="shared" si="14"/>
        <v>4.73</v>
      </c>
      <c r="S56" s="7">
        <f>LOOKUP(R56,{0,3.85,4.45,4.65,4.85,5.45,5.65,5.7,5.75,5.8,5.85,5.9,5.95,6,6.45,6.5,6.55,6.63,6.7,6.75,6.8},{0,10,20,30,40,50,60,62,64,66,68,70,72,74,76,78,80,85,90,95,100})</f>
        <v>30</v>
      </c>
      <c r="T56" s="5"/>
      <c r="U56" s="5"/>
      <c r="V56" s="5">
        <f t="shared" si="15"/>
        <v>30</v>
      </c>
      <c r="W56" s="5"/>
      <c r="X56" s="13">
        <f t="shared" si="16"/>
        <v>36.4</v>
      </c>
      <c r="Y56" s="13">
        <f t="shared" si="17"/>
        <v>52</v>
      </c>
    </row>
    <row r="57" ht="15.6" hidden="1" outlineLevel="2" spans="1:25">
      <c r="A57" s="5">
        <v>302</v>
      </c>
      <c r="B57" s="5">
        <v>14</v>
      </c>
      <c r="C57" s="5" t="s">
        <v>72</v>
      </c>
      <c r="D57" s="5" t="s">
        <v>12</v>
      </c>
      <c r="E57" s="5">
        <v>7.5</v>
      </c>
      <c r="F57" s="7">
        <f>LOOKUP(E57,{0,-1.8,-0.8,0.2,1.2,2.2,3.2,4.6,6,7.4,8.8,10.2,11.6,13,14.4,15.8,17.2,19.1,21,22.8,24.6},{0,10,20,30,40,50,60,62,64,66,68,70,72,74,76,78,80,85,90,95,100})</f>
        <v>66</v>
      </c>
      <c r="G57" s="5">
        <v>210</v>
      </c>
      <c r="H57" s="7">
        <f>LOOKUP(G57,{0,180,185,190,195,200,205,209,213,217,221,225,229,233,237,241,245,253,260,265,270},{0,10,20,30,40,50,60,62,64,66,68,70,72,74,76,78,80,85,90,95,100})</f>
        <v>62</v>
      </c>
      <c r="I57" s="5">
        <v>11</v>
      </c>
      <c r="J57" s="7">
        <f>LOOKUP(I57,{0,4,5,6,7,8,9,10,11,12,13,14,15,16,17,18},{0,10,20,30,40,50,60,64,68,72,76,80,85,90,95,100})</f>
        <v>68</v>
      </c>
      <c r="K57" s="5"/>
      <c r="L57" s="5"/>
      <c r="M57" s="5">
        <f t="shared" si="12"/>
        <v>68</v>
      </c>
      <c r="N57" s="5">
        <v>7.6</v>
      </c>
      <c r="O57" s="10">
        <f t="shared" si="13"/>
        <v>10.4</v>
      </c>
      <c r="P57" s="7">
        <f>LOOKUP(O57,{0,7.8,8,8.2,8.4,8.6,8.8,9,9.2,9.4,9.6,9.8,10,10.2,10.4,10.6,10.8,10.9,11,11.1,11.2},{0,10,20,30,40,50,60,62,64,66,68,70,72,74,76,78,80,85,90,95,100})</f>
        <v>76</v>
      </c>
      <c r="Q57" s="5">
        <v>4.26</v>
      </c>
      <c r="R57" s="10">
        <f t="shared" si="14"/>
        <v>5.74</v>
      </c>
      <c r="S57" s="7">
        <f>LOOKUP(R57,{0,3.85,4.45,4.65,4.85,5.45,5.65,5.7,5.75,5.8,5.85,5.9,5.95,6,6.45,6.5,6.55,6.63,6.7,6.75,6.8},{0,10,20,30,40,50,60,62,64,66,68,70,72,74,76,78,80,85,90,95,100})</f>
        <v>62</v>
      </c>
      <c r="T57" s="5"/>
      <c r="U57" s="5"/>
      <c r="V57" s="5">
        <f t="shared" si="15"/>
        <v>62</v>
      </c>
      <c r="W57" s="5"/>
      <c r="X57" s="13">
        <f t="shared" si="16"/>
        <v>47.2</v>
      </c>
      <c r="Y57" s="13">
        <f t="shared" si="17"/>
        <v>67.4285714285714</v>
      </c>
    </row>
    <row r="58" ht="15.6" hidden="1" outlineLevel="2" spans="1:25">
      <c r="A58" s="5">
        <v>302</v>
      </c>
      <c r="B58" s="5">
        <v>15</v>
      </c>
      <c r="C58" s="5" t="s">
        <v>73</v>
      </c>
      <c r="D58" s="5" t="s">
        <v>12</v>
      </c>
      <c r="E58" s="5">
        <v>12.3</v>
      </c>
      <c r="F58" s="7">
        <f>LOOKUP(E58,{0,-1.8,-0.8,0.2,1.2,2.2,3.2,4.6,6,7.4,8.8,10.2,11.6,13,14.4,15.8,17.2,19.1,21,22.8,24.6},{0,10,20,30,40,50,60,62,64,66,68,70,72,74,76,78,80,85,90,95,100})</f>
        <v>72</v>
      </c>
      <c r="G58" s="5">
        <v>227</v>
      </c>
      <c r="H58" s="7">
        <f>LOOKUP(G58,{0,180,185,190,195,200,205,209,213,217,221,225,229,233,237,241,245,253,260,265,270},{0,10,20,30,40,50,60,62,64,66,68,70,72,74,76,78,80,85,90,95,100})</f>
        <v>70</v>
      </c>
      <c r="I58" s="5">
        <v>2</v>
      </c>
      <c r="J58" s="7">
        <f>LOOKUP(I58,{0,4,5,6,7,8,9,10,11,12,13,14,15,16,17,18},{0,10,20,30,40,50,60,64,68,72,76,80,85,90,95,100})</f>
        <v>0</v>
      </c>
      <c r="K58" s="5"/>
      <c r="L58" s="5"/>
      <c r="M58" s="5">
        <f t="shared" si="12"/>
        <v>0</v>
      </c>
      <c r="N58" s="5">
        <v>7.3</v>
      </c>
      <c r="O58" s="10">
        <f t="shared" si="13"/>
        <v>10.7</v>
      </c>
      <c r="P58" s="7">
        <f>LOOKUP(O58,{0,7.8,8,8.2,8.4,8.6,8.8,9,9.2,9.4,9.6,9.8,10,10.2,10.4,10.6,10.8,10.9,11,11.1,11.2},{0,10,20,30,40,50,60,62,64,66,68,70,72,74,76,78,80,85,90,95,100})</f>
        <v>78</v>
      </c>
      <c r="Q58" s="5">
        <v>4.37</v>
      </c>
      <c r="R58" s="10">
        <f t="shared" si="14"/>
        <v>5.63</v>
      </c>
      <c r="S58" s="7">
        <f>LOOKUP(R58,{0,3.85,4.45,4.65,4.85,5.45,5.65,5.7,5.75,5.8,5.85,5.9,5.95,6,6.45,6.5,6.55,6.63,6.7,6.75,6.8},{0,10,20,30,40,50,60,62,64,66,68,70,72,74,76,78,80,85,90,95,100})</f>
        <v>50</v>
      </c>
      <c r="T58" s="5"/>
      <c r="U58" s="5"/>
      <c r="V58" s="5">
        <f t="shared" si="15"/>
        <v>50</v>
      </c>
      <c r="W58" s="5"/>
      <c r="X58" s="13">
        <f t="shared" si="16"/>
        <v>39.8</v>
      </c>
      <c r="Y58" s="13">
        <f t="shared" si="17"/>
        <v>56.8571428571429</v>
      </c>
    </row>
    <row r="59" ht="15.6" hidden="1" outlineLevel="2" spans="1:25">
      <c r="A59" s="5">
        <v>302</v>
      </c>
      <c r="B59" s="5">
        <v>16</v>
      </c>
      <c r="C59" s="5" t="s">
        <v>74</v>
      </c>
      <c r="D59" s="5" t="s">
        <v>12</v>
      </c>
      <c r="E59" s="5">
        <v>16</v>
      </c>
      <c r="F59" s="7">
        <f>LOOKUP(E59,{0,-1.8,-0.8,0.2,1.2,2.2,3.2,4.6,6,7.4,8.8,10.2,11.6,13,14.4,15.8,17.2,19.1,21,22.8,24.6},{0,10,20,30,40,50,60,62,64,66,68,70,72,74,76,78,80,85,90,95,100})</f>
        <v>78</v>
      </c>
      <c r="G59" s="5">
        <v>260</v>
      </c>
      <c r="H59" s="7">
        <f>LOOKUP(G59,{0,180,185,190,195,200,205,209,213,217,221,225,229,233,237,241,245,253,260,265,270},{0,10,20,30,40,50,60,62,64,66,68,70,72,74,76,78,80,85,90,95,100})</f>
        <v>90</v>
      </c>
      <c r="I59" s="5">
        <v>10</v>
      </c>
      <c r="J59" s="7">
        <f>LOOKUP(I59,{0,4,5,6,7,8,9,10,11,12,13,14,15,16,17,18},{0,10,20,30,40,50,60,64,68,72,76,80,85,90,95,100})</f>
        <v>64</v>
      </c>
      <c r="K59" s="5"/>
      <c r="L59" s="5"/>
      <c r="M59" s="5">
        <f t="shared" si="12"/>
        <v>64</v>
      </c>
      <c r="N59" s="5">
        <v>6.8</v>
      </c>
      <c r="O59" s="10">
        <f t="shared" si="13"/>
        <v>11.2</v>
      </c>
      <c r="P59" s="7">
        <f>LOOKUP(O59,{0,7.8,8,8.2,8.4,8.6,8.8,9,9.2,9.4,9.6,9.8,10,10.2,10.4,10.6,10.8,10.9,11,11.1,11.2},{0,10,20,30,40,50,60,62,64,66,68,70,72,74,76,78,80,85,90,95,100})</f>
        <v>100</v>
      </c>
      <c r="Q59" s="5">
        <v>3.47</v>
      </c>
      <c r="R59" s="10">
        <f t="shared" si="14"/>
        <v>6.53</v>
      </c>
      <c r="S59" s="7">
        <f>LOOKUP(R59,{0,3.85,4.45,4.65,4.85,5.45,5.65,5.7,5.75,5.8,5.85,5.9,5.95,6,6.45,6.5,6.55,6.63,6.7,6.75,6.8},{0,10,20,30,40,50,60,62,64,66,68,70,72,74,76,78,80,85,90,95,100})</f>
        <v>78</v>
      </c>
      <c r="T59" s="5"/>
      <c r="U59" s="5"/>
      <c r="V59" s="5">
        <f t="shared" si="15"/>
        <v>78</v>
      </c>
      <c r="W59" s="5"/>
      <c r="X59" s="13">
        <f t="shared" si="16"/>
        <v>58.8</v>
      </c>
      <c r="Y59" s="13">
        <f t="shared" si="17"/>
        <v>84</v>
      </c>
    </row>
    <row r="60" ht="15.6" hidden="1" outlineLevel="2" spans="1:25">
      <c r="A60" s="5">
        <v>302</v>
      </c>
      <c r="B60" s="5">
        <v>17</v>
      </c>
      <c r="C60" s="5" t="s">
        <v>75</v>
      </c>
      <c r="D60" s="5" t="s">
        <v>12</v>
      </c>
      <c r="E60" s="5">
        <v>-5</v>
      </c>
      <c r="F60" s="7">
        <v>0</v>
      </c>
      <c r="G60" s="5">
        <v>260</v>
      </c>
      <c r="H60" s="7">
        <f>LOOKUP(G60,{0,180,185,190,195,200,205,209,213,217,221,225,229,233,237,241,245,253,260,265,270},{0,10,20,30,40,50,60,62,64,66,68,70,72,74,76,78,80,85,90,95,100})</f>
        <v>90</v>
      </c>
      <c r="I60" s="5">
        <v>14</v>
      </c>
      <c r="J60" s="7">
        <f>LOOKUP(I60,{0,4,5,6,7,8,9,10,11,12,13,14,15,16,17,18},{0,10,20,30,40,50,60,64,68,72,76,80,85,90,95,100})</f>
        <v>80</v>
      </c>
      <c r="K60" s="5"/>
      <c r="L60" s="5"/>
      <c r="M60" s="5">
        <f t="shared" si="12"/>
        <v>80</v>
      </c>
      <c r="N60" s="5">
        <v>7.5</v>
      </c>
      <c r="O60" s="10">
        <f t="shared" si="13"/>
        <v>10.5</v>
      </c>
      <c r="P60" s="7">
        <f>LOOKUP(O60,{0,7.8,8,8.2,8.4,8.6,8.8,9,9.2,9.4,9.6,9.8,10,10.2,10.4,10.6,10.8,10.9,11,11.1,11.2},{0,10,20,30,40,50,60,62,64,66,68,70,72,74,76,78,80,85,90,95,100})</f>
        <v>76</v>
      </c>
      <c r="Q60" s="5">
        <v>3.38</v>
      </c>
      <c r="R60" s="10">
        <f t="shared" si="14"/>
        <v>6.62</v>
      </c>
      <c r="S60" s="7">
        <f>LOOKUP(R60,{0,3.85,4.45,4.65,4.85,5.45,5.65,5.7,5.75,5.8,5.85,5.9,5.95,6,6.45,6.5,6.55,6.63,6.7,6.75,6.8},{0,10,20,30,40,50,60,62,64,66,68,70,72,74,76,78,80,85,90,95,100})</f>
        <v>80</v>
      </c>
      <c r="T60" s="5"/>
      <c r="U60" s="5"/>
      <c r="V60" s="5">
        <f t="shared" si="15"/>
        <v>80</v>
      </c>
      <c r="W60" s="5"/>
      <c r="X60" s="13">
        <f t="shared" si="16"/>
        <v>48.2</v>
      </c>
      <c r="Y60" s="13">
        <f t="shared" si="17"/>
        <v>68.8571428571429</v>
      </c>
    </row>
    <row r="61" ht="15.6" hidden="1" outlineLevel="2" spans="1:25">
      <c r="A61" s="5">
        <v>302</v>
      </c>
      <c r="B61" s="5">
        <v>18</v>
      </c>
      <c r="C61" s="5" t="s">
        <v>76</v>
      </c>
      <c r="D61" s="5" t="s">
        <v>12</v>
      </c>
      <c r="E61" s="5">
        <v>4.5</v>
      </c>
      <c r="F61" s="7">
        <f>LOOKUP(E61,{0,-1.8,-0.8,0.2,1.2,2.2,3.2,4.6,6,7.4,8.8,10.2,11.6,13,14.4,15.8,17.2,19.1,21,22.8,24.6},{0,10,20,30,40,50,60,62,64,66,68,70,72,74,76,78,80,85,90,95,100})</f>
        <v>60</v>
      </c>
      <c r="G61" s="5">
        <v>210</v>
      </c>
      <c r="H61" s="7">
        <f>LOOKUP(G61,{0,180,185,190,195,200,205,209,213,217,221,225,229,233,237,241,245,253,260,265,270},{0,10,20,30,40,50,60,62,64,66,68,70,72,74,76,78,80,85,90,95,100})</f>
        <v>62</v>
      </c>
      <c r="I61" s="5">
        <v>0</v>
      </c>
      <c r="J61" s="7">
        <f>LOOKUP(I61,{0,4,5,6,7,8,9,10,11,12,13,14,15,16,17,18},{0,10,20,30,40,50,60,64,68,72,76,80,85,90,95,100})</f>
        <v>0</v>
      </c>
      <c r="K61" s="5"/>
      <c r="L61" s="5"/>
      <c r="M61" s="5">
        <f t="shared" si="12"/>
        <v>0</v>
      </c>
      <c r="N61" s="5">
        <v>7.7</v>
      </c>
      <c r="O61" s="10">
        <f t="shared" si="13"/>
        <v>10.3</v>
      </c>
      <c r="P61" s="7">
        <f>LOOKUP(O61,{0,7.8,8,8.2,8.4,8.6,8.8,9,9.2,9.4,9.6,9.8,10,10.2,10.4,10.6,10.8,10.9,11,11.1,11.2},{0,10,20,30,40,50,60,62,64,66,68,70,72,74,76,78,80,85,90,95,100})</f>
        <v>74</v>
      </c>
      <c r="Q61" s="5" t="s">
        <v>77</v>
      </c>
      <c r="R61" s="10" t="e">
        <f t="shared" si="14"/>
        <v>#VALUE!</v>
      </c>
      <c r="S61" s="7"/>
      <c r="T61" s="5"/>
      <c r="U61" s="5"/>
      <c r="V61" s="5"/>
      <c r="W61" s="14">
        <v>50</v>
      </c>
      <c r="X61" s="13">
        <f t="shared" si="16"/>
        <v>27</v>
      </c>
      <c r="Y61" s="13">
        <v>50</v>
      </c>
    </row>
    <row r="62" ht="15.6" hidden="1" outlineLevel="2" spans="1:25">
      <c r="A62" s="5">
        <v>302</v>
      </c>
      <c r="B62" s="5">
        <v>19</v>
      </c>
      <c r="C62" s="5" t="s">
        <v>78</v>
      </c>
      <c r="D62" s="5" t="s">
        <v>12</v>
      </c>
      <c r="E62" s="5">
        <v>4</v>
      </c>
      <c r="F62" s="7">
        <f>LOOKUP(E62,{0,-1.8,-0.8,0.2,1.2,2.2,3.2,4.6,6,7.4,8.8,10.2,11.6,13,14.4,15.8,17.2,19.1,21,22.8,24.6},{0,10,20,30,40,50,60,62,64,66,68,70,72,74,76,78,80,85,90,95,100})</f>
        <v>60</v>
      </c>
      <c r="G62" s="5">
        <v>230</v>
      </c>
      <c r="H62" s="7">
        <f>LOOKUP(G62,{0,180,185,190,195,200,205,209,213,217,221,225,229,233,237,241,245,253,260,265,270},{0,10,20,30,40,50,60,62,64,66,68,70,72,74,76,78,80,85,90,95,100})</f>
        <v>72</v>
      </c>
      <c r="I62" s="5">
        <v>3</v>
      </c>
      <c r="J62" s="7">
        <f>LOOKUP(I62,{0,4,5,6,7,8,9,10,11,12,13,14,15,16,17,18},{0,10,20,30,40,50,60,64,68,72,76,80,85,90,95,100})</f>
        <v>0</v>
      </c>
      <c r="K62" s="5"/>
      <c r="L62" s="5"/>
      <c r="M62" s="5">
        <f t="shared" si="12"/>
        <v>0</v>
      </c>
      <c r="N62" s="5">
        <v>7.1</v>
      </c>
      <c r="O62" s="10">
        <f t="shared" si="13"/>
        <v>10.9</v>
      </c>
      <c r="P62" s="7">
        <f>LOOKUP(O62,{0,7.8,8,8.2,8.4,8.6,8.8,9,9.2,9.4,9.6,9.8,10,10.2,10.4,10.6,10.8,10.9,11,11.1,11.2},{0,10,20,30,40,50,60,62,64,66,68,70,72,74,76,78,80,85,90,95,100})</f>
        <v>85</v>
      </c>
      <c r="Q62" s="5">
        <v>5.11</v>
      </c>
      <c r="R62" s="10">
        <f t="shared" si="14"/>
        <v>4.89</v>
      </c>
      <c r="S62" s="7">
        <f>LOOKUP(R62,{0,3.85,4.45,4.65,4.85,5.45,5.65,5.7,5.75,5.8,5.85,5.9,5.95,6,6.45,6.5,6.55,6.63,6.7,6.75,6.8},{0,10,20,30,40,50,60,62,64,66,68,70,72,74,76,78,80,85,90,95,100})</f>
        <v>40</v>
      </c>
      <c r="T62" s="5"/>
      <c r="U62" s="5"/>
      <c r="V62" s="5">
        <f t="shared" ref="V62:V65" si="18">S62+U62</f>
        <v>40</v>
      </c>
      <c r="W62" s="5"/>
      <c r="X62" s="13">
        <f t="shared" si="16"/>
        <v>38.2</v>
      </c>
      <c r="Y62" s="13">
        <f t="shared" ref="Y62:Y65" si="19">X62/0.7+L62+U62</f>
        <v>54.5714285714286</v>
      </c>
    </row>
    <row r="63" ht="15.6" hidden="1" outlineLevel="2" spans="1:25">
      <c r="A63" s="5">
        <v>302</v>
      </c>
      <c r="B63" s="5">
        <v>20</v>
      </c>
      <c r="C63" s="5" t="s">
        <v>79</v>
      </c>
      <c r="D63" s="5" t="s">
        <v>12</v>
      </c>
      <c r="E63" s="5">
        <v>14.5</v>
      </c>
      <c r="F63" s="7">
        <f>LOOKUP(E63,{0,-1.8,-0.8,0.2,1.2,2.2,3.2,4.6,6,7.4,8.8,10.2,11.6,13,14.4,15.8,17.2,19.1,21,22.8,24.6},{0,10,20,30,40,50,60,62,64,66,68,70,72,74,76,78,80,85,90,95,100})</f>
        <v>76</v>
      </c>
      <c r="G63" s="5">
        <v>240</v>
      </c>
      <c r="H63" s="7">
        <f>LOOKUP(G63,{0,180,185,190,195,200,205,209,213,217,221,225,229,233,237,241,245,253,260,265,270},{0,10,20,30,40,50,60,62,64,66,68,70,72,74,76,78,80,85,90,95,100})</f>
        <v>76</v>
      </c>
      <c r="I63" s="5">
        <v>13</v>
      </c>
      <c r="J63" s="7">
        <f>LOOKUP(I63,{0,4,5,6,7,8,9,10,11,12,13,14,15,16,17,18},{0,10,20,30,40,50,60,64,68,72,76,80,85,90,95,100})</f>
        <v>76</v>
      </c>
      <c r="K63" s="5"/>
      <c r="L63" s="5"/>
      <c r="M63" s="5">
        <f t="shared" si="12"/>
        <v>76</v>
      </c>
      <c r="N63" s="5">
        <v>7.3</v>
      </c>
      <c r="O63" s="10">
        <f t="shared" si="13"/>
        <v>10.7</v>
      </c>
      <c r="P63" s="7">
        <f>LOOKUP(O63,{0,7.8,8,8.2,8.4,8.6,8.8,9,9.2,9.4,9.6,9.8,10,10.2,10.4,10.6,10.8,10.9,11,11.1,11.2},{0,10,20,30,40,50,60,62,64,66,68,70,72,74,76,78,80,85,90,95,100})</f>
        <v>78</v>
      </c>
      <c r="Q63" s="5" t="s">
        <v>77</v>
      </c>
      <c r="R63" s="10" t="e">
        <f t="shared" si="14"/>
        <v>#VALUE!</v>
      </c>
      <c r="S63" s="7"/>
      <c r="T63" s="5"/>
      <c r="U63" s="5"/>
      <c r="V63" s="5"/>
      <c r="W63" s="5"/>
      <c r="X63" s="13">
        <f t="shared" si="16"/>
        <v>38.4</v>
      </c>
      <c r="Y63" s="13">
        <f t="shared" si="19"/>
        <v>54.8571428571429</v>
      </c>
    </row>
    <row r="64" ht="15.6" hidden="1" outlineLevel="2" spans="1:25">
      <c r="A64" s="5">
        <v>302</v>
      </c>
      <c r="B64" s="5">
        <v>21</v>
      </c>
      <c r="C64" s="6" t="s">
        <v>81</v>
      </c>
      <c r="D64" s="5" t="s">
        <v>12</v>
      </c>
      <c r="E64" s="5">
        <v>24</v>
      </c>
      <c r="F64" s="7">
        <f>LOOKUP(E64,{0,-1.8,-0.8,0.2,1.2,2.2,3.2,4.6,6,7.4,8.8,10.2,11.6,13,14.4,15.8,17.2,19.1,21,22.8,24.6},{0,10,20,30,40,50,60,62,64,66,68,70,72,74,76,78,80,85,90,95,100})</f>
        <v>95</v>
      </c>
      <c r="G64" s="5">
        <v>265</v>
      </c>
      <c r="H64" s="7">
        <f>LOOKUP(G64,{0,180,185,190,195,200,205,209,213,217,221,225,229,233,237,241,245,253,260,265,270},{0,10,20,30,40,50,60,62,64,66,68,70,72,74,76,78,80,85,90,95,100})</f>
        <v>95</v>
      </c>
      <c r="I64" s="5">
        <v>7</v>
      </c>
      <c r="J64" s="7">
        <f>LOOKUP(I64,{0,4,5,6,7,8,9,10,11,12,13,14,15,16,17,18},{0,10,20,30,40,50,60,64,68,72,76,80,85,90,95,100})</f>
        <v>40</v>
      </c>
      <c r="K64" s="5"/>
      <c r="L64" s="5"/>
      <c r="M64" s="5">
        <f t="shared" si="12"/>
        <v>40</v>
      </c>
      <c r="N64" s="5">
        <v>6.7</v>
      </c>
      <c r="O64" s="10">
        <f t="shared" si="13"/>
        <v>11.3</v>
      </c>
      <c r="P64" s="7">
        <f>LOOKUP(O64,{0,7.8,8,8.2,8.4,8.6,8.8,9,9.2,9.4,9.6,9.8,10,10.2,10.4,10.6,10.8,10.9,11,11.1,11.2},{0,10,20,30,40,50,60,62,64,66,68,70,72,74,76,78,80,85,90,95,100})</f>
        <v>100</v>
      </c>
      <c r="Q64" s="5">
        <v>3.41</v>
      </c>
      <c r="R64" s="10">
        <f t="shared" si="14"/>
        <v>6.59</v>
      </c>
      <c r="S64" s="7">
        <f>LOOKUP(R64,{0,3.85,4.45,4.65,4.85,5.45,5.65,5.7,5.75,5.8,5.85,5.9,5.95,6,6.45,6.5,6.55,6.63,6.7,6.75,6.8},{0,10,20,30,40,50,60,62,64,66,68,70,72,74,76,78,80,85,90,95,100})</f>
        <v>80</v>
      </c>
      <c r="T64" s="5"/>
      <c r="U64" s="5"/>
      <c r="V64" s="5">
        <f t="shared" si="18"/>
        <v>80</v>
      </c>
      <c r="W64" s="5"/>
      <c r="X64" s="13">
        <f t="shared" si="16"/>
        <v>59</v>
      </c>
      <c r="Y64" s="13">
        <f t="shared" si="19"/>
        <v>84.2857142857143</v>
      </c>
    </row>
    <row r="65" ht="15.6" hidden="1" outlineLevel="2" spans="1:25">
      <c r="A65" s="5">
        <v>302</v>
      </c>
      <c r="B65" s="5">
        <v>22</v>
      </c>
      <c r="C65" s="5" t="s">
        <v>82</v>
      </c>
      <c r="D65" s="5" t="s">
        <v>12</v>
      </c>
      <c r="E65" s="5">
        <v>15</v>
      </c>
      <c r="F65" s="7">
        <f>LOOKUP(E65,{0,-1.8,-0.8,0.2,1.2,2.2,3.2,4.6,6,7.4,8.8,10.2,11.6,13,14.4,15.8,17.2,19.1,21,22.8,24.6},{0,10,20,30,40,50,60,62,64,66,68,70,72,74,76,78,80,85,90,95,100})</f>
        <v>76</v>
      </c>
      <c r="G65" s="5">
        <v>215</v>
      </c>
      <c r="H65" s="7">
        <f>LOOKUP(G65,{0,180,185,190,195,200,205,209,213,217,221,225,229,233,237,241,245,253,260,265,270},{0,10,20,30,40,50,60,62,64,66,68,70,72,74,76,78,80,85,90,95,100})</f>
        <v>64</v>
      </c>
      <c r="I65" s="5">
        <v>8</v>
      </c>
      <c r="J65" s="7">
        <f>LOOKUP(I65,{0,4,5,6,7,8,9,10,11,12,13,14,15,16,17,18},{0,10,20,30,40,50,60,64,68,72,76,80,85,90,95,100})</f>
        <v>50</v>
      </c>
      <c r="K65" s="5"/>
      <c r="L65" s="5"/>
      <c r="M65" s="5">
        <f t="shared" si="12"/>
        <v>50</v>
      </c>
      <c r="N65" s="5">
        <v>7.6</v>
      </c>
      <c r="O65" s="10">
        <f t="shared" si="13"/>
        <v>10.4</v>
      </c>
      <c r="P65" s="7">
        <f>LOOKUP(O65,{0,7.8,8,8.2,8.4,8.6,8.8,9,9.2,9.4,9.6,9.8,10,10.2,10.4,10.6,10.8,10.9,11,11.1,11.2},{0,10,20,30,40,50,60,62,64,66,68,70,72,74,76,78,80,85,90,95,100})</f>
        <v>76</v>
      </c>
      <c r="Q65" s="5">
        <v>4.42</v>
      </c>
      <c r="R65" s="10">
        <f t="shared" si="14"/>
        <v>5.58</v>
      </c>
      <c r="S65" s="7">
        <f>LOOKUP(R65,{0,3.85,4.45,4.65,4.85,5.45,5.65,5.7,5.75,5.8,5.85,5.9,5.95,6,6.45,6.5,6.55,6.63,6.7,6.75,6.8},{0,10,20,30,40,50,60,62,64,66,68,70,72,74,76,78,80,85,90,95,100})</f>
        <v>50</v>
      </c>
      <c r="T65" s="5"/>
      <c r="U65" s="5"/>
      <c r="V65" s="5">
        <f t="shared" si="18"/>
        <v>50</v>
      </c>
      <c r="W65" s="5"/>
      <c r="X65" s="13">
        <f t="shared" si="16"/>
        <v>44.2</v>
      </c>
      <c r="Y65" s="13">
        <f t="shared" si="19"/>
        <v>63.1428571428572</v>
      </c>
    </row>
    <row r="66" ht="15.6" hidden="1" outlineLevel="2" spans="1:25">
      <c r="A66" s="5">
        <v>302</v>
      </c>
      <c r="B66" s="5">
        <v>23</v>
      </c>
      <c r="C66" s="5" t="s">
        <v>83</v>
      </c>
      <c r="D66" s="5" t="s">
        <v>12</v>
      </c>
      <c r="E66" s="5">
        <v>2.5</v>
      </c>
      <c r="F66" s="7">
        <f>LOOKUP(E66,{0,-1.8,-0.8,0.2,1.2,2.2,3.2,4.6,6,7.4,8.8,10.2,11.6,13,14.4,15.8,17.2,19.1,21,22.8,24.6},{0,10,20,30,40,50,60,62,64,66,68,70,72,74,76,78,80,85,90,95,100})</f>
        <v>50</v>
      </c>
      <c r="G66" s="5">
        <v>225</v>
      </c>
      <c r="H66" s="7">
        <f>LOOKUP(G66,{0,180,185,190,195,200,205,209,213,217,221,225,229,233,237,241,245,253,260,265,270},{0,10,20,30,40,50,60,62,64,66,68,70,72,74,76,78,80,85,90,95,100})</f>
        <v>70</v>
      </c>
      <c r="I66" s="5">
        <v>1</v>
      </c>
      <c r="J66" s="7">
        <f>LOOKUP(I66,{0,4,5,6,7,8,9,10,11,12,13,14,15,16,17,18},{0,10,20,30,40,50,60,64,68,72,76,80,85,90,95,100})</f>
        <v>0</v>
      </c>
      <c r="K66" s="5"/>
      <c r="L66" s="5"/>
      <c r="M66" s="5">
        <f t="shared" si="12"/>
        <v>0</v>
      </c>
      <c r="N66" s="5">
        <v>7.3</v>
      </c>
      <c r="O66" s="10">
        <f t="shared" si="13"/>
        <v>10.7</v>
      </c>
      <c r="P66" s="7">
        <f>LOOKUP(O66,{0,7.8,8,8.2,8.4,8.6,8.8,9,9.2,9.4,9.6,9.8,10,10.2,10.4,10.6,10.8,10.9,11,11.1,11.2},{0,10,20,30,40,50,60,62,64,66,68,70,72,74,76,78,80,85,90,95,100})</f>
        <v>78</v>
      </c>
      <c r="Q66" s="5" t="s">
        <v>77</v>
      </c>
      <c r="R66" s="10" t="e">
        <f t="shared" si="14"/>
        <v>#VALUE!</v>
      </c>
      <c r="S66" s="7"/>
      <c r="T66" s="5"/>
      <c r="U66" s="5"/>
      <c r="V66" s="5"/>
      <c r="W66" s="14">
        <v>50</v>
      </c>
      <c r="X66" s="13">
        <f t="shared" si="16"/>
        <v>27.6</v>
      </c>
      <c r="Y66" s="13">
        <v>50</v>
      </c>
    </row>
    <row r="67" ht="15.6" hidden="1" outlineLevel="2" spans="1:25">
      <c r="A67" s="5">
        <v>302</v>
      </c>
      <c r="B67" s="5">
        <v>24</v>
      </c>
      <c r="C67" s="5" t="s">
        <v>84</v>
      </c>
      <c r="D67" s="5" t="s">
        <v>12</v>
      </c>
      <c r="E67" s="5">
        <v>7</v>
      </c>
      <c r="F67" s="7">
        <f>LOOKUP(E67,{0,-1.8,-0.8,0.2,1.2,2.2,3.2,4.6,6,7.4,8.8,10.2,11.6,13,14.4,15.8,17.2,19.1,21,22.8,24.6},{0,10,20,30,40,50,60,62,64,66,68,70,72,74,76,78,80,85,90,95,100})</f>
        <v>64</v>
      </c>
      <c r="G67" s="5">
        <v>217</v>
      </c>
      <c r="H67" s="7">
        <f>LOOKUP(G67,{0,180,185,190,195,200,205,209,213,217,221,225,229,233,237,241,245,253,260,265,270},{0,10,20,30,40,50,60,62,64,66,68,70,72,74,76,78,80,85,90,95,100})</f>
        <v>66</v>
      </c>
      <c r="I67" s="5">
        <v>9</v>
      </c>
      <c r="J67" s="7">
        <f>LOOKUP(I67,{0,4,5,6,7,8,9,10,11,12,13,14,15,16,17,18},{0,10,20,30,40,50,60,64,68,72,76,80,85,90,95,100})</f>
        <v>60</v>
      </c>
      <c r="K67" s="5"/>
      <c r="L67" s="5"/>
      <c r="M67" s="5">
        <f t="shared" si="12"/>
        <v>60</v>
      </c>
      <c r="N67" s="5">
        <v>7.4</v>
      </c>
      <c r="O67" s="10">
        <f t="shared" si="13"/>
        <v>10.6</v>
      </c>
      <c r="P67" s="7">
        <f>LOOKUP(O67,{0,7.8,8,8.2,8.4,8.6,8.8,9,9.2,9.4,9.6,9.8,10,10.2,10.4,10.6,10.8,10.9,11,11.1,11.2},{0,10,20,30,40,50,60,62,64,66,68,70,72,74,76,78,80,85,90,95,100})</f>
        <v>78</v>
      </c>
      <c r="Q67" s="5">
        <v>4.35</v>
      </c>
      <c r="R67" s="10">
        <f t="shared" si="14"/>
        <v>5.65</v>
      </c>
      <c r="S67" s="7">
        <f>LOOKUP(R67,{0,3.85,4.45,4.65,4.85,5.45,5.65,5.7,5.75,5.8,5.85,5.9,5.95,6,6.45,6.5,6.55,6.63,6.7,6.75,6.8},{0,10,20,30,40,50,60,62,64,66,68,70,72,74,76,78,80,85,90,95,100})</f>
        <v>60</v>
      </c>
      <c r="T67" s="5"/>
      <c r="U67" s="5"/>
      <c r="V67" s="5">
        <f t="shared" ref="V67:V70" si="20">S67+U67</f>
        <v>60</v>
      </c>
      <c r="W67" s="5"/>
      <c r="X67" s="13">
        <f t="shared" si="16"/>
        <v>46.6</v>
      </c>
      <c r="Y67" s="13">
        <f t="shared" ref="Y67:Y70" si="21">X67/0.7+L67+U67</f>
        <v>66.5714285714286</v>
      </c>
    </row>
    <row r="68" ht="15.6" hidden="1" outlineLevel="2" spans="1:25">
      <c r="A68" s="5">
        <v>302</v>
      </c>
      <c r="B68" s="5">
        <v>25</v>
      </c>
      <c r="C68" s="5" t="s">
        <v>85</v>
      </c>
      <c r="D68" s="5" t="s">
        <v>12</v>
      </c>
      <c r="E68" s="5">
        <v>-6.5</v>
      </c>
      <c r="F68" s="7">
        <v>0</v>
      </c>
      <c r="G68" s="5">
        <v>200</v>
      </c>
      <c r="H68" s="7">
        <f>LOOKUP(G68,{0,180,185,190,195,200,205,209,213,217,221,225,229,233,237,241,245,253,260,265,270},{0,10,20,30,40,50,60,62,64,66,68,70,72,74,76,78,80,85,90,95,100})</f>
        <v>50</v>
      </c>
      <c r="I68" s="5">
        <v>11</v>
      </c>
      <c r="J68" s="7">
        <f>LOOKUP(I68,{0,4,5,6,7,8,9,10,11,12,13,14,15,16,17,18},{0,10,20,30,40,50,60,64,68,72,76,80,85,90,95,100})</f>
        <v>68</v>
      </c>
      <c r="K68" s="5"/>
      <c r="L68" s="5"/>
      <c r="M68" s="5">
        <f t="shared" si="12"/>
        <v>68</v>
      </c>
      <c r="N68" s="5">
        <v>8.1</v>
      </c>
      <c r="O68" s="10">
        <f t="shared" si="13"/>
        <v>9.9</v>
      </c>
      <c r="P68" s="7">
        <f>LOOKUP(O68,{0,7.8,8,8.2,8.4,8.6,8.8,9,9.2,9.4,9.6,9.8,10,10.2,10.4,10.6,10.8,10.9,11,11.1,11.2},{0,10,20,30,40,50,60,62,64,66,68,70,72,74,76,78,80,85,90,95,100})</f>
        <v>70</v>
      </c>
      <c r="Q68" s="5">
        <v>4.21</v>
      </c>
      <c r="R68" s="10">
        <f t="shared" si="14"/>
        <v>5.79</v>
      </c>
      <c r="S68" s="7">
        <f>LOOKUP(R68,{0,3.85,4.45,4.65,4.85,5.45,5.65,5.7,5.75,5.8,5.85,5.9,5.95,6,6.45,6.5,6.55,6.63,6.7,6.75,6.8},{0,10,20,30,40,50,60,62,64,66,68,70,72,74,76,78,80,85,90,95,100})</f>
        <v>64</v>
      </c>
      <c r="T68" s="5"/>
      <c r="U68" s="5"/>
      <c r="V68" s="5">
        <f t="shared" si="20"/>
        <v>64</v>
      </c>
      <c r="W68" s="5"/>
      <c r="X68" s="13">
        <f t="shared" si="16"/>
        <v>38.6</v>
      </c>
      <c r="Y68" s="13">
        <f t="shared" si="21"/>
        <v>55.1428571428571</v>
      </c>
    </row>
    <row r="69" ht="15.6" hidden="1" outlineLevel="2" spans="1:25">
      <c r="A69" s="5">
        <v>302</v>
      </c>
      <c r="B69" s="5">
        <v>26</v>
      </c>
      <c r="C69" s="5" t="s">
        <v>86</v>
      </c>
      <c r="D69" s="5" t="s">
        <v>12</v>
      </c>
      <c r="E69" s="5">
        <v>1</v>
      </c>
      <c r="F69" s="7">
        <f>LOOKUP(E69,{0,-1.8,-0.8,0.2,1.2,2.2,3.2,4.6,6,7.4,8.8,10.2,11.6,13,14.4,15.8,17.2,19.1,21,22.8,24.6},{0,10,20,30,40,50,60,62,64,66,68,70,72,74,76,78,80,85,90,95,100})</f>
        <v>30</v>
      </c>
      <c r="G69" s="5">
        <v>210</v>
      </c>
      <c r="H69" s="7">
        <f>LOOKUP(G69,{0,180,185,190,195,200,205,209,213,217,221,225,229,233,237,241,245,253,260,265,270},{0,10,20,30,40,50,60,62,64,66,68,70,72,74,76,78,80,85,90,95,100})</f>
        <v>62</v>
      </c>
      <c r="I69" s="5">
        <v>1</v>
      </c>
      <c r="J69" s="7">
        <f>LOOKUP(I69,{0,4,5,6,7,8,9,10,11,12,13,14,15,16,17,18},{0,10,20,30,40,50,60,64,68,72,76,80,85,90,95,100})</f>
        <v>0</v>
      </c>
      <c r="K69" s="5"/>
      <c r="L69" s="5"/>
      <c r="M69" s="5">
        <f t="shared" si="12"/>
        <v>0</v>
      </c>
      <c r="N69" s="5">
        <v>8.1</v>
      </c>
      <c r="O69" s="10">
        <f t="shared" si="13"/>
        <v>9.9</v>
      </c>
      <c r="P69" s="7">
        <f>LOOKUP(O69,{0,7.8,8,8.2,8.4,8.6,8.8,9,9.2,9.4,9.6,9.8,10,10.2,10.4,10.6,10.8,10.9,11,11.1,11.2},{0,10,20,30,40,50,60,62,64,66,68,70,72,74,76,78,80,85,90,95,100})</f>
        <v>70</v>
      </c>
      <c r="Q69" s="5">
        <v>4.16</v>
      </c>
      <c r="R69" s="10">
        <f t="shared" si="14"/>
        <v>5.84</v>
      </c>
      <c r="S69" s="7">
        <f>LOOKUP(R69,{0,3.85,4.45,4.65,4.85,5.45,5.65,5.7,5.75,5.8,5.85,5.9,5.95,6,6.45,6.5,6.55,6.63,6.7,6.75,6.8},{0,10,20,30,40,50,60,62,64,66,68,70,72,74,76,78,80,85,90,95,100})</f>
        <v>66</v>
      </c>
      <c r="T69" s="5"/>
      <c r="U69" s="5"/>
      <c r="V69" s="5">
        <f t="shared" si="20"/>
        <v>66</v>
      </c>
      <c r="W69" s="5"/>
      <c r="X69" s="13">
        <f t="shared" si="16"/>
        <v>36.4</v>
      </c>
      <c r="Y69" s="13">
        <f t="shared" si="21"/>
        <v>52</v>
      </c>
    </row>
    <row r="70" ht="15.6" hidden="1" outlineLevel="2" spans="1:25">
      <c r="A70" s="5">
        <v>302</v>
      </c>
      <c r="B70" s="5">
        <v>27</v>
      </c>
      <c r="C70" s="5" t="s">
        <v>87</v>
      </c>
      <c r="D70" s="5" t="s">
        <v>12</v>
      </c>
      <c r="E70" s="5">
        <v>23</v>
      </c>
      <c r="F70" s="7">
        <f>LOOKUP(E70,{0,-1.8,-0.8,0.2,1.2,2.2,3.2,4.6,6,7.4,8.8,10.2,11.6,13,14.4,15.8,17.2,19.1,21,22.8,24.6},{0,10,20,30,40,50,60,62,64,66,68,70,72,74,76,78,80,85,90,95,100})</f>
        <v>95</v>
      </c>
      <c r="G70" s="5">
        <v>223</v>
      </c>
      <c r="H70" s="7">
        <f>LOOKUP(G70,{0,180,185,190,195,200,205,209,213,217,221,225,229,233,237,241,245,253,260,265,270},{0,10,20,30,40,50,60,62,64,66,68,70,72,74,76,78,80,85,90,95,100})</f>
        <v>68</v>
      </c>
      <c r="I70" s="5">
        <v>6</v>
      </c>
      <c r="J70" s="7">
        <f>LOOKUP(I70,{0,4,5,6,7,8,9,10,11,12,13,14,15,16,17,18},{0,10,20,30,40,50,60,64,68,72,76,80,85,90,95,100})</f>
        <v>30</v>
      </c>
      <c r="K70" s="5"/>
      <c r="L70" s="5"/>
      <c r="M70" s="5">
        <f t="shared" si="12"/>
        <v>30</v>
      </c>
      <c r="N70" s="5">
        <v>7.5</v>
      </c>
      <c r="O70" s="10">
        <f t="shared" si="13"/>
        <v>10.5</v>
      </c>
      <c r="P70" s="7">
        <f>LOOKUP(O70,{0,7.8,8,8.2,8.4,8.6,8.8,9,9.2,9.4,9.6,9.8,10,10.2,10.4,10.6,10.8,10.9,11,11.1,11.2},{0,10,20,30,40,50,60,62,64,66,68,70,72,74,76,78,80,85,90,95,100})</f>
        <v>76</v>
      </c>
      <c r="Q70" s="5">
        <v>4.22</v>
      </c>
      <c r="R70" s="10">
        <f t="shared" si="14"/>
        <v>5.78</v>
      </c>
      <c r="S70" s="7">
        <f>LOOKUP(R70,{0,3.85,4.45,4.65,4.85,5.45,5.65,5.7,5.75,5.8,5.85,5.9,5.95,6,6.45,6.5,6.55,6.63,6.7,6.75,6.8},{0,10,20,30,40,50,60,62,64,66,68,70,72,74,76,78,80,85,90,95,100})</f>
        <v>64</v>
      </c>
      <c r="T70" s="5"/>
      <c r="U70" s="5"/>
      <c r="V70" s="5">
        <f t="shared" si="20"/>
        <v>64</v>
      </c>
      <c r="W70" s="5"/>
      <c r="X70" s="13">
        <f t="shared" si="16"/>
        <v>47.3</v>
      </c>
      <c r="Y70" s="13">
        <f t="shared" si="21"/>
        <v>67.5714285714286</v>
      </c>
    </row>
    <row r="71" ht="15.6" hidden="1" outlineLevel="2" spans="1:25">
      <c r="A71" s="5">
        <v>302</v>
      </c>
      <c r="B71" s="5">
        <v>28</v>
      </c>
      <c r="C71" s="5" t="s">
        <v>88</v>
      </c>
      <c r="D71" s="5" t="s">
        <v>12</v>
      </c>
      <c r="E71" s="5">
        <v>15</v>
      </c>
      <c r="F71" s="7">
        <f>LOOKUP(E71,{0,-1.8,-0.8,0.2,1.2,2.2,3.2,4.6,6,7.4,8.8,10.2,11.6,13,14.4,15.8,17.2,19.1,21,22.8,24.6},{0,10,20,30,40,50,60,62,64,66,68,70,72,74,76,78,80,85,90,95,100})</f>
        <v>76</v>
      </c>
      <c r="G71" s="5">
        <v>200</v>
      </c>
      <c r="H71" s="7">
        <f>LOOKUP(G71,{0,180,185,190,195,200,205,209,213,217,221,225,229,233,237,241,245,253,260,265,270},{0,10,20,30,40,50,60,62,64,66,68,70,72,74,76,78,80,85,90,95,100})</f>
        <v>50</v>
      </c>
      <c r="I71" s="5">
        <v>1</v>
      </c>
      <c r="J71" s="7">
        <f>LOOKUP(I71,{0,4,5,6,7,8,9,10,11,12,13,14,15,16,17,18},{0,10,20,30,40,50,60,64,68,72,76,80,85,90,95,100})</f>
        <v>0</v>
      </c>
      <c r="K71" s="5"/>
      <c r="L71" s="5"/>
      <c r="M71" s="5">
        <f t="shared" si="12"/>
        <v>0</v>
      </c>
      <c r="N71" s="5">
        <v>8.5</v>
      </c>
      <c r="O71" s="10">
        <f t="shared" si="13"/>
        <v>9.5</v>
      </c>
      <c r="P71" s="7">
        <f>LOOKUP(O71,{0,7.8,8,8.2,8.4,8.6,8.8,9,9.2,9.4,9.6,9.8,10,10.2,10.4,10.6,10.8,10.9,11,11.1,11.2},{0,10,20,30,40,50,60,62,64,66,68,70,72,74,76,78,80,85,90,95,100})</f>
        <v>66</v>
      </c>
      <c r="Q71" s="5" t="s">
        <v>77</v>
      </c>
      <c r="R71" s="10" t="e">
        <f t="shared" si="14"/>
        <v>#VALUE!</v>
      </c>
      <c r="S71" s="7"/>
      <c r="T71" s="5"/>
      <c r="U71" s="5"/>
      <c r="V71" s="5"/>
      <c r="W71" s="14">
        <v>50</v>
      </c>
      <c r="X71" s="13">
        <f t="shared" si="16"/>
        <v>25.8</v>
      </c>
      <c r="Y71" s="13">
        <v>50</v>
      </c>
    </row>
    <row r="72" ht="15.6" hidden="1" outlineLevel="2" spans="1:25">
      <c r="A72" s="5">
        <v>302</v>
      </c>
      <c r="B72" s="5">
        <v>29</v>
      </c>
      <c r="C72" s="5" t="s">
        <v>89</v>
      </c>
      <c r="D72" s="5" t="s">
        <v>12</v>
      </c>
      <c r="E72" s="5">
        <v>14.5</v>
      </c>
      <c r="F72" s="7">
        <f>LOOKUP(E72,{0,-1.8,-0.8,0.2,1.2,2.2,3.2,4.6,6,7.4,8.8,10.2,11.6,13,14.4,15.8,17.2,19.1,21,22.8,24.6},{0,10,20,30,40,50,60,62,64,66,68,70,72,74,76,78,80,85,90,95,100})</f>
        <v>76</v>
      </c>
      <c r="G72" s="5">
        <v>230</v>
      </c>
      <c r="H72" s="7">
        <f>LOOKUP(G72,{0,180,185,190,195,200,205,209,213,217,221,225,229,233,237,241,245,253,260,265,270},{0,10,20,30,40,50,60,62,64,66,68,70,72,74,76,78,80,85,90,95,100})</f>
        <v>72</v>
      </c>
      <c r="I72" s="5">
        <v>4</v>
      </c>
      <c r="J72" s="7">
        <f>LOOKUP(I72,{0,4,5,6,7,8,9,10,11,12,13,14,15,16,17,18},{0,10,20,30,40,50,60,64,68,72,76,80,85,90,95,100})</f>
        <v>10</v>
      </c>
      <c r="K72" s="5"/>
      <c r="L72" s="5"/>
      <c r="M72" s="5">
        <f t="shared" si="12"/>
        <v>10</v>
      </c>
      <c r="N72" s="5">
        <v>9.3</v>
      </c>
      <c r="O72" s="10">
        <f t="shared" si="13"/>
        <v>8.7</v>
      </c>
      <c r="P72" s="7">
        <f>LOOKUP(O72,{0,7.8,8,8.2,8.4,8.6,8.8,9,9.2,9.4,9.6,9.8,10,10.2,10.4,10.6,10.8,10.9,11,11.1,11.2},{0,10,20,30,40,50,60,62,64,66,68,70,72,74,76,78,80,85,90,95,100})</f>
        <v>50</v>
      </c>
      <c r="Q72" s="5">
        <v>4.38</v>
      </c>
      <c r="R72" s="10">
        <f t="shared" si="14"/>
        <v>5.62</v>
      </c>
      <c r="S72" s="7">
        <f>LOOKUP(R72,{0,3.85,4.45,4.65,4.85,5.45,5.65,5.7,5.75,5.8,5.85,5.9,5.95,6,6.45,6.5,6.55,6.63,6.7,6.75,6.8},{0,10,20,30,40,50,60,62,64,66,68,70,72,74,76,78,80,85,90,95,100})</f>
        <v>50</v>
      </c>
      <c r="T72" s="5"/>
      <c r="U72" s="5"/>
      <c r="V72" s="5">
        <f t="shared" ref="V72:V76" si="22">S72+U72</f>
        <v>50</v>
      </c>
      <c r="W72" s="5"/>
      <c r="X72" s="13">
        <f t="shared" si="16"/>
        <v>35.8</v>
      </c>
      <c r="Y72" s="13">
        <f t="shared" ref="Y72:Y76" si="23">X72/0.7+L72+U72</f>
        <v>51.1428571428571</v>
      </c>
    </row>
    <row r="73" ht="15.6" hidden="1" outlineLevel="2" spans="1:25">
      <c r="A73" s="5">
        <v>302</v>
      </c>
      <c r="B73" s="5">
        <v>30</v>
      </c>
      <c r="C73" s="5" t="s">
        <v>90</v>
      </c>
      <c r="D73" s="5" t="s">
        <v>12</v>
      </c>
      <c r="E73" s="5">
        <v>2</v>
      </c>
      <c r="F73" s="7">
        <f>LOOKUP(E73,{0,-1.8,-0.8,0.2,1.2,2.2,3.2,4.6,6,7.4,8.8,10.2,11.6,13,14.4,15.8,17.2,19.1,21,22.8,24.6},{0,10,20,30,40,50,60,62,64,66,68,70,72,74,76,78,80,85,90,95,100})</f>
        <v>40</v>
      </c>
      <c r="G73" s="5">
        <v>195</v>
      </c>
      <c r="H73" s="7">
        <f>LOOKUP(G73,{0,180,185,190,195,200,205,209,213,217,221,225,229,233,237,241,245,253,260,265,270},{0,10,20,30,40,50,60,62,64,66,68,70,72,74,76,78,80,85,90,95,100})</f>
        <v>40</v>
      </c>
      <c r="I73" s="5">
        <v>0</v>
      </c>
      <c r="J73" s="7">
        <f>LOOKUP(I73,{0,4,5,6,7,8,9,10,11,12,13,14,15,16,17,18},{0,10,20,30,40,50,60,64,68,72,76,80,85,90,95,100})</f>
        <v>0</v>
      </c>
      <c r="K73" s="5"/>
      <c r="L73" s="5"/>
      <c r="M73" s="5">
        <f t="shared" si="12"/>
        <v>0</v>
      </c>
      <c r="N73" s="5">
        <v>14.8</v>
      </c>
      <c r="O73" s="10">
        <f t="shared" si="13"/>
        <v>3.2</v>
      </c>
      <c r="P73" s="7">
        <f>LOOKUP(O73,{0,7.8,8,8.2,8.4,8.6,8.8,9,9.2,9.4,9.6,9.8,10,10.2,10.4,10.6,10.8,10.9,11,11.1,11.2},{0,10,20,30,40,50,60,62,64,66,68,70,72,74,76,78,80,85,90,95,100})</f>
        <v>0</v>
      </c>
      <c r="Q73" s="5" t="s">
        <v>77</v>
      </c>
      <c r="R73" s="10" t="e">
        <f t="shared" si="14"/>
        <v>#VALUE!</v>
      </c>
      <c r="S73" s="7"/>
      <c r="T73" s="5"/>
      <c r="U73" s="5"/>
      <c r="V73" s="5"/>
      <c r="W73" s="14">
        <v>50</v>
      </c>
      <c r="X73" s="13">
        <f t="shared" si="16"/>
        <v>8</v>
      </c>
      <c r="Y73" s="13">
        <v>50</v>
      </c>
    </row>
    <row r="74" ht="15.6" hidden="1" outlineLevel="2" spans="1:25">
      <c r="A74" s="5">
        <v>302</v>
      </c>
      <c r="B74" s="5">
        <v>31</v>
      </c>
      <c r="C74" s="6" t="s">
        <v>92</v>
      </c>
      <c r="D74" s="5" t="s">
        <v>46</v>
      </c>
      <c r="E74" s="5">
        <v>19</v>
      </c>
      <c r="F74" s="7">
        <f>LOOKUP(E74,{0,1.5,2.3,3.1,3.9,4.7,5.5,6.8,8.1,9.4,10.7,12,13.3,14.6,15.9,17.2,18.5,20.2,21.9,23.6,25.3},{0,10,20,30,40,50,60,62,64,66,68,70,72,74,76,78,80,85,90,95,100})</f>
        <v>80</v>
      </c>
      <c r="G74" s="5">
        <v>185</v>
      </c>
      <c r="H74" s="7">
        <f>LOOKUP(G74,{0,125,130,135,140,145,150,153,156,159,162,165,168,171,174,177,180,187,194,200,206},{0,10,20,30,40,50,60,62,64,66,68,70,72,74,76,78,80,85,90,95,100})</f>
        <v>80</v>
      </c>
      <c r="I74" s="5" t="s">
        <v>77</v>
      </c>
      <c r="J74" s="7"/>
      <c r="K74" s="5"/>
      <c r="L74" s="5"/>
      <c r="M74" s="5"/>
      <c r="N74" s="5" t="s">
        <v>77</v>
      </c>
      <c r="O74" s="5"/>
      <c r="P74" s="5"/>
      <c r="Q74" s="5" t="s">
        <v>77</v>
      </c>
      <c r="R74" s="5"/>
      <c r="S74" s="5"/>
      <c r="T74" s="5"/>
      <c r="U74" s="5"/>
      <c r="V74" s="5"/>
      <c r="W74" s="14">
        <v>50</v>
      </c>
      <c r="X74" s="13">
        <f t="shared" si="16"/>
        <v>16</v>
      </c>
      <c r="Y74" s="13">
        <v>50</v>
      </c>
    </row>
    <row r="75" ht="15.6" hidden="1" outlineLevel="2" spans="1:25">
      <c r="A75" s="5">
        <v>302</v>
      </c>
      <c r="B75" s="5">
        <v>32</v>
      </c>
      <c r="C75" s="5" t="s">
        <v>93</v>
      </c>
      <c r="D75" s="5" t="s">
        <v>46</v>
      </c>
      <c r="E75" s="5">
        <v>17</v>
      </c>
      <c r="F75" s="7">
        <f>LOOKUP(E75,{0,1.5,2.3,3.1,3.9,4.7,5.5,6.8,8.1,9.4,10.7,12,13.3,14.6,15.9,17.2,18.5,20.2,21.9,23.6,25.3},{0,10,20,30,40,50,60,62,64,66,68,70,72,74,76,78,80,85,90,95,100})</f>
        <v>76</v>
      </c>
      <c r="G75" s="5">
        <v>185</v>
      </c>
      <c r="H75" s="7">
        <f>LOOKUP(G75,{0,125,130,135,140,145,150,153,156,159,162,165,168,171,174,177,180,187,194,200,206},{0,10,20,30,40,50,60,62,64,66,68,70,72,74,76,78,80,85,90,95,100})</f>
        <v>80</v>
      </c>
      <c r="I75" s="5">
        <v>46</v>
      </c>
      <c r="J75" s="7">
        <f>LOOKUP(I75,{0,15,17,19,21,23,25,27,29,31,33,35,37,39,41,43,45,48,51,53,55},{0,10,20,30,40,50,60,62,64,66,68,70,72,74,76,78,80,85,90,95,100})</f>
        <v>80</v>
      </c>
      <c r="K75" s="5"/>
      <c r="L75" s="5"/>
      <c r="M75" s="5">
        <f t="shared" ref="M75:M92" si="24">J75+L75</f>
        <v>80</v>
      </c>
      <c r="N75" s="5">
        <v>8.5</v>
      </c>
      <c r="O75" s="10">
        <f t="shared" ref="O75:O92" si="25">18-N75</f>
        <v>9.5</v>
      </c>
      <c r="P75" s="7">
        <f>LOOKUP(O75,{0,6.6,6.8,7,7.2,7.4,7.6,7.8,8,8.2,8.4,8.6,8.8,9,9.2,9.4,9.6,9.9,10.2,10.3,10.4},{0,10,20,30,40,50,60,62,64,66,68,70,72,74,76,78,80,85,90,95,100})</f>
        <v>78</v>
      </c>
      <c r="Q75" s="5">
        <v>3.33</v>
      </c>
      <c r="R75" s="10">
        <f t="shared" ref="R75:R82" si="26">10-Q75</f>
        <v>6.67</v>
      </c>
      <c r="S75" s="7">
        <f>LOOKUP(R75,{0,4.74,4.84,4.94,5.44,5.54,5.64,5.69,5.74,5.79,5.84,5.89,5.94,5.99,6.44,6.49,6.54,6.61,6.68,6.74,6.8},{0,10,20,30,40,50,60,62,64,66,68,70,72,74,76,78,80,85,90,95,100})</f>
        <v>85</v>
      </c>
      <c r="T75" s="5"/>
      <c r="U75" s="5"/>
      <c r="V75" s="5">
        <f t="shared" si="22"/>
        <v>85</v>
      </c>
      <c r="W75" s="5"/>
      <c r="X75" s="13">
        <f t="shared" si="16"/>
        <v>56.2</v>
      </c>
      <c r="Y75" s="13">
        <f t="shared" si="23"/>
        <v>80.2857142857143</v>
      </c>
    </row>
    <row r="76" ht="15.6" hidden="1" outlineLevel="2" spans="1:25">
      <c r="A76" s="5">
        <v>302</v>
      </c>
      <c r="B76" s="5">
        <v>33</v>
      </c>
      <c r="C76" s="5" t="s">
        <v>94</v>
      </c>
      <c r="D76" s="5" t="s">
        <v>46</v>
      </c>
      <c r="E76" s="5">
        <v>17</v>
      </c>
      <c r="F76" s="7">
        <f>LOOKUP(E76,{0,1.5,2.3,3.1,3.9,4.7,5.5,6.8,8.1,9.4,10.7,12,13.3,14.6,15.9,17.2,18.5,20.2,21.9,23.6,25.3},{0,10,20,30,40,50,60,62,64,66,68,70,72,74,76,78,80,85,90,95,100})</f>
        <v>76</v>
      </c>
      <c r="G76" s="5">
        <v>180</v>
      </c>
      <c r="H76" s="7">
        <f>LOOKUP(G76,{0,125,130,135,140,145,150,153,156,159,162,165,168,171,174,177,180,187,194,200,206},{0,10,20,30,40,50,60,62,64,66,68,70,72,74,76,78,80,85,90,95,100})</f>
        <v>80</v>
      </c>
      <c r="I76" s="5">
        <v>58</v>
      </c>
      <c r="J76" s="7">
        <f>LOOKUP(I76,{0,15,17,19,21,23,25,27,29,31,33,35,37,39,41,43,45,48,51,53,55},{0,10,20,30,40,50,60,62,64,66,68,70,72,74,76,78,80,85,90,95,100})</f>
        <v>100</v>
      </c>
      <c r="K76" s="11">
        <f>I76-55</f>
        <v>3</v>
      </c>
      <c r="L76" s="7">
        <f>LOOKUP(K76,{0,2,4,6,7,8,9,10,11,12,13},{0,1,2,3,4,5,6,7,8,9,10})</f>
        <v>1</v>
      </c>
      <c r="M76" s="5">
        <f t="shared" si="24"/>
        <v>101</v>
      </c>
      <c r="N76" s="5">
        <v>8.7</v>
      </c>
      <c r="O76" s="10">
        <f t="shared" si="25"/>
        <v>9.3</v>
      </c>
      <c r="P76" s="7">
        <f>LOOKUP(O76,{0,6.6,6.8,7,7.2,7.4,7.6,7.8,8,8.2,8.4,8.6,8.8,9,9.2,9.4,9.6,9.9,10.2,10.3,10.4},{0,10,20,30,40,50,60,62,64,66,68,70,72,74,76,78,80,85,90,95,100})</f>
        <v>76</v>
      </c>
      <c r="Q76" s="5">
        <v>3.36</v>
      </c>
      <c r="R76" s="10">
        <f t="shared" si="26"/>
        <v>6.64</v>
      </c>
      <c r="S76" s="7">
        <f>LOOKUP(R76,{0,4.74,4.84,4.94,5.44,5.54,5.64,5.69,5.74,5.79,5.84,5.89,5.94,5.99,6.44,6.49,6.54,6.61,6.68,6.74,6.8},{0,10,20,30,40,50,60,62,64,66,68,70,72,74,76,78,80,85,90,95,100})</f>
        <v>85</v>
      </c>
      <c r="T76" s="5"/>
      <c r="U76" s="5"/>
      <c r="V76" s="5">
        <f t="shared" si="22"/>
        <v>85</v>
      </c>
      <c r="W76" s="5"/>
      <c r="X76" s="13">
        <f t="shared" si="16"/>
        <v>57.8</v>
      </c>
      <c r="Y76" s="13">
        <f t="shared" si="23"/>
        <v>83.5714285714286</v>
      </c>
    </row>
    <row r="77" ht="15.6" hidden="1" outlineLevel="2" spans="1:25">
      <c r="A77" s="5">
        <v>302</v>
      </c>
      <c r="B77" s="5">
        <v>34</v>
      </c>
      <c r="C77" s="5" t="s">
        <v>95</v>
      </c>
      <c r="D77" s="5" t="s">
        <v>46</v>
      </c>
      <c r="E77" s="5">
        <v>21.3</v>
      </c>
      <c r="F77" s="7">
        <f>LOOKUP(E77,{0,1.5,2.3,3.1,3.9,4.7,5.5,6.8,8.1,9.4,10.7,12,13.3,14.6,15.9,17.2,18.5,20.2,21.9,23.6,25.3},{0,10,20,30,40,50,60,62,64,66,68,70,72,74,76,78,80,85,90,95,100})</f>
        <v>85</v>
      </c>
      <c r="G77" s="5">
        <v>185</v>
      </c>
      <c r="H77" s="7">
        <f>LOOKUP(G77,{0,125,130,135,140,145,150,153,156,159,162,165,168,171,174,177,180,187,194,200,206},{0,10,20,30,40,50,60,62,64,66,68,70,72,74,76,78,80,85,90,95,100})</f>
        <v>80</v>
      </c>
      <c r="I77" s="5" t="s">
        <v>77</v>
      </c>
      <c r="J77" s="7"/>
      <c r="K77" s="5"/>
      <c r="L77" s="5"/>
      <c r="M77" s="5"/>
      <c r="N77" s="5" t="s">
        <v>77</v>
      </c>
      <c r="O77" s="5"/>
      <c r="P77" s="5"/>
      <c r="Q77" s="5" t="s">
        <v>77</v>
      </c>
      <c r="R77" s="5"/>
      <c r="S77" s="5"/>
      <c r="T77" s="5"/>
      <c r="U77" s="5"/>
      <c r="V77" s="5"/>
      <c r="W77" s="14">
        <v>50</v>
      </c>
      <c r="X77" s="13">
        <f t="shared" si="16"/>
        <v>16.5</v>
      </c>
      <c r="Y77" s="13">
        <v>50</v>
      </c>
    </row>
    <row r="78" ht="15.6" hidden="1" outlineLevel="2" spans="1:25">
      <c r="A78" s="5">
        <v>302</v>
      </c>
      <c r="B78" s="5">
        <v>35</v>
      </c>
      <c r="C78" s="5" t="s">
        <v>96</v>
      </c>
      <c r="D78" s="5" t="s">
        <v>46</v>
      </c>
      <c r="E78" s="5">
        <v>15</v>
      </c>
      <c r="F78" s="7">
        <f>LOOKUP(E78,{0,1.5,2.3,3.1,3.9,4.7,5.5,6.8,8.1,9.4,10.7,12,13.3,14.6,15.9,17.2,18.5,20.2,21.9,23.6,25.3},{0,10,20,30,40,50,60,62,64,66,68,70,72,74,76,78,80,85,90,95,100})</f>
        <v>74</v>
      </c>
      <c r="G78" s="5">
        <v>185</v>
      </c>
      <c r="H78" s="7">
        <f>LOOKUP(G78,{0,125,130,135,140,145,150,153,156,159,162,165,168,171,174,177,180,187,194,200,206},{0,10,20,30,40,50,60,62,64,66,68,70,72,74,76,78,80,85,90,95,100})</f>
        <v>80</v>
      </c>
      <c r="I78" s="5">
        <v>37</v>
      </c>
      <c r="J78" s="7">
        <f>LOOKUP(I78,{0,15,17,19,21,23,25,27,29,31,33,35,37,39,41,43,45,48,51,53,55},{0,10,20,30,40,50,60,62,64,66,68,70,72,74,76,78,80,85,90,95,100})</f>
        <v>72</v>
      </c>
      <c r="K78" s="5"/>
      <c r="L78" s="5"/>
      <c r="M78" s="5">
        <f t="shared" si="24"/>
        <v>72</v>
      </c>
      <c r="N78" s="5">
        <v>9</v>
      </c>
      <c r="O78" s="10">
        <f t="shared" si="25"/>
        <v>9</v>
      </c>
      <c r="P78" s="7">
        <f>LOOKUP(O78,{0,6.6,6.8,7,7.2,7.4,7.6,7.8,8,8.2,8.4,8.6,8.8,9,9.2,9.4,9.6,9.9,10.2,10.3,10.4},{0,10,20,30,40,50,60,62,64,66,68,70,72,74,76,78,80,85,90,95,100})</f>
        <v>74</v>
      </c>
      <c r="Q78" s="5">
        <v>3.57</v>
      </c>
      <c r="R78" s="10">
        <f t="shared" si="26"/>
        <v>6.43</v>
      </c>
      <c r="S78" s="7">
        <f>LOOKUP(R78,{0,4.74,4.84,4.94,5.44,5.54,5.64,5.69,5.74,5.79,5.84,5.89,5.94,5.99,6.44,6.49,6.54,6.61,6.68,6.74,6.8},{0,10,20,30,40,50,60,62,64,66,68,70,72,74,76,78,80,85,90,95,100})</f>
        <v>74</v>
      </c>
      <c r="T78" s="5"/>
      <c r="U78" s="5"/>
      <c r="V78" s="5">
        <f t="shared" ref="V78:V82" si="27">S78+U78</f>
        <v>74</v>
      </c>
      <c r="W78" s="5"/>
      <c r="X78" s="13">
        <f t="shared" si="16"/>
        <v>52.2</v>
      </c>
      <c r="Y78" s="13">
        <f t="shared" ref="Y78:Y83" si="28">X78/0.7+L78+U78</f>
        <v>74.5714285714286</v>
      </c>
    </row>
    <row r="79" ht="15.6" hidden="1" outlineLevel="2" spans="1:25">
      <c r="A79" s="5">
        <v>302</v>
      </c>
      <c r="B79" s="5">
        <v>36</v>
      </c>
      <c r="C79" s="5" t="s">
        <v>97</v>
      </c>
      <c r="D79" s="5" t="s">
        <v>46</v>
      </c>
      <c r="E79" s="5">
        <v>21</v>
      </c>
      <c r="F79" s="7">
        <f>LOOKUP(E79,{0,1.5,2.3,3.1,3.9,4.7,5.5,6.8,8.1,9.4,10.7,12,13.3,14.6,15.9,17.2,18.5,20.2,21.9,23.6,25.3},{0,10,20,30,40,50,60,62,64,66,68,70,72,74,76,78,80,85,90,95,100})</f>
        <v>85</v>
      </c>
      <c r="G79" s="5">
        <v>210</v>
      </c>
      <c r="H79" s="7">
        <f>LOOKUP(G79,{0,125,130,135,140,145,150,153,156,159,162,165,168,171,174,177,180,187,194,200,206},{0,10,20,30,40,50,60,62,64,66,68,70,72,74,76,78,80,85,90,95,100})</f>
        <v>100</v>
      </c>
      <c r="I79" s="5">
        <v>48</v>
      </c>
      <c r="J79" s="7">
        <f>LOOKUP(I79,{0,15,17,19,21,23,25,27,29,31,33,35,37,39,41,43,45,48,51,53,55},{0,10,20,30,40,50,60,62,64,66,68,70,72,74,76,78,80,85,90,95,100})</f>
        <v>85</v>
      </c>
      <c r="K79" s="5"/>
      <c r="L79" s="5"/>
      <c r="M79" s="5">
        <f t="shared" si="24"/>
        <v>85</v>
      </c>
      <c r="N79" s="5">
        <v>8.3</v>
      </c>
      <c r="O79" s="10">
        <f t="shared" si="25"/>
        <v>9.7</v>
      </c>
      <c r="P79" s="7">
        <f>LOOKUP(O79,{0,6.6,6.8,7,7.2,7.4,7.6,7.8,8,8.2,8.4,8.6,8.8,9,9.2,9.4,9.6,9.9,10.2,10.3,10.4},{0,10,20,30,40,50,60,62,64,66,68,70,72,74,76,78,80,85,90,95,100})</f>
        <v>80</v>
      </c>
      <c r="Q79" s="5">
        <v>3.39</v>
      </c>
      <c r="R79" s="10">
        <f t="shared" si="26"/>
        <v>6.61</v>
      </c>
      <c r="S79" s="7">
        <f>LOOKUP(R79,{0,4.74,4.84,4.94,5.44,5.54,5.64,5.69,5.74,5.79,5.84,5.89,5.94,5.99,6.44,6.49,6.54,6.61,6.68,6.74,6.8},{0,10,20,30,40,50,60,62,64,66,68,70,72,74,76,78,80,85,90,95,100})</f>
        <v>85</v>
      </c>
      <c r="T79" s="5"/>
      <c r="U79" s="5"/>
      <c r="V79" s="5">
        <f t="shared" si="27"/>
        <v>85</v>
      </c>
      <c r="W79" s="5"/>
      <c r="X79" s="13">
        <f t="shared" si="16"/>
        <v>60</v>
      </c>
      <c r="Y79" s="13">
        <f t="shared" si="28"/>
        <v>85.7142857142857</v>
      </c>
    </row>
    <row r="80" ht="15.6" hidden="1" outlineLevel="2" spans="1:25">
      <c r="A80" s="5">
        <v>302</v>
      </c>
      <c r="B80" s="5">
        <v>37</v>
      </c>
      <c r="C80" s="5" t="s">
        <v>98</v>
      </c>
      <c r="D80" s="5" t="s">
        <v>46</v>
      </c>
      <c r="E80" s="5">
        <v>18.5</v>
      </c>
      <c r="F80" s="7">
        <f>LOOKUP(E80,{0,1.5,2.3,3.1,3.9,4.7,5.5,6.8,8.1,9.4,10.7,12,13.3,14.6,15.9,17.2,18.5,20.2,21.9,23.6,25.3},{0,10,20,30,40,50,60,62,64,66,68,70,72,74,76,78,80,85,90,95,100})</f>
        <v>80</v>
      </c>
      <c r="G80" s="5">
        <v>147</v>
      </c>
      <c r="H80" s="7">
        <f>LOOKUP(G80,{0,125,130,135,140,145,150,153,156,159,162,165,168,171,174,177,180,187,194,200,206},{0,10,20,30,40,50,60,62,64,66,68,70,72,74,76,78,80,85,90,95,100})</f>
        <v>50</v>
      </c>
      <c r="I80" s="5">
        <v>39</v>
      </c>
      <c r="J80" s="7">
        <f>LOOKUP(I80,{0,15,17,19,21,23,25,27,29,31,33,35,37,39,41,43,45,48,51,53,55},{0,10,20,30,40,50,60,62,64,66,68,70,72,74,76,78,80,85,90,95,100})</f>
        <v>74</v>
      </c>
      <c r="K80" s="5"/>
      <c r="L80" s="5"/>
      <c r="M80" s="5">
        <f t="shared" si="24"/>
        <v>74</v>
      </c>
      <c r="N80" s="5">
        <v>9.5</v>
      </c>
      <c r="O80" s="10">
        <f t="shared" si="25"/>
        <v>8.5</v>
      </c>
      <c r="P80" s="7">
        <f>LOOKUP(O80,{0,6.6,6.8,7,7.2,7.4,7.6,7.8,8,8.2,8.4,8.6,8.8,9,9.2,9.4,9.6,9.9,10.2,10.3,10.4},{0,10,20,30,40,50,60,62,64,66,68,70,72,74,76,78,80,85,90,95,100})</f>
        <v>68</v>
      </c>
      <c r="Q80" s="5">
        <v>3.54</v>
      </c>
      <c r="R80" s="10">
        <f t="shared" si="26"/>
        <v>6.46</v>
      </c>
      <c r="S80" s="7">
        <f>LOOKUP(R80,{0,4.74,4.84,4.94,5.44,5.54,5.64,5.69,5.74,5.79,5.84,5.89,5.94,5.99,6.44,6.49,6.54,6.61,6.68,6.74,6.8},{0,10,20,30,40,50,60,62,64,66,68,70,72,74,76,78,80,85,90,95,100})</f>
        <v>76</v>
      </c>
      <c r="T80" s="5"/>
      <c r="U80" s="5"/>
      <c r="V80" s="5">
        <f t="shared" si="27"/>
        <v>76</v>
      </c>
      <c r="W80" s="5"/>
      <c r="X80" s="13">
        <f t="shared" si="16"/>
        <v>49.2</v>
      </c>
      <c r="Y80" s="13">
        <f t="shared" si="28"/>
        <v>70.2857142857143</v>
      </c>
    </row>
    <row r="81" ht="15.6" hidden="1" outlineLevel="2" spans="1:25">
      <c r="A81" s="5">
        <v>302</v>
      </c>
      <c r="B81" s="5">
        <v>38</v>
      </c>
      <c r="C81" s="5" t="s">
        <v>99</v>
      </c>
      <c r="D81" s="5" t="s">
        <v>46</v>
      </c>
      <c r="E81" s="5">
        <v>28.5</v>
      </c>
      <c r="F81" s="7">
        <f>LOOKUP(E81,{0,1.5,2.3,3.1,3.9,4.7,5.5,6.8,8.1,9.4,10.7,12,13.3,14.6,15.9,17.2,18.5,20.2,21.9,23.6,25.3},{0,10,20,30,40,50,60,62,64,66,68,70,72,74,76,78,80,85,90,95,100})</f>
        <v>100</v>
      </c>
      <c r="G81" s="5">
        <v>195</v>
      </c>
      <c r="H81" s="7">
        <f>LOOKUP(G81,{0,125,130,135,140,145,150,153,156,159,162,165,168,171,174,177,180,187,194,200,206},{0,10,20,30,40,50,60,62,64,66,68,70,72,74,76,78,80,85,90,95,100})</f>
        <v>90</v>
      </c>
      <c r="I81" s="5">
        <v>48</v>
      </c>
      <c r="J81" s="7">
        <f>LOOKUP(I81,{0,15,17,19,21,23,25,27,29,31,33,35,37,39,41,43,45,48,51,53,55},{0,10,20,30,40,50,60,62,64,66,68,70,72,74,76,78,80,85,90,95,100})</f>
        <v>85</v>
      </c>
      <c r="K81" s="5"/>
      <c r="L81" s="5"/>
      <c r="M81" s="5">
        <f t="shared" si="24"/>
        <v>85</v>
      </c>
      <c r="N81" s="5">
        <v>8.9</v>
      </c>
      <c r="O81" s="10">
        <f t="shared" si="25"/>
        <v>9.1</v>
      </c>
      <c r="P81" s="7">
        <f>LOOKUP(O81,{0,6.6,6.8,7,7.2,7.4,7.6,7.8,8,8.2,8.4,8.6,8.8,9,9.2,9.4,9.6,9.9,10.2,10.3,10.4},{0,10,20,30,40,50,60,62,64,66,68,70,72,74,76,78,80,85,90,95,100})</f>
        <v>74</v>
      </c>
      <c r="Q81" s="5">
        <v>3.56</v>
      </c>
      <c r="R81" s="10">
        <f t="shared" si="26"/>
        <v>6.44</v>
      </c>
      <c r="S81" s="7">
        <f>LOOKUP(R81,{0,4.74,4.84,4.94,5.44,5.54,5.64,5.69,5.74,5.79,5.84,5.89,5.94,5.99,6.44,6.49,6.54,6.61,6.68,6.74,6.8},{0,10,20,30,40,50,60,62,64,66,68,70,72,74,76,78,80,85,90,95,100})</f>
        <v>76</v>
      </c>
      <c r="T81" s="5"/>
      <c r="U81" s="5"/>
      <c r="V81" s="5">
        <f t="shared" si="27"/>
        <v>76</v>
      </c>
      <c r="W81" s="5"/>
      <c r="X81" s="13">
        <f t="shared" si="16"/>
        <v>57.5</v>
      </c>
      <c r="Y81" s="13">
        <f t="shared" si="28"/>
        <v>82.1428571428572</v>
      </c>
    </row>
    <row r="82" ht="15.6" hidden="1" outlineLevel="2" spans="1:25">
      <c r="A82" s="5">
        <v>302</v>
      </c>
      <c r="B82" s="5">
        <v>39</v>
      </c>
      <c r="C82" s="5" t="s">
        <v>100</v>
      </c>
      <c r="D82" s="5" t="s">
        <v>46</v>
      </c>
      <c r="E82" s="5">
        <v>18.5</v>
      </c>
      <c r="F82" s="7">
        <f>LOOKUP(E82,{0,1.5,2.3,3.1,3.9,4.7,5.5,6.8,8.1,9.4,10.7,12,13.3,14.6,15.9,17.2,18.5,20.2,21.9,23.6,25.3},{0,10,20,30,40,50,60,62,64,66,68,70,72,74,76,78,80,85,90,95,100})</f>
        <v>80</v>
      </c>
      <c r="G82" s="5">
        <v>208</v>
      </c>
      <c r="H82" s="7">
        <f>LOOKUP(G82,{0,125,130,135,140,145,150,153,156,159,162,165,168,171,174,177,180,187,194,200,206},{0,10,20,30,40,50,60,62,64,66,68,70,72,74,76,78,80,85,90,95,100})</f>
        <v>100</v>
      </c>
      <c r="I82" s="5">
        <v>44</v>
      </c>
      <c r="J82" s="7">
        <f>LOOKUP(I82,{0,15,17,19,21,23,25,27,29,31,33,35,37,39,41,43,45,48,51,53,55},{0,10,20,30,40,50,60,62,64,66,68,70,72,74,76,78,80,85,90,95,100})</f>
        <v>78</v>
      </c>
      <c r="K82" s="5"/>
      <c r="L82" s="5"/>
      <c r="M82" s="5">
        <f t="shared" si="24"/>
        <v>78</v>
      </c>
      <c r="N82" s="5">
        <v>8.6</v>
      </c>
      <c r="O82" s="10">
        <f t="shared" si="25"/>
        <v>9.4</v>
      </c>
      <c r="P82" s="7">
        <f>LOOKUP(O82,{0,6.6,6.8,7,7.2,7.4,7.6,7.8,8,8.2,8.4,8.6,8.8,9,9.2,9.4,9.6,9.9,10.2,10.3,10.4},{0,10,20,30,40,50,60,62,64,66,68,70,72,74,76,78,80,85,90,95,100})</f>
        <v>78</v>
      </c>
      <c r="Q82" s="5">
        <v>3.24</v>
      </c>
      <c r="R82" s="10">
        <f t="shared" si="26"/>
        <v>6.76</v>
      </c>
      <c r="S82" s="7">
        <f>LOOKUP(R82,{0,4.74,4.84,4.94,5.44,5.54,5.64,5.69,5.74,5.79,5.84,5.89,5.94,5.99,6.44,6.49,6.54,6.61,6.68,6.74,6.8},{0,10,20,30,40,50,60,62,64,66,68,70,72,74,76,78,80,85,90,95,100})</f>
        <v>95</v>
      </c>
      <c r="T82" s="5"/>
      <c r="U82" s="5"/>
      <c r="V82" s="5">
        <f t="shared" si="27"/>
        <v>95</v>
      </c>
      <c r="W82" s="5"/>
      <c r="X82" s="13">
        <f t="shared" si="16"/>
        <v>60.4</v>
      </c>
      <c r="Y82" s="13">
        <f t="shared" si="28"/>
        <v>86.2857142857143</v>
      </c>
    </row>
    <row r="83" ht="15.6" hidden="1" outlineLevel="2" spans="1:25">
      <c r="A83" s="5">
        <v>302</v>
      </c>
      <c r="B83" s="5">
        <v>40</v>
      </c>
      <c r="C83" s="5" t="s">
        <v>101</v>
      </c>
      <c r="D83" s="5" t="s">
        <v>46</v>
      </c>
      <c r="E83" s="5">
        <v>15</v>
      </c>
      <c r="F83" s="7">
        <f>LOOKUP(E83,{0,1.5,2.3,3.1,3.9,4.7,5.5,6.8,8.1,9.4,10.7,12,13.3,14.6,15.9,17.2,18.5,20.2,21.9,23.6,25.3},{0,10,20,30,40,50,60,62,64,66,68,70,72,74,76,78,80,85,90,95,100})</f>
        <v>74</v>
      </c>
      <c r="G83" s="5">
        <v>175</v>
      </c>
      <c r="H83" s="7">
        <f>LOOKUP(G83,{0,125,130,135,140,145,150,153,156,159,162,165,168,171,174,177,180,187,194,200,206},{0,10,20,30,40,50,60,62,64,66,68,70,72,74,76,78,80,85,90,95,100})</f>
        <v>76</v>
      </c>
      <c r="I83" s="5">
        <v>34</v>
      </c>
      <c r="J83" s="7">
        <f>LOOKUP(I83,{0,15,17,19,21,23,25,27,29,31,33,35,37,39,41,43,45,48,51,53,55},{0,10,20,30,40,50,60,62,64,66,68,70,72,74,76,78,80,85,90,95,100})</f>
        <v>68</v>
      </c>
      <c r="K83" s="5"/>
      <c r="L83" s="5"/>
      <c r="M83" s="5">
        <f t="shared" si="24"/>
        <v>68</v>
      </c>
      <c r="N83" s="5">
        <v>9.2</v>
      </c>
      <c r="O83" s="10">
        <f t="shared" si="25"/>
        <v>8.8</v>
      </c>
      <c r="P83" s="7">
        <f>LOOKUP(O83,{0,6.6,6.8,7,7.2,7.4,7.6,7.8,8,8.2,8.4,8.6,8.8,9,9.2,9.4,9.6,9.9,10.2,10.3,10.4},{0,10,20,30,40,50,60,62,64,66,68,70,72,74,76,78,80,85,90,95,100})</f>
        <v>72</v>
      </c>
      <c r="Q83" s="5" t="s">
        <v>77</v>
      </c>
      <c r="R83" s="5"/>
      <c r="S83" s="5"/>
      <c r="T83" s="5"/>
      <c r="U83" s="5"/>
      <c r="V83" s="5"/>
      <c r="W83" s="5"/>
      <c r="X83" s="13">
        <f t="shared" si="16"/>
        <v>36.2</v>
      </c>
      <c r="Y83" s="13">
        <f t="shared" si="28"/>
        <v>51.7142857142857</v>
      </c>
    </row>
    <row r="84" ht="15.6" outlineLevel="1" collapsed="1" spans="1:25">
      <c r="A84" s="6" t="s">
        <v>853</v>
      </c>
      <c r="B84" s="5"/>
      <c r="C84" s="5"/>
      <c r="D84" s="5"/>
      <c r="E84" s="5"/>
      <c r="F84" s="7">
        <f>SUBTOTAL(1,F44:F83)</f>
        <v>62.1538461538462</v>
      </c>
      <c r="G84" s="5"/>
      <c r="H84" s="7">
        <f>SUBTOTAL(1,H44:H83)</f>
        <v>71.7179487179487</v>
      </c>
      <c r="I84" s="5"/>
      <c r="J84" s="7">
        <f>SUBTOTAL(1,J44:J83)</f>
        <v>37.3513513513514</v>
      </c>
      <c r="K84" s="5"/>
      <c r="L84" s="5"/>
      <c r="M84" s="5">
        <f>SUBTOTAL(1,M44:M83)</f>
        <v>37.3783783783784</v>
      </c>
      <c r="N84" s="5"/>
      <c r="O84" s="10"/>
      <c r="P84" s="7">
        <f>SUBTOTAL(1,P44:P83)</f>
        <v>72.027027027027</v>
      </c>
      <c r="Q84" s="5"/>
      <c r="R84" s="5"/>
      <c r="S84" s="5">
        <f>SUBTOTAL(1,S44:S83)</f>
        <v>65.6129032258064</v>
      </c>
      <c r="T84" s="5"/>
      <c r="U84" s="5"/>
      <c r="V84" s="5">
        <f>SUBTOTAL(1,V44:V83)</f>
        <v>65.6129032258064</v>
      </c>
      <c r="W84" s="5"/>
      <c r="X84" s="13">
        <f>SUBTOTAL(1,X44:X83)</f>
        <v>41.0282051282051</v>
      </c>
      <c r="Y84" s="13">
        <f>SUBTOTAL(1,Y44:Y83)</f>
        <v>61.6035714285714</v>
      </c>
    </row>
    <row r="85" ht="15.6" hidden="1" outlineLevel="2" spans="1:25">
      <c r="A85" s="5">
        <v>303</v>
      </c>
      <c r="B85" s="5">
        <v>1</v>
      </c>
      <c r="C85" s="6" t="s">
        <v>103</v>
      </c>
      <c r="D85" s="5" t="s">
        <v>12</v>
      </c>
      <c r="E85" s="5">
        <v>-19</v>
      </c>
      <c r="F85" s="7">
        <v>0</v>
      </c>
      <c r="G85" s="5">
        <v>201</v>
      </c>
      <c r="H85" s="7">
        <f>LOOKUP(G85,{0,180,185,190,195,200,205,209,213,217,221,225,229,233,237,241,245,253,260,265,270},{0,10,20,30,40,50,60,62,64,66,68,70,72,74,76,78,80,85,90,95,100})</f>
        <v>50</v>
      </c>
      <c r="I85" s="5">
        <v>1</v>
      </c>
      <c r="J85" s="7">
        <f>LOOKUP(I85,{0,4,5,6,7,8,9,10,11,12,13,14,15,16,17,18},{0,10,20,30,40,50,60,64,68,72,76,80,85,90,95,100})</f>
        <v>0</v>
      </c>
      <c r="K85" s="5"/>
      <c r="L85" s="5"/>
      <c r="M85" s="5">
        <f t="shared" ref="M85:M93" si="29">J85+L85</f>
        <v>0</v>
      </c>
      <c r="N85" s="5">
        <v>7.5</v>
      </c>
      <c r="O85" s="10">
        <f t="shared" ref="O85:O93" si="30">18-N85</f>
        <v>10.5</v>
      </c>
      <c r="P85" s="7">
        <f>LOOKUP(O85,{0,7.8,8,8.2,8.4,8.6,8.8,9,9.2,9.4,9.6,9.8,10,10.2,10.4,10.6,10.8,10.9,11,11.1,11.2},{0,10,20,30,40,50,60,62,64,66,68,70,72,74,76,78,80,85,90,95,100})</f>
        <v>76</v>
      </c>
      <c r="Q85" s="5">
        <v>4.26</v>
      </c>
      <c r="R85" s="10">
        <f t="shared" ref="R85:R93" si="31">10-Q85</f>
        <v>5.74</v>
      </c>
      <c r="S85" s="7">
        <f>LOOKUP(R85,{0,3.85,4.45,4.65,4.85,5.45,5.65,5.7,5.75,5.8,5.85,5.9,5.95,6,6.45,6.5,6.55,6.63,6.7,6.75,6.8},{0,10,20,30,40,50,60,62,64,66,68,70,72,74,76,78,80,85,90,95,100})</f>
        <v>62</v>
      </c>
      <c r="T85" s="5"/>
      <c r="U85" s="5"/>
      <c r="V85" s="5">
        <f t="shared" ref="V85:V93" si="32">S85+U85</f>
        <v>62</v>
      </c>
      <c r="W85" s="5"/>
      <c r="X85" s="13">
        <f t="shared" ref="X85:X93" si="33">F85*0.1+H85*0.1+J85*0.1+P85*0.2+S85*0.2</f>
        <v>32.6</v>
      </c>
      <c r="Y85" s="13">
        <f t="shared" ref="Y85:Y93" si="34">X85/0.7+L85+U85</f>
        <v>46.5714285714286</v>
      </c>
    </row>
    <row r="86" ht="15.6" hidden="1" outlineLevel="2" spans="1:25">
      <c r="A86" s="5">
        <v>303</v>
      </c>
      <c r="B86" s="5">
        <v>2</v>
      </c>
      <c r="C86" s="5" t="s">
        <v>104</v>
      </c>
      <c r="D86" s="5" t="s">
        <v>12</v>
      </c>
      <c r="E86" s="5">
        <v>-10.5</v>
      </c>
      <c r="F86" s="7">
        <v>0</v>
      </c>
      <c r="G86" s="5">
        <v>215</v>
      </c>
      <c r="H86" s="7">
        <f>LOOKUP(G86,{0,180,185,190,195,200,205,209,213,217,221,225,229,233,237,241,245,253,260,265,270},{0,10,20,30,40,50,60,62,64,66,68,70,72,74,76,78,80,85,90,95,100})</f>
        <v>64</v>
      </c>
      <c r="I86" s="5">
        <v>4</v>
      </c>
      <c r="J86" s="7">
        <f>LOOKUP(I86,{0,4,5,6,7,8,9,10,11,12,13,14,15,16,17,18},{0,10,20,30,40,50,60,64,68,72,76,80,85,90,95,100})</f>
        <v>10</v>
      </c>
      <c r="K86" s="5"/>
      <c r="L86" s="5"/>
      <c r="M86" s="5">
        <f t="shared" si="29"/>
        <v>10</v>
      </c>
      <c r="N86" s="5">
        <v>7.6</v>
      </c>
      <c r="O86" s="10">
        <f t="shared" si="30"/>
        <v>10.4</v>
      </c>
      <c r="P86" s="7">
        <f>LOOKUP(O86,{0,7.8,8,8.2,8.4,8.6,8.8,9,9.2,9.4,9.6,9.8,10,10.2,10.4,10.6,10.8,10.9,11,11.1,11.2},{0,10,20,30,40,50,60,62,64,66,68,70,72,74,76,78,80,85,90,95,100})</f>
        <v>76</v>
      </c>
      <c r="Q86" s="5">
        <v>4.16</v>
      </c>
      <c r="R86" s="10">
        <f t="shared" si="31"/>
        <v>5.84</v>
      </c>
      <c r="S86" s="7">
        <f>LOOKUP(R86,{0,3.85,4.45,4.65,4.85,5.45,5.65,5.7,5.75,5.8,5.85,5.9,5.95,6,6.45,6.5,6.55,6.63,6.7,6.75,6.8},{0,10,20,30,40,50,60,62,64,66,68,70,72,74,76,78,80,85,90,95,100})</f>
        <v>66</v>
      </c>
      <c r="T86" s="5"/>
      <c r="U86" s="5"/>
      <c r="V86" s="5">
        <f t="shared" si="32"/>
        <v>66</v>
      </c>
      <c r="W86" s="5"/>
      <c r="X86" s="13">
        <f t="shared" si="33"/>
        <v>35.8</v>
      </c>
      <c r="Y86" s="13">
        <f t="shared" si="34"/>
        <v>51.1428571428572</v>
      </c>
    </row>
    <row r="87" ht="15.6" hidden="1" outlineLevel="2" spans="1:25">
      <c r="A87" s="5">
        <v>303</v>
      </c>
      <c r="B87" s="5">
        <v>3</v>
      </c>
      <c r="C87" s="5" t="s">
        <v>105</v>
      </c>
      <c r="D87" s="5" t="s">
        <v>12</v>
      </c>
      <c r="E87" s="5">
        <v>5.5</v>
      </c>
      <c r="F87" s="7">
        <f>LOOKUP(E87,{0,-1.8,-0.8,0.2,1.2,2.2,3.2,4.6,6,7.4,8.8,10.2,11.6,13,14.4,15.8,17.2,19.1,21,22.8,24.6},{0,10,20,30,40,50,60,62,64,66,68,70,72,74,76,78,80,85,90,95,100})</f>
        <v>62</v>
      </c>
      <c r="G87" s="5">
        <v>200</v>
      </c>
      <c r="H87" s="7">
        <f>LOOKUP(G87,{0,180,185,190,195,200,205,209,213,217,221,225,229,233,237,241,245,253,260,265,270},{0,10,20,30,40,50,60,62,64,66,68,70,72,74,76,78,80,85,90,95,100})</f>
        <v>50</v>
      </c>
      <c r="I87" s="5">
        <v>1</v>
      </c>
      <c r="J87" s="7">
        <f>LOOKUP(I87,{0,4,5,6,7,8,9,10,11,12,13,14,15,16,17,18},{0,10,20,30,40,50,60,64,68,72,76,80,85,90,95,100})</f>
        <v>0</v>
      </c>
      <c r="K87" s="5"/>
      <c r="L87" s="5"/>
      <c r="M87" s="5">
        <f t="shared" si="29"/>
        <v>0</v>
      </c>
      <c r="N87" s="5">
        <v>7.7</v>
      </c>
      <c r="O87" s="10">
        <f t="shared" si="30"/>
        <v>10.3</v>
      </c>
      <c r="P87" s="7">
        <f>LOOKUP(O87,{0,7.8,8,8.2,8.4,8.6,8.8,9,9.2,9.4,9.6,9.8,10,10.2,10.4,10.6,10.8,10.9,11,11.1,11.2},{0,10,20,30,40,50,60,62,64,66,68,70,72,74,76,78,80,85,90,95,100})</f>
        <v>74</v>
      </c>
      <c r="Q87" s="5">
        <v>4.12</v>
      </c>
      <c r="R87" s="10">
        <f t="shared" si="31"/>
        <v>5.88</v>
      </c>
      <c r="S87" s="7">
        <f>LOOKUP(R87,{0,3.85,4.45,4.65,4.85,5.45,5.65,5.7,5.75,5.8,5.85,5.9,5.95,6,6.45,6.5,6.55,6.63,6.7,6.75,6.8},{0,10,20,30,40,50,60,62,64,66,68,70,72,74,76,78,80,85,90,95,100})</f>
        <v>68</v>
      </c>
      <c r="T87" s="5"/>
      <c r="U87" s="5"/>
      <c r="V87" s="5">
        <f t="shared" si="32"/>
        <v>68</v>
      </c>
      <c r="W87" s="5"/>
      <c r="X87" s="13">
        <f t="shared" si="33"/>
        <v>39.6</v>
      </c>
      <c r="Y87" s="13">
        <f t="shared" si="34"/>
        <v>56.5714285714286</v>
      </c>
    </row>
    <row r="88" ht="15.6" hidden="1" outlineLevel="2" spans="1:25">
      <c r="A88" s="5">
        <v>303</v>
      </c>
      <c r="B88" s="5">
        <v>4</v>
      </c>
      <c r="C88" s="5" t="s">
        <v>106</v>
      </c>
      <c r="D88" s="5" t="s">
        <v>12</v>
      </c>
      <c r="E88" s="5">
        <v>10.3</v>
      </c>
      <c r="F88" s="7">
        <f>LOOKUP(E88,{0,-1.8,-0.8,0.2,1.2,2.2,3.2,4.6,6,7.4,8.8,10.2,11.6,13,14.4,15.8,17.2,19.1,21,22.8,24.6},{0,10,20,30,40,50,60,62,64,66,68,70,72,74,76,78,80,85,90,95,100})</f>
        <v>70</v>
      </c>
      <c r="G88" s="5">
        <v>227</v>
      </c>
      <c r="H88" s="7">
        <f>LOOKUP(G88,{0,180,185,190,195,200,205,209,213,217,221,225,229,233,237,241,245,253,260,265,270},{0,10,20,30,40,50,60,62,64,66,68,70,72,74,76,78,80,85,90,95,100})</f>
        <v>70</v>
      </c>
      <c r="I88" s="5">
        <v>0</v>
      </c>
      <c r="J88" s="7">
        <f>LOOKUP(I88,{0,4,5,6,7,8,9,10,11,12,13,14,15,16,17,18},{0,10,20,30,40,50,60,64,68,72,76,80,85,90,95,100})</f>
        <v>0</v>
      </c>
      <c r="K88" s="5"/>
      <c r="L88" s="5"/>
      <c r="M88" s="5">
        <f t="shared" si="29"/>
        <v>0</v>
      </c>
      <c r="N88" s="5">
        <v>7.4</v>
      </c>
      <c r="O88" s="10">
        <f t="shared" si="30"/>
        <v>10.6</v>
      </c>
      <c r="P88" s="7">
        <f>LOOKUP(O88,{0,7.8,8,8.2,8.4,8.6,8.8,9,9.2,9.4,9.6,9.8,10,10.2,10.4,10.6,10.8,10.9,11,11.1,11.2},{0,10,20,30,40,50,60,62,64,66,68,70,72,74,76,78,80,85,90,95,100})</f>
        <v>78</v>
      </c>
      <c r="Q88" s="5">
        <v>4.24</v>
      </c>
      <c r="R88" s="10">
        <f t="shared" si="31"/>
        <v>5.76</v>
      </c>
      <c r="S88" s="7">
        <f>LOOKUP(R88,{0,3.85,4.45,4.65,4.85,5.45,5.65,5.7,5.75,5.8,5.85,5.9,5.95,6,6.45,6.5,6.55,6.63,6.7,6.75,6.8},{0,10,20,30,40,50,60,62,64,66,68,70,72,74,76,78,80,85,90,95,100})</f>
        <v>64</v>
      </c>
      <c r="T88" s="5"/>
      <c r="U88" s="5"/>
      <c r="V88" s="5">
        <f t="shared" si="32"/>
        <v>64</v>
      </c>
      <c r="W88" s="5"/>
      <c r="X88" s="13">
        <f t="shared" si="33"/>
        <v>42.4</v>
      </c>
      <c r="Y88" s="13">
        <f t="shared" si="34"/>
        <v>60.5714285714286</v>
      </c>
    </row>
    <row r="89" ht="15.6" hidden="1" outlineLevel="2" spans="1:25">
      <c r="A89" s="5">
        <v>303</v>
      </c>
      <c r="B89" s="5">
        <v>5</v>
      </c>
      <c r="C89" s="5" t="s">
        <v>107</v>
      </c>
      <c r="D89" s="5" t="s">
        <v>12</v>
      </c>
      <c r="E89" s="5">
        <v>12</v>
      </c>
      <c r="F89" s="7">
        <f>LOOKUP(E89,{0,-1.8,-0.8,0.2,1.2,2.2,3.2,4.6,6,7.4,8.8,10.2,11.6,13,14.4,15.8,17.2,19.1,21,22.8,24.6},{0,10,20,30,40,50,60,62,64,66,68,70,72,74,76,78,80,85,90,95,100})</f>
        <v>72</v>
      </c>
      <c r="G89" s="5">
        <v>220</v>
      </c>
      <c r="H89" s="7">
        <f>LOOKUP(G89,{0,180,185,190,195,200,205,209,213,217,221,225,229,233,237,241,245,253,260,265,270},{0,10,20,30,40,50,60,62,64,66,68,70,72,74,76,78,80,85,90,95,100})</f>
        <v>66</v>
      </c>
      <c r="I89" s="5">
        <v>5</v>
      </c>
      <c r="J89" s="7">
        <f>LOOKUP(I89,{0,4,5,6,7,8,9,10,11,12,13,14,15,16,17,18},{0,10,20,30,40,50,60,64,68,72,76,80,85,90,95,100})</f>
        <v>20</v>
      </c>
      <c r="K89" s="5"/>
      <c r="L89" s="5"/>
      <c r="M89" s="5">
        <f t="shared" si="29"/>
        <v>20</v>
      </c>
      <c r="N89" s="5">
        <v>7.4</v>
      </c>
      <c r="O89" s="10">
        <f t="shared" si="30"/>
        <v>10.6</v>
      </c>
      <c r="P89" s="7">
        <f>LOOKUP(O89,{0,7.8,8,8.2,8.4,8.6,8.8,9,9.2,9.4,9.6,9.8,10,10.2,10.4,10.6,10.8,10.9,11,11.1,11.2},{0,10,20,30,40,50,60,62,64,66,68,70,72,74,76,78,80,85,90,95,100})</f>
        <v>78</v>
      </c>
      <c r="Q89" s="5">
        <v>4.08</v>
      </c>
      <c r="R89" s="10">
        <f t="shared" si="31"/>
        <v>5.92</v>
      </c>
      <c r="S89" s="7">
        <f>LOOKUP(R89,{0,3.85,4.45,4.65,4.85,5.45,5.65,5.7,5.75,5.8,5.85,5.9,5.95,6,6.45,6.5,6.55,6.63,6.7,6.75,6.8},{0,10,20,30,40,50,60,62,64,66,68,70,72,74,76,78,80,85,90,95,100})</f>
        <v>70</v>
      </c>
      <c r="T89" s="5"/>
      <c r="U89" s="5"/>
      <c r="V89" s="5">
        <f t="shared" si="32"/>
        <v>70</v>
      </c>
      <c r="W89" s="5"/>
      <c r="X89" s="13">
        <f t="shared" si="33"/>
        <v>45.4</v>
      </c>
      <c r="Y89" s="13">
        <f t="shared" si="34"/>
        <v>64.8571428571429</v>
      </c>
    </row>
    <row r="90" ht="15.6" hidden="1" outlineLevel="2" spans="1:25">
      <c r="A90" s="5">
        <v>303</v>
      </c>
      <c r="B90" s="5">
        <v>6</v>
      </c>
      <c r="C90" s="5" t="s">
        <v>108</v>
      </c>
      <c r="D90" s="5" t="s">
        <v>12</v>
      </c>
      <c r="E90" s="5">
        <v>16</v>
      </c>
      <c r="F90" s="7">
        <f>LOOKUP(E90,{0,-1.8,-0.8,0.2,1.2,2.2,3.2,4.6,6,7.4,8.8,10.2,11.6,13,14.4,15.8,17.2,19.1,21,22.8,24.6},{0,10,20,30,40,50,60,62,64,66,68,70,72,74,76,78,80,85,90,95,100})</f>
        <v>78</v>
      </c>
      <c r="G90" s="5">
        <v>235</v>
      </c>
      <c r="H90" s="7">
        <f>LOOKUP(G90,{0,180,185,190,195,200,205,209,213,217,221,225,229,233,237,241,245,253,260,265,270},{0,10,20,30,40,50,60,62,64,66,68,70,72,74,76,78,80,85,90,95,100})</f>
        <v>74</v>
      </c>
      <c r="I90" s="5">
        <v>12</v>
      </c>
      <c r="J90" s="7">
        <f>LOOKUP(I90,{0,4,5,6,7,8,9,10,11,12,13,14,15,16,17,18},{0,10,20,30,40,50,60,64,68,72,76,80,85,90,95,100})</f>
        <v>72</v>
      </c>
      <c r="K90" s="5"/>
      <c r="L90" s="5"/>
      <c r="M90" s="5">
        <f t="shared" si="29"/>
        <v>72</v>
      </c>
      <c r="N90" s="5">
        <v>7.1</v>
      </c>
      <c r="O90" s="10">
        <f t="shared" si="30"/>
        <v>10.9</v>
      </c>
      <c r="P90" s="7">
        <f>LOOKUP(O90,{0,7.8,8,8.2,8.4,8.6,8.8,9,9.2,9.4,9.6,9.8,10,10.2,10.4,10.6,10.8,10.9,11,11.1,11.2},{0,10,20,30,40,50,60,62,64,66,68,70,72,74,76,78,80,85,90,95,100})</f>
        <v>85</v>
      </c>
      <c r="Q90" s="5">
        <v>4.25</v>
      </c>
      <c r="R90" s="10">
        <f t="shared" si="31"/>
        <v>5.75</v>
      </c>
      <c r="S90" s="7">
        <f>LOOKUP(R90,{0,3.85,4.45,4.65,4.85,5.45,5.65,5.7,5.75,5.8,5.85,5.9,5.95,6,6.45,6.5,6.55,6.63,6.7,6.75,6.8},{0,10,20,30,40,50,60,62,64,66,68,70,72,74,76,78,80,85,90,95,100})</f>
        <v>64</v>
      </c>
      <c r="T90" s="5"/>
      <c r="U90" s="5"/>
      <c r="V90" s="5">
        <f t="shared" si="32"/>
        <v>64</v>
      </c>
      <c r="W90" s="5"/>
      <c r="X90" s="13">
        <f t="shared" si="33"/>
        <v>52.2</v>
      </c>
      <c r="Y90" s="13">
        <f t="shared" si="34"/>
        <v>74.5714285714286</v>
      </c>
    </row>
    <row r="91" ht="15.6" hidden="1" outlineLevel="2" spans="1:25">
      <c r="A91" s="5">
        <v>303</v>
      </c>
      <c r="B91" s="5">
        <v>7</v>
      </c>
      <c r="C91" s="5" t="s">
        <v>109</v>
      </c>
      <c r="D91" s="5" t="s">
        <v>12</v>
      </c>
      <c r="E91" s="5">
        <v>17</v>
      </c>
      <c r="F91" s="7">
        <f>LOOKUP(E91,{0,-1.8,-0.8,0.2,1.2,2.2,3.2,4.6,6,7.4,8.8,10.2,11.6,13,14.4,15.8,17.2,19.1,21,22.8,24.6},{0,10,20,30,40,50,60,62,64,66,68,70,72,74,76,78,80,85,90,95,100})</f>
        <v>78</v>
      </c>
      <c r="G91" s="5">
        <v>265</v>
      </c>
      <c r="H91" s="7">
        <f>LOOKUP(G91,{0,180,185,190,195,200,205,209,213,217,221,225,229,233,237,241,245,253,260,265,270},{0,10,20,30,40,50,60,62,64,66,68,70,72,74,76,78,80,85,90,95,100})</f>
        <v>95</v>
      </c>
      <c r="I91" s="5">
        <v>15</v>
      </c>
      <c r="J91" s="7">
        <f>LOOKUP(I91,{0,4,5,6,7,8,9,10,11,12,13,14,15,16,17,18},{0,10,20,30,40,50,60,64,68,72,76,80,85,90,95,100})</f>
        <v>85</v>
      </c>
      <c r="K91" s="5"/>
      <c r="L91" s="5"/>
      <c r="M91" s="5">
        <f t="shared" si="29"/>
        <v>85</v>
      </c>
      <c r="N91" s="5">
        <v>6.8</v>
      </c>
      <c r="O91" s="10">
        <f t="shared" si="30"/>
        <v>11.2</v>
      </c>
      <c r="P91" s="7">
        <f>LOOKUP(O91,{0,7.8,8,8.2,8.4,8.6,8.8,9,9.2,9.4,9.6,9.8,10,10.2,10.4,10.6,10.8,10.9,11,11.1,11.2},{0,10,20,30,40,50,60,62,64,66,68,70,72,74,76,78,80,85,90,95,100})</f>
        <v>100</v>
      </c>
      <c r="Q91" s="5">
        <v>4</v>
      </c>
      <c r="R91" s="10">
        <f t="shared" si="31"/>
        <v>6</v>
      </c>
      <c r="S91" s="7">
        <f>LOOKUP(R91,{0,3.85,4.45,4.65,4.85,5.45,5.65,5.7,5.75,5.8,5.85,5.9,5.95,6,6.45,6.5,6.55,6.63,6.7,6.75,6.8},{0,10,20,30,40,50,60,62,64,66,68,70,72,74,76,78,80,85,90,95,100})</f>
        <v>74</v>
      </c>
      <c r="T91" s="5"/>
      <c r="U91" s="5"/>
      <c r="V91" s="5">
        <f t="shared" si="32"/>
        <v>74</v>
      </c>
      <c r="W91" s="5"/>
      <c r="X91" s="13">
        <f t="shared" si="33"/>
        <v>60.6</v>
      </c>
      <c r="Y91" s="13">
        <f t="shared" si="34"/>
        <v>86.5714285714286</v>
      </c>
    </row>
    <row r="92" ht="15.6" hidden="1" outlineLevel="2" spans="1:25">
      <c r="A92" s="5">
        <v>303</v>
      </c>
      <c r="B92" s="5">
        <v>8</v>
      </c>
      <c r="C92" s="5" t="s">
        <v>110</v>
      </c>
      <c r="D92" s="5" t="s">
        <v>12</v>
      </c>
      <c r="E92" s="5">
        <v>6</v>
      </c>
      <c r="F92" s="7">
        <f>LOOKUP(E92,{0,-1.8,-0.8,0.2,1.2,2.2,3.2,4.6,6,7.4,8.8,10.2,11.6,13,14.4,15.8,17.2,19.1,21,22.8,24.6},{0,10,20,30,40,50,60,62,64,66,68,70,72,74,76,78,80,85,90,95,100})</f>
        <v>64</v>
      </c>
      <c r="G92" s="5">
        <v>230</v>
      </c>
      <c r="H92" s="7">
        <f>LOOKUP(G92,{0,180,185,190,195,200,205,209,213,217,221,225,229,233,237,241,245,253,260,265,270},{0,10,20,30,40,50,60,62,64,66,68,70,72,74,76,78,80,85,90,95,100})</f>
        <v>72</v>
      </c>
      <c r="I92" s="5">
        <v>2</v>
      </c>
      <c r="J92" s="7">
        <f>LOOKUP(I92,{0,4,5,6,7,8,9,10,11,12,13,14,15,16,17,18},{0,10,20,30,40,50,60,64,68,72,76,80,85,90,95,100})</f>
        <v>0</v>
      </c>
      <c r="K92" s="5"/>
      <c r="L92" s="5"/>
      <c r="M92" s="5">
        <f t="shared" si="29"/>
        <v>0</v>
      </c>
      <c r="N92" s="5">
        <v>7.9</v>
      </c>
      <c r="O92" s="10">
        <f t="shared" si="30"/>
        <v>10.1</v>
      </c>
      <c r="P92" s="7">
        <f>LOOKUP(O92,{0,7.8,8,8.2,8.4,8.6,8.8,9,9.2,9.4,9.6,9.8,10,10.2,10.4,10.6,10.8,10.9,11,11.1,11.2},{0,10,20,30,40,50,60,62,64,66,68,70,72,74,76,78,80,85,90,95,100})</f>
        <v>72</v>
      </c>
      <c r="Q92" s="5">
        <v>4.19</v>
      </c>
      <c r="R92" s="10">
        <f t="shared" si="31"/>
        <v>5.81</v>
      </c>
      <c r="S92" s="7">
        <f>LOOKUP(R92,{0,3.85,4.45,4.65,4.85,5.45,5.65,5.7,5.75,5.8,5.85,5.9,5.95,6,6.45,6.5,6.55,6.63,6.7,6.75,6.8},{0,10,20,30,40,50,60,62,64,66,68,70,72,74,76,78,80,85,90,95,100})</f>
        <v>66</v>
      </c>
      <c r="T92" s="5"/>
      <c r="U92" s="5"/>
      <c r="V92" s="5">
        <f t="shared" si="32"/>
        <v>66</v>
      </c>
      <c r="W92" s="5"/>
      <c r="X92" s="13">
        <f t="shared" si="33"/>
        <v>41.2</v>
      </c>
      <c r="Y92" s="13">
        <f t="shared" si="34"/>
        <v>58.8571428571429</v>
      </c>
    </row>
    <row r="93" ht="15.6" hidden="1" outlineLevel="2" spans="1:25">
      <c r="A93" s="5">
        <v>303</v>
      </c>
      <c r="B93" s="5">
        <v>9</v>
      </c>
      <c r="C93" s="5" t="s">
        <v>111</v>
      </c>
      <c r="D93" s="5" t="s">
        <v>12</v>
      </c>
      <c r="E93" s="5">
        <v>11.3</v>
      </c>
      <c r="F93" s="7">
        <f>LOOKUP(E93,{0,-1.8,-0.8,0.2,1.2,2.2,3.2,4.6,6,7.4,8.8,10.2,11.6,13,14.4,15.8,17.2,19.1,21,22.8,24.6},{0,10,20,30,40,50,60,62,64,66,68,70,72,74,76,78,80,85,90,95,100})</f>
        <v>70</v>
      </c>
      <c r="G93" s="5">
        <v>230</v>
      </c>
      <c r="H93" s="7">
        <f>LOOKUP(G93,{0,180,185,190,195,200,205,209,213,217,221,225,229,233,237,241,245,253,260,265,270},{0,10,20,30,40,50,60,62,64,66,68,70,72,74,76,78,80,85,90,95,100})</f>
        <v>72</v>
      </c>
      <c r="I93" s="5">
        <v>1</v>
      </c>
      <c r="J93" s="7">
        <f>LOOKUP(I93,{0,4,5,6,7,8,9,10,11,12,13,14,15,16,17,18},{0,10,20,30,40,50,60,64,68,72,76,80,85,90,95,100})</f>
        <v>0</v>
      </c>
      <c r="K93" s="5"/>
      <c r="L93" s="5"/>
      <c r="M93" s="5">
        <f t="shared" si="29"/>
        <v>0</v>
      </c>
      <c r="N93" s="5">
        <v>7.4</v>
      </c>
      <c r="O93" s="10">
        <f t="shared" si="30"/>
        <v>10.6</v>
      </c>
      <c r="P93" s="7">
        <f>LOOKUP(O93,{0,7.8,8,8.2,8.4,8.6,8.8,9,9.2,9.4,9.6,9.8,10,10.2,10.4,10.6,10.8,10.9,11,11.1,11.2},{0,10,20,30,40,50,60,62,64,66,68,70,72,74,76,78,80,85,90,95,100})</f>
        <v>78</v>
      </c>
      <c r="Q93" s="5">
        <v>4.22</v>
      </c>
      <c r="R93" s="10">
        <f t="shared" si="31"/>
        <v>5.78</v>
      </c>
      <c r="S93" s="7">
        <f>LOOKUP(R93,{0,3.85,4.45,4.65,4.85,5.45,5.65,5.7,5.75,5.8,5.85,5.9,5.95,6,6.45,6.5,6.55,6.63,6.7,6.75,6.8},{0,10,20,30,40,50,60,62,64,66,68,70,72,74,76,78,80,85,90,95,100})</f>
        <v>64</v>
      </c>
      <c r="T93" s="5"/>
      <c r="U93" s="5"/>
      <c r="V93" s="5">
        <f t="shared" si="32"/>
        <v>64</v>
      </c>
      <c r="W93" s="5"/>
      <c r="X93" s="13">
        <f t="shared" si="33"/>
        <v>42.6</v>
      </c>
      <c r="Y93" s="13">
        <f t="shared" si="34"/>
        <v>60.8571428571429</v>
      </c>
    </row>
    <row r="94" ht="15.6" hidden="1" outlineLevel="2" spans="1:25">
      <c r="A94" s="5">
        <v>303</v>
      </c>
      <c r="B94" s="5">
        <v>10</v>
      </c>
      <c r="C94" s="5" t="s">
        <v>112</v>
      </c>
      <c r="D94" s="5" t="s">
        <v>12</v>
      </c>
      <c r="E94" s="5"/>
      <c r="F94" s="7"/>
      <c r="G94" s="5"/>
      <c r="H94" s="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50</v>
      </c>
      <c r="X94" s="13"/>
      <c r="Y94" s="13">
        <v>50</v>
      </c>
    </row>
    <row r="95" ht="15.6" hidden="1" outlineLevel="2" spans="1:25">
      <c r="A95" s="5">
        <v>303</v>
      </c>
      <c r="B95" s="5">
        <v>11</v>
      </c>
      <c r="C95" s="5" t="s">
        <v>113</v>
      </c>
      <c r="D95" s="5" t="s">
        <v>12</v>
      </c>
      <c r="E95" s="5">
        <v>12.5</v>
      </c>
      <c r="F95" s="7">
        <f>LOOKUP(E95,{0,-1.8,-0.8,0.2,1.2,2.2,3.2,4.6,6,7.4,8.8,10.2,11.6,13,14.4,15.8,17.2,19.1,21,22.8,24.6},{0,10,20,30,40,50,60,62,64,66,68,70,72,74,76,78,80,85,90,95,100})</f>
        <v>72</v>
      </c>
      <c r="G95" s="5">
        <v>270</v>
      </c>
      <c r="H95" s="7">
        <f>LOOKUP(G95,{0,180,185,190,195,200,205,209,213,217,221,225,229,233,237,241,245,253,260,265,270},{0,10,20,30,40,50,60,62,64,66,68,70,72,74,76,78,80,85,90,95,100})</f>
        <v>100</v>
      </c>
      <c r="I95" s="5">
        <v>5</v>
      </c>
      <c r="J95" s="7">
        <f>LOOKUP(I95,{0,4,5,6,7,8,9,10,11,12,13,14,15,16,17,18},{0,10,20,30,40,50,60,64,68,72,76,80,85,90,95,100})</f>
        <v>20</v>
      </c>
      <c r="K95" s="5"/>
      <c r="L95" s="5"/>
      <c r="M95" s="5">
        <f t="shared" ref="M95:M100" si="35">J95+L95</f>
        <v>20</v>
      </c>
      <c r="N95" s="5">
        <v>7.2</v>
      </c>
      <c r="O95" s="10">
        <f t="shared" ref="O95:O100" si="36">18-N95</f>
        <v>10.8</v>
      </c>
      <c r="P95" s="7">
        <f>LOOKUP(O95,{0,7.8,8,8.2,8.4,8.6,8.8,9,9.2,9.4,9.6,9.8,10,10.2,10.4,10.6,10.8,10.9,11,11.1,11.2},{0,10,20,30,40,50,60,62,64,66,68,70,72,74,76,78,80,85,90,95,100})</f>
        <v>80</v>
      </c>
      <c r="Q95" s="5">
        <v>4.1</v>
      </c>
      <c r="R95" s="10">
        <f t="shared" ref="R95:R100" si="37">10-Q95</f>
        <v>5.9</v>
      </c>
      <c r="S95" s="7">
        <f>LOOKUP(R95,{0,3.85,4.45,4.65,4.85,5.45,5.65,5.7,5.75,5.8,5.85,5.9,5.95,6,6.45,6.5,6.55,6.63,6.7,6.75,6.8},{0,10,20,30,40,50,60,62,64,66,68,70,72,74,76,78,80,85,90,95,100})</f>
        <v>70</v>
      </c>
      <c r="T95" s="5"/>
      <c r="U95" s="5"/>
      <c r="V95" s="5">
        <f t="shared" ref="V95:V100" si="38">S95+U95</f>
        <v>70</v>
      </c>
      <c r="W95" s="5"/>
      <c r="X95" s="13">
        <f t="shared" ref="X95:X100" si="39">F95*0.1+H95*0.1+J95*0.1+P95*0.2+S95*0.2</f>
        <v>49.2</v>
      </c>
      <c r="Y95" s="13">
        <f t="shared" ref="Y95:Y100" si="40">X95/0.7+L95+U95</f>
        <v>70.2857142857143</v>
      </c>
    </row>
    <row r="96" ht="15.6" hidden="1" outlineLevel="2" spans="1:25">
      <c r="A96" s="5">
        <v>303</v>
      </c>
      <c r="B96" s="5">
        <v>12</v>
      </c>
      <c r="C96" s="6" t="s">
        <v>115</v>
      </c>
      <c r="D96" s="5" t="s">
        <v>12</v>
      </c>
      <c r="E96" s="5">
        <v>9.5</v>
      </c>
      <c r="F96" s="7">
        <f>LOOKUP(E96,{0,-1.8,-0.8,0.2,1.2,2.2,3.2,4.6,6,7.4,8.8,10.2,11.6,13,14.4,15.8,17.2,19.1,21,22.8,24.6},{0,10,20,30,40,50,60,62,64,66,68,70,72,74,76,78,80,85,90,95,100})</f>
        <v>68</v>
      </c>
      <c r="G96" s="5">
        <v>200</v>
      </c>
      <c r="H96" s="7">
        <f>LOOKUP(G96,{0,180,185,190,195,200,205,209,213,217,221,225,229,233,237,241,245,253,260,265,270},{0,10,20,30,40,50,60,62,64,66,68,70,72,74,76,78,80,85,90,95,100})</f>
        <v>50</v>
      </c>
      <c r="I96" s="5">
        <v>10</v>
      </c>
      <c r="J96" s="7">
        <f>LOOKUP(I96,{0,4,5,6,7,8,9,10,11,12,13,14,15,16,17,18},{0,10,20,30,40,50,60,64,68,72,76,80,85,90,95,100})</f>
        <v>64</v>
      </c>
      <c r="K96" s="5"/>
      <c r="L96" s="5"/>
      <c r="M96" s="5">
        <f t="shared" si="35"/>
        <v>64</v>
      </c>
      <c r="N96" s="5">
        <v>7.5</v>
      </c>
      <c r="O96" s="10">
        <f t="shared" si="36"/>
        <v>10.5</v>
      </c>
      <c r="P96" s="7">
        <f>LOOKUP(O96,{0,7.8,8,8.2,8.4,8.6,8.8,9,9.2,9.4,9.6,9.8,10,10.2,10.4,10.6,10.8,10.9,11,11.1,11.2},{0,10,20,30,40,50,60,62,64,66,68,70,72,74,76,78,80,85,90,95,100})</f>
        <v>76</v>
      </c>
      <c r="Q96" s="5">
        <v>4.13</v>
      </c>
      <c r="R96" s="10">
        <f t="shared" si="37"/>
        <v>5.87</v>
      </c>
      <c r="S96" s="7">
        <f>LOOKUP(R96,{0,3.85,4.45,4.65,4.85,5.45,5.65,5.7,5.75,5.8,5.85,5.9,5.95,6,6.45,6.5,6.55,6.63,6.7,6.75,6.8},{0,10,20,30,40,50,60,62,64,66,68,70,72,74,76,78,80,85,90,95,100})</f>
        <v>68</v>
      </c>
      <c r="T96" s="5"/>
      <c r="U96" s="5"/>
      <c r="V96" s="5">
        <f t="shared" si="38"/>
        <v>68</v>
      </c>
      <c r="W96" s="5"/>
      <c r="X96" s="13">
        <f t="shared" si="39"/>
        <v>47</v>
      </c>
      <c r="Y96" s="13">
        <f t="shared" si="40"/>
        <v>67.1428571428572</v>
      </c>
    </row>
    <row r="97" ht="15.6" hidden="1" outlineLevel="2" spans="1:25">
      <c r="A97" s="5">
        <v>303</v>
      </c>
      <c r="B97" s="5">
        <v>13</v>
      </c>
      <c r="C97" s="5" t="s">
        <v>116</v>
      </c>
      <c r="D97" s="5" t="s">
        <v>12</v>
      </c>
      <c r="E97" s="5">
        <v>7</v>
      </c>
      <c r="F97" s="7">
        <f>LOOKUP(E97,{0,-1.8,-0.8,0.2,1.2,2.2,3.2,4.6,6,7.4,8.8,10.2,11.6,13,14.4,15.8,17.2,19.1,21,22.8,24.6},{0,10,20,30,40,50,60,62,64,66,68,70,72,74,76,78,80,85,90,95,100})</f>
        <v>64</v>
      </c>
      <c r="G97" s="5">
        <v>190</v>
      </c>
      <c r="H97" s="7">
        <f>LOOKUP(G97,{0,180,185,190,195,200,205,209,213,217,221,225,229,233,237,241,245,253,260,265,270},{0,10,20,30,40,50,60,62,64,66,68,70,72,74,76,78,80,85,90,95,100})</f>
        <v>30</v>
      </c>
      <c r="I97" s="5">
        <v>18</v>
      </c>
      <c r="J97" s="7">
        <f>LOOKUP(I97,{0,4,5,6,7,8,9,10,11,12,13,14,15,16,17,18},{0,10,20,30,40,50,60,64,68,72,76,80,85,90,95,100})</f>
        <v>100</v>
      </c>
      <c r="K97" s="5"/>
      <c r="L97" s="5"/>
      <c r="M97" s="5">
        <f t="shared" si="35"/>
        <v>100</v>
      </c>
      <c r="N97" s="5">
        <v>7.3</v>
      </c>
      <c r="O97" s="10">
        <f t="shared" si="36"/>
        <v>10.7</v>
      </c>
      <c r="P97" s="7">
        <f>LOOKUP(O97,{0,7.8,8,8.2,8.4,8.6,8.8,9,9.2,9.4,9.6,9.8,10,10.2,10.4,10.6,10.8,10.9,11,11.1,11.2},{0,10,20,30,40,50,60,62,64,66,68,70,72,74,76,78,80,85,90,95,100})</f>
        <v>78</v>
      </c>
      <c r="Q97" s="5">
        <v>3.58</v>
      </c>
      <c r="R97" s="10">
        <f t="shared" si="37"/>
        <v>6.42</v>
      </c>
      <c r="S97" s="7">
        <f>LOOKUP(R97,{0,3.85,4.45,4.65,4.85,5.45,5.65,5.7,5.75,5.8,5.85,5.9,5.95,6,6.45,6.5,6.55,6.63,6.7,6.75,6.8},{0,10,20,30,40,50,60,62,64,66,68,70,72,74,76,78,80,85,90,95,100})</f>
        <v>74</v>
      </c>
      <c r="T97" s="5"/>
      <c r="U97" s="5"/>
      <c r="V97" s="5">
        <f t="shared" si="38"/>
        <v>74</v>
      </c>
      <c r="W97" s="5"/>
      <c r="X97" s="13">
        <f t="shared" si="39"/>
        <v>49.8</v>
      </c>
      <c r="Y97" s="13">
        <f t="shared" si="40"/>
        <v>71.1428571428571</v>
      </c>
    </row>
    <row r="98" ht="15.6" hidden="1" outlineLevel="2" spans="1:25">
      <c r="A98" s="5">
        <v>303</v>
      </c>
      <c r="B98" s="5">
        <v>14</v>
      </c>
      <c r="C98" s="5" t="s">
        <v>117</v>
      </c>
      <c r="D98" s="5" t="s">
        <v>12</v>
      </c>
      <c r="E98" s="5">
        <v>5</v>
      </c>
      <c r="F98" s="7">
        <f>LOOKUP(E98,{0,-1.8,-0.8,0.2,1.2,2.2,3.2,4.6,6,7.4,8.8,10.2,11.6,13,14.4,15.8,17.2,19.1,21,22.8,24.6},{0,10,20,30,40,50,60,62,64,66,68,70,72,74,76,78,80,85,90,95,100})</f>
        <v>62</v>
      </c>
      <c r="G98" s="5">
        <v>185</v>
      </c>
      <c r="H98" s="7">
        <f>LOOKUP(G98,{0,180,185,190,195,200,205,209,213,217,221,225,229,233,237,241,245,253,260,265,270},{0,10,20,30,40,50,60,62,64,66,68,70,72,74,76,78,80,85,90,95,100})</f>
        <v>20</v>
      </c>
      <c r="I98" s="5">
        <v>3</v>
      </c>
      <c r="J98" s="7">
        <f>LOOKUP(I98,{0,4,5,6,7,8,9,10,11,12,13,14,15,16,17,18},{0,10,20,30,40,50,60,64,68,72,76,80,85,90,95,100})</f>
        <v>0</v>
      </c>
      <c r="K98" s="5"/>
      <c r="L98" s="5"/>
      <c r="M98" s="5">
        <f t="shared" si="35"/>
        <v>0</v>
      </c>
      <c r="N98" s="5">
        <v>7.9</v>
      </c>
      <c r="O98" s="10">
        <f t="shared" si="36"/>
        <v>10.1</v>
      </c>
      <c r="P98" s="7">
        <f>LOOKUP(O98,{0,7.8,8,8.2,8.4,8.6,8.8,9,9.2,9.4,9.6,9.8,10,10.2,10.4,10.6,10.8,10.9,11,11.1,11.2},{0,10,20,30,40,50,60,62,64,66,68,70,72,74,76,78,80,85,90,95,100})</f>
        <v>72</v>
      </c>
      <c r="Q98" s="5">
        <v>4.17</v>
      </c>
      <c r="R98" s="10">
        <f t="shared" si="37"/>
        <v>5.83</v>
      </c>
      <c r="S98" s="7">
        <f>LOOKUP(R98,{0,3.85,4.45,4.65,4.85,5.45,5.65,5.7,5.75,5.8,5.85,5.9,5.95,6,6.45,6.5,6.55,6.63,6.7,6.75,6.8},{0,10,20,30,40,50,60,62,64,66,68,70,72,74,76,78,80,85,90,95,100})</f>
        <v>66</v>
      </c>
      <c r="T98" s="5"/>
      <c r="U98" s="5"/>
      <c r="V98" s="5">
        <f t="shared" si="38"/>
        <v>66</v>
      </c>
      <c r="W98" s="5"/>
      <c r="X98" s="13">
        <f t="shared" si="39"/>
        <v>35.8</v>
      </c>
      <c r="Y98" s="13">
        <f t="shared" si="40"/>
        <v>51.1428571428572</v>
      </c>
    </row>
    <row r="99" ht="15.6" hidden="1" outlineLevel="2" spans="1:25">
      <c r="A99" s="5">
        <v>303</v>
      </c>
      <c r="B99" s="5">
        <v>15</v>
      </c>
      <c r="C99" s="5" t="s">
        <v>118</v>
      </c>
      <c r="D99" s="5" t="s">
        <v>12</v>
      </c>
      <c r="E99" s="5">
        <v>11.5</v>
      </c>
      <c r="F99" s="7">
        <f>LOOKUP(E99,{0,-1.8,-0.8,0.2,1.2,2.2,3.2,4.6,6,7.4,8.8,10.2,11.6,13,14.4,15.8,17.2,19.1,21,22.8,24.6},{0,10,20,30,40,50,60,62,64,66,68,70,72,74,76,78,80,85,90,95,100})</f>
        <v>70</v>
      </c>
      <c r="G99" s="5">
        <v>235</v>
      </c>
      <c r="H99" s="7">
        <f>LOOKUP(G99,{0,180,185,190,195,200,205,209,213,217,221,225,229,233,237,241,245,253,260,265,270},{0,10,20,30,40,50,60,62,64,66,68,70,72,74,76,78,80,85,90,95,100})</f>
        <v>74</v>
      </c>
      <c r="I99" s="5">
        <v>1</v>
      </c>
      <c r="J99" s="7">
        <f>LOOKUP(I99,{0,4,5,6,7,8,9,10,11,12,13,14,15,16,17,18},{0,10,20,30,40,50,60,64,68,72,76,80,85,90,95,100})</f>
        <v>0</v>
      </c>
      <c r="K99" s="5"/>
      <c r="L99" s="5"/>
      <c r="M99" s="5">
        <f t="shared" si="35"/>
        <v>0</v>
      </c>
      <c r="N99" s="5">
        <v>7.9</v>
      </c>
      <c r="O99" s="10">
        <f t="shared" si="36"/>
        <v>10.1</v>
      </c>
      <c r="P99" s="7">
        <f>LOOKUP(O99,{0,7.8,8,8.2,8.4,8.6,8.8,9,9.2,9.4,9.6,9.8,10,10.2,10.4,10.6,10.8,10.9,11,11.1,11.2},{0,10,20,30,40,50,60,62,64,66,68,70,72,74,76,78,80,85,90,95,100})</f>
        <v>72</v>
      </c>
      <c r="Q99" s="5">
        <v>4.49</v>
      </c>
      <c r="R99" s="10">
        <f t="shared" si="37"/>
        <v>5.51</v>
      </c>
      <c r="S99" s="7">
        <f>LOOKUP(R99,{0,3.85,4.45,4.65,4.85,5.45,5.65,5.7,5.75,5.8,5.85,5.9,5.95,6,6.45,6.5,6.55,6.63,6.7,6.75,6.8},{0,10,20,30,40,50,60,62,64,66,68,70,72,74,76,78,80,85,90,95,100})</f>
        <v>50</v>
      </c>
      <c r="T99" s="5"/>
      <c r="U99" s="5"/>
      <c r="V99" s="5">
        <f t="shared" si="38"/>
        <v>50</v>
      </c>
      <c r="W99" s="5"/>
      <c r="X99" s="13">
        <f t="shared" si="39"/>
        <v>38.8</v>
      </c>
      <c r="Y99" s="13">
        <f t="shared" si="40"/>
        <v>55.4285714285714</v>
      </c>
    </row>
    <row r="100" ht="15.6" hidden="1" outlineLevel="2" spans="1:25">
      <c r="A100" s="5">
        <v>303</v>
      </c>
      <c r="B100" s="5">
        <v>16</v>
      </c>
      <c r="C100" s="5" t="s">
        <v>119</v>
      </c>
      <c r="D100" s="5" t="s">
        <v>12</v>
      </c>
      <c r="E100" s="5">
        <v>8.5</v>
      </c>
      <c r="F100" s="7">
        <f>LOOKUP(E100,{0,-1.8,-0.8,0.2,1.2,2.2,3.2,4.6,6,7.4,8.8,10.2,11.6,13,14.4,15.8,17.2,19.1,21,22.8,24.6},{0,10,20,30,40,50,60,62,64,66,68,70,72,74,76,78,80,85,90,95,100})</f>
        <v>66</v>
      </c>
      <c r="G100" s="5">
        <v>225</v>
      </c>
      <c r="H100" s="7">
        <f>LOOKUP(G100,{0,180,185,190,195,200,205,209,213,217,221,225,229,233,237,241,245,253,260,265,270},{0,10,20,30,40,50,60,62,64,66,68,70,72,74,76,78,80,85,90,95,100})</f>
        <v>70</v>
      </c>
      <c r="I100" s="5">
        <v>1</v>
      </c>
      <c r="J100" s="7">
        <f>LOOKUP(I100,{0,4,5,6,7,8,9,10,11,12,13,14,15,16,17,18},{0,10,20,30,40,50,60,64,68,72,76,80,85,90,95,100})</f>
        <v>0</v>
      </c>
      <c r="K100" s="5"/>
      <c r="L100" s="5"/>
      <c r="M100" s="5">
        <f t="shared" si="35"/>
        <v>0</v>
      </c>
      <c r="N100" s="5">
        <v>7.5</v>
      </c>
      <c r="O100" s="10">
        <f t="shared" si="36"/>
        <v>10.5</v>
      </c>
      <c r="P100" s="7">
        <f>LOOKUP(O100,{0,7.8,8,8.2,8.4,8.6,8.8,9,9.2,9.4,9.6,9.8,10,10.2,10.4,10.6,10.8,10.9,11,11.1,11.2},{0,10,20,30,40,50,60,62,64,66,68,70,72,74,76,78,80,85,90,95,100})</f>
        <v>76</v>
      </c>
      <c r="Q100" s="5">
        <v>4.06</v>
      </c>
      <c r="R100" s="10">
        <f t="shared" si="37"/>
        <v>5.94</v>
      </c>
      <c r="S100" s="7">
        <f>LOOKUP(R100,{0,3.85,4.45,4.65,4.85,5.45,5.65,5.7,5.75,5.8,5.85,5.9,5.95,6,6.45,6.5,6.55,6.63,6.7,6.75,6.8},{0,10,20,30,40,50,60,62,64,66,68,70,72,74,76,78,80,85,90,95,100})</f>
        <v>70</v>
      </c>
      <c r="T100" s="5"/>
      <c r="U100" s="5"/>
      <c r="V100" s="5">
        <f t="shared" si="38"/>
        <v>70</v>
      </c>
      <c r="W100" s="5"/>
      <c r="X100" s="13">
        <f t="shared" si="39"/>
        <v>42.8</v>
      </c>
      <c r="Y100" s="13">
        <f t="shared" si="40"/>
        <v>61.1428571428572</v>
      </c>
    </row>
    <row r="101" ht="15.6" hidden="1" outlineLevel="2" spans="1:25">
      <c r="A101" s="5">
        <v>303</v>
      </c>
      <c r="B101" s="5">
        <v>17</v>
      </c>
      <c r="C101" s="5" t="s">
        <v>120</v>
      </c>
      <c r="D101" s="5" t="s">
        <v>12</v>
      </c>
      <c r="E101" s="5"/>
      <c r="F101" s="7"/>
      <c r="G101" s="5"/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>
        <v>50</v>
      </c>
      <c r="X101" s="13"/>
      <c r="Y101" s="13">
        <v>50</v>
      </c>
    </row>
    <row r="102" ht="15.6" hidden="1" outlineLevel="2" spans="1:25">
      <c r="A102" s="5">
        <v>303</v>
      </c>
      <c r="B102" s="5">
        <v>18</v>
      </c>
      <c r="C102" s="5" t="s">
        <v>121</v>
      </c>
      <c r="D102" s="5" t="s">
        <v>12</v>
      </c>
      <c r="E102" s="5"/>
      <c r="F102" s="7"/>
      <c r="G102" s="5"/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>
        <v>50</v>
      </c>
      <c r="X102" s="13"/>
      <c r="Y102" s="13">
        <v>50</v>
      </c>
    </row>
    <row r="103" ht="15.6" hidden="1" outlineLevel="2" spans="1:25">
      <c r="A103" s="5">
        <v>303</v>
      </c>
      <c r="B103" s="5">
        <v>19</v>
      </c>
      <c r="C103" s="5" t="s">
        <v>122</v>
      </c>
      <c r="D103" s="5" t="s">
        <v>12</v>
      </c>
      <c r="E103" s="5"/>
      <c r="F103" s="7"/>
      <c r="G103" s="5"/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v>50</v>
      </c>
      <c r="X103" s="13"/>
      <c r="Y103" s="13">
        <v>50</v>
      </c>
    </row>
    <row r="104" ht="15.6" hidden="1" outlineLevel="2" spans="1:25">
      <c r="A104" s="5">
        <v>303</v>
      </c>
      <c r="B104" s="5">
        <v>20</v>
      </c>
      <c r="C104" s="5" t="s">
        <v>123</v>
      </c>
      <c r="D104" s="5" t="s">
        <v>12</v>
      </c>
      <c r="E104" s="5"/>
      <c r="F104" s="7"/>
      <c r="G104" s="5"/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>
        <v>50</v>
      </c>
      <c r="X104" s="13"/>
      <c r="Y104" s="13">
        <v>50</v>
      </c>
    </row>
    <row r="105" ht="15.6" hidden="1" outlineLevel="2" spans="1:25">
      <c r="A105" s="5">
        <v>303</v>
      </c>
      <c r="B105" s="5">
        <v>21</v>
      </c>
      <c r="C105" s="5" t="s">
        <v>124</v>
      </c>
      <c r="D105" s="5" t="s">
        <v>12</v>
      </c>
      <c r="E105" s="5">
        <v>2</v>
      </c>
      <c r="F105" s="7">
        <f>LOOKUP(E105,{0,-1.8,-0.8,0.2,1.2,2.2,3.2,4.6,6,7.4,8.8,10.2,11.6,13,14.4,15.8,17.2,19.1,21,22.8,24.6},{0,10,20,30,40,50,60,62,64,66,68,70,72,74,76,78,80,85,90,95,100})</f>
        <v>40</v>
      </c>
      <c r="G105" s="5">
        <v>224</v>
      </c>
      <c r="H105" s="7">
        <f>LOOKUP(G105,{0,180,185,190,195,200,205,209,213,217,221,225,229,233,237,241,245,253,260,265,270},{0,10,20,30,40,50,60,62,64,66,68,70,72,74,76,78,80,85,90,95,100})</f>
        <v>68</v>
      </c>
      <c r="I105" s="5">
        <v>5</v>
      </c>
      <c r="J105" s="7">
        <f>LOOKUP(I105,{0,4,5,6,7,8,9,10,11,12,13,14,15,16,17,18},{0,10,20,30,40,50,60,64,68,72,76,80,85,90,95,100})</f>
        <v>20</v>
      </c>
      <c r="K105" s="5"/>
      <c r="L105" s="5"/>
      <c r="M105" s="5">
        <f t="shared" ref="M105:M111" si="41">J105+L105</f>
        <v>20</v>
      </c>
      <c r="N105" s="5">
        <v>7.7</v>
      </c>
      <c r="O105" s="10">
        <f t="shared" ref="O105:O111" si="42">18-N105</f>
        <v>10.3</v>
      </c>
      <c r="P105" s="7">
        <f>LOOKUP(O105,{0,7.8,8,8.2,8.4,8.6,8.8,9,9.2,9.4,9.6,9.8,10,10.2,10.4,10.6,10.8,10.9,11,11.1,11.2},{0,10,20,30,40,50,60,62,64,66,68,70,72,74,76,78,80,85,90,95,100})</f>
        <v>74</v>
      </c>
      <c r="Q105" s="5">
        <v>3.59</v>
      </c>
      <c r="R105" s="10">
        <f t="shared" ref="R105:R111" si="43">10-Q105</f>
        <v>6.41</v>
      </c>
      <c r="S105" s="7">
        <f>LOOKUP(R105,{0,3.85,4.45,4.65,4.85,5.45,5.65,5.7,5.75,5.8,5.85,5.9,5.95,6,6.45,6.5,6.55,6.63,6.7,6.75,6.8},{0,10,20,30,40,50,60,62,64,66,68,70,72,74,76,78,80,85,90,95,100})</f>
        <v>74</v>
      </c>
      <c r="T105" s="5"/>
      <c r="U105" s="5"/>
      <c r="V105" s="5">
        <f t="shared" ref="V105:V111" si="44">S105+U105</f>
        <v>74</v>
      </c>
      <c r="W105" s="5"/>
      <c r="X105" s="13">
        <f t="shared" ref="X105:X111" si="45">F105*0.1+H105*0.1+J105*0.1+P105*0.2+S105*0.2</f>
        <v>42.4</v>
      </c>
      <c r="Y105" s="13">
        <f t="shared" ref="Y105:Y111" si="46">X105/0.7+L105+U105</f>
        <v>60.5714285714286</v>
      </c>
    </row>
    <row r="106" ht="15.6" hidden="1" outlineLevel="2" spans="1:25">
      <c r="A106" s="5">
        <v>303</v>
      </c>
      <c r="B106" s="5">
        <v>23</v>
      </c>
      <c r="C106" s="5" t="s">
        <v>125</v>
      </c>
      <c r="D106" s="5" t="s">
        <v>12</v>
      </c>
      <c r="E106" s="5">
        <v>16.5</v>
      </c>
      <c r="F106" s="7">
        <f>LOOKUP(E106,{0,-1.8,-0.8,0.2,1.2,2.2,3.2,4.6,6,7.4,8.8,10.2,11.6,13,14.4,15.8,17.2,19.1,21,22.8,24.6},{0,10,20,30,40,50,60,62,64,66,68,70,72,74,76,78,80,85,90,95,100})</f>
        <v>78</v>
      </c>
      <c r="G106" s="5">
        <v>265</v>
      </c>
      <c r="H106" s="7">
        <f>LOOKUP(G106,{0,180,185,190,195,200,205,209,213,217,221,225,229,233,237,241,245,253,260,265,270},{0,10,20,30,40,50,60,62,64,66,68,70,72,74,76,78,80,85,90,95,100})</f>
        <v>95</v>
      </c>
      <c r="I106" s="5">
        <v>18</v>
      </c>
      <c r="J106" s="7">
        <f>LOOKUP(I106,{0,4,5,6,7,8,9,10,11,12,13,14,15,16,17,18},{0,10,20,30,40,50,60,64,68,72,76,80,85,90,95,100})</f>
        <v>100</v>
      </c>
      <c r="K106" s="5"/>
      <c r="L106" s="5"/>
      <c r="M106" s="5">
        <f t="shared" si="41"/>
        <v>100</v>
      </c>
      <c r="N106" s="5">
        <v>7.1</v>
      </c>
      <c r="O106" s="10">
        <f t="shared" si="42"/>
        <v>10.9</v>
      </c>
      <c r="P106" s="7">
        <f>LOOKUP(O106,{0,7.8,8,8.2,8.4,8.6,8.8,9,9.2,9.4,9.6,9.8,10,10.2,10.4,10.6,10.8,10.9,11,11.1,11.2},{0,10,20,30,40,50,60,62,64,66,68,70,72,74,76,78,80,85,90,95,100})</f>
        <v>85</v>
      </c>
      <c r="Q106" s="5">
        <v>3.58</v>
      </c>
      <c r="R106" s="10">
        <f t="shared" si="43"/>
        <v>6.42</v>
      </c>
      <c r="S106" s="7">
        <f>LOOKUP(R106,{0,3.85,4.45,4.65,4.85,5.45,5.65,5.7,5.75,5.8,5.85,5.9,5.95,6,6.45,6.5,6.55,6.63,6.7,6.75,6.8},{0,10,20,30,40,50,60,62,64,66,68,70,72,74,76,78,80,85,90,95,100})</f>
        <v>74</v>
      </c>
      <c r="T106" s="5"/>
      <c r="U106" s="5"/>
      <c r="V106" s="5">
        <f t="shared" si="44"/>
        <v>74</v>
      </c>
      <c r="W106" s="5"/>
      <c r="X106" s="13">
        <f t="shared" si="45"/>
        <v>59.1</v>
      </c>
      <c r="Y106" s="13">
        <f t="shared" si="46"/>
        <v>84.4285714285714</v>
      </c>
    </row>
    <row r="107" ht="15.6" hidden="1" outlineLevel="2" spans="1:25">
      <c r="A107" s="5">
        <v>303</v>
      </c>
      <c r="B107" s="5">
        <v>24</v>
      </c>
      <c r="C107" s="6" t="s">
        <v>127</v>
      </c>
      <c r="D107" s="5" t="s">
        <v>12</v>
      </c>
      <c r="E107" s="5">
        <v>8</v>
      </c>
      <c r="F107" s="7">
        <f>LOOKUP(E107,{0,-1.8,-0.8,0.2,1.2,2.2,3.2,4.6,6,7.4,8.8,10.2,11.6,13,14.4,15.8,17.2,19.1,21,22.8,24.6},{0,10,20,30,40,50,60,62,64,66,68,70,72,74,76,78,80,85,90,95,100})</f>
        <v>66</v>
      </c>
      <c r="G107" s="5">
        <v>230</v>
      </c>
      <c r="H107" s="7">
        <f>LOOKUP(G107,{0,180,185,190,195,200,205,209,213,217,221,225,229,233,237,241,245,253,260,265,270},{0,10,20,30,40,50,60,62,64,66,68,70,72,74,76,78,80,85,90,95,100})</f>
        <v>72</v>
      </c>
      <c r="I107" s="5">
        <v>3</v>
      </c>
      <c r="J107" s="7">
        <f>LOOKUP(I107,{0,4,5,6,7,8,9,10,11,12,13,14,15,16,17,18},{0,10,20,30,40,50,60,64,68,72,76,80,85,90,95,100})</f>
        <v>0</v>
      </c>
      <c r="K107" s="5"/>
      <c r="L107" s="5"/>
      <c r="M107" s="5">
        <f t="shared" si="41"/>
        <v>0</v>
      </c>
      <c r="N107" s="5">
        <v>7.6</v>
      </c>
      <c r="O107" s="10">
        <f t="shared" si="42"/>
        <v>10.4</v>
      </c>
      <c r="P107" s="7">
        <f>LOOKUP(O107,{0,7.8,8,8.2,8.4,8.6,8.8,9,9.2,9.4,9.6,9.8,10,10.2,10.4,10.6,10.8,10.9,11,11.1,11.2},{0,10,20,30,40,50,60,62,64,66,68,70,72,74,76,78,80,85,90,95,100})</f>
        <v>76</v>
      </c>
      <c r="Q107" s="5">
        <v>4.27</v>
      </c>
      <c r="R107" s="10">
        <f t="shared" si="43"/>
        <v>5.73</v>
      </c>
      <c r="S107" s="7">
        <f>LOOKUP(R107,{0,3.85,4.45,4.65,4.85,5.45,5.65,5.7,5.75,5.8,5.85,5.9,5.95,6,6.45,6.5,6.55,6.63,6.7,6.75,6.8},{0,10,20,30,40,50,60,62,64,66,68,70,72,74,76,78,80,85,90,95,100})</f>
        <v>62</v>
      </c>
      <c r="T107" s="5"/>
      <c r="U107" s="5"/>
      <c r="V107" s="5">
        <f t="shared" si="44"/>
        <v>62</v>
      </c>
      <c r="W107" s="5"/>
      <c r="X107" s="13">
        <f t="shared" si="45"/>
        <v>41.4</v>
      </c>
      <c r="Y107" s="13">
        <f t="shared" si="46"/>
        <v>59.1428571428571</v>
      </c>
    </row>
    <row r="108" ht="15.6" hidden="1" outlineLevel="2" spans="1:25">
      <c r="A108" s="5">
        <v>303</v>
      </c>
      <c r="B108" s="5">
        <v>25</v>
      </c>
      <c r="C108" s="5" t="s">
        <v>128</v>
      </c>
      <c r="D108" s="5" t="s">
        <v>12</v>
      </c>
      <c r="E108" s="5">
        <v>5</v>
      </c>
      <c r="F108" s="7">
        <f>LOOKUP(E108,{0,-1.8,-0.8,0.2,1.2,2.2,3.2,4.6,6,7.4,8.8,10.2,11.6,13,14.4,15.8,17.2,19.1,21,22.8,24.6},{0,10,20,30,40,50,60,62,64,66,68,70,72,74,76,78,80,85,90,95,100})</f>
        <v>62</v>
      </c>
      <c r="G108" s="5">
        <v>220</v>
      </c>
      <c r="H108" s="7">
        <f>LOOKUP(G108,{0,180,185,190,195,200,205,209,213,217,221,225,229,233,237,241,245,253,260,265,270},{0,10,20,30,40,50,60,62,64,66,68,70,72,74,76,78,80,85,90,95,100})</f>
        <v>66</v>
      </c>
      <c r="I108" s="5">
        <v>3</v>
      </c>
      <c r="J108" s="7">
        <f>LOOKUP(I108,{0,4,5,6,7,8,9,10,11,12,13,14,15,16,17,18},{0,10,20,30,40,50,60,64,68,72,76,80,85,90,95,100})</f>
        <v>0</v>
      </c>
      <c r="K108" s="5"/>
      <c r="L108" s="5"/>
      <c r="M108" s="5">
        <f t="shared" si="41"/>
        <v>0</v>
      </c>
      <c r="N108" s="5">
        <v>8</v>
      </c>
      <c r="O108" s="10">
        <f t="shared" si="42"/>
        <v>10</v>
      </c>
      <c r="P108" s="7">
        <f>LOOKUP(O108,{0,7.8,8,8.2,8.4,8.6,8.8,9,9.2,9.4,9.6,9.8,10,10.2,10.4,10.6,10.8,10.9,11,11.1,11.2},{0,10,20,30,40,50,60,62,64,66,68,70,72,74,76,78,80,85,90,95,100})</f>
        <v>72</v>
      </c>
      <c r="Q108" s="5">
        <v>3.57</v>
      </c>
      <c r="R108" s="10">
        <f t="shared" si="43"/>
        <v>6.43</v>
      </c>
      <c r="S108" s="7">
        <f>LOOKUP(R108,{0,3.85,4.45,4.65,4.85,5.45,5.65,5.7,5.75,5.8,5.85,5.9,5.95,6,6.45,6.5,6.55,6.63,6.7,6.75,6.8},{0,10,20,30,40,50,60,62,64,66,68,70,72,74,76,78,80,85,90,95,100})</f>
        <v>74</v>
      </c>
      <c r="T108" s="5"/>
      <c r="U108" s="5"/>
      <c r="V108" s="5">
        <f t="shared" si="44"/>
        <v>74</v>
      </c>
      <c r="W108" s="5"/>
      <c r="X108" s="13">
        <f t="shared" si="45"/>
        <v>42</v>
      </c>
      <c r="Y108" s="13">
        <f t="shared" si="46"/>
        <v>60</v>
      </c>
    </row>
    <row r="109" ht="15.6" hidden="1" outlineLevel="2" spans="1:25">
      <c r="A109" s="5">
        <v>303</v>
      </c>
      <c r="B109" s="5">
        <v>27</v>
      </c>
      <c r="C109" s="5" t="s">
        <v>129</v>
      </c>
      <c r="D109" s="5" t="s">
        <v>12</v>
      </c>
      <c r="E109" s="5">
        <v>10</v>
      </c>
      <c r="F109" s="7">
        <f>LOOKUP(E109,{0,-1.8,-0.8,0.2,1.2,2.2,3.2,4.6,6,7.4,8.8,10.2,11.6,13,14.4,15.8,17.2,19.1,21,22.8,24.6},{0,10,20,30,40,50,60,62,64,66,68,70,72,74,76,78,80,85,90,95,100})</f>
        <v>68</v>
      </c>
      <c r="G109" s="5">
        <v>215</v>
      </c>
      <c r="H109" s="7">
        <f>LOOKUP(G109,{0,180,185,190,195,200,205,209,213,217,221,225,229,233,237,241,245,253,260,265,270},{0,10,20,30,40,50,60,62,64,66,68,70,72,74,76,78,80,85,90,95,100})</f>
        <v>64</v>
      </c>
      <c r="I109" s="5">
        <v>9</v>
      </c>
      <c r="J109" s="7">
        <f>LOOKUP(I109,{0,4,5,6,7,8,9,10,11,12,13,14,15,16,17,18},{0,10,20,30,40,50,60,64,68,72,76,80,85,90,95,100})</f>
        <v>60</v>
      </c>
      <c r="K109" s="5"/>
      <c r="L109" s="5"/>
      <c r="M109" s="5">
        <f t="shared" si="41"/>
        <v>60</v>
      </c>
      <c r="N109" s="5">
        <v>7.9</v>
      </c>
      <c r="O109" s="10">
        <f t="shared" si="42"/>
        <v>10.1</v>
      </c>
      <c r="P109" s="7">
        <f>LOOKUP(O109,{0,7.8,8,8.2,8.4,8.6,8.8,9,9.2,9.4,9.6,9.8,10,10.2,10.4,10.6,10.8,10.9,11,11.1,11.2},{0,10,20,30,40,50,60,62,64,66,68,70,72,74,76,78,80,85,90,95,100})</f>
        <v>72</v>
      </c>
      <c r="Q109" s="5">
        <v>4.45</v>
      </c>
      <c r="R109" s="10">
        <f t="shared" si="43"/>
        <v>5.55</v>
      </c>
      <c r="S109" s="7">
        <f>LOOKUP(R109,{0,3.85,4.45,4.65,4.85,5.45,5.65,5.7,5.75,5.8,5.85,5.9,5.95,6,6.45,6.5,6.55,6.63,6.7,6.75,6.8},{0,10,20,30,40,50,60,62,64,66,68,70,72,74,76,78,80,85,90,95,100})</f>
        <v>50</v>
      </c>
      <c r="T109" s="5"/>
      <c r="U109" s="5"/>
      <c r="V109" s="5">
        <f t="shared" si="44"/>
        <v>50</v>
      </c>
      <c r="W109" s="5"/>
      <c r="X109" s="13">
        <f t="shared" si="45"/>
        <v>43.6</v>
      </c>
      <c r="Y109" s="13">
        <f t="shared" si="46"/>
        <v>62.2857142857143</v>
      </c>
    </row>
    <row r="110" ht="15.6" hidden="1" outlineLevel="2" spans="1:25">
      <c r="A110" s="5">
        <v>303</v>
      </c>
      <c r="B110" s="5">
        <v>28</v>
      </c>
      <c r="C110" s="5" t="s">
        <v>130</v>
      </c>
      <c r="D110" s="5" t="s">
        <v>12</v>
      </c>
      <c r="E110" s="5">
        <v>6.5</v>
      </c>
      <c r="F110" s="7">
        <f>LOOKUP(E110,{0,-1.8,-0.8,0.2,1.2,2.2,3.2,4.6,6,7.4,8.8,10.2,11.6,13,14.4,15.8,17.2,19.1,21,22.8,24.6},{0,10,20,30,40,50,60,62,64,66,68,70,72,74,76,78,80,85,90,95,100})</f>
        <v>64</v>
      </c>
      <c r="G110" s="5">
        <v>220</v>
      </c>
      <c r="H110" s="7">
        <f>LOOKUP(G110,{0,180,185,190,195,200,205,209,213,217,221,225,229,233,237,241,245,253,260,265,270},{0,10,20,30,40,50,60,62,64,66,68,70,72,74,76,78,80,85,90,95,100})</f>
        <v>66</v>
      </c>
      <c r="I110" s="5">
        <v>2</v>
      </c>
      <c r="J110" s="7">
        <f>LOOKUP(I110,{0,4,5,6,7,8,9,10,11,12,13,14,15,16,17,18},{0,10,20,30,40,50,60,64,68,72,76,80,85,90,95,100})</f>
        <v>0</v>
      </c>
      <c r="K110" s="5"/>
      <c r="L110" s="5"/>
      <c r="M110" s="5">
        <f t="shared" si="41"/>
        <v>0</v>
      </c>
      <c r="N110" s="5">
        <v>7.6</v>
      </c>
      <c r="O110" s="10">
        <f t="shared" si="42"/>
        <v>10.4</v>
      </c>
      <c r="P110" s="7">
        <f>LOOKUP(O110,{0,7.8,8,8.2,8.4,8.6,8.8,9,9.2,9.4,9.6,9.8,10,10.2,10.4,10.6,10.8,10.9,11,11.1,11.2},{0,10,20,30,40,50,60,62,64,66,68,70,72,74,76,78,80,85,90,95,100})</f>
        <v>76</v>
      </c>
      <c r="Q110" s="5">
        <v>4.14</v>
      </c>
      <c r="R110" s="10">
        <f t="shared" si="43"/>
        <v>5.86</v>
      </c>
      <c r="S110" s="7">
        <f>LOOKUP(R110,{0,3.85,4.45,4.65,4.85,5.45,5.65,5.7,5.75,5.8,5.85,5.9,5.95,6,6.45,6.5,6.55,6.63,6.7,6.75,6.8},{0,10,20,30,40,50,60,62,64,66,68,70,72,74,76,78,80,85,90,95,100})</f>
        <v>68</v>
      </c>
      <c r="T110" s="5"/>
      <c r="U110" s="5"/>
      <c r="V110" s="5">
        <f t="shared" si="44"/>
        <v>68</v>
      </c>
      <c r="W110" s="5"/>
      <c r="X110" s="13">
        <f t="shared" si="45"/>
        <v>41.8</v>
      </c>
      <c r="Y110" s="13">
        <f t="shared" si="46"/>
        <v>59.7142857142857</v>
      </c>
    </row>
    <row r="111" ht="15.6" hidden="1" outlineLevel="2" spans="1:25">
      <c r="A111" s="5">
        <v>303</v>
      </c>
      <c r="B111" s="5">
        <v>29</v>
      </c>
      <c r="C111" s="5" t="s">
        <v>131</v>
      </c>
      <c r="D111" s="5" t="s">
        <v>12</v>
      </c>
      <c r="E111" s="5">
        <v>14</v>
      </c>
      <c r="F111" s="7">
        <f>LOOKUP(E111,{0,-1.8,-0.8,0.2,1.2,2.2,3.2,4.6,6,7.4,8.8,10.2,11.6,13,14.4,15.8,17.2,19.1,21,22.8,24.6},{0,10,20,30,40,50,60,62,64,66,68,70,72,74,76,78,80,85,90,95,100})</f>
        <v>74</v>
      </c>
      <c r="G111" s="5">
        <v>242</v>
      </c>
      <c r="H111" s="7">
        <f>LOOKUP(G111,{0,180,185,190,195,200,205,209,213,217,221,225,229,233,237,241,245,253,260,265,270},{0,10,20,30,40,50,60,62,64,66,68,70,72,74,76,78,80,85,90,95,100})</f>
        <v>78</v>
      </c>
      <c r="I111" s="5">
        <v>0</v>
      </c>
      <c r="J111" s="7">
        <f>LOOKUP(I111,{0,4,5,6,7,8,9,10,11,12,13,14,15,16,17,18},{0,10,20,30,40,50,60,64,68,72,76,80,85,90,95,100})</f>
        <v>0</v>
      </c>
      <c r="K111" s="5"/>
      <c r="L111" s="5"/>
      <c r="M111" s="5">
        <f t="shared" si="41"/>
        <v>0</v>
      </c>
      <c r="N111" s="5">
        <v>7.3</v>
      </c>
      <c r="O111" s="10">
        <f t="shared" si="42"/>
        <v>10.7</v>
      </c>
      <c r="P111" s="7">
        <f>LOOKUP(O111,{0,7.8,8,8.2,8.4,8.6,8.8,9,9.2,9.4,9.6,9.8,10,10.2,10.4,10.6,10.8,10.9,11,11.1,11.2},{0,10,20,30,40,50,60,62,64,66,68,70,72,74,76,78,80,85,90,95,100})</f>
        <v>78</v>
      </c>
      <c r="Q111" s="5">
        <v>4.28</v>
      </c>
      <c r="R111" s="10">
        <f t="shared" si="43"/>
        <v>5.72</v>
      </c>
      <c r="S111" s="7">
        <f>LOOKUP(R111,{0,3.85,4.45,4.65,4.85,5.45,5.65,5.7,5.75,5.8,5.85,5.9,5.95,6,6.45,6.5,6.55,6.63,6.7,6.75,6.8},{0,10,20,30,40,50,60,62,64,66,68,70,72,74,76,78,80,85,90,95,100})</f>
        <v>62</v>
      </c>
      <c r="T111" s="5"/>
      <c r="U111" s="5"/>
      <c r="V111" s="5">
        <f t="shared" si="44"/>
        <v>62</v>
      </c>
      <c r="W111" s="5"/>
      <c r="X111" s="13">
        <f t="shared" si="45"/>
        <v>43.2</v>
      </c>
      <c r="Y111" s="13">
        <f t="shared" si="46"/>
        <v>61.7142857142857</v>
      </c>
    </row>
    <row r="112" ht="15.6" hidden="1" outlineLevel="2" spans="1:25">
      <c r="A112" s="5">
        <v>303</v>
      </c>
      <c r="B112" s="5">
        <v>30</v>
      </c>
      <c r="C112" s="5" t="s">
        <v>132</v>
      </c>
      <c r="D112" s="5" t="s">
        <v>12</v>
      </c>
      <c r="E112" s="5"/>
      <c r="F112" s="7"/>
      <c r="G112" s="5"/>
      <c r="H112" s="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>
        <v>50</v>
      </c>
      <c r="X112" s="13"/>
      <c r="Y112" s="13">
        <v>50</v>
      </c>
    </row>
    <row r="113" ht="15.6" hidden="1" outlineLevel="2" spans="1:25">
      <c r="A113" s="5">
        <v>303</v>
      </c>
      <c r="B113" s="5">
        <v>31</v>
      </c>
      <c r="C113" s="5" t="s">
        <v>133</v>
      </c>
      <c r="D113" s="5" t="s">
        <v>12</v>
      </c>
      <c r="E113" s="5">
        <v>9.5</v>
      </c>
      <c r="F113" s="7">
        <f>LOOKUP(E113,{0,-1.8,-0.8,0.2,1.2,2.2,3.2,4.6,6,7.4,8.8,10.2,11.6,13,14.4,15.8,17.2,19.1,21,22.8,24.6},{0,10,20,30,40,50,60,62,64,66,68,70,72,74,76,78,80,85,90,95,100})</f>
        <v>68</v>
      </c>
      <c r="G113" s="5">
        <v>200</v>
      </c>
      <c r="H113" s="7">
        <f>LOOKUP(G113,{0,180,185,190,195,200,205,209,213,217,221,225,229,233,237,241,245,253,260,265,270},{0,10,20,30,40,50,60,62,64,66,68,70,72,74,76,78,80,85,90,95,100})</f>
        <v>50</v>
      </c>
      <c r="I113" s="5">
        <v>0</v>
      </c>
      <c r="J113" s="7">
        <f>LOOKUP(I113,{0,4,5,6,7,8,9,10,11,12,13,14,15,16,17,18},{0,10,20,30,40,50,60,64,68,72,76,80,85,90,95,100})</f>
        <v>0</v>
      </c>
      <c r="K113" s="5"/>
      <c r="L113" s="5"/>
      <c r="M113" s="5">
        <f t="shared" ref="M113:M116" si="47">J113+L113</f>
        <v>0</v>
      </c>
      <c r="N113" s="5">
        <v>7.3</v>
      </c>
      <c r="O113" s="10">
        <f t="shared" ref="O113:O116" si="48">18-N113</f>
        <v>10.7</v>
      </c>
      <c r="P113" s="7">
        <f>LOOKUP(O113,{0,7.8,8,8.2,8.4,8.6,8.8,9,9.2,9.4,9.6,9.8,10,10.2,10.4,10.6,10.8,10.9,11,11.1,11.2},{0,10,20,30,40,50,60,62,64,66,68,70,72,74,76,78,80,85,90,95,100})</f>
        <v>78</v>
      </c>
      <c r="Q113" s="5">
        <v>4.01</v>
      </c>
      <c r="R113" s="10">
        <f t="shared" ref="R113:R116" si="49">10-Q113</f>
        <v>5.99</v>
      </c>
      <c r="S113" s="7">
        <f>LOOKUP(R113,{0,3.85,4.45,4.65,4.85,5.45,5.65,5.7,5.75,5.8,5.85,5.9,5.95,6,6.45,6.5,6.55,6.63,6.7,6.75,6.8},{0,10,20,30,40,50,60,62,64,66,68,70,72,74,76,78,80,85,90,95,100})</f>
        <v>72</v>
      </c>
      <c r="T113" s="5"/>
      <c r="U113" s="5"/>
      <c r="V113" s="5">
        <f t="shared" ref="V113:V116" si="50">S113+U113</f>
        <v>72</v>
      </c>
      <c r="W113" s="5"/>
      <c r="X113" s="13">
        <f t="shared" ref="X113:X116" si="51">F113*0.1+H113*0.1+J113*0.1+P113*0.2+S113*0.2</f>
        <v>41.8</v>
      </c>
      <c r="Y113" s="13">
        <f t="shared" ref="Y113:Y116" si="52">X113/0.7+L113+U113</f>
        <v>59.7142857142857</v>
      </c>
    </row>
    <row r="114" ht="15.6" hidden="1" outlineLevel="2" spans="1:25">
      <c r="A114" s="5">
        <v>303</v>
      </c>
      <c r="B114" s="5">
        <v>32</v>
      </c>
      <c r="C114" s="5" t="s">
        <v>134</v>
      </c>
      <c r="D114" s="5" t="s">
        <v>12</v>
      </c>
      <c r="E114" s="5">
        <v>17</v>
      </c>
      <c r="F114" s="7">
        <f>LOOKUP(E114,{0,-1.8,-0.8,0.2,1.2,2.2,3.2,4.6,6,7.4,8.8,10.2,11.6,13,14.4,15.8,17.2,19.1,21,22.8,24.6},{0,10,20,30,40,50,60,62,64,66,68,70,72,74,76,78,80,85,90,95,100})</f>
        <v>78</v>
      </c>
      <c r="G114" s="5">
        <v>205</v>
      </c>
      <c r="H114" s="7">
        <f>LOOKUP(G114,{0,180,185,190,195,200,205,209,213,217,221,225,229,233,237,241,245,253,260,265,270},{0,10,20,30,40,50,60,62,64,66,68,70,72,74,76,78,80,85,90,95,100})</f>
        <v>60</v>
      </c>
      <c r="I114" s="5">
        <v>7</v>
      </c>
      <c r="J114" s="7">
        <f>LOOKUP(I114,{0,4,5,6,7,8,9,10,11,12,13,14,15,16,17,18},{0,10,20,30,40,50,60,64,68,72,76,80,85,90,95,100})</f>
        <v>40</v>
      </c>
      <c r="K114" s="5"/>
      <c r="L114" s="5"/>
      <c r="M114" s="5">
        <f t="shared" si="47"/>
        <v>40</v>
      </c>
      <c r="N114" s="5">
        <v>7.8</v>
      </c>
      <c r="O114" s="10">
        <f t="shared" si="48"/>
        <v>10.2</v>
      </c>
      <c r="P114" s="7">
        <f>LOOKUP(O114,{0,7.8,8,8.2,8.4,8.6,8.8,9,9.2,9.4,9.6,9.8,10,10.2,10.4,10.6,10.8,10.9,11,11.1,11.2},{0,10,20,30,40,50,60,62,64,66,68,70,72,74,76,78,80,85,90,95,100})</f>
        <v>74</v>
      </c>
      <c r="Q114" s="5">
        <v>3.59</v>
      </c>
      <c r="R114" s="10">
        <f t="shared" si="49"/>
        <v>6.41</v>
      </c>
      <c r="S114" s="7">
        <f>LOOKUP(R114,{0,3.85,4.45,4.65,4.85,5.45,5.65,5.7,5.75,5.8,5.85,5.9,5.95,6,6.45,6.5,6.55,6.63,6.7,6.75,6.8},{0,10,20,30,40,50,60,62,64,66,68,70,72,74,76,78,80,85,90,95,100})</f>
        <v>74</v>
      </c>
      <c r="T114" s="5"/>
      <c r="U114" s="5"/>
      <c r="V114" s="5">
        <f t="shared" si="50"/>
        <v>74</v>
      </c>
      <c r="W114" s="5"/>
      <c r="X114" s="13">
        <f t="shared" si="51"/>
        <v>47.4</v>
      </c>
      <c r="Y114" s="13">
        <f t="shared" si="52"/>
        <v>67.7142857142857</v>
      </c>
    </row>
    <row r="115" ht="15.6" hidden="1" outlineLevel="2" spans="1:25">
      <c r="A115" s="5">
        <v>303</v>
      </c>
      <c r="B115" s="5">
        <v>33</v>
      </c>
      <c r="C115" s="5" t="s">
        <v>135</v>
      </c>
      <c r="D115" s="5" t="s">
        <v>12</v>
      </c>
      <c r="E115" s="5">
        <v>24</v>
      </c>
      <c r="F115" s="7">
        <f>LOOKUP(E115,{0,-1.8,-0.8,0.2,1.2,2.2,3.2,4.6,6,7.4,8.8,10.2,11.6,13,14.4,15.8,17.2,19.1,21,22.8,24.6},{0,10,20,30,40,50,60,62,64,66,68,70,72,74,76,78,80,85,90,95,100})</f>
        <v>95</v>
      </c>
      <c r="G115" s="5">
        <v>260</v>
      </c>
      <c r="H115" s="7">
        <f>LOOKUP(G115,{0,180,185,190,195,200,205,209,213,217,221,225,229,233,237,241,245,253,260,265,270},{0,10,20,30,40,50,60,62,64,66,68,70,72,74,76,78,80,85,90,95,100})</f>
        <v>90</v>
      </c>
      <c r="I115" s="5">
        <v>12</v>
      </c>
      <c r="J115" s="7">
        <f>LOOKUP(I115,{0,4,5,6,7,8,9,10,11,12,13,14,15,16,17,18},{0,10,20,30,40,50,60,64,68,72,76,80,85,90,95,100})</f>
        <v>72</v>
      </c>
      <c r="K115" s="5"/>
      <c r="L115" s="5"/>
      <c r="M115" s="5">
        <f t="shared" si="47"/>
        <v>72</v>
      </c>
      <c r="N115" s="5">
        <v>7</v>
      </c>
      <c r="O115" s="10">
        <f t="shared" si="48"/>
        <v>11</v>
      </c>
      <c r="P115" s="7">
        <f>LOOKUP(O115,{0,7.8,8,8.2,8.4,8.6,8.8,9,9.2,9.4,9.6,9.8,10,10.2,10.4,10.6,10.8,10.9,11,11.1,11.2},{0,10,20,30,40,50,60,62,64,66,68,70,72,74,76,78,80,85,90,95,100})</f>
        <v>90</v>
      </c>
      <c r="Q115" s="5">
        <v>3.4</v>
      </c>
      <c r="R115" s="10">
        <f t="shared" si="49"/>
        <v>6.6</v>
      </c>
      <c r="S115" s="7">
        <f>LOOKUP(R115,{0,3.85,4.45,4.65,4.85,5.45,5.65,5.7,5.75,5.8,5.85,5.9,5.95,6,6.45,6.5,6.55,6.63,6.7,6.75,6.8},{0,10,20,30,40,50,60,62,64,66,68,70,72,74,76,78,80,85,90,95,100})</f>
        <v>80</v>
      </c>
      <c r="T115" s="5"/>
      <c r="U115" s="5"/>
      <c r="V115" s="5">
        <f t="shared" si="50"/>
        <v>80</v>
      </c>
      <c r="W115" s="5"/>
      <c r="X115" s="13">
        <f t="shared" si="51"/>
        <v>59.7</v>
      </c>
      <c r="Y115" s="13">
        <f t="shared" si="52"/>
        <v>85.2857142857143</v>
      </c>
    </row>
    <row r="116" ht="15.6" hidden="1" outlineLevel="2" spans="1:25">
      <c r="A116" s="5">
        <v>303</v>
      </c>
      <c r="B116" s="5">
        <v>34</v>
      </c>
      <c r="C116" s="5" t="s">
        <v>136</v>
      </c>
      <c r="D116" s="5" t="s">
        <v>12</v>
      </c>
      <c r="E116" s="5">
        <v>4.5</v>
      </c>
      <c r="F116" s="7">
        <f>LOOKUP(E116,{0,-1.8,-0.8,0.2,1.2,2.2,3.2,4.6,6,7.4,8.8,10.2,11.6,13,14.4,15.8,17.2,19.1,21,22.8,24.6},{0,10,20,30,40,50,60,62,64,66,68,70,72,74,76,78,80,85,90,95,100})</f>
        <v>60</v>
      </c>
      <c r="G116" s="5">
        <v>220</v>
      </c>
      <c r="H116" s="7">
        <f>LOOKUP(G116,{0,180,185,190,195,200,205,209,213,217,221,225,229,233,237,241,245,253,260,265,270},{0,10,20,30,40,50,60,62,64,66,68,70,72,74,76,78,80,85,90,95,100})</f>
        <v>66</v>
      </c>
      <c r="I116" s="5">
        <v>0</v>
      </c>
      <c r="J116" s="7">
        <f>LOOKUP(I116,{0,4,5,6,7,8,9,10,11,12,13,14,15,16,17,18},{0,10,20,30,40,50,60,64,68,72,76,80,85,90,95,100})</f>
        <v>0</v>
      </c>
      <c r="K116" s="5"/>
      <c r="L116" s="5"/>
      <c r="M116" s="5">
        <f t="shared" si="47"/>
        <v>0</v>
      </c>
      <c r="N116" s="5">
        <v>8.4</v>
      </c>
      <c r="O116" s="10">
        <f t="shared" si="48"/>
        <v>9.6</v>
      </c>
      <c r="P116" s="7">
        <f>LOOKUP(O116,{0,7.8,8,8.2,8.4,8.6,8.8,9,9.2,9.4,9.6,9.8,10,10.2,10.4,10.6,10.8,10.9,11,11.1,11.2},{0,10,20,30,40,50,60,62,64,66,68,70,72,74,76,78,80,85,90,95,100})</f>
        <v>68</v>
      </c>
      <c r="Q116" s="5">
        <v>5</v>
      </c>
      <c r="R116" s="10">
        <f t="shared" si="49"/>
        <v>5</v>
      </c>
      <c r="S116" s="7">
        <f>LOOKUP(R116,{0,3.85,4.45,4.65,4.85,5.45,5.65,5.7,5.75,5.8,5.85,5.9,5.95,6,6.45,6.5,6.55,6.63,6.7,6.75,6.8},{0,10,20,30,40,50,60,62,64,66,68,70,72,74,76,78,80,85,90,95,100})</f>
        <v>40</v>
      </c>
      <c r="T116" s="5"/>
      <c r="U116" s="5"/>
      <c r="V116" s="5">
        <f t="shared" si="50"/>
        <v>40</v>
      </c>
      <c r="W116" s="5"/>
      <c r="X116" s="13">
        <f t="shared" si="51"/>
        <v>34.2</v>
      </c>
      <c r="Y116" s="13">
        <f t="shared" si="52"/>
        <v>48.8571428571429</v>
      </c>
    </row>
    <row r="117" ht="15.6" hidden="1" outlineLevel="2" spans="1:25">
      <c r="A117" s="5">
        <v>303</v>
      </c>
      <c r="B117" s="5">
        <v>35</v>
      </c>
      <c r="C117" s="5" t="s">
        <v>137</v>
      </c>
      <c r="D117" s="5" t="s">
        <v>12</v>
      </c>
      <c r="E117" s="5"/>
      <c r="F117" s="7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>
        <v>50</v>
      </c>
      <c r="X117" s="13"/>
      <c r="Y117" s="13">
        <v>50</v>
      </c>
    </row>
    <row r="118" ht="15.6" hidden="1" outlineLevel="2" spans="1:25">
      <c r="A118" s="5">
        <v>303</v>
      </c>
      <c r="B118" s="5">
        <v>36</v>
      </c>
      <c r="C118" s="6" t="s">
        <v>139</v>
      </c>
      <c r="D118" s="5" t="s">
        <v>46</v>
      </c>
      <c r="E118" s="5">
        <v>21.5</v>
      </c>
      <c r="F118" s="7">
        <f>LOOKUP(E118,{0,1.5,2.3,3.1,3.9,4.7,5.5,6.8,8.1,9.4,10.7,12,13.3,14.6,15.9,17.2,18.5,20.2,21.9,23.6,25.3},{0,10,20,30,40,50,60,62,64,66,68,70,72,74,76,78,80,85,90,95,100})</f>
        <v>85</v>
      </c>
      <c r="G118" s="5">
        <v>190</v>
      </c>
      <c r="H118" s="7">
        <f>LOOKUP(G118,{0,125,130,135,140,145,150,153,156,159,162,165,168,171,174,177,180,187,194,200,206},{0,10,20,30,40,50,60,62,64,66,68,70,72,74,76,78,80,85,90,95,100})</f>
        <v>85</v>
      </c>
      <c r="I118" s="5">
        <v>42</v>
      </c>
      <c r="J118" s="7">
        <f>LOOKUP(I118,{0,15,17,19,21,23,25,27,29,31,33,35,37,39,41,43,45,48,51,53,55},{0,10,20,30,40,50,60,62,64,66,68,70,72,74,76,78,80,85,90,95,100})</f>
        <v>76</v>
      </c>
      <c r="K118" s="5"/>
      <c r="L118" s="5"/>
      <c r="M118" s="5">
        <f t="shared" ref="M118:M122" si="53">J118+L118</f>
        <v>76</v>
      </c>
      <c r="N118" s="5">
        <v>8.4</v>
      </c>
      <c r="O118" s="10">
        <f t="shared" ref="O118:O122" si="54">18-N118</f>
        <v>9.6</v>
      </c>
      <c r="P118" s="7">
        <f>LOOKUP(O118,{0,6.6,6.8,7,7.2,7.4,7.6,7.8,8,8.2,8.4,8.6,8.8,9,9.2,9.4,9.6,9.9,10.2,10.3,10.4},{0,10,20,30,40,50,60,62,64,66,68,70,72,74,76,78,80,85,90,95,100})</f>
        <v>80</v>
      </c>
      <c r="Q118" s="5">
        <v>4.06</v>
      </c>
      <c r="R118" s="10">
        <f t="shared" ref="R118:R122" si="55">10-Q118</f>
        <v>5.94</v>
      </c>
      <c r="S118" s="7">
        <f>LOOKUP(R118,{0,4.74,4.84,4.94,5.44,5.54,5.64,5.69,5.74,5.79,5.84,5.89,5.94,5.99,6.44,6.49,6.54,6.61,6.68,6.74,6.8},{0,10,20,30,40,50,60,62,64,66,68,70,72,74,76,78,80,85,90,95,100})</f>
        <v>72</v>
      </c>
      <c r="T118" s="5"/>
      <c r="U118" s="5"/>
      <c r="V118" s="5">
        <f t="shared" ref="V118:V122" si="56">S118+U118</f>
        <v>72</v>
      </c>
      <c r="W118" s="5"/>
      <c r="X118" s="13">
        <f t="shared" ref="X118:X122" si="57">F118*0.1+H118*0.1+J118*0.1+P118*0.2+S118*0.2</f>
        <v>55</v>
      </c>
      <c r="Y118" s="13">
        <f t="shared" ref="Y118:Y122" si="58">X118/0.7+L118+U118</f>
        <v>78.5714285714286</v>
      </c>
    </row>
    <row r="119" ht="15.6" hidden="1" outlineLevel="2" spans="1:25">
      <c r="A119" s="5">
        <v>303</v>
      </c>
      <c r="B119" s="5">
        <v>37</v>
      </c>
      <c r="C119" s="5" t="s">
        <v>140</v>
      </c>
      <c r="D119" s="5" t="s">
        <v>46</v>
      </c>
      <c r="E119" s="5">
        <v>16.5</v>
      </c>
      <c r="F119" s="7">
        <f>LOOKUP(E119,{0,1.5,2.3,3.1,3.9,4.7,5.5,6.8,8.1,9.4,10.7,12,13.3,14.6,15.9,17.2,18.5,20.2,21.9,23.6,25.3},{0,10,20,30,40,50,60,62,64,66,68,70,72,74,76,78,80,85,90,95,100})</f>
        <v>76</v>
      </c>
      <c r="G119" s="5">
        <v>180</v>
      </c>
      <c r="H119" s="7">
        <f>LOOKUP(G119,{0,125,130,135,140,145,150,153,156,159,162,165,168,171,174,177,180,187,194,200,206},{0,10,20,30,40,50,60,62,64,66,68,70,72,74,76,78,80,85,90,95,100})</f>
        <v>80</v>
      </c>
      <c r="I119" s="5">
        <v>55</v>
      </c>
      <c r="J119" s="7">
        <f>LOOKUP(I119,{0,15,17,19,21,23,25,27,29,31,33,35,37,39,41,43,45,48,51,53,55},{0,10,20,30,40,50,60,62,64,66,68,70,72,74,76,78,80,85,90,95,100})</f>
        <v>100</v>
      </c>
      <c r="K119" s="5"/>
      <c r="L119" s="5"/>
      <c r="M119" s="5">
        <f t="shared" si="53"/>
        <v>100</v>
      </c>
      <c r="N119" s="5">
        <v>9.1</v>
      </c>
      <c r="O119" s="10">
        <f t="shared" si="54"/>
        <v>8.9</v>
      </c>
      <c r="P119" s="7">
        <f>LOOKUP(O119,{0,6.6,6.8,7,7.2,7.4,7.6,7.8,8,8.2,8.4,8.6,8.8,9,9.2,9.4,9.6,9.9,10.2,10.3,10.4},{0,10,20,30,40,50,60,62,64,66,68,70,72,74,76,78,80,85,90,95,100})</f>
        <v>72</v>
      </c>
      <c r="Q119" s="5">
        <v>3.51</v>
      </c>
      <c r="R119" s="10">
        <f t="shared" si="55"/>
        <v>6.49</v>
      </c>
      <c r="S119" s="7">
        <f>LOOKUP(R119,{0,4.74,4.84,4.94,5.44,5.54,5.64,5.69,5.74,5.79,5.84,5.89,5.94,5.99,6.44,6.49,6.54,6.61,6.68,6.74,6.8},{0,10,20,30,40,50,60,62,64,66,68,70,72,74,76,78,80,85,90,95,100})</f>
        <v>78</v>
      </c>
      <c r="T119" s="5"/>
      <c r="U119" s="5"/>
      <c r="V119" s="5">
        <f t="shared" si="56"/>
        <v>78</v>
      </c>
      <c r="W119" s="5"/>
      <c r="X119" s="13">
        <f t="shared" si="57"/>
        <v>55.6</v>
      </c>
      <c r="Y119" s="13">
        <f t="shared" si="58"/>
        <v>79.4285714285714</v>
      </c>
    </row>
    <row r="120" ht="15.6" hidden="1" outlineLevel="2" spans="1:25">
      <c r="A120" s="5">
        <v>303</v>
      </c>
      <c r="B120" s="5">
        <v>38</v>
      </c>
      <c r="C120" s="5" t="s">
        <v>141</v>
      </c>
      <c r="D120" s="5" t="s">
        <v>46</v>
      </c>
      <c r="E120" s="5">
        <v>10.5</v>
      </c>
      <c r="F120" s="7">
        <f>LOOKUP(E120,{0,1.5,2.3,3.1,3.9,4.7,5.5,6.8,8.1,9.4,10.7,12,13.3,14.6,15.9,17.2,18.5,20.2,21.9,23.6,25.3},{0,10,20,30,40,50,60,62,64,66,68,70,72,74,76,78,80,85,90,95,100})</f>
        <v>66</v>
      </c>
      <c r="G120" s="5">
        <v>176</v>
      </c>
      <c r="H120" s="7">
        <f>LOOKUP(G120,{0,125,130,135,140,145,150,153,156,159,162,165,168,171,174,177,180,187,194,200,206},{0,10,20,30,40,50,60,62,64,66,68,70,72,74,76,78,80,85,90,95,100})</f>
        <v>76</v>
      </c>
      <c r="I120" s="5">
        <v>52</v>
      </c>
      <c r="J120" s="7">
        <f>LOOKUP(I120,{0,15,17,19,21,23,25,27,29,31,33,35,37,39,41,43,45,48,51,53,55},{0,10,20,30,40,50,60,62,64,66,68,70,72,74,76,78,80,85,90,95,100})</f>
        <v>90</v>
      </c>
      <c r="K120" s="5"/>
      <c r="L120" s="5"/>
      <c r="M120" s="5">
        <f t="shared" si="53"/>
        <v>90</v>
      </c>
      <c r="N120" s="5">
        <v>8.2</v>
      </c>
      <c r="O120" s="10">
        <f t="shared" si="54"/>
        <v>9.8</v>
      </c>
      <c r="P120" s="7">
        <f>LOOKUP(O120,{0,6.6,6.8,7,7.2,7.4,7.6,7.8,8,8.2,8.4,8.6,8.8,9,9.2,9.4,9.6,9.9,10.2,10.3,10.4},{0,10,20,30,40,50,60,62,64,66,68,70,72,74,76,78,80,85,90,95,100})</f>
        <v>80</v>
      </c>
      <c r="Q120" s="5" t="s">
        <v>77</v>
      </c>
      <c r="R120" s="5"/>
      <c r="S120" s="5"/>
      <c r="T120" s="5"/>
      <c r="U120" s="5"/>
      <c r="V120" s="5"/>
      <c r="W120" s="5"/>
      <c r="X120" s="13">
        <f t="shared" si="57"/>
        <v>39.2</v>
      </c>
      <c r="Y120" s="13">
        <f t="shared" si="58"/>
        <v>56</v>
      </c>
    </row>
    <row r="121" ht="15.6" hidden="1" outlineLevel="2" spans="1:25">
      <c r="A121" s="5">
        <v>303</v>
      </c>
      <c r="B121" s="5">
        <v>39</v>
      </c>
      <c r="C121" s="5" t="s">
        <v>142</v>
      </c>
      <c r="D121" s="5" t="s">
        <v>46</v>
      </c>
      <c r="E121" s="5">
        <v>17.5</v>
      </c>
      <c r="F121" s="7">
        <f>LOOKUP(E121,{0,1.5,2.3,3.1,3.9,4.7,5.5,6.8,8.1,9.4,10.7,12,13.3,14.6,15.9,17.2,18.5,20.2,21.9,23.6,25.3},{0,10,20,30,40,50,60,62,64,66,68,70,72,74,76,78,80,85,90,95,100})</f>
        <v>78</v>
      </c>
      <c r="G121" s="5">
        <v>168</v>
      </c>
      <c r="H121" s="7">
        <f>LOOKUP(G121,{0,125,130,135,140,145,150,153,156,159,162,165,168,171,174,177,180,187,194,200,206},{0,10,20,30,40,50,60,62,64,66,68,70,72,74,76,78,80,85,90,95,100})</f>
        <v>72</v>
      </c>
      <c r="I121" s="5">
        <v>50</v>
      </c>
      <c r="J121" s="7">
        <f>LOOKUP(I121,{0,15,17,19,21,23,25,27,29,31,33,35,37,39,41,43,45,48,51,53,55},{0,10,20,30,40,50,60,62,64,66,68,70,72,74,76,78,80,85,90,95,100})</f>
        <v>85</v>
      </c>
      <c r="K121" s="5"/>
      <c r="L121" s="5"/>
      <c r="M121" s="5">
        <f t="shared" si="53"/>
        <v>85</v>
      </c>
      <c r="N121" s="5">
        <v>8.8</v>
      </c>
      <c r="O121" s="10">
        <f t="shared" si="54"/>
        <v>9.2</v>
      </c>
      <c r="P121" s="7">
        <f>LOOKUP(O121,{0,6.6,6.8,7,7.2,7.4,7.6,7.8,8,8.2,8.4,8.6,8.8,9,9.2,9.4,9.6,9.9,10.2,10.3,10.4},{0,10,20,30,40,50,60,62,64,66,68,70,72,74,76,78,80,85,90,95,100})</f>
        <v>76</v>
      </c>
      <c r="Q121" s="5">
        <v>4.44</v>
      </c>
      <c r="R121" s="10">
        <f t="shared" si="55"/>
        <v>5.56</v>
      </c>
      <c r="S121" s="7">
        <f>LOOKUP(R121,{0,4.74,4.84,4.94,5.44,5.54,5.64,5.69,5.74,5.79,5.84,5.89,5.94,5.99,6.44,6.49,6.54,6.61,6.68,6.74,6.8},{0,10,20,30,40,50,60,62,64,66,68,70,72,74,76,78,80,85,90,95,100})</f>
        <v>50</v>
      </c>
      <c r="T121" s="5"/>
      <c r="U121" s="5"/>
      <c r="V121" s="5">
        <f t="shared" si="56"/>
        <v>50</v>
      </c>
      <c r="W121" s="5"/>
      <c r="X121" s="13">
        <f t="shared" si="57"/>
        <v>48.7</v>
      </c>
      <c r="Y121" s="13">
        <f t="shared" si="58"/>
        <v>69.5714285714286</v>
      </c>
    </row>
    <row r="122" ht="15.6" hidden="1" outlineLevel="2" spans="1:25">
      <c r="A122" s="5">
        <v>303</v>
      </c>
      <c r="B122" s="5">
        <v>40</v>
      </c>
      <c r="C122" s="5" t="s">
        <v>143</v>
      </c>
      <c r="D122" s="5" t="s">
        <v>46</v>
      </c>
      <c r="E122" s="5">
        <v>21</v>
      </c>
      <c r="F122" s="7">
        <f>LOOKUP(E122,{0,1.5,2.3,3.1,3.9,4.7,5.5,6.8,8.1,9.4,10.7,12,13.3,14.6,15.9,17.2,18.5,20.2,21.9,23.6,25.3},{0,10,20,30,40,50,60,62,64,66,68,70,72,74,76,78,80,85,90,95,100})</f>
        <v>85</v>
      </c>
      <c r="G122" s="5">
        <v>177</v>
      </c>
      <c r="H122" s="7">
        <f>LOOKUP(G122,{0,125,130,135,140,145,150,153,156,159,162,165,168,171,174,177,180,187,194,200,206},{0,10,20,30,40,50,60,62,64,66,68,70,72,74,76,78,80,85,90,95,100})</f>
        <v>78</v>
      </c>
      <c r="I122" s="5">
        <v>53</v>
      </c>
      <c r="J122" s="7">
        <f>LOOKUP(I122,{0,15,17,19,21,23,25,27,29,31,33,35,37,39,41,43,45,48,51,53,55},{0,10,20,30,40,50,60,62,64,66,68,70,72,74,76,78,80,85,90,95,100})</f>
        <v>95</v>
      </c>
      <c r="K122" s="5"/>
      <c r="L122" s="5"/>
      <c r="M122" s="5">
        <f t="shared" si="53"/>
        <v>95</v>
      </c>
      <c r="N122" s="5">
        <v>8.8</v>
      </c>
      <c r="O122" s="10">
        <f t="shared" si="54"/>
        <v>9.2</v>
      </c>
      <c r="P122" s="7">
        <f>LOOKUP(O122,{0,6.6,6.8,7,7.2,7.4,7.6,7.8,8,8.2,8.4,8.6,8.8,9,9.2,9.4,9.6,9.9,10.2,10.3,10.4},{0,10,20,30,40,50,60,62,64,66,68,70,72,74,76,78,80,85,90,95,100})</f>
        <v>76</v>
      </c>
      <c r="Q122" s="5">
        <v>3.32</v>
      </c>
      <c r="R122" s="10">
        <f t="shared" si="55"/>
        <v>6.68</v>
      </c>
      <c r="S122" s="7">
        <f>LOOKUP(R122,{0,4.74,4.84,4.94,5.44,5.54,5.64,5.69,5.74,5.79,5.84,5.89,5.94,5.99,6.44,6.49,6.54,6.61,6.68,6.74,6.8},{0,10,20,30,40,50,60,62,64,66,68,70,72,74,76,78,80,85,90,95,100})</f>
        <v>90</v>
      </c>
      <c r="T122" s="5"/>
      <c r="U122" s="5"/>
      <c r="V122" s="5">
        <f t="shared" si="56"/>
        <v>90</v>
      </c>
      <c r="W122" s="5"/>
      <c r="X122" s="13">
        <f t="shared" si="57"/>
        <v>59</v>
      </c>
      <c r="Y122" s="13">
        <f t="shared" si="58"/>
        <v>84.2857142857143</v>
      </c>
    </row>
    <row r="123" hidden="1" outlineLevel="2" spans="1:25">
      <c r="A123" s="5">
        <v>303</v>
      </c>
      <c r="B123" s="5">
        <v>41</v>
      </c>
      <c r="C123" s="5" t="s">
        <v>144</v>
      </c>
      <c r="D123" s="5" t="s">
        <v>46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>
        <v>50</v>
      </c>
      <c r="X123" s="13"/>
      <c r="Y123" s="13">
        <v>50</v>
      </c>
    </row>
    <row r="124" ht="15.6" hidden="1" outlineLevel="2" spans="1:25">
      <c r="A124" s="5">
        <v>303</v>
      </c>
      <c r="B124" s="5">
        <v>42</v>
      </c>
      <c r="C124" s="5" t="s">
        <v>145</v>
      </c>
      <c r="D124" s="5" t="s">
        <v>46</v>
      </c>
      <c r="E124" s="5">
        <v>19</v>
      </c>
      <c r="F124" s="7">
        <f>LOOKUP(E124,{0,1.5,2.3,3.1,3.9,4.7,5.5,6.8,8.1,9.4,10.7,12,13.3,14.6,15.9,17.2,18.5,20.2,21.9,23.6,25.3},{0,10,20,30,40,50,60,62,64,66,68,70,72,74,76,78,80,85,90,95,100})</f>
        <v>80</v>
      </c>
      <c r="G124" s="5">
        <v>190</v>
      </c>
      <c r="H124" s="7">
        <f>LOOKUP(G124,{0,125,130,135,140,145,150,153,156,159,162,165,168,171,174,177,180,187,194,200,206},{0,10,20,30,40,50,60,62,64,66,68,70,72,74,76,78,80,85,90,95,100})</f>
        <v>85</v>
      </c>
      <c r="I124" s="5">
        <v>46</v>
      </c>
      <c r="J124" s="7">
        <f>LOOKUP(I124,{0,15,17,19,21,23,25,27,29,31,33,35,37,39,41,43,45,48,51,53,55},{0,10,20,30,40,50,60,62,64,66,68,70,72,74,76,78,80,85,90,95,100})</f>
        <v>80</v>
      </c>
      <c r="K124" s="5"/>
      <c r="L124" s="5"/>
      <c r="M124" s="5">
        <f>J124+L124</f>
        <v>80</v>
      </c>
      <c r="N124" s="5">
        <v>9.4</v>
      </c>
      <c r="O124" s="10">
        <f>18-N124</f>
        <v>8.6</v>
      </c>
      <c r="P124" s="7">
        <f>LOOKUP(O124,{0,6.6,6.8,7,7.2,7.4,7.6,7.8,8,8.2,8.4,8.6,8.8,9,9.2,9.4,9.6,9.9,10.2,10.3,10.4},{0,10,20,30,40,50,60,62,64,66,68,70,72,74,76,78,80,85,90,95,100})</f>
        <v>70</v>
      </c>
      <c r="Q124" s="5">
        <v>4.19</v>
      </c>
      <c r="R124" s="10">
        <f>10-Q124</f>
        <v>5.81</v>
      </c>
      <c r="S124" s="7">
        <f>LOOKUP(R124,{0,4.74,4.84,4.94,5.44,5.54,5.64,5.69,5.74,5.79,5.84,5.89,5.94,5.99,6.44,6.49,6.54,6.61,6.68,6.74,6.8},{0,10,20,30,40,50,60,62,64,66,68,70,72,74,76,78,80,85,90,95,100})</f>
        <v>66</v>
      </c>
      <c r="T124" s="5"/>
      <c r="U124" s="5"/>
      <c r="V124" s="5">
        <f>S124+U124</f>
        <v>66</v>
      </c>
      <c r="W124" s="5"/>
      <c r="X124" s="13">
        <f>F124*0.1+H124*0.1+J124*0.1+P124*0.2+S124*0.2</f>
        <v>51.7</v>
      </c>
      <c r="Y124" s="13">
        <f>X124/0.7+L124+U124</f>
        <v>73.8571428571429</v>
      </c>
    </row>
    <row r="125" ht="15.6" hidden="1" outlineLevel="2" spans="1:25">
      <c r="A125" s="5">
        <v>303</v>
      </c>
      <c r="B125" s="5">
        <v>44</v>
      </c>
      <c r="C125" s="5" t="s">
        <v>146</v>
      </c>
      <c r="D125" s="5" t="s">
        <v>46</v>
      </c>
      <c r="E125" s="5">
        <v>14</v>
      </c>
      <c r="F125" s="7">
        <f>LOOKUP(E125,{0,1.5,2.3,3.1,3.9,4.7,5.5,6.8,8.1,9.4,10.7,12,13.3,14.6,15.9,17.2,18.5,20.2,21.9,23.6,25.3},{0,10,20,30,40,50,60,62,64,66,68,70,72,74,76,78,80,85,90,95,100})</f>
        <v>72</v>
      </c>
      <c r="G125" s="5">
        <v>160</v>
      </c>
      <c r="H125" s="7">
        <f>LOOKUP(G125,{0,125,130,135,140,145,150,153,156,159,162,165,168,171,174,177,180,187,194,200,206},{0,10,20,30,40,50,60,62,64,66,68,70,72,74,76,78,80,85,90,95,100})</f>
        <v>66</v>
      </c>
      <c r="I125" s="5">
        <v>36</v>
      </c>
      <c r="J125" s="7">
        <f>LOOKUP(I125,{0,15,17,19,21,23,25,27,29,31,33,35,37,39,41,43,45,48,51,53,55},{0,10,20,30,40,50,60,62,64,66,68,70,72,74,76,78,80,85,90,95,100})</f>
        <v>70</v>
      </c>
      <c r="K125" s="5"/>
      <c r="L125" s="5"/>
      <c r="M125" s="5">
        <f>J125+L125</f>
        <v>70</v>
      </c>
      <c r="N125" s="5">
        <v>9</v>
      </c>
      <c r="O125" s="10">
        <f>18-N125</f>
        <v>9</v>
      </c>
      <c r="P125" s="7">
        <f>LOOKUP(O125,{0,6.6,6.8,7,7.2,7.4,7.6,7.8,8,8.2,8.4,8.6,8.8,9,9.2,9.4,9.6,9.9,10.2,10.3,10.4},{0,10,20,30,40,50,60,62,64,66,68,70,72,74,76,78,80,85,90,95,100})</f>
        <v>74</v>
      </c>
      <c r="Q125" s="5">
        <v>4.44</v>
      </c>
      <c r="R125" s="10">
        <f>10-Q125</f>
        <v>5.56</v>
      </c>
      <c r="S125" s="7">
        <f>LOOKUP(R125,{0,4.74,4.84,4.94,5.44,5.54,5.64,5.69,5.74,5.79,5.84,5.89,5.94,5.99,6.44,6.49,6.54,6.61,6.68,6.74,6.8},{0,10,20,30,40,50,60,62,64,66,68,70,72,74,76,78,80,85,90,95,100})</f>
        <v>50</v>
      </c>
      <c r="T125" s="5"/>
      <c r="U125" s="5"/>
      <c r="V125" s="5">
        <f>S125+U125</f>
        <v>50</v>
      </c>
      <c r="W125" s="5"/>
      <c r="X125" s="13">
        <f>F125*0.1+H125*0.1+J125*0.1+P125*0.2+S125*0.2</f>
        <v>45.6</v>
      </c>
      <c r="Y125" s="13">
        <f>X125/0.7+L125+U125</f>
        <v>65.1428571428572</v>
      </c>
    </row>
    <row r="126" ht="15.6" outlineLevel="1" collapsed="1" spans="1:25">
      <c r="A126" s="6" t="s">
        <v>854</v>
      </c>
      <c r="B126" s="5"/>
      <c r="C126" s="5"/>
      <c r="D126" s="5"/>
      <c r="E126" s="5"/>
      <c r="F126" s="7">
        <f>SUBTOTAL(1,F85:F125)</f>
        <v>66.3939393939394</v>
      </c>
      <c r="G126" s="5"/>
      <c r="H126" s="7">
        <f>SUBTOTAL(1,H85:H125)</f>
        <v>68.9090909090909</v>
      </c>
      <c r="I126" s="5"/>
      <c r="J126" s="7">
        <f>SUBTOTAL(1,J85:J125)</f>
        <v>38.1515151515151</v>
      </c>
      <c r="K126" s="5"/>
      <c r="L126" s="5"/>
      <c r="M126" s="5">
        <f>SUBTOTAL(1,M85:M125)</f>
        <v>38.1515151515151</v>
      </c>
      <c r="N126" s="5"/>
      <c r="O126" s="10"/>
      <c r="P126" s="7">
        <f>SUBTOTAL(1,P85:P125)</f>
        <v>77.030303030303</v>
      </c>
      <c r="Q126" s="5"/>
      <c r="R126" s="10"/>
      <c r="S126" s="7">
        <f>SUBTOTAL(1,S85:S125)</f>
        <v>66.625</v>
      </c>
      <c r="T126" s="5"/>
      <c r="U126" s="5"/>
      <c r="V126" s="5">
        <f>SUBTOTAL(1,V85:V125)</f>
        <v>66.625</v>
      </c>
      <c r="W126" s="5"/>
      <c r="X126" s="13">
        <f>SUBTOTAL(1,X85:X125)</f>
        <v>45.6727272727273</v>
      </c>
      <c r="Y126" s="13">
        <f>SUBTOTAL(1,Y85:Y125)</f>
        <v>62.2717770034843</v>
      </c>
    </row>
    <row r="127" ht="15.6" hidden="1" outlineLevel="2" spans="1:25">
      <c r="A127" s="5">
        <v>304</v>
      </c>
      <c r="B127" s="5">
        <v>1</v>
      </c>
      <c r="C127" s="6" t="s">
        <v>148</v>
      </c>
      <c r="D127" s="5" t="s">
        <v>12</v>
      </c>
      <c r="E127" s="5"/>
      <c r="F127" s="7"/>
      <c r="G127" s="5"/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>
        <v>50</v>
      </c>
      <c r="X127" s="13"/>
      <c r="Y127" s="13">
        <v>50</v>
      </c>
    </row>
    <row r="128" ht="15.6" hidden="1" outlineLevel="2" spans="1:25">
      <c r="A128" s="5">
        <v>304</v>
      </c>
      <c r="B128" s="5">
        <v>2</v>
      </c>
      <c r="C128" s="5" t="s">
        <v>149</v>
      </c>
      <c r="D128" s="5" t="s">
        <v>12</v>
      </c>
      <c r="E128" s="5">
        <v>0.5</v>
      </c>
      <c r="F128" s="7">
        <f>LOOKUP(E128,{0,-1.8,-0.8,0.2,1.2,2.2,3.2,4.6,6,7.4,8.8,10.2,11.6,13,14.4,15.8,17.2,19.1,21,22.8,24.6},{0,10,20,30,40,50,60,62,64,66,68,70,72,74,76,78,80,85,90,95,100})</f>
        <v>30</v>
      </c>
      <c r="G128" s="5">
        <v>184</v>
      </c>
      <c r="H128" s="7">
        <f>LOOKUP(G128,{0,180,185,190,195,200,205,209,213,217,221,225,229,233,237,241,245,253,260,265,270},{0,10,20,30,40,50,60,62,64,66,68,70,72,74,76,78,80,85,90,95,100})</f>
        <v>10</v>
      </c>
      <c r="I128" s="5">
        <v>0</v>
      </c>
      <c r="J128" s="7">
        <f>LOOKUP(I128,{0,4,5,6,7,8,9,10,11,12,13,14,15,16,17,18},{0,10,20,30,40,50,60,64,68,72,76,80,85,90,95,100})</f>
        <v>0</v>
      </c>
      <c r="K128" s="5"/>
      <c r="L128" s="5"/>
      <c r="M128" s="5">
        <f>J128+L128</f>
        <v>0</v>
      </c>
      <c r="N128" s="5">
        <v>8.1</v>
      </c>
      <c r="O128" s="10">
        <f>18-N128</f>
        <v>9.9</v>
      </c>
      <c r="P128" s="7">
        <f>LOOKUP(O128,{0,7.8,8,8.2,8.4,8.6,8.8,9,9.2,9.4,9.6,9.8,10,10.2,10.4,10.6,10.8,10.9,11,11.1,11.2},{0,10,20,30,40,50,60,62,64,66,68,70,72,74,76,78,80,85,90,95,100})</f>
        <v>70</v>
      </c>
      <c r="Q128" s="5" t="s">
        <v>77</v>
      </c>
      <c r="R128" s="10" t="e">
        <f>10-Q128</f>
        <v>#VALUE!</v>
      </c>
      <c r="S128" s="7"/>
      <c r="T128" s="5"/>
      <c r="U128" s="5"/>
      <c r="V128" s="5"/>
      <c r="W128" s="14">
        <v>50</v>
      </c>
      <c r="X128" s="13">
        <f>F128*0.1+H128*0.1+J128*0.1+P128*0.2+S128*0.2</f>
        <v>18</v>
      </c>
      <c r="Y128" s="13">
        <v>50</v>
      </c>
    </row>
    <row r="129" ht="15.6" hidden="1" outlineLevel="2" spans="1:25">
      <c r="A129" s="5">
        <v>304</v>
      </c>
      <c r="B129" s="5">
        <v>3</v>
      </c>
      <c r="C129" s="5" t="s">
        <v>150</v>
      </c>
      <c r="D129" s="5" t="s">
        <v>12</v>
      </c>
      <c r="E129" s="5">
        <v>27</v>
      </c>
      <c r="F129" s="7">
        <f>LOOKUP(E129,{0,-1.8,-0.8,0.2,1.2,2.2,3.2,4.6,6,7.4,8.8,10.2,11.6,13,14.4,15.8,17.2,19.1,21,22.8,24.6},{0,10,20,30,40,50,60,62,64,66,68,70,72,74,76,78,80,85,90,95,100})</f>
        <v>100</v>
      </c>
      <c r="G129" s="5">
        <v>248</v>
      </c>
      <c r="H129" s="7">
        <f>LOOKUP(G129,{0,180,185,190,195,200,205,209,213,217,221,225,229,233,237,241,245,253,260,265,270},{0,10,20,30,40,50,60,62,64,66,68,70,72,74,76,78,80,85,90,95,100})</f>
        <v>80</v>
      </c>
      <c r="I129" s="5">
        <v>4</v>
      </c>
      <c r="J129" s="7">
        <f>LOOKUP(I129,{0,4,5,6,7,8,9,10,11,12,13,14,15,16,17,18},{0,10,20,30,40,50,60,64,68,72,76,80,85,90,95,100})</f>
        <v>10</v>
      </c>
      <c r="K129" s="5"/>
      <c r="L129" s="5"/>
      <c r="M129" s="5">
        <f>J129+L129</f>
        <v>10</v>
      </c>
      <c r="N129" s="5">
        <v>7.1</v>
      </c>
      <c r="O129" s="10">
        <f>18-N129</f>
        <v>10.9</v>
      </c>
      <c r="P129" s="7">
        <f>LOOKUP(O129,{0,7.8,8,8.2,8.4,8.6,8.8,9,9.2,9.4,9.6,9.8,10,10.2,10.4,10.6,10.8,10.9,11,11.1,11.2},{0,10,20,30,40,50,60,62,64,66,68,70,72,74,76,78,80,85,90,95,100})</f>
        <v>85</v>
      </c>
      <c r="Q129" s="5">
        <v>3.54</v>
      </c>
      <c r="R129" s="10">
        <f>10-Q129</f>
        <v>6.46</v>
      </c>
      <c r="S129" s="7">
        <f>LOOKUP(R129,{0,3.85,4.45,4.65,4.85,5.45,5.65,5.7,5.75,5.8,5.85,5.9,5.95,6,6.45,6.5,6.55,6.63,6.7,6.75,6.8},{0,10,20,30,40,50,60,62,64,66,68,70,72,74,76,78,80,85,90,95,100})</f>
        <v>76</v>
      </c>
      <c r="T129" s="5"/>
      <c r="U129" s="5"/>
      <c r="V129" s="5">
        <f>S129+U129</f>
        <v>76</v>
      </c>
      <c r="W129" s="5"/>
      <c r="X129" s="13">
        <f>F129*0.1+H129*0.1+J129*0.1+P129*0.2+S129*0.2</f>
        <v>51.2</v>
      </c>
      <c r="Y129" s="13">
        <f>X129/0.7+L129+U129</f>
        <v>73.1428571428572</v>
      </c>
    </row>
    <row r="130" ht="15.6" hidden="1" outlineLevel="2" spans="1:25">
      <c r="A130" s="5">
        <v>304</v>
      </c>
      <c r="B130" s="5">
        <v>4</v>
      </c>
      <c r="C130" s="5" t="s">
        <v>151</v>
      </c>
      <c r="D130" s="5" t="s">
        <v>12</v>
      </c>
      <c r="E130" s="5">
        <v>11</v>
      </c>
      <c r="F130" s="7">
        <f>LOOKUP(E130,{0,-1.8,-0.8,0.2,1.2,2.2,3.2,4.6,6,7.4,8.8,10.2,11.6,13,14.4,15.8,17.2,19.1,21,22.8,24.6},{0,10,20,30,40,50,60,62,64,66,68,70,72,74,76,78,80,85,90,95,100})</f>
        <v>70</v>
      </c>
      <c r="G130" s="5">
        <v>231</v>
      </c>
      <c r="H130" s="7">
        <f>LOOKUP(G130,{0,180,185,190,195,200,205,209,213,217,221,225,229,233,237,241,245,253,260,265,270},{0,10,20,30,40,50,60,62,64,66,68,70,72,74,76,78,80,85,90,95,100})</f>
        <v>72</v>
      </c>
      <c r="I130" s="5">
        <v>0</v>
      </c>
      <c r="J130" s="7">
        <f>LOOKUP(I130,{0,4,5,6,7,8,9,10,11,12,13,14,15,16,17,18},{0,10,20,30,40,50,60,64,68,72,76,80,85,90,95,100})</f>
        <v>0</v>
      </c>
      <c r="K130" s="5"/>
      <c r="L130" s="5"/>
      <c r="M130" s="5">
        <f>J130+L130</f>
        <v>0</v>
      </c>
      <c r="N130" s="5">
        <v>7.5</v>
      </c>
      <c r="O130" s="10">
        <f>18-N130</f>
        <v>10.5</v>
      </c>
      <c r="P130" s="7">
        <f>LOOKUP(O130,{0,7.8,8,8.2,8.4,8.6,8.8,9,9.2,9.4,9.6,9.8,10,10.2,10.4,10.6,10.8,10.9,11,11.1,11.2},{0,10,20,30,40,50,60,62,64,66,68,70,72,74,76,78,80,85,90,95,100})</f>
        <v>76</v>
      </c>
      <c r="Q130" s="5">
        <v>3.57</v>
      </c>
      <c r="R130" s="10">
        <f>10-Q130</f>
        <v>6.43</v>
      </c>
      <c r="S130" s="7">
        <f>LOOKUP(R130,{0,3.85,4.45,4.65,4.85,5.45,5.65,5.7,5.75,5.8,5.85,5.9,5.95,6,6.45,6.5,6.55,6.63,6.7,6.75,6.8},{0,10,20,30,40,50,60,62,64,66,68,70,72,74,76,78,80,85,90,95,100})</f>
        <v>74</v>
      </c>
      <c r="T130" s="5"/>
      <c r="U130" s="5"/>
      <c r="V130" s="5">
        <f>S130+U130</f>
        <v>74</v>
      </c>
      <c r="W130" s="5"/>
      <c r="X130" s="13">
        <f>F130*0.1+H130*0.1+J130*0.1+P130*0.2+S130*0.2</f>
        <v>44.2</v>
      </c>
      <c r="Y130" s="13">
        <f>X130/0.7+L130+U130</f>
        <v>63.1428571428572</v>
      </c>
    </row>
    <row r="131" ht="15.6" hidden="1" outlineLevel="2" spans="1:25">
      <c r="A131" s="5">
        <v>304</v>
      </c>
      <c r="B131" s="5">
        <v>5</v>
      </c>
      <c r="C131" s="5" t="s">
        <v>152</v>
      </c>
      <c r="D131" s="5" t="s">
        <v>12</v>
      </c>
      <c r="E131" s="5"/>
      <c r="F131" s="7"/>
      <c r="G131" s="5"/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>
        <v>50</v>
      </c>
      <c r="X131" s="13"/>
      <c r="Y131" s="13">
        <v>50</v>
      </c>
    </row>
    <row r="132" ht="15.6" hidden="1" outlineLevel="2" spans="1:25">
      <c r="A132" s="5">
        <v>304</v>
      </c>
      <c r="B132" s="5">
        <v>6</v>
      </c>
      <c r="C132" s="5" t="s">
        <v>153</v>
      </c>
      <c r="D132" s="5" t="s">
        <v>12</v>
      </c>
      <c r="E132" s="5"/>
      <c r="F132" s="7"/>
      <c r="G132" s="5"/>
      <c r="H132" s="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>
        <v>50</v>
      </c>
      <c r="X132" s="13"/>
      <c r="Y132" s="13">
        <v>50</v>
      </c>
    </row>
    <row r="133" ht="15.6" hidden="1" outlineLevel="2" spans="1:25">
      <c r="A133" s="5">
        <v>304</v>
      </c>
      <c r="B133" s="5">
        <v>7</v>
      </c>
      <c r="C133" s="5" t="s">
        <v>154</v>
      </c>
      <c r="D133" s="5" t="s">
        <v>12</v>
      </c>
      <c r="E133" s="5">
        <v>16</v>
      </c>
      <c r="F133" s="7">
        <f>LOOKUP(E133,{0,-1.8,-0.8,0.2,1.2,2.2,3.2,4.6,6,7.4,8.8,10.2,11.6,13,14.4,15.8,17.2,19.1,21,22.8,24.6},{0,10,20,30,40,50,60,62,64,66,68,70,72,74,76,78,80,85,90,95,100})</f>
        <v>78</v>
      </c>
      <c r="G133" s="5">
        <v>240</v>
      </c>
      <c r="H133" s="7">
        <f>LOOKUP(G133,{0,180,185,190,195,200,205,209,213,217,221,225,229,233,237,241,245,253,260,265,270},{0,10,20,30,40,50,60,62,64,66,68,70,72,74,76,78,80,85,90,95,100})</f>
        <v>76</v>
      </c>
      <c r="I133" s="5">
        <v>4</v>
      </c>
      <c r="J133" s="7">
        <f>LOOKUP(I133,{0,4,5,6,7,8,9,10,11,12,13,14,15,16,17,18},{0,10,20,30,40,50,60,64,68,72,76,80,85,90,95,100})</f>
        <v>10</v>
      </c>
      <c r="K133" s="5"/>
      <c r="L133" s="5"/>
      <c r="M133" s="5">
        <f t="shared" ref="M133:M138" si="59">J133+L133</f>
        <v>10</v>
      </c>
      <c r="N133" s="5">
        <v>7.2</v>
      </c>
      <c r="O133" s="10">
        <f t="shared" ref="O133:O138" si="60">18-N133</f>
        <v>10.8</v>
      </c>
      <c r="P133" s="7">
        <f>LOOKUP(O133,{0,7.8,8,8.2,8.4,8.6,8.8,9,9.2,9.4,9.6,9.8,10,10.2,10.4,10.6,10.8,10.9,11,11.1,11.2},{0,10,20,30,40,50,60,62,64,66,68,70,72,74,76,78,80,85,90,95,100})</f>
        <v>80</v>
      </c>
      <c r="Q133" s="5">
        <v>3.56</v>
      </c>
      <c r="R133" s="10">
        <f t="shared" ref="R133:R138" si="61">10-Q133</f>
        <v>6.44</v>
      </c>
      <c r="S133" s="7">
        <f>LOOKUP(R133,{0,3.85,4.45,4.65,4.85,5.45,5.65,5.7,5.75,5.8,5.85,5.9,5.95,6,6.45,6.5,6.55,6.63,6.7,6.75,6.8},{0,10,20,30,40,50,60,62,64,66,68,70,72,74,76,78,80,85,90,95,100})</f>
        <v>74</v>
      </c>
      <c r="T133" s="5"/>
      <c r="U133" s="5"/>
      <c r="V133" s="5">
        <f t="shared" ref="V133:V138" si="62">S133+U133</f>
        <v>74</v>
      </c>
      <c r="W133" s="5"/>
      <c r="X133" s="13">
        <f t="shared" ref="X133:X138" si="63">F133*0.1+H133*0.1+J133*0.1+P133*0.2+S133*0.2</f>
        <v>47.2</v>
      </c>
      <c r="Y133" s="13">
        <f t="shared" ref="Y133:Y138" si="64">X133/0.7+L133+U133</f>
        <v>67.4285714285714</v>
      </c>
    </row>
    <row r="134" ht="15.6" hidden="1" outlineLevel="2" spans="1:25">
      <c r="A134" s="5">
        <v>304</v>
      </c>
      <c r="B134" s="5">
        <v>8</v>
      </c>
      <c r="C134" s="5" t="s">
        <v>155</v>
      </c>
      <c r="D134" s="5" t="s">
        <v>12</v>
      </c>
      <c r="E134" s="5"/>
      <c r="F134" s="7"/>
      <c r="G134" s="5"/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>
        <v>50</v>
      </c>
      <c r="X134" s="13"/>
      <c r="Y134" s="13">
        <v>50</v>
      </c>
    </row>
    <row r="135" ht="15.6" hidden="1" outlineLevel="2" spans="1:25">
      <c r="A135" s="5">
        <v>304</v>
      </c>
      <c r="B135" s="5">
        <v>9</v>
      </c>
      <c r="C135" s="5" t="s">
        <v>156</v>
      </c>
      <c r="D135" s="5" t="s">
        <v>12</v>
      </c>
      <c r="E135" s="5">
        <v>5</v>
      </c>
      <c r="F135" s="7">
        <f>LOOKUP(E135,{0,-1.8,-0.8,0.2,1.2,2.2,3.2,4.6,6,7.4,8.8,10.2,11.6,13,14.4,15.8,17.2,19.1,21,22.8,24.6},{0,10,20,30,40,50,60,62,64,66,68,70,72,74,76,78,80,85,90,95,100})</f>
        <v>62</v>
      </c>
      <c r="G135" s="5">
        <v>283</v>
      </c>
      <c r="H135" s="7">
        <f>LOOKUP(G135,{0,180,185,190,195,200,205,209,213,217,221,225,229,233,237,241,245,253,260,265,270},{0,10,20,30,40,50,60,62,64,66,68,70,72,74,76,78,80,85,90,95,100})</f>
        <v>100</v>
      </c>
      <c r="I135" s="5">
        <v>20</v>
      </c>
      <c r="J135" s="7">
        <f>LOOKUP(I135,{0,4,5,6,7,8,9,10,11,12,13,14,15,16,17,18},{0,10,20,30,40,50,60,64,68,72,76,80,85,90,95,100})</f>
        <v>100</v>
      </c>
      <c r="K135" s="5">
        <f>I135-18</f>
        <v>2</v>
      </c>
      <c r="L135" s="7">
        <f>LOOKUP(K135,{0,1,2,3,4,5,6,7,8,9,10},{0,1,2,3,4,5,6,7,8,9,10})</f>
        <v>2</v>
      </c>
      <c r="M135" s="5">
        <f t="shared" si="59"/>
        <v>102</v>
      </c>
      <c r="N135" s="5">
        <v>6.9</v>
      </c>
      <c r="O135" s="10">
        <f t="shared" si="60"/>
        <v>11.1</v>
      </c>
      <c r="P135" s="7">
        <f>LOOKUP(O135,{0,7.8,8,8.2,8.4,8.6,8.8,9,9.2,9.4,9.6,9.8,10,10.2,10.4,10.6,10.8,10.9,11,11.1,11.2},{0,10,20,30,40,50,60,62,64,66,68,70,72,74,76,78,80,85,90,95,100})</f>
        <v>95</v>
      </c>
      <c r="Q135" s="5">
        <v>3.18</v>
      </c>
      <c r="R135" s="10">
        <f t="shared" si="61"/>
        <v>6.82</v>
      </c>
      <c r="S135" s="7">
        <f>LOOKUP(R135,{0,3.85,4.45,4.65,4.85,5.45,5.65,5.7,5.75,5.8,5.85,5.9,5.95,6,6.45,6.5,6.55,6.63,6.7,6.75,6.8},{0,10,20,30,40,50,60,62,64,66,68,70,72,74,76,78,80,85,90,95,100})</f>
        <v>100</v>
      </c>
      <c r="T135" s="5">
        <f>3.2-Q135</f>
        <v>0.02</v>
      </c>
      <c r="U135" s="7">
        <f>LOOKUP(T135,{0,0.04,0.08,0.12,0.16,0.2,0.23,0.26,0.29,0.32,0.35},{0,1,2,3,4,5,6,7,8,9,10})</f>
        <v>0</v>
      </c>
      <c r="V135" s="5">
        <f t="shared" si="62"/>
        <v>100</v>
      </c>
      <c r="W135" s="5"/>
      <c r="X135" s="13">
        <f t="shared" si="63"/>
        <v>65.2</v>
      </c>
      <c r="Y135" s="13">
        <f t="shared" si="64"/>
        <v>95.1428571428572</v>
      </c>
    </row>
    <row r="136" ht="15.6" hidden="1" outlineLevel="2" spans="1:25">
      <c r="A136" s="5">
        <v>304</v>
      </c>
      <c r="B136" s="5">
        <v>10</v>
      </c>
      <c r="C136" s="5" t="s">
        <v>157</v>
      </c>
      <c r="D136" s="5" t="s">
        <v>12</v>
      </c>
      <c r="E136" s="5"/>
      <c r="F136" s="7"/>
      <c r="G136" s="5"/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>
        <v>50</v>
      </c>
      <c r="X136" s="13"/>
      <c r="Y136" s="13">
        <v>50</v>
      </c>
    </row>
    <row r="137" ht="15.6" hidden="1" outlineLevel="2" spans="1:25">
      <c r="A137" s="5">
        <v>304</v>
      </c>
      <c r="B137" s="5">
        <v>11</v>
      </c>
      <c r="C137" s="5" t="s">
        <v>158</v>
      </c>
      <c r="D137" s="5" t="s">
        <v>12</v>
      </c>
      <c r="E137" s="5"/>
      <c r="F137" s="7"/>
      <c r="G137" s="5"/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>
        <v>50</v>
      </c>
      <c r="X137" s="13"/>
      <c r="Y137" s="13">
        <v>50</v>
      </c>
    </row>
    <row r="138" ht="15.6" hidden="1" outlineLevel="2" spans="1:25">
      <c r="A138" s="5">
        <v>304</v>
      </c>
      <c r="B138" s="5">
        <v>12</v>
      </c>
      <c r="C138" s="6" t="s">
        <v>160</v>
      </c>
      <c r="D138" s="5" t="s">
        <v>12</v>
      </c>
      <c r="E138" s="5">
        <v>7.5</v>
      </c>
      <c r="F138" s="7">
        <f>LOOKUP(E138,{0,-1.8,-0.8,0.2,1.2,2.2,3.2,4.6,6,7.4,8.8,10.2,11.6,13,14.4,15.8,17.2,19.1,21,22.8,24.6},{0,10,20,30,40,50,60,62,64,66,68,70,72,74,76,78,80,85,90,95,100})</f>
        <v>66</v>
      </c>
      <c r="G138" s="5">
        <v>238</v>
      </c>
      <c r="H138" s="7">
        <f>LOOKUP(G138,{0,180,185,190,195,200,205,209,213,217,221,225,229,233,237,241,245,253,260,265,270},{0,10,20,30,40,50,60,62,64,66,68,70,72,74,76,78,80,85,90,95,100})</f>
        <v>76</v>
      </c>
      <c r="I138" s="5">
        <v>17</v>
      </c>
      <c r="J138" s="7">
        <f>LOOKUP(I138,{0,4,5,6,7,8,9,10,11,12,13,14,15,16,17,18},{0,10,20,30,40,50,60,64,68,72,76,80,85,90,95,100})</f>
        <v>95</v>
      </c>
      <c r="K138" s="5"/>
      <c r="L138" s="5"/>
      <c r="M138" s="5">
        <f t="shared" si="59"/>
        <v>95</v>
      </c>
      <c r="N138" s="5">
        <v>7.4</v>
      </c>
      <c r="O138" s="10">
        <f t="shared" si="60"/>
        <v>10.6</v>
      </c>
      <c r="P138" s="7">
        <f>LOOKUP(O138,{0,7.8,8,8.2,8.4,8.6,8.8,9,9.2,9.4,9.6,9.8,10,10.2,10.4,10.6,10.8,10.9,11,11.1,11.2},{0,10,20,30,40,50,60,62,64,66,68,70,72,74,76,78,80,85,90,95,100})</f>
        <v>78</v>
      </c>
      <c r="Q138" s="5">
        <v>4.5</v>
      </c>
      <c r="R138" s="10">
        <f t="shared" si="61"/>
        <v>5.5</v>
      </c>
      <c r="S138" s="7">
        <f>LOOKUP(R138,{0,3.85,4.45,4.65,4.85,5.45,5.65,5.7,5.75,5.8,5.85,5.9,5.95,6,6.45,6.5,6.55,6.63,6.7,6.75,6.8},{0,10,20,30,40,50,60,62,64,66,68,70,72,74,76,78,80,85,90,95,100})</f>
        <v>50</v>
      </c>
      <c r="T138" s="5"/>
      <c r="U138" s="5"/>
      <c r="V138" s="5">
        <f t="shared" si="62"/>
        <v>50</v>
      </c>
      <c r="W138" s="5"/>
      <c r="X138" s="13">
        <f t="shared" si="63"/>
        <v>49.3</v>
      </c>
      <c r="Y138" s="13">
        <f t="shared" si="64"/>
        <v>70.4285714285714</v>
      </c>
    </row>
    <row r="139" ht="15.6" hidden="1" outlineLevel="2" spans="1:25">
      <c r="A139" s="5">
        <v>304</v>
      </c>
      <c r="B139" s="5">
        <v>13</v>
      </c>
      <c r="C139" s="5" t="s">
        <v>161</v>
      </c>
      <c r="D139" s="5" t="s">
        <v>12</v>
      </c>
      <c r="E139" s="5"/>
      <c r="F139" s="7"/>
      <c r="G139" s="5"/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>
        <v>50</v>
      </c>
      <c r="X139" s="13"/>
      <c r="Y139" s="13">
        <v>50</v>
      </c>
    </row>
    <row r="140" ht="15.6" hidden="1" outlineLevel="2" spans="1:25">
      <c r="A140" s="5">
        <v>304</v>
      </c>
      <c r="B140" s="5">
        <v>14</v>
      </c>
      <c r="C140" s="5" t="s">
        <v>162</v>
      </c>
      <c r="D140" s="5" t="s">
        <v>12</v>
      </c>
      <c r="E140" s="5">
        <v>-2</v>
      </c>
      <c r="F140" s="7">
        <v>0</v>
      </c>
      <c r="G140" s="5">
        <v>190</v>
      </c>
      <c r="H140" s="7">
        <f>LOOKUP(G140,{0,180,185,190,195,200,205,209,213,217,221,225,229,233,237,241,245,253,260,265,270},{0,10,20,30,40,50,60,62,64,66,68,70,72,74,76,78,80,85,90,95,100})</f>
        <v>30</v>
      </c>
      <c r="I140" s="5">
        <v>1</v>
      </c>
      <c r="J140" s="7">
        <f>LOOKUP(I140,{0,4,5,6,7,8,9,10,11,12,13,14,15,16,17,18},{0,10,20,30,40,50,60,64,68,72,76,80,85,90,95,100})</f>
        <v>0</v>
      </c>
      <c r="K140" s="5"/>
      <c r="L140" s="5"/>
      <c r="M140" s="5">
        <f t="shared" ref="M140:M142" si="65">J140+L140</f>
        <v>0</v>
      </c>
      <c r="N140" s="5">
        <v>8.1</v>
      </c>
      <c r="O140" s="10">
        <f t="shared" ref="O140:O142" si="66">18-N140</f>
        <v>9.9</v>
      </c>
      <c r="P140" s="7">
        <f>LOOKUP(O140,{0,7.8,8,8.2,8.4,8.6,8.8,9,9.2,9.4,9.6,9.8,10,10.2,10.4,10.6,10.8,10.9,11,11.1,11.2},{0,10,20,30,40,50,60,62,64,66,68,70,72,74,76,78,80,85,90,95,100})</f>
        <v>70</v>
      </c>
      <c r="Q140" s="5">
        <v>5</v>
      </c>
      <c r="R140" s="10">
        <f t="shared" ref="R140:R142" si="67">10-Q140</f>
        <v>5</v>
      </c>
      <c r="S140" s="7">
        <f>LOOKUP(R140,{0,3.85,4.45,4.65,4.85,5.45,5.65,5.7,5.75,5.8,5.85,5.9,5.95,6,6.45,6.5,6.55,6.63,6.7,6.75,6.8},{0,10,20,30,40,50,60,62,64,66,68,70,72,74,76,78,80,85,90,95,100})</f>
        <v>40</v>
      </c>
      <c r="T140" s="5"/>
      <c r="U140" s="5"/>
      <c r="V140" s="5">
        <f t="shared" ref="V140:V142" si="68">S140+U140</f>
        <v>40</v>
      </c>
      <c r="W140" s="5"/>
      <c r="X140" s="13">
        <f t="shared" ref="X140:X142" si="69">F140*0.1+H140*0.1+J140*0.1+P140*0.2+S140*0.2</f>
        <v>25</v>
      </c>
      <c r="Y140" s="13">
        <f t="shared" ref="Y140:Y142" si="70">X140/0.7+L140+U140</f>
        <v>35.7142857142857</v>
      </c>
    </row>
    <row r="141" ht="15.6" hidden="1" outlineLevel="2" spans="1:25">
      <c r="A141" s="5">
        <v>304</v>
      </c>
      <c r="B141" s="5">
        <v>15</v>
      </c>
      <c r="C141" s="5" t="s">
        <v>163</v>
      </c>
      <c r="D141" s="5" t="s">
        <v>12</v>
      </c>
      <c r="E141" s="5">
        <v>6</v>
      </c>
      <c r="F141" s="7">
        <f>LOOKUP(E141,{0,-1.8,-0.8,0.2,1.2,2.2,3.2,4.6,6,7.4,8.8,10.2,11.6,13,14.4,15.8,17.2,19.1,21,22.8,24.6},{0,10,20,30,40,50,60,62,64,66,68,70,72,74,76,78,80,85,90,95,100})</f>
        <v>64</v>
      </c>
      <c r="G141" s="5">
        <v>240</v>
      </c>
      <c r="H141" s="7">
        <f>LOOKUP(G141,{0,180,185,190,195,200,205,209,213,217,221,225,229,233,237,241,245,253,260,265,270},{0,10,20,30,40,50,60,62,64,66,68,70,72,74,76,78,80,85,90,95,100})</f>
        <v>76</v>
      </c>
      <c r="I141" s="5">
        <v>2</v>
      </c>
      <c r="J141" s="7">
        <f>LOOKUP(I141,{0,4,5,6,7,8,9,10,11,12,13,14,15,16,17,18},{0,10,20,30,40,50,60,64,68,72,76,80,85,90,95,100})</f>
        <v>0</v>
      </c>
      <c r="K141" s="5"/>
      <c r="L141" s="5"/>
      <c r="M141" s="5">
        <f t="shared" si="65"/>
        <v>0</v>
      </c>
      <c r="N141" s="5">
        <v>7.5</v>
      </c>
      <c r="O141" s="10">
        <f t="shared" si="66"/>
        <v>10.5</v>
      </c>
      <c r="P141" s="7">
        <f>LOOKUP(O141,{0,7.8,8,8.2,8.4,8.6,8.8,9,9.2,9.4,9.6,9.8,10,10.2,10.4,10.6,10.8,10.9,11,11.1,11.2},{0,10,20,30,40,50,60,62,64,66,68,70,72,74,76,78,80,85,90,95,100})</f>
        <v>76</v>
      </c>
      <c r="Q141" s="5">
        <v>4.5</v>
      </c>
      <c r="R141" s="10">
        <f t="shared" si="67"/>
        <v>5.5</v>
      </c>
      <c r="S141" s="7">
        <f>LOOKUP(R141,{0,3.85,4.45,4.65,4.85,5.45,5.65,5.7,5.75,5.8,5.85,5.9,5.95,6,6.45,6.5,6.55,6.63,6.7,6.75,6.8},{0,10,20,30,40,50,60,62,64,66,68,70,72,74,76,78,80,85,90,95,100})</f>
        <v>50</v>
      </c>
      <c r="T141" s="5"/>
      <c r="U141" s="5"/>
      <c r="V141" s="5">
        <f t="shared" si="68"/>
        <v>50</v>
      </c>
      <c r="W141" s="5"/>
      <c r="X141" s="13">
        <f t="shared" si="69"/>
        <v>39.2</v>
      </c>
      <c r="Y141" s="13">
        <f t="shared" si="70"/>
        <v>56</v>
      </c>
    </row>
    <row r="142" ht="15.6" hidden="1" outlineLevel="2" spans="1:25">
      <c r="A142" s="5">
        <v>304</v>
      </c>
      <c r="B142" s="5">
        <v>16</v>
      </c>
      <c r="C142" s="5" t="s">
        <v>164</v>
      </c>
      <c r="D142" s="5" t="s">
        <v>12</v>
      </c>
      <c r="E142" s="5">
        <v>10</v>
      </c>
      <c r="F142" s="7">
        <f>LOOKUP(E142,{0,-1.8,-0.8,0.2,1.2,2.2,3.2,4.6,6,7.4,8.8,10.2,11.6,13,14.4,15.8,17.2,19.1,21,22.8,24.6},{0,10,20,30,40,50,60,62,64,66,68,70,72,74,76,78,80,85,90,95,100})</f>
        <v>68</v>
      </c>
      <c r="G142" s="5">
        <v>275</v>
      </c>
      <c r="H142" s="7">
        <f>LOOKUP(G142,{0,180,185,190,195,200,205,209,213,217,221,225,229,233,237,241,245,253,260,265,270},{0,10,20,30,40,50,60,62,64,66,68,70,72,74,76,78,80,85,90,95,100})</f>
        <v>100</v>
      </c>
      <c r="I142" s="5">
        <v>13</v>
      </c>
      <c r="J142" s="7">
        <f>LOOKUP(I142,{0,4,5,6,7,8,9,10,11,12,13,14,15,16,17,18},{0,10,20,30,40,50,60,64,68,72,76,80,85,90,95,100})</f>
        <v>76</v>
      </c>
      <c r="K142" s="5"/>
      <c r="L142" s="5"/>
      <c r="M142" s="5">
        <f t="shared" si="65"/>
        <v>76</v>
      </c>
      <c r="N142" s="5">
        <v>7.1</v>
      </c>
      <c r="O142" s="10">
        <f t="shared" si="66"/>
        <v>10.9</v>
      </c>
      <c r="P142" s="7">
        <f>LOOKUP(O142,{0,7.8,8,8.2,8.4,8.6,8.8,9,9.2,9.4,9.6,9.8,10,10.2,10.4,10.6,10.8,10.9,11,11.1,11.2},{0,10,20,30,40,50,60,62,64,66,68,70,72,74,76,78,80,85,90,95,100})</f>
        <v>85</v>
      </c>
      <c r="Q142" s="5">
        <v>4.5</v>
      </c>
      <c r="R142" s="10">
        <f t="shared" si="67"/>
        <v>5.5</v>
      </c>
      <c r="S142" s="7">
        <f>LOOKUP(R142,{0,3.85,4.45,4.65,4.85,5.45,5.65,5.7,5.75,5.8,5.85,5.9,5.95,6,6.45,6.5,6.55,6.63,6.7,6.75,6.8},{0,10,20,30,40,50,60,62,64,66,68,70,72,74,76,78,80,85,90,95,100})</f>
        <v>50</v>
      </c>
      <c r="T142" s="5"/>
      <c r="U142" s="5"/>
      <c r="V142" s="5">
        <f t="shared" si="68"/>
        <v>50</v>
      </c>
      <c r="W142" s="5"/>
      <c r="X142" s="13">
        <f t="shared" si="69"/>
        <v>51.4</v>
      </c>
      <c r="Y142" s="13">
        <f t="shared" si="70"/>
        <v>73.4285714285714</v>
      </c>
    </row>
    <row r="143" ht="15.6" hidden="1" outlineLevel="2" spans="1:25">
      <c r="A143" s="5">
        <v>304</v>
      </c>
      <c r="B143" s="5">
        <v>17</v>
      </c>
      <c r="C143" s="5" t="s">
        <v>165</v>
      </c>
      <c r="D143" s="5" t="s">
        <v>12</v>
      </c>
      <c r="E143" s="5"/>
      <c r="F143" s="7"/>
      <c r="G143" s="5"/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>
        <v>50</v>
      </c>
      <c r="X143" s="13"/>
      <c r="Y143" s="13">
        <v>50</v>
      </c>
    </row>
    <row r="144" ht="15.6" hidden="1" outlineLevel="2" spans="1:25">
      <c r="A144" s="5">
        <v>304</v>
      </c>
      <c r="B144" s="5">
        <v>18</v>
      </c>
      <c r="C144" s="5" t="s">
        <v>166</v>
      </c>
      <c r="D144" s="5" t="s">
        <v>12</v>
      </c>
      <c r="E144" s="5">
        <v>9</v>
      </c>
      <c r="F144" s="7">
        <f>LOOKUP(E144,{0,-1.8,-0.8,0.2,1.2,2.2,3.2,4.6,6,7.4,8.8,10.2,11.6,13,14.4,15.8,17.2,19.1,21,22.8,24.6},{0,10,20,30,40,50,60,62,64,66,68,70,72,74,76,78,80,85,90,95,100})</f>
        <v>68</v>
      </c>
      <c r="G144" s="5">
        <v>240</v>
      </c>
      <c r="H144" s="7">
        <f>LOOKUP(G144,{0,180,185,190,195,200,205,209,213,217,221,225,229,233,237,241,245,253,260,265,270},{0,10,20,30,40,50,60,62,64,66,68,70,72,74,76,78,80,85,90,95,100})</f>
        <v>76</v>
      </c>
      <c r="I144" s="5">
        <v>2</v>
      </c>
      <c r="J144" s="7">
        <f>LOOKUP(I144,{0,4,5,6,7,8,9,10,11,12,13,14,15,16,17,18},{0,10,20,30,40,50,60,64,68,72,76,80,85,90,95,100})</f>
        <v>0</v>
      </c>
      <c r="K144" s="5"/>
      <c r="L144" s="5"/>
      <c r="M144" s="5">
        <f t="shared" ref="M144:M148" si="71">J144+L144</f>
        <v>0</v>
      </c>
      <c r="N144" s="5">
        <v>7.1</v>
      </c>
      <c r="O144" s="10">
        <f t="shared" ref="O144:O148" si="72">18-N144</f>
        <v>10.9</v>
      </c>
      <c r="P144" s="7">
        <f>LOOKUP(O144,{0,7.8,8,8.2,8.4,8.6,8.8,9,9.2,9.4,9.6,9.8,10,10.2,10.4,10.6,10.8,10.9,11,11.1,11.2},{0,10,20,30,40,50,60,62,64,66,68,70,72,74,76,78,80,85,90,95,100})</f>
        <v>85</v>
      </c>
      <c r="Q144" s="5">
        <v>4.5</v>
      </c>
      <c r="R144" s="10">
        <f t="shared" ref="R144:R148" si="73">10-Q144</f>
        <v>5.5</v>
      </c>
      <c r="S144" s="7">
        <f>LOOKUP(R144,{0,3.85,4.45,4.65,4.85,5.45,5.65,5.7,5.75,5.8,5.85,5.9,5.95,6,6.45,6.5,6.55,6.63,6.7,6.75,6.8},{0,10,20,30,40,50,60,62,64,66,68,70,72,74,76,78,80,85,90,95,100})</f>
        <v>50</v>
      </c>
      <c r="T144" s="5"/>
      <c r="U144" s="5"/>
      <c r="V144" s="5">
        <f t="shared" ref="V144:V148" si="74">S144+U144</f>
        <v>50</v>
      </c>
      <c r="W144" s="5"/>
      <c r="X144" s="13">
        <f t="shared" ref="X144:X148" si="75">F144*0.1+H144*0.1+J144*0.1+P144*0.2+S144*0.2</f>
        <v>41.4</v>
      </c>
      <c r="Y144" s="13">
        <f t="shared" ref="Y144:Y148" si="76">X144/0.7+L144+U144</f>
        <v>59.1428571428572</v>
      </c>
    </row>
    <row r="145" ht="15.6" hidden="1" outlineLevel="2" spans="1:25">
      <c r="A145" s="5">
        <v>304</v>
      </c>
      <c r="B145" s="5">
        <v>19</v>
      </c>
      <c r="C145" s="5" t="s">
        <v>167</v>
      </c>
      <c r="D145" s="5" t="s">
        <v>12</v>
      </c>
      <c r="E145" s="5">
        <v>14</v>
      </c>
      <c r="F145" s="7">
        <f>LOOKUP(E145,{0,-1.8,-0.8,0.2,1.2,2.2,3.2,4.6,6,7.4,8.8,10.2,11.6,13,14.4,15.8,17.2,19.1,21,22.8,24.6},{0,10,20,30,40,50,60,62,64,66,68,70,72,74,76,78,80,85,90,95,100})</f>
        <v>74</v>
      </c>
      <c r="G145" s="5">
        <v>240</v>
      </c>
      <c r="H145" s="7">
        <f>LOOKUP(G145,{0,180,185,190,195,200,205,209,213,217,221,225,229,233,237,241,245,253,260,265,270},{0,10,20,30,40,50,60,62,64,66,68,70,72,74,76,78,80,85,90,95,100})</f>
        <v>76</v>
      </c>
      <c r="I145" s="5">
        <v>13</v>
      </c>
      <c r="J145" s="7">
        <f>LOOKUP(I145,{0,4,5,6,7,8,9,10,11,12,13,14,15,16,17,18},{0,10,20,30,40,50,60,64,68,72,76,80,85,90,95,100})</f>
        <v>76</v>
      </c>
      <c r="K145" s="5"/>
      <c r="L145" s="5"/>
      <c r="M145" s="5">
        <f t="shared" si="71"/>
        <v>76</v>
      </c>
      <c r="N145" s="5">
        <v>7.3</v>
      </c>
      <c r="O145" s="10">
        <f t="shared" si="72"/>
        <v>10.7</v>
      </c>
      <c r="P145" s="7">
        <f>LOOKUP(O145,{0,7.8,8,8.2,8.4,8.6,8.8,9,9.2,9.4,9.6,9.8,10,10.2,10.4,10.6,10.8,10.9,11,11.1,11.2},{0,10,20,30,40,50,60,62,64,66,68,70,72,74,76,78,80,85,90,95,100})</f>
        <v>78</v>
      </c>
      <c r="Q145" s="5">
        <v>3.19</v>
      </c>
      <c r="R145" s="10">
        <f t="shared" si="73"/>
        <v>6.81</v>
      </c>
      <c r="S145" s="7">
        <f>LOOKUP(R145,{0,3.85,4.45,4.65,4.85,5.45,5.65,5.7,5.75,5.8,5.85,5.9,5.95,6,6.45,6.5,6.55,6.63,6.7,6.75,6.8},{0,10,20,30,40,50,60,62,64,66,68,70,72,74,76,78,80,85,90,95,100})</f>
        <v>100</v>
      </c>
      <c r="T145" s="5">
        <f>3.2-Q145</f>
        <v>0.0100000000000002</v>
      </c>
      <c r="U145" s="7">
        <f>LOOKUP(T145,{0,0.04,0.08,0.12,0.16,0.2,0.23,0.26,0.29,0.32,0.35},{0,1,2,3,4,5,6,7,8,9,10})</f>
        <v>0</v>
      </c>
      <c r="V145" s="5">
        <f t="shared" si="74"/>
        <v>100</v>
      </c>
      <c r="W145" s="5"/>
      <c r="X145" s="13">
        <f t="shared" si="75"/>
        <v>58.2</v>
      </c>
      <c r="Y145" s="13">
        <f t="shared" si="76"/>
        <v>83.1428571428572</v>
      </c>
    </row>
    <row r="146" ht="15.6" hidden="1" outlineLevel="2" spans="1:25">
      <c r="A146" s="5">
        <v>304</v>
      </c>
      <c r="B146" s="5">
        <v>20</v>
      </c>
      <c r="C146" s="5" t="s">
        <v>168</v>
      </c>
      <c r="D146" s="5" t="s">
        <v>12</v>
      </c>
      <c r="E146" s="5"/>
      <c r="F146" s="7"/>
      <c r="G146" s="5"/>
      <c r="H146" s="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>
        <v>50</v>
      </c>
      <c r="X146" s="13"/>
      <c r="Y146" s="13">
        <v>50</v>
      </c>
    </row>
    <row r="147" ht="15.6" hidden="1" outlineLevel="2" spans="1:25">
      <c r="A147" s="5">
        <v>304</v>
      </c>
      <c r="B147" s="5">
        <v>21</v>
      </c>
      <c r="C147" s="5" t="s">
        <v>169</v>
      </c>
      <c r="D147" s="5" t="s">
        <v>12</v>
      </c>
      <c r="E147" s="5">
        <v>12.5</v>
      </c>
      <c r="F147" s="7">
        <f>LOOKUP(E147,{0,-1.8,-0.8,0.2,1.2,2.2,3.2,4.6,6,7.4,8.8,10.2,11.6,13,14.4,15.8,17.2,19.1,21,22.8,24.6},{0,10,20,30,40,50,60,62,64,66,68,70,72,74,76,78,80,85,90,95,100})</f>
        <v>72</v>
      </c>
      <c r="G147" s="5">
        <v>195</v>
      </c>
      <c r="H147" s="7">
        <f>LOOKUP(G147,{0,180,185,190,195,200,205,209,213,217,221,225,229,233,237,241,245,253,260,265,270},{0,10,20,30,40,50,60,62,64,66,68,70,72,74,76,78,80,85,90,95,100})</f>
        <v>40</v>
      </c>
      <c r="I147" s="5">
        <v>0</v>
      </c>
      <c r="J147" s="7">
        <f>LOOKUP(I147,{0,4,5,6,7,8,9,10,11,12,13,14,15,16,17,18},{0,10,20,30,40,50,60,64,68,72,76,80,85,90,95,100})</f>
        <v>0</v>
      </c>
      <c r="K147" s="5"/>
      <c r="L147" s="5"/>
      <c r="M147" s="5">
        <f t="shared" si="71"/>
        <v>0</v>
      </c>
      <c r="N147" s="5">
        <v>7.5</v>
      </c>
      <c r="O147" s="10">
        <f t="shared" si="72"/>
        <v>10.5</v>
      </c>
      <c r="P147" s="7">
        <f>LOOKUP(O147,{0,7.8,8,8.2,8.4,8.6,8.8,9,9.2,9.4,9.6,9.8,10,10.2,10.4,10.6,10.8,10.9,11,11.1,11.2},{0,10,20,30,40,50,60,62,64,66,68,70,72,74,76,78,80,85,90,95,100})</f>
        <v>76</v>
      </c>
      <c r="Q147" s="5">
        <v>4.19</v>
      </c>
      <c r="R147" s="10">
        <f t="shared" si="73"/>
        <v>5.81</v>
      </c>
      <c r="S147" s="7">
        <f>LOOKUP(R147,{0,3.85,4.45,4.65,4.85,5.45,5.65,5.7,5.75,5.8,5.85,5.9,5.95,6,6.45,6.5,6.55,6.63,6.7,6.75,6.8},{0,10,20,30,40,50,60,62,64,66,68,70,72,74,76,78,80,85,90,95,100})</f>
        <v>66</v>
      </c>
      <c r="T147" s="5"/>
      <c r="U147" s="5"/>
      <c r="V147" s="5">
        <f t="shared" si="74"/>
        <v>66</v>
      </c>
      <c r="W147" s="5"/>
      <c r="X147" s="13">
        <f t="shared" si="75"/>
        <v>39.6</v>
      </c>
      <c r="Y147" s="13">
        <f t="shared" si="76"/>
        <v>56.5714285714286</v>
      </c>
    </row>
    <row r="148" ht="15.6" hidden="1" outlineLevel="2" spans="1:25">
      <c r="A148" s="5">
        <v>304</v>
      </c>
      <c r="B148" s="5">
        <v>22</v>
      </c>
      <c r="C148" s="5" t="s">
        <v>170</v>
      </c>
      <c r="D148" s="5" t="s">
        <v>12</v>
      </c>
      <c r="E148" s="5">
        <v>-5.5</v>
      </c>
      <c r="F148" s="7">
        <v>0</v>
      </c>
      <c r="G148" s="5">
        <v>235</v>
      </c>
      <c r="H148" s="7">
        <f>LOOKUP(G148,{0,180,185,190,195,200,205,209,213,217,221,225,229,233,237,241,245,253,260,265,270},{0,10,20,30,40,50,60,62,64,66,68,70,72,74,76,78,80,85,90,95,100})</f>
        <v>74</v>
      </c>
      <c r="I148" s="5">
        <v>0</v>
      </c>
      <c r="J148" s="7">
        <f>LOOKUP(I148,{0,4,5,6,7,8,9,10,11,12,13,14,15,16,17,18},{0,10,20,30,40,50,60,64,68,72,76,80,85,90,95,100})</f>
        <v>0</v>
      </c>
      <c r="K148" s="5"/>
      <c r="L148" s="5"/>
      <c r="M148" s="5">
        <f t="shared" si="71"/>
        <v>0</v>
      </c>
      <c r="N148" s="5">
        <v>7.5</v>
      </c>
      <c r="O148" s="10">
        <f t="shared" si="72"/>
        <v>10.5</v>
      </c>
      <c r="P148" s="7">
        <f>LOOKUP(O148,{0,7.8,8,8.2,8.4,8.6,8.8,9,9.2,9.4,9.6,9.8,10,10.2,10.4,10.6,10.8,10.9,11,11.1,11.2},{0,10,20,30,40,50,60,62,64,66,68,70,72,74,76,78,80,85,90,95,100})</f>
        <v>76</v>
      </c>
      <c r="Q148" s="5">
        <v>4.5</v>
      </c>
      <c r="R148" s="10">
        <f t="shared" si="73"/>
        <v>5.5</v>
      </c>
      <c r="S148" s="7">
        <f>LOOKUP(R148,{0,3.85,4.45,4.65,4.85,5.45,5.65,5.7,5.75,5.8,5.85,5.9,5.95,6,6.45,6.5,6.55,6.63,6.7,6.75,6.8},{0,10,20,30,40,50,60,62,64,66,68,70,72,74,76,78,80,85,90,95,100})</f>
        <v>50</v>
      </c>
      <c r="T148" s="5"/>
      <c r="U148" s="5"/>
      <c r="V148" s="5">
        <f t="shared" si="74"/>
        <v>50</v>
      </c>
      <c r="W148" s="5"/>
      <c r="X148" s="13">
        <f t="shared" si="75"/>
        <v>32.6</v>
      </c>
      <c r="Y148" s="13">
        <f t="shared" si="76"/>
        <v>46.5714285714286</v>
      </c>
    </row>
    <row r="149" ht="15.6" hidden="1" outlineLevel="2" spans="1:25">
      <c r="A149" s="5">
        <v>304</v>
      </c>
      <c r="B149" s="5">
        <v>23</v>
      </c>
      <c r="C149" s="5" t="s">
        <v>171</v>
      </c>
      <c r="D149" s="5" t="s">
        <v>12</v>
      </c>
      <c r="E149" s="5"/>
      <c r="F149" s="7"/>
      <c r="G149" s="5"/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>
        <v>50</v>
      </c>
      <c r="X149" s="13"/>
      <c r="Y149" s="13">
        <v>50</v>
      </c>
    </row>
    <row r="150" ht="15.6" hidden="1" outlineLevel="2" spans="1:25">
      <c r="A150" s="5">
        <v>304</v>
      </c>
      <c r="B150" s="5">
        <v>24</v>
      </c>
      <c r="C150" s="6" t="s">
        <v>173</v>
      </c>
      <c r="D150" s="5" t="s">
        <v>12</v>
      </c>
      <c r="E150" s="5">
        <v>15</v>
      </c>
      <c r="F150" s="7">
        <f>LOOKUP(E150,{0,-1.8,-0.8,0.2,1.2,2.2,3.2,4.6,6,7.4,8.8,10.2,11.6,13,14.4,15.8,17.2,19.1,21,22.8,24.6},{0,10,20,30,40,50,60,62,64,66,68,70,72,74,76,78,80,85,90,95,100})</f>
        <v>76</v>
      </c>
      <c r="G150" s="5">
        <v>230</v>
      </c>
      <c r="H150" s="7">
        <f>LOOKUP(G150,{0,180,185,190,195,200,205,209,213,217,221,225,229,233,237,241,245,253,260,265,270},{0,10,20,30,40,50,60,62,64,66,68,70,72,74,76,78,80,85,90,95,100})</f>
        <v>72</v>
      </c>
      <c r="I150" s="5">
        <v>3</v>
      </c>
      <c r="J150" s="7">
        <f>LOOKUP(I150,{0,4,5,6,7,8,9,10,11,12,13,14,15,16,17,18},{0,10,20,30,40,50,60,64,68,72,76,80,85,90,95,100})</f>
        <v>0</v>
      </c>
      <c r="K150" s="5"/>
      <c r="L150" s="5"/>
      <c r="M150" s="5">
        <f t="shared" ref="M150:M153" si="77">J150+L150</f>
        <v>0</v>
      </c>
      <c r="N150" s="5">
        <v>7.3</v>
      </c>
      <c r="O150" s="10">
        <f t="shared" ref="O150:O153" si="78">18-N150</f>
        <v>10.7</v>
      </c>
      <c r="P150" s="7">
        <f>LOOKUP(O150,{0,7.8,8,8.2,8.4,8.6,8.8,9,9.2,9.4,9.6,9.8,10,10.2,10.4,10.6,10.8,10.9,11,11.1,11.2},{0,10,20,30,40,50,60,62,64,66,68,70,72,74,76,78,80,85,90,95,100})</f>
        <v>78</v>
      </c>
      <c r="Q150" s="5">
        <v>3.55</v>
      </c>
      <c r="R150" s="10">
        <f t="shared" ref="R150:R153" si="79">10-Q150</f>
        <v>6.45</v>
      </c>
      <c r="S150" s="7">
        <f>LOOKUP(R150,{0,3.85,4.45,4.65,4.85,5.45,5.65,5.7,5.75,5.8,5.85,5.9,5.95,6,6.45,6.5,6.55,6.63,6.7,6.75,6.8},{0,10,20,30,40,50,60,62,64,66,68,70,72,74,76,78,80,85,90,95,100})</f>
        <v>76</v>
      </c>
      <c r="T150" s="5"/>
      <c r="U150" s="5"/>
      <c r="V150" s="5">
        <f t="shared" ref="V150:V153" si="80">S150+U150</f>
        <v>76</v>
      </c>
      <c r="W150" s="5"/>
      <c r="X150" s="13">
        <f t="shared" ref="X150:X153" si="81">F150*0.1+H150*0.1+J150*0.1+P150*0.2+S150*0.2</f>
        <v>45.6</v>
      </c>
      <c r="Y150" s="13">
        <f t="shared" ref="Y150:Y153" si="82">X150/0.7+L150+U150</f>
        <v>65.1428571428572</v>
      </c>
    </row>
    <row r="151" ht="15.6" hidden="1" outlineLevel="2" spans="1:25">
      <c r="A151" s="5">
        <v>304</v>
      </c>
      <c r="B151" s="5">
        <v>25</v>
      </c>
      <c r="C151" s="5" t="s">
        <v>174</v>
      </c>
      <c r="D151" s="5" t="s">
        <v>12</v>
      </c>
      <c r="E151" s="5">
        <v>12</v>
      </c>
      <c r="F151" s="7">
        <f>LOOKUP(E151,{0,-1.8,-0.8,0.2,1.2,2.2,3.2,4.6,6,7.4,8.8,10.2,11.6,13,14.4,15.8,17.2,19.1,21,22.8,24.6},{0,10,20,30,40,50,60,62,64,66,68,70,72,74,76,78,80,85,90,95,100})</f>
        <v>72</v>
      </c>
      <c r="G151" s="5">
        <v>225</v>
      </c>
      <c r="H151" s="7">
        <f>LOOKUP(G151,{0,180,185,190,195,200,205,209,213,217,221,225,229,233,237,241,245,253,260,265,270},{0,10,20,30,40,50,60,62,64,66,68,70,72,74,76,78,80,85,90,95,100})</f>
        <v>70</v>
      </c>
      <c r="I151" s="5">
        <v>1</v>
      </c>
      <c r="J151" s="7">
        <f>LOOKUP(I151,{0,4,5,6,7,8,9,10,11,12,13,14,15,16,17,18},{0,10,20,30,40,50,60,64,68,72,76,80,85,90,95,100})</f>
        <v>0</v>
      </c>
      <c r="K151" s="5"/>
      <c r="L151" s="5"/>
      <c r="M151" s="5">
        <f t="shared" si="77"/>
        <v>0</v>
      </c>
      <c r="N151" s="5">
        <v>7.9</v>
      </c>
      <c r="O151" s="10">
        <f t="shared" si="78"/>
        <v>10.1</v>
      </c>
      <c r="P151" s="7">
        <f>LOOKUP(O151,{0,7.8,8,8.2,8.4,8.6,8.8,9,9.2,9.4,9.6,9.8,10,10.2,10.4,10.6,10.8,10.9,11,11.1,11.2},{0,10,20,30,40,50,60,62,64,66,68,70,72,74,76,78,80,85,90,95,100})</f>
        <v>72</v>
      </c>
      <c r="Q151" s="5">
        <v>5.47</v>
      </c>
      <c r="R151" s="10">
        <f t="shared" si="79"/>
        <v>4.53</v>
      </c>
      <c r="S151" s="7">
        <f>LOOKUP(R151,{0,3.85,4.45,4.65,4.85,5.45,5.65,5.7,5.75,5.8,5.85,5.9,5.95,6,6.45,6.5,6.55,6.63,6.7,6.75,6.8},{0,10,20,30,40,50,60,62,64,66,68,70,72,74,76,78,80,85,90,95,100})</f>
        <v>20</v>
      </c>
      <c r="T151" s="5"/>
      <c r="U151" s="5"/>
      <c r="V151" s="5">
        <f t="shared" si="80"/>
        <v>20</v>
      </c>
      <c r="W151" s="5"/>
      <c r="X151" s="13">
        <f t="shared" si="81"/>
        <v>32.6</v>
      </c>
      <c r="Y151" s="13">
        <f t="shared" si="82"/>
        <v>46.5714285714286</v>
      </c>
    </row>
    <row r="152" ht="15.6" hidden="1" outlineLevel="2" spans="1:25">
      <c r="A152" s="5">
        <v>304</v>
      </c>
      <c r="B152" s="5">
        <v>26</v>
      </c>
      <c r="C152" s="5" t="s">
        <v>175</v>
      </c>
      <c r="D152" s="5" t="s">
        <v>12</v>
      </c>
      <c r="E152" s="5">
        <v>7.5</v>
      </c>
      <c r="F152" s="7">
        <f>LOOKUP(E152,{0,-1.8,-0.8,0.2,1.2,2.2,3.2,4.6,6,7.4,8.8,10.2,11.6,13,14.4,15.8,17.2,19.1,21,22.8,24.6},{0,10,20,30,40,50,60,62,64,66,68,70,72,74,76,78,80,85,90,95,100})</f>
        <v>66</v>
      </c>
      <c r="G152" s="5">
        <v>220</v>
      </c>
      <c r="H152" s="7">
        <f>LOOKUP(G152,{0,180,185,190,195,200,205,209,213,217,221,225,229,233,237,241,245,253,260,265,270},{0,10,20,30,40,50,60,62,64,66,68,70,72,74,76,78,80,85,90,95,100})</f>
        <v>66</v>
      </c>
      <c r="I152" s="5">
        <v>1</v>
      </c>
      <c r="J152" s="7">
        <f>LOOKUP(I152,{0,4,5,6,7,8,9,10,11,12,13,14,15,16,17,18},{0,10,20,30,40,50,60,64,68,72,76,80,85,90,95,100})</f>
        <v>0</v>
      </c>
      <c r="K152" s="5"/>
      <c r="L152" s="5"/>
      <c r="M152" s="5">
        <f t="shared" si="77"/>
        <v>0</v>
      </c>
      <c r="N152" s="5">
        <v>7.7</v>
      </c>
      <c r="O152" s="10">
        <f t="shared" si="78"/>
        <v>10.3</v>
      </c>
      <c r="P152" s="7">
        <f>LOOKUP(O152,{0,7.8,8,8.2,8.4,8.6,8.8,9,9.2,9.4,9.6,9.8,10,10.2,10.4,10.6,10.8,10.9,11,11.1,11.2},{0,10,20,30,40,50,60,62,64,66,68,70,72,74,76,78,80,85,90,95,100})</f>
        <v>74</v>
      </c>
      <c r="Q152" s="5">
        <v>5.06</v>
      </c>
      <c r="R152" s="10">
        <f t="shared" si="79"/>
        <v>4.94</v>
      </c>
      <c r="S152" s="7">
        <f>LOOKUP(R152,{0,3.85,4.45,4.65,4.85,5.45,5.65,5.7,5.75,5.8,5.85,5.9,5.95,6,6.45,6.5,6.55,6.63,6.7,6.75,6.8},{0,10,20,30,40,50,60,62,64,66,68,70,72,74,76,78,80,85,90,95,100})</f>
        <v>40</v>
      </c>
      <c r="T152" s="5"/>
      <c r="U152" s="5"/>
      <c r="V152" s="5">
        <f t="shared" si="80"/>
        <v>40</v>
      </c>
      <c r="W152" s="5"/>
      <c r="X152" s="13">
        <f t="shared" si="81"/>
        <v>36</v>
      </c>
      <c r="Y152" s="13">
        <f t="shared" si="82"/>
        <v>51.4285714285714</v>
      </c>
    </row>
    <row r="153" ht="15.6" hidden="1" outlineLevel="2" spans="1:25">
      <c r="A153" s="5">
        <v>304</v>
      </c>
      <c r="B153" s="5">
        <v>27</v>
      </c>
      <c r="C153" s="5" t="s">
        <v>176</v>
      </c>
      <c r="D153" s="5" t="s">
        <v>12</v>
      </c>
      <c r="E153" s="5">
        <v>9</v>
      </c>
      <c r="F153" s="7">
        <f>LOOKUP(E153,{0,-1.8,-0.8,0.2,1.2,2.2,3.2,4.6,6,7.4,8.8,10.2,11.6,13,14.4,15.8,17.2,19.1,21,22.8,24.6},{0,10,20,30,40,50,60,62,64,66,68,70,72,74,76,78,80,85,90,95,100})</f>
        <v>68</v>
      </c>
      <c r="G153" s="5">
        <v>245</v>
      </c>
      <c r="H153" s="7">
        <f>LOOKUP(G153,{0,180,185,190,195,200,205,209,213,217,221,225,229,233,237,241,245,253,260,265,270},{0,10,20,30,40,50,60,62,64,66,68,70,72,74,76,78,80,85,90,95,100})</f>
        <v>80</v>
      </c>
      <c r="I153" s="5">
        <v>16</v>
      </c>
      <c r="J153" s="7">
        <f>LOOKUP(I153,{0,4,5,6,7,8,9,10,11,12,13,14,15,16,17,18},{0,10,20,30,40,50,60,64,68,72,76,80,85,90,95,100})</f>
        <v>90</v>
      </c>
      <c r="K153" s="5"/>
      <c r="L153" s="5"/>
      <c r="M153" s="5">
        <f t="shared" si="77"/>
        <v>90</v>
      </c>
      <c r="N153" s="5">
        <v>7.2</v>
      </c>
      <c r="O153" s="10">
        <f t="shared" si="78"/>
        <v>10.8</v>
      </c>
      <c r="P153" s="7">
        <f>LOOKUP(O153,{0,7.8,8,8.2,8.4,8.6,8.8,9,9.2,9.4,9.6,9.8,10,10.2,10.4,10.6,10.8,10.9,11,11.1,11.2},{0,10,20,30,40,50,60,62,64,66,68,70,72,74,76,78,80,85,90,95,100})</f>
        <v>80</v>
      </c>
      <c r="Q153" s="5">
        <v>5.1</v>
      </c>
      <c r="R153" s="10">
        <f t="shared" si="79"/>
        <v>4.9</v>
      </c>
      <c r="S153" s="7">
        <f>LOOKUP(R153,{0,3.85,4.45,4.65,4.85,5.45,5.65,5.7,5.75,5.8,5.85,5.9,5.95,6,6.45,6.5,6.55,6.63,6.7,6.75,6.8},{0,10,20,30,40,50,60,62,64,66,68,70,72,74,76,78,80,85,90,95,100})</f>
        <v>40</v>
      </c>
      <c r="T153" s="5"/>
      <c r="U153" s="5"/>
      <c r="V153" s="5">
        <f t="shared" si="80"/>
        <v>40</v>
      </c>
      <c r="W153" s="5"/>
      <c r="X153" s="13">
        <f t="shared" si="81"/>
        <v>47.8</v>
      </c>
      <c r="Y153" s="13">
        <f t="shared" si="82"/>
        <v>68.2857142857143</v>
      </c>
    </row>
    <row r="154" ht="15.6" hidden="1" outlineLevel="2" spans="1:25">
      <c r="A154" s="5">
        <v>304</v>
      </c>
      <c r="B154" s="5">
        <v>28</v>
      </c>
      <c r="C154" s="5" t="s">
        <v>177</v>
      </c>
      <c r="D154" s="5" t="s">
        <v>12</v>
      </c>
      <c r="E154" s="5"/>
      <c r="F154" s="7"/>
      <c r="G154" s="5"/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>
        <v>50</v>
      </c>
      <c r="X154" s="13"/>
      <c r="Y154" s="13">
        <v>50</v>
      </c>
    </row>
    <row r="155" ht="15.6" hidden="1" outlineLevel="2" spans="1:25">
      <c r="A155" s="5">
        <v>304</v>
      </c>
      <c r="B155" s="5">
        <v>29</v>
      </c>
      <c r="C155" s="5" t="s">
        <v>178</v>
      </c>
      <c r="D155" s="5" t="s">
        <v>12</v>
      </c>
      <c r="E155" s="5">
        <v>16.5</v>
      </c>
      <c r="F155" s="7">
        <f>LOOKUP(E155,{0,-1.8,-0.8,0.2,1.2,2.2,3.2,4.6,6,7.4,8.8,10.2,11.6,13,14.4,15.8,17.2,19.1,21,22.8,24.6},{0,10,20,30,40,50,60,62,64,66,68,70,72,74,76,78,80,85,90,95,100})</f>
        <v>78</v>
      </c>
      <c r="G155" s="5">
        <v>250</v>
      </c>
      <c r="H155" s="7">
        <f>LOOKUP(G155,{0,180,185,190,195,200,205,209,213,217,221,225,229,233,237,241,245,253,260,265,270},{0,10,20,30,40,50,60,62,64,66,68,70,72,74,76,78,80,85,90,95,100})</f>
        <v>80</v>
      </c>
      <c r="I155" s="5">
        <v>2</v>
      </c>
      <c r="J155" s="7">
        <f>LOOKUP(I155,{0,4,5,6,7,8,9,10,11,12,13,14,15,16,17,18},{0,10,20,30,40,50,60,64,68,72,76,80,85,90,95,100})</f>
        <v>0</v>
      </c>
      <c r="K155" s="5"/>
      <c r="L155" s="5"/>
      <c r="M155" s="5">
        <f t="shared" ref="M155:M157" si="83">J155+L155</f>
        <v>0</v>
      </c>
      <c r="N155" s="5">
        <v>7.1</v>
      </c>
      <c r="O155" s="10">
        <f t="shared" ref="O155:O157" si="84">18-N155</f>
        <v>10.9</v>
      </c>
      <c r="P155" s="7">
        <f>LOOKUP(O155,{0,7.8,8,8.2,8.4,8.6,8.8,9,9.2,9.4,9.6,9.8,10,10.2,10.4,10.6,10.8,10.9,11,11.1,11.2},{0,10,20,30,40,50,60,62,64,66,68,70,72,74,76,78,80,85,90,95,100})</f>
        <v>85</v>
      </c>
      <c r="Q155" s="5">
        <v>4.5</v>
      </c>
      <c r="R155" s="10">
        <f t="shared" ref="R155:R157" si="85">10-Q155</f>
        <v>5.5</v>
      </c>
      <c r="S155" s="7">
        <f>LOOKUP(R155,{0,3.85,4.45,4.65,4.85,5.45,5.65,5.7,5.75,5.8,5.85,5.9,5.95,6,6.45,6.5,6.55,6.63,6.7,6.75,6.8},{0,10,20,30,40,50,60,62,64,66,68,70,72,74,76,78,80,85,90,95,100})</f>
        <v>50</v>
      </c>
      <c r="T155" s="5"/>
      <c r="U155" s="5"/>
      <c r="V155" s="5">
        <f t="shared" ref="V155:V157" si="86">S155+U155</f>
        <v>50</v>
      </c>
      <c r="W155" s="5"/>
      <c r="X155" s="13">
        <f t="shared" ref="X155:X157" si="87">F155*0.1+H155*0.1+J155*0.1+P155*0.2+S155*0.2</f>
        <v>42.8</v>
      </c>
      <c r="Y155" s="13">
        <f t="shared" ref="Y155:Y157" si="88">X155/0.7+L155+U155</f>
        <v>61.1428571428571</v>
      </c>
    </row>
    <row r="156" ht="15.6" hidden="1" outlineLevel="2" spans="1:25">
      <c r="A156" s="5">
        <v>304</v>
      </c>
      <c r="B156" s="5">
        <v>30</v>
      </c>
      <c r="C156" s="5" t="s">
        <v>179</v>
      </c>
      <c r="D156" s="5" t="s">
        <v>12</v>
      </c>
      <c r="E156" s="5">
        <v>13</v>
      </c>
      <c r="F156" s="7">
        <f>LOOKUP(E156,{0,-1.8,-0.8,0.2,1.2,2.2,3.2,4.6,6,7.4,8.8,10.2,11.6,13,14.4,15.8,17.2,19.1,21,22.8,24.6},{0,10,20,30,40,50,60,62,64,66,68,70,72,74,76,78,80,85,90,95,100})</f>
        <v>74</v>
      </c>
      <c r="G156" s="5">
        <v>230</v>
      </c>
      <c r="H156" s="7">
        <f>LOOKUP(G156,{0,180,185,190,195,200,205,209,213,217,221,225,229,233,237,241,245,253,260,265,270},{0,10,20,30,40,50,60,62,64,66,68,70,72,74,76,78,80,85,90,95,100})</f>
        <v>72</v>
      </c>
      <c r="I156" s="5">
        <v>2</v>
      </c>
      <c r="J156" s="7">
        <f>LOOKUP(I156,{0,4,5,6,7,8,9,10,11,12,13,14,15,16,17,18},{0,10,20,30,40,50,60,64,68,72,76,80,85,90,95,100})</f>
        <v>0</v>
      </c>
      <c r="K156" s="5"/>
      <c r="L156" s="5"/>
      <c r="M156" s="5">
        <f t="shared" si="83"/>
        <v>0</v>
      </c>
      <c r="N156" s="5">
        <v>7.7</v>
      </c>
      <c r="O156" s="10">
        <f t="shared" si="84"/>
        <v>10.3</v>
      </c>
      <c r="P156" s="7">
        <f>LOOKUP(O156,{0,7.8,8,8.2,8.4,8.6,8.8,9,9.2,9.4,9.6,9.8,10,10.2,10.4,10.6,10.8,10.9,11,11.1,11.2},{0,10,20,30,40,50,60,62,64,66,68,70,72,74,76,78,80,85,90,95,100})</f>
        <v>74</v>
      </c>
      <c r="Q156" s="5">
        <v>4.5</v>
      </c>
      <c r="R156" s="10">
        <f t="shared" si="85"/>
        <v>5.5</v>
      </c>
      <c r="S156" s="7">
        <f>LOOKUP(R156,{0,3.85,4.45,4.65,4.85,5.45,5.65,5.7,5.75,5.8,5.85,5.9,5.95,6,6.45,6.5,6.55,6.63,6.7,6.75,6.8},{0,10,20,30,40,50,60,62,64,66,68,70,72,74,76,78,80,85,90,95,100})</f>
        <v>50</v>
      </c>
      <c r="T156" s="5"/>
      <c r="U156" s="5"/>
      <c r="V156" s="5">
        <f t="shared" si="86"/>
        <v>50</v>
      </c>
      <c r="W156" s="5"/>
      <c r="X156" s="13">
        <f t="shared" si="87"/>
        <v>39.4</v>
      </c>
      <c r="Y156" s="13">
        <f t="shared" si="88"/>
        <v>56.2857142857143</v>
      </c>
    </row>
    <row r="157" ht="15.6" hidden="1" outlineLevel="2" spans="1:25">
      <c r="A157" s="5">
        <v>304</v>
      </c>
      <c r="B157" s="5">
        <v>31</v>
      </c>
      <c r="C157" s="5" t="s">
        <v>180</v>
      </c>
      <c r="D157" s="5" t="s">
        <v>12</v>
      </c>
      <c r="E157" s="5">
        <v>0</v>
      </c>
      <c r="F157" s="7">
        <f>LOOKUP(E157,{0,-1.8,-0.8,0.2,1.2,2.2,3.2,4.6,6,7.4,8.8,10.2,11.6,13,14.4,15.8,17.2,19.1,21,22.8,24.6},{0,10,20,30,40,50,60,62,64,66,68,70,72,74,76,78,80,85,90,95,100})</f>
        <v>20</v>
      </c>
      <c r="G157" s="5">
        <v>247</v>
      </c>
      <c r="H157" s="7">
        <f>LOOKUP(G157,{0,180,185,190,195,200,205,209,213,217,221,225,229,233,237,241,245,253,260,265,270},{0,10,20,30,40,50,60,62,64,66,68,70,72,74,76,78,80,85,90,95,100})</f>
        <v>80</v>
      </c>
      <c r="I157" s="5">
        <v>10</v>
      </c>
      <c r="J157" s="7">
        <f>LOOKUP(I157,{0,4,5,6,7,8,9,10,11,12,13,14,15,16,17,18},{0,10,20,30,40,50,60,64,68,72,76,80,85,90,95,100})</f>
        <v>64</v>
      </c>
      <c r="K157" s="5"/>
      <c r="L157" s="5"/>
      <c r="M157" s="5">
        <f t="shared" si="83"/>
        <v>64</v>
      </c>
      <c r="N157" s="5">
        <v>7.6</v>
      </c>
      <c r="O157" s="10">
        <f t="shared" si="84"/>
        <v>10.4</v>
      </c>
      <c r="P157" s="7">
        <f>LOOKUP(O157,{0,7.8,8,8.2,8.4,8.6,8.8,9,9.2,9.4,9.6,9.8,10,10.2,10.4,10.6,10.8,10.9,11,11.1,11.2},{0,10,20,30,40,50,60,62,64,66,68,70,72,74,76,78,80,85,90,95,100})</f>
        <v>76</v>
      </c>
      <c r="Q157" s="5">
        <v>5.42</v>
      </c>
      <c r="R157" s="10">
        <f t="shared" si="85"/>
        <v>4.58</v>
      </c>
      <c r="S157" s="7">
        <f>LOOKUP(R157,{0,3.85,4.45,4.65,4.85,5.45,5.65,5.7,5.75,5.8,5.85,5.9,5.95,6,6.45,6.5,6.55,6.63,6.7,6.75,6.8},{0,10,20,30,40,50,60,62,64,66,68,70,72,74,76,78,80,85,90,95,100})</f>
        <v>20</v>
      </c>
      <c r="T157" s="5"/>
      <c r="U157" s="5"/>
      <c r="V157" s="5">
        <f t="shared" si="86"/>
        <v>20</v>
      </c>
      <c r="W157" s="5"/>
      <c r="X157" s="13">
        <f t="shared" si="87"/>
        <v>35.6</v>
      </c>
      <c r="Y157" s="13">
        <f t="shared" si="88"/>
        <v>50.8571428571429</v>
      </c>
    </row>
    <row r="158" ht="15.6" hidden="1" outlineLevel="2" spans="1:25">
      <c r="A158" s="5">
        <v>304</v>
      </c>
      <c r="B158" s="5">
        <v>32</v>
      </c>
      <c r="C158" s="5" t="s">
        <v>181</v>
      </c>
      <c r="D158" s="5" t="s">
        <v>12</v>
      </c>
      <c r="E158" s="5"/>
      <c r="F158" s="7"/>
      <c r="G158" s="5"/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>
        <v>50</v>
      </c>
      <c r="X158" s="13"/>
      <c r="Y158" s="13">
        <v>50</v>
      </c>
    </row>
    <row r="159" ht="15.6" hidden="1" outlineLevel="2" spans="1:25">
      <c r="A159" s="5">
        <v>304</v>
      </c>
      <c r="B159" s="5">
        <v>33</v>
      </c>
      <c r="C159" s="5" t="s">
        <v>182</v>
      </c>
      <c r="D159" s="5" t="s">
        <v>12</v>
      </c>
      <c r="E159" s="5">
        <v>3</v>
      </c>
      <c r="F159" s="7">
        <f>LOOKUP(E159,{0,-1.8,-0.8,0.2,1.2,2.2,3.2,4.6,6,7.4,8.8,10.2,11.6,13,14.4,15.8,17.2,19.1,21,22.8,24.6},{0,10,20,30,40,50,60,62,64,66,68,70,72,74,76,78,80,85,90,95,100})</f>
        <v>50</v>
      </c>
      <c r="G159" s="5">
        <v>195</v>
      </c>
      <c r="H159" s="7">
        <f>LOOKUP(G159,{0,180,185,190,195,200,205,209,213,217,221,225,229,233,237,241,245,253,260,265,270},{0,10,20,30,40,50,60,62,64,66,68,70,72,74,76,78,80,85,90,95,100})</f>
        <v>40</v>
      </c>
      <c r="I159" s="5">
        <v>2</v>
      </c>
      <c r="J159" s="7">
        <f>LOOKUP(I159,{0,4,5,6,7,8,9,10,11,12,13,14,15,16,17,18},{0,10,20,30,40,50,60,64,68,72,76,80,85,90,95,100})</f>
        <v>0</v>
      </c>
      <c r="K159" s="5"/>
      <c r="L159" s="5"/>
      <c r="M159" s="5">
        <f>J159+L159</f>
        <v>0</v>
      </c>
      <c r="N159" s="5">
        <v>8</v>
      </c>
      <c r="O159" s="10">
        <f>18-N159</f>
        <v>10</v>
      </c>
      <c r="P159" s="7">
        <f>LOOKUP(O159,{0,7.8,8,8.2,8.4,8.6,8.8,9,9.2,9.4,9.6,9.8,10,10.2,10.4,10.6,10.8,10.9,11,11.1,11.2},{0,10,20,30,40,50,60,62,64,66,68,70,72,74,76,78,80,85,90,95,100})</f>
        <v>72</v>
      </c>
      <c r="Q159" s="5">
        <v>4.57</v>
      </c>
      <c r="R159" s="10">
        <f>10-Q159</f>
        <v>5.43</v>
      </c>
      <c r="S159" s="7">
        <f>LOOKUP(R159,{0,3.85,4.45,4.65,4.85,5.45,5.65,5.7,5.75,5.8,5.85,5.9,5.95,6,6.45,6.5,6.55,6.63,6.7,6.75,6.8},{0,10,20,30,40,50,60,62,64,66,68,70,72,74,76,78,80,85,90,95,100})</f>
        <v>40</v>
      </c>
      <c r="T159" s="5"/>
      <c r="U159" s="5"/>
      <c r="V159" s="5">
        <f>S159+U159</f>
        <v>40</v>
      </c>
      <c r="W159" s="5"/>
      <c r="X159" s="13">
        <f>F159*0.1+H159*0.1+J159*0.1+P159*0.2+S159*0.2</f>
        <v>31.4</v>
      </c>
      <c r="Y159" s="13">
        <f>X159/0.7+L159+U159</f>
        <v>44.8571428571429</v>
      </c>
    </row>
    <row r="160" ht="15.6" hidden="1" outlineLevel="2" spans="1:25">
      <c r="A160" s="5">
        <v>304</v>
      </c>
      <c r="B160" s="5">
        <v>34</v>
      </c>
      <c r="C160" s="5" t="s">
        <v>183</v>
      </c>
      <c r="D160" s="5" t="s">
        <v>12</v>
      </c>
      <c r="E160" s="5"/>
      <c r="F160" s="7"/>
      <c r="G160" s="5"/>
      <c r="H160" s="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>
        <v>50</v>
      </c>
      <c r="X160" s="13"/>
      <c r="Y160" s="13">
        <v>50</v>
      </c>
    </row>
    <row r="161" ht="15.6" outlineLevel="1" collapsed="1" spans="1:25">
      <c r="A161" s="6" t="s">
        <v>855</v>
      </c>
      <c r="B161" s="5"/>
      <c r="C161" s="5"/>
      <c r="D161" s="5"/>
      <c r="E161" s="5"/>
      <c r="F161" s="7">
        <f>SUBTOTAL(1,F127:F160)</f>
        <v>59.8095238095238</v>
      </c>
      <c r="G161" s="5"/>
      <c r="H161" s="7">
        <f>SUBTOTAL(1,H127:H160)</f>
        <v>68.8571428571429</v>
      </c>
      <c r="I161" s="5"/>
      <c r="J161" s="5">
        <f>SUBTOTAL(1,J127:J160)</f>
        <v>24.8095238095238</v>
      </c>
      <c r="K161" s="5"/>
      <c r="L161" s="5"/>
      <c r="M161" s="5">
        <f>SUBTOTAL(1,M127:M160)</f>
        <v>24.9047619047619</v>
      </c>
      <c r="N161" s="5"/>
      <c r="O161" s="5"/>
      <c r="P161" s="5">
        <f>SUBTOTAL(1,P127:P160)</f>
        <v>78.1428571428571</v>
      </c>
      <c r="Q161" s="5"/>
      <c r="R161" s="5"/>
      <c r="S161" s="5">
        <f>SUBTOTAL(1,S127:S160)</f>
        <v>55.8</v>
      </c>
      <c r="T161" s="5"/>
      <c r="U161" s="5"/>
      <c r="V161" s="5">
        <f>SUBTOTAL(1,V127:V160)</f>
        <v>55.8</v>
      </c>
      <c r="W161" s="5"/>
      <c r="X161" s="13">
        <f>SUBTOTAL(1,X127:X160)</f>
        <v>41.6047619047619</v>
      </c>
      <c r="Y161" s="13">
        <f>SUBTOTAL(1,Y127:Y160)</f>
        <v>56.6008403361345</v>
      </c>
    </row>
    <row r="162" ht="15.6" hidden="1" outlineLevel="2" spans="1:25">
      <c r="A162" s="5">
        <v>305</v>
      </c>
      <c r="B162" s="5">
        <v>1</v>
      </c>
      <c r="C162" s="8" t="s">
        <v>185</v>
      </c>
      <c r="D162" s="9" t="s">
        <v>12</v>
      </c>
      <c r="E162" s="5">
        <v>14.8</v>
      </c>
      <c r="F162" s="7">
        <f>LOOKUP(E162,{0,-1.8,-0.8,0.2,1.2,2.2,3.2,4.6,6,7.4,8.8,10.2,11.6,13,14.4,15.8,17.2,19.1,21,22.8,24.6},{0,10,20,30,40,50,60,62,64,66,68,70,72,74,76,78,80,85,90,95,100})</f>
        <v>76</v>
      </c>
      <c r="G162" s="5">
        <v>260</v>
      </c>
      <c r="H162" s="7">
        <f>LOOKUP(G162,{0,180,185,190,195,200,205,209,213,217,221,225,229,233,237,241,245,253,260,265,270},{0,10,20,30,40,50,60,62,64,66,68,70,72,74,76,78,80,85,90,95,100})</f>
        <v>90</v>
      </c>
      <c r="I162" s="5">
        <v>30</v>
      </c>
      <c r="J162" s="7">
        <f>LOOKUP(I162,{0,4,5,6,7,8,9,10,11,12,13,14,15,16,17,18},{0,10,20,30,40,50,60,64,68,72,76,80,85,90,95,100})</f>
        <v>100</v>
      </c>
      <c r="K162" s="5">
        <f>I162-18</f>
        <v>12</v>
      </c>
      <c r="L162" s="7">
        <f>LOOKUP(K162,{0,1,2,3,4,5,6,7,8,9,10},{0,1,2,3,4,5,6,7,8,9,10})</f>
        <v>10</v>
      </c>
      <c r="M162" s="5">
        <f t="shared" ref="M162:M185" si="89">J162+L162</f>
        <v>110</v>
      </c>
      <c r="N162" s="5">
        <v>6.8</v>
      </c>
      <c r="O162" s="10">
        <f t="shared" ref="O162:O185" si="90">18-N162</f>
        <v>11.2</v>
      </c>
      <c r="P162" s="7">
        <f>LOOKUP(O162,{0,7.8,8,8.2,8.4,8.6,8.8,9,9.2,9.4,9.6,9.8,10,10.2,10.4,10.6,10.8,10.9,11,11.1,11.2},{0,10,20,30,40,50,60,62,64,66,68,70,72,74,76,78,80,85,90,95,100})</f>
        <v>100</v>
      </c>
      <c r="Q162" s="5">
        <v>4.27</v>
      </c>
      <c r="R162" s="10">
        <f t="shared" ref="R162:R185" si="91">10-Q162</f>
        <v>5.73</v>
      </c>
      <c r="S162" s="7">
        <f>LOOKUP(R162,{0,3.85,4.45,4.65,4.85,5.45,5.65,5.7,5.75,5.8,5.85,5.9,5.95,6,6.45,6.5,6.55,6.63,6.7,6.75,6.8},{0,10,20,30,40,50,60,62,64,66,68,70,72,74,76,78,80,85,90,95,100})</f>
        <v>62</v>
      </c>
      <c r="T162" s="5"/>
      <c r="U162" s="5"/>
      <c r="V162" s="5">
        <f t="shared" ref="V162:V185" si="92">S162+U162</f>
        <v>62</v>
      </c>
      <c r="W162" s="5"/>
      <c r="X162" s="13">
        <f t="shared" ref="X162:X185" si="93">F162*0.1+H162*0.1+J162*0.1+P162*0.2+S162*0.2</f>
        <v>59</v>
      </c>
      <c r="Y162" s="13">
        <f t="shared" ref="Y162:Y185" si="94">X162/0.7+L162+U162</f>
        <v>94.2857142857143</v>
      </c>
    </row>
    <row r="163" ht="15.6" hidden="1" outlineLevel="2" spans="1:25">
      <c r="A163" s="5">
        <v>305</v>
      </c>
      <c r="B163" s="5">
        <v>2</v>
      </c>
      <c r="C163" s="9" t="s">
        <v>186</v>
      </c>
      <c r="D163" s="9" t="s">
        <v>12</v>
      </c>
      <c r="E163" s="5">
        <v>7</v>
      </c>
      <c r="F163" s="7">
        <f>LOOKUP(E163,{0,-1.8,-0.8,0.2,1.2,2.2,3.2,4.6,6,7.4,8.8,10.2,11.6,13,14.4,15.8,17.2,19.1,21,22.8,24.6},{0,10,20,30,40,50,60,62,64,66,68,70,72,74,76,78,80,85,90,95,100})</f>
        <v>64</v>
      </c>
      <c r="G163" s="5">
        <v>250</v>
      </c>
      <c r="H163" s="7">
        <f>LOOKUP(G163,{0,180,185,190,195,200,205,209,213,217,221,225,229,233,237,241,245,253,260,265,270},{0,10,20,30,40,50,60,62,64,66,68,70,72,74,76,78,80,85,90,95,100})</f>
        <v>80</v>
      </c>
      <c r="I163" s="5">
        <v>1</v>
      </c>
      <c r="J163" s="7">
        <f>LOOKUP(I163,{0,4,5,6,7,8,9,10,11,12,13,14,15,16,17,18},{0,10,20,30,40,50,60,64,68,72,76,80,85,90,95,100})</f>
        <v>0</v>
      </c>
      <c r="K163" s="5"/>
      <c r="L163" s="5"/>
      <c r="M163" s="5">
        <f t="shared" si="89"/>
        <v>0</v>
      </c>
      <c r="N163" s="5">
        <v>7.3</v>
      </c>
      <c r="O163" s="10">
        <f t="shared" si="90"/>
        <v>10.7</v>
      </c>
      <c r="P163" s="7">
        <f>LOOKUP(O163,{0,7.8,8,8.2,8.4,8.6,8.8,9,9.2,9.4,9.6,9.8,10,10.2,10.4,10.6,10.8,10.9,11,11.1,11.2},{0,10,20,30,40,50,60,62,64,66,68,70,72,74,76,78,80,85,90,95,100})</f>
        <v>78</v>
      </c>
      <c r="Q163" s="5">
        <v>4.52</v>
      </c>
      <c r="R163" s="10">
        <f t="shared" si="91"/>
        <v>5.48</v>
      </c>
      <c r="S163" s="7">
        <f>LOOKUP(R163,{0,3.85,4.45,4.65,4.85,5.45,5.65,5.7,5.75,5.8,5.85,5.9,5.95,6,6.45,6.5,6.55,6.63,6.7,6.75,6.8},{0,10,20,30,40,50,60,62,64,66,68,70,72,74,76,78,80,85,90,95,100})</f>
        <v>50</v>
      </c>
      <c r="T163" s="5"/>
      <c r="U163" s="5"/>
      <c r="V163" s="5">
        <f t="shared" si="92"/>
        <v>50</v>
      </c>
      <c r="W163" s="5"/>
      <c r="X163" s="13">
        <f t="shared" si="93"/>
        <v>40</v>
      </c>
      <c r="Y163" s="13">
        <f t="shared" si="94"/>
        <v>57.1428571428571</v>
      </c>
    </row>
    <row r="164" ht="15.6" hidden="1" outlineLevel="2" spans="1:25">
      <c r="A164" s="5">
        <v>305</v>
      </c>
      <c r="B164" s="5">
        <v>3</v>
      </c>
      <c r="C164" s="9" t="s">
        <v>187</v>
      </c>
      <c r="D164" s="9" t="s">
        <v>12</v>
      </c>
      <c r="E164" s="5">
        <v>16.4</v>
      </c>
      <c r="F164" s="7">
        <f>LOOKUP(E164,{0,-1.8,-0.8,0.2,1.2,2.2,3.2,4.6,6,7.4,8.8,10.2,11.6,13,14.4,15.8,17.2,19.1,21,22.8,24.6},{0,10,20,30,40,50,60,62,64,66,68,70,72,74,76,78,80,85,90,95,100})</f>
        <v>78</v>
      </c>
      <c r="G164" s="5">
        <v>245</v>
      </c>
      <c r="H164" s="7">
        <f>LOOKUP(G164,{0,180,185,190,195,200,205,209,213,217,221,225,229,233,237,241,245,253,260,265,270},{0,10,20,30,40,50,60,62,64,66,68,70,72,74,76,78,80,85,90,95,100})</f>
        <v>80</v>
      </c>
      <c r="I164" s="5">
        <v>25</v>
      </c>
      <c r="J164" s="7">
        <f>LOOKUP(I164,{0,4,5,6,7,8,9,10,11,12,13,14,15,16,17,18},{0,10,20,30,40,50,60,64,68,72,76,80,85,90,95,100})</f>
        <v>100</v>
      </c>
      <c r="K164" s="5">
        <f>I164-18</f>
        <v>7</v>
      </c>
      <c r="L164" s="7">
        <f>LOOKUP(K164,{0,1,2,3,4,5,6,7,8,9,10},{0,1,2,3,4,5,6,7,8,9,10})</f>
        <v>7</v>
      </c>
      <c r="M164" s="5">
        <f t="shared" si="89"/>
        <v>107</v>
      </c>
      <c r="N164" s="5">
        <v>7</v>
      </c>
      <c r="O164" s="10">
        <f t="shared" si="90"/>
        <v>11</v>
      </c>
      <c r="P164" s="7">
        <f>LOOKUP(O164,{0,7.8,8,8.2,8.4,8.6,8.8,9,9.2,9.4,9.6,9.8,10,10.2,10.4,10.6,10.8,10.9,11,11.1,11.2},{0,10,20,30,40,50,60,62,64,66,68,70,72,74,76,78,80,85,90,95,100})</f>
        <v>90</v>
      </c>
      <c r="Q164" s="5">
        <v>3.41</v>
      </c>
      <c r="R164" s="10">
        <f t="shared" si="91"/>
        <v>6.59</v>
      </c>
      <c r="S164" s="7">
        <f>LOOKUP(R164,{0,3.85,4.45,4.65,4.85,5.45,5.65,5.7,5.75,5.8,5.85,5.9,5.95,6,6.45,6.5,6.55,6.63,6.7,6.75,6.8},{0,10,20,30,40,50,60,62,64,66,68,70,72,74,76,78,80,85,90,95,100})</f>
        <v>80</v>
      </c>
      <c r="T164" s="5"/>
      <c r="U164" s="5"/>
      <c r="V164" s="5">
        <f t="shared" si="92"/>
        <v>80</v>
      </c>
      <c r="W164" s="5"/>
      <c r="X164" s="13">
        <f t="shared" si="93"/>
        <v>59.8</v>
      </c>
      <c r="Y164" s="13">
        <f t="shared" si="94"/>
        <v>92.4285714285714</v>
      </c>
    </row>
    <row r="165" ht="15.6" hidden="1" outlineLevel="2" spans="1:25">
      <c r="A165" s="5">
        <v>305</v>
      </c>
      <c r="B165" s="5">
        <v>4</v>
      </c>
      <c r="C165" s="9" t="s">
        <v>188</v>
      </c>
      <c r="D165" s="9" t="s">
        <v>12</v>
      </c>
      <c r="E165" s="5">
        <v>14</v>
      </c>
      <c r="F165" s="7">
        <f>LOOKUP(E165,{0,-1.8,-0.8,0.2,1.2,2.2,3.2,4.6,6,7.4,8.8,10.2,11.6,13,14.4,15.8,17.2,19.1,21,22.8,24.6},{0,10,20,30,40,50,60,62,64,66,68,70,72,74,76,78,80,85,90,95,100})</f>
        <v>74</v>
      </c>
      <c r="G165" s="5">
        <v>210</v>
      </c>
      <c r="H165" s="7">
        <f>LOOKUP(G165,{0,180,185,190,195,200,205,209,213,217,221,225,229,233,237,241,245,253,260,265,270},{0,10,20,30,40,50,60,62,64,66,68,70,72,74,76,78,80,85,90,95,100})</f>
        <v>62</v>
      </c>
      <c r="I165" s="5">
        <v>10</v>
      </c>
      <c r="J165" s="7">
        <f>LOOKUP(I165,{0,4,5,6,7,8,9,10,11,12,13,14,15,16,17,18},{0,10,20,30,40,50,60,64,68,72,76,80,85,90,95,100})</f>
        <v>64</v>
      </c>
      <c r="K165" s="5"/>
      <c r="L165" s="5"/>
      <c r="M165" s="5">
        <f t="shared" si="89"/>
        <v>64</v>
      </c>
      <c r="N165" s="5">
        <v>7.3</v>
      </c>
      <c r="O165" s="10">
        <f t="shared" si="90"/>
        <v>10.7</v>
      </c>
      <c r="P165" s="7">
        <f>LOOKUP(O165,{0,7.8,8,8.2,8.4,8.6,8.8,9,9.2,9.4,9.6,9.8,10,10.2,10.4,10.6,10.8,10.9,11,11.1,11.2},{0,10,20,30,40,50,60,62,64,66,68,70,72,74,76,78,80,85,90,95,100})</f>
        <v>78</v>
      </c>
      <c r="Q165" s="5">
        <v>4.3</v>
      </c>
      <c r="R165" s="10">
        <f t="shared" si="91"/>
        <v>5.7</v>
      </c>
      <c r="S165" s="7">
        <f>LOOKUP(R165,{0,3.85,4.45,4.65,4.85,5.45,5.65,5.7,5.75,5.8,5.85,5.9,5.95,6,6.45,6.5,6.55,6.63,6.7,6.75,6.8},{0,10,20,30,40,50,60,62,64,66,68,70,72,74,76,78,80,85,90,95,100})</f>
        <v>62</v>
      </c>
      <c r="T165" s="5"/>
      <c r="U165" s="5"/>
      <c r="V165" s="5">
        <f t="shared" si="92"/>
        <v>62</v>
      </c>
      <c r="W165" s="5"/>
      <c r="X165" s="13">
        <f t="shared" si="93"/>
        <v>48</v>
      </c>
      <c r="Y165" s="13">
        <f t="shared" si="94"/>
        <v>68.5714285714286</v>
      </c>
    </row>
    <row r="166" ht="15.6" hidden="1" outlineLevel="2" spans="1:25">
      <c r="A166" s="5">
        <v>305</v>
      </c>
      <c r="B166" s="5">
        <v>5</v>
      </c>
      <c r="C166" s="9" t="s">
        <v>189</v>
      </c>
      <c r="D166" s="9" t="s">
        <v>12</v>
      </c>
      <c r="E166" s="5">
        <v>14</v>
      </c>
      <c r="F166" s="7">
        <f>LOOKUP(E166,{0,-1.8,-0.8,0.2,1.2,2.2,3.2,4.6,6,7.4,8.8,10.2,11.6,13,14.4,15.8,17.2,19.1,21,22.8,24.6},{0,10,20,30,40,50,60,62,64,66,68,70,72,74,76,78,80,85,90,95,100})</f>
        <v>74</v>
      </c>
      <c r="G166" s="5">
        <v>220</v>
      </c>
      <c r="H166" s="7">
        <f>LOOKUP(G166,{0,180,185,190,195,200,205,209,213,217,221,225,229,233,237,241,245,253,260,265,270},{0,10,20,30,40,50,60,62,64,66,68,70,72,74,76,78,80,85,90,95,100})</f>
        <v>66</v>
      </c>
      <c r="I166" s="5">
        <v>2</v>
      </c>
      <c r="J166" s="7">
        <f>LOOKUP(I166,{0,4,5,6,7,8,9,10,11,12,13,14,15,16,17,18},{0,10,20,30,40,50,60,64,68,72,76,80,85,90,95,100})</f>
        <v>0</v>
      </c>
      <c r="K166" s="5"/>
      <c r="L166" s="5"/>
      <c r="M166" s="5">
        <f t="shared" si="89"/>
        <v>0</v>
      </c>
      <c r="N166" s="5">
        <v>7.6</v>
      </c>
      <c r="O166" s="10">
        <f t="shared" si="90"/>
        <v>10.4</v>
      </c>
      <c r="P166" s="7">
        <f>LOOKUP(O166,{0,7.8,8,8.2,8.4,8.6,8.8,9,9.2,9.4,9.6,9.8,10,10.2,10.4,10.6,10.8,10.9,11,11.1,11.2},{0,10,20,30,40,50,60,62,64,66,68,70,72,74,76,78,80,85,90,95,100})</f>
        <v>76</v>
      </c>
      <c r="Q166" s="5">
        <v>4.42</v>
      </c>
      <c r="R166" s="10">
        <f t="shared" si="91"/>
        <v>5.58</v>
      </c>
      <c r="S166" s="7">
        <f>LOOKUP(R166,{0,3.85,4.45,4.65,4.85,5.45,5.65,5.7,5.75,5.8,5.85,5.9,5.95,6,6.45,6.5,6.55,6.63,6.7,6.75,6.8},{0,10,20,30,40,50,60,62,64,66,68,70,72,74,76,78,80,85,90,95,100})</f>
        <v>50</v>
      </c>
      <c r="T166" s="5"/>
      <c r="U166" s="5"/>
      <c r="V166" s="5">
        <f t="shared" si="92"/>
        <v>50</v>
      </c>
      <c r="W166" s="5"/>
      <c r="X166" s="13">
        <f t="shared" si="93"/>
        <v>39.2</v>
      </c>
      <c r="Y166" s="13">
        <f t="shared" si="94"/>
        <v>56</v>
      </c>
    </row>
    <row r="167" ht="15.6" hidden="1" outlineLevel="2" spans="1:25">
      <c r="A167" s="5">
        <v>305</v>
      </c>
      <c r="B167" s="5">
        <v>6</v>
      </c>
      <c r="C167" s="9" t="s">
        <v>190</v>
      </c>
      <c r="D167" s="9" t="s">
        <v>12</v>
      </c>
      <c r="E167" s="5">
        <v>12</v>
      </c>
      <c r="F167" s="7">
        <f>LOOKUP(E167,{0,-1.8,-0.8,0.2,1.2,2.2,3.2,4.6,6,7.4,8.8,10.2,11.6,13,14.4,15.8,17.2,19.1,21,22.8,24.6},{0,10,20,30,40,50,60,62,64,66,68,70,72,74,76,78,80,85,90,95,100})</f>
        <v>72</v>
      </c>
      <c r="G167" s="5">
        <v>249</v>
      </c>
      <c r="H167" s="7">
        <f>LOOKUP(G167,{0,180,185,190,195,200,205,209,213,217,221,225,229,233,237,241,245,253,260,265,270},{0,10,20,30,40,50,60,62,64,66,68,70,72,74,76,78,80,85,90,95,100})</f>
        <v>80</v>
      </c>
      <c r="I167" s="5">
        <v>5</v>
      </c>
      <c r="J167" s="7">
        <f>LOOKUP(I167,{0,4,5,6,7,8,9,10,11,12,13,14,15,16,17,18},{0,10,20,30,40,50,60,64,68,72,76,80,85,90,95,100})</f>
        <v>20</v>
      </c>
      <c r="K167" s="5"/>
      <c r="L167" s="5"/>
      <c r="M167" s="5">
        <f t="shared" si="89"/>
        <v>20</v>
      </c>
      <c r="N167" s="5">
        <v>7.1</v>
      </c>
      <c r="O167" s="10">
        <f t="shared" si="90"/>
        <v>10.9</v>
      </c>
      <c r="P167" s="7">
        <f>LOOKUP(O167,{0,7.8,8,8.2,8.4,8.6,8.8,9,9.2,9.4,9.6,9.8,10,10.2,10.4,10.6,10.8,10.9,11,11.1,11.2},{0,10,20,30,40,50,60,62,64,66,68,70,72,74,76,78,80,85,90,95,100})</f>
        <v>85</v>
      </c>
      <c r="Q167" s="5">
        <v>4.55</v>
      </c>
      <c r="R167" s="10">
        <f t="shared" si="91"/>
        <v>5.45</v>
      </c>
      <c r="S167" s="7">
        <f>LOOKUP(R167,{0,3.85,4.45,4.65,4.85,5.45,5.65,5.7,5.75,5.8,5.85,5.9,5.95,6,6.45,6.5,6.55,6.63,6.7,6.75,6.8},{0,10,20,30,40,50,60,62,64,66,68,70,72,74,76,78,80,85,90,95,100})</f>
        <v>50</v>
      </c>
      <c r="T167" s="5"/>
      <c r="U167" s="5"/>
      <c r="V167" s="5">
        <f t="shared" si="92"/>
        <v>50</v>
      </c>
      <c r="W167" s="5"/>
      <c r="X167" s="13">
        <f t="shared" si="93"/>
        <v>44.2</v>
      </c>
      <c r="Y167" s="13">
        <f t="shared" si="94"/>
        <v>63.1428571428572</v>
      </c>
    </row>
    <row r="168" ht="15.6" hidden="1" outlineLevel="2" spans="1:25">
      <c r="A168" s="5">
        <v>305</v>
      </c>
      <c r="B168" s="5">
        <v>7</v>
      </c>
      <c r="C168" s="9" t="s">
        <v>191</v>
      </c>
      <c r="D168" s="9" t="s">
        <v>12</v>
      </c>
      <c r="E168" s="5">
        <v>7.5</v>
      </c>
      <c r="F168" s="7">
        <f>LOOKUP(E168,{0,-1.8,-0.8,0.2,1.2,2.2,3.2,4.6,6,7.4,8.8,10.2,11.6,13,14.4,15.8,17.2,19.1,21,22.8,24.6},{0,10,20,30,40,50,60,62,64,66,68,70,72,74,76,78,80,85,90,95,100})</f>
        <v>66</v>
      </c>
      <c r="G168" s="5">
        <v>205</v>
      </c>
      <c r="H168" s="7">
        <f>LOOKUP(G168,{0,180,185,190,195,200,205,209,213,217,221,225,229,233,237,241,245,253,260,265,270},{0,10,20,30,40,50,60,62,64,66,68,70,72,74,76,78,80,85,90,95,100})</f>
        <v>60</v>
      </c>
      <c r="I168" s="5">
        <v>0</v>
      </c>
      <c r="J168" s="7">
        <f>LOOKUP(I168,{0,4,5,6,7,8,9,10,11,12,13,14,15,16,17,18},{0,10,20,30,40,50,60,64,68,72,76,80,85,90,95,100})</f>
        <v>0</v>
      </c>
      <c r="K168" s="5"/>
      <c r="L168" s="5"/>
      <c r="M168" s="5">
        <f t="shared" si="89"/>
        <v>0</v>
      </c>
      <c r="N168" s="5">
        <v>7.8</v>
      </c>
      <c r="O168" s="10">
        <f t="shared" si="90"/>
        <v>10.2</v>
      </c>
      <c r="P168" s="7">
        <f>LOOKUP(O168,{0,7.8,8,8.2,8.4,8.6,8.8,9,9.2,9.4,9.6,9.8,10,10.2,10.4,10.6,10.8,10.9,11,11.1,11.2},{0,10,20,30,40,50,60,62,64,66,68,70,72,74,76,78,80,85,90,95,100})</f>
        <v>74</v>
      </c>
      <c r="Q168" s="5">
        <v>4.5</v>
      </c>
      <c r="R168" s="10">
        <f t="shared" si="91"/>
        <v>5.5</v>
      </c>
      <c r="S168" s="7">
        <f>LOOKUP(R168,{0,3.85,4.45,4.65,4.85,5.45,5.65,5.7,5.75,5.8,5.85,5.9,5.95,6,6.45,6.5,6.55,6.63,6.7,6.75,6.8},{0,10,20,30,40,50,60,62,64,66,68,70,72,74,76,78,80,85,90,95,100})</f>
        <v>50</v>
      </c>
      <c r="T168" s="5"/>
      <c r="U168" s="5"/>
      <c r="V168" s="5">
        <f t="shared" si="92"/>
        <v>50</v>
      </c>
      <c r="W168" s="5"/>
      <c r="X168" s="13">
        <f t="shared" si="93"/>
        <v>37.4</v>
      </c>
      <c r="Y168" s="13">
        <f t="shared" si="94"/>
        <v>53.4285714285714</v>
      </c>
    </row>
    <row r="169" ht="15.6" hidden="1" outlineLevel="2" spans="1:25">
      <c r="A169" s="5">
        <v>305</v>
      </c>
      <c r="B169" s="5">
        <v>8</v>
      </c>
      <c r="C169" s="9" t="s">
        <v>192</v>
      </c>
      <c r="D169" s="9" t="s">
        <v>12</v>
      </c>
      <c r="E169" s="5">
        <v>13.5</v>
      </c>
      <c r="F169" s="7">
        <f>LOOKUP(E169,{0,-1.8,-0.8,0.2,1.2,2.2,3.2,4.6,6,7.4,8.8,10.2,11.6,13,14.4,15.8,17.2,19.1,21,22.8,24.6},{0,10,20,30,40,50,60,62,64,66,68,70,72,74,76,78,80,85,90,95,100})</f>
        <v>74</v>
      </c>
      <c r="G169" s="5">
        <v>207</v>
      </c>
      <c r="H169" s="7">
        <f>LOOKUP(G169,{0,180,185,190,195,200,205,209,213,217,221,225,229,233,237,241,245,253,260,265,270},{0,10,20,30,40,50,60,62,64,66,68,70,72,74,76,78,80,85,90,95,100})</f>
        <v>60</v>
      </c>
      <c r="I169" s="5">
        <v>1</v>
      </c>
      <c r="J169" s="7">
        <f>LOOKUP(I169,{0,4,5,6,7,8,9,10,11,12,13,14,15,16,17,18},{0,10,20,30,40,50,60,64,68,72,76,80,85,90,95,100})</f>
        <v>0</v>
      </c>
      <c r="K169" s="5"/>
      <c r="L169" s="5"/>
      <c r="M169" s="5">
        <f t="shared" si="89"/>
        <v>0</v>
      </c>
      <c r="N169" s="5">
        <v>8.1</v>
      </c>
      <c r="O169" s="10">
        <f t="shared" si="90"/>
        <v>9.9</v>
      </c>
      <c r="P169" s="7">
        <f>LOOKUP(O169,{0,7.8,8,8.2,8.4,8.6,8.8,9,9.2,9.4,9.6,9.8,10,10.2,10.4,10.6,10.8,10.9,11,11.1,11.2},{0,10,20,30,40,50,60,62,64,66,68,70,72,74,76,78,80,85,90,95,100})</f>
        <v>70</v>
      </c>
      <c r="Q169" s="5">
        <v>5.02</v>
      </c>
      <c r="R169" s="10">
        <f t="shared" si="91"/>
        <v>4.98</v>
      </c>
      <c r="S169" s="7">
        <f>LOOKUP(R169,{0,3.85,4.45,4.65,4.85,5.45,5.65,5.7,5.75,5.8,5.85,5.9,5.95,6,6.45,6.5,6.55,6.63,6.7,6.75,6.8},{0,10,20,30,40,50,60,62,64,66,68,70,72,74,76,78,80,85,90,95,100})</f>
        <v>40</v>
      </c>
      <c r="T169" s="5"/>
      <c r="U169" s="5"/>
      <c r="V169" s="5">
        <f t="shared" si="92"/>
        <v>40</v>
      </c>
      <c r="W169" s="5"/>
      <c r="X169" s="13">
        <f t="shared" si="93"/>
        <v>35.4</v>
      </c>
      <c r="Y169" s="13">
        <f t="shared" si="94"/>
        <v>50.5714285714286</v>
      </c>
    </row>
    <row r="170" ht="15.6" hidden="1" outlineLevel="2" spans="1:25">
      <c r="A170" s="5">
        <v>305</v>
      </c>
      <c r="B170" s="5">
        <v>9</v>
      </c>
      <c r="C170" s="9" t="s">
        <v>193</v>
      </c>
      <c r="D170" s="9" t="s">
        <v>12</v>
      </c>
      <c r="E170" s="5">
        <v>20</v>
      </c>
      <c r="F170" s="7">
        <f>LOOKUP(E170,{0,-1.8,-0.8,0.2,1.2,2.2,3.2,4.6,6,7.4,8.8,10.2,11.6,13,14.4,15.8,17.2,19.1,21,22.8,24.6},{0,10,20,30,40,50,60,62,64,66,68,70,72,74,76,78,80,85,90,95,100})</f>
        <v>85</v>
      </c>
      <c r="G170" s="5">
        <v>240</v>
      </c>
      <c r="H170" s="7">
        <f>LOOKUP(G170,{0,180,185,190,195,200,205,209,213,217,221,225,229,233,237,241,245,253,260,265,270},{0,10,20,30,40,50,60,62,64,66,68,70,72,74,76,78,80,85,90,95,100})</f>
        <v>76</v>
      </c>
      <c r="I170" s="5">
        <v>3</v>
      </c>
      <c r="J170" s="7">
        <f>LOOKUP(I170,{0,4,5,6,7,8,9,10,11,12,13,14,15,16,17,18},{0,10,20,30,40,50,60,64,68,72,76,80,85,90,95,100})</f>
        <v>0</v>
      </c>
      <c r="K170" s="5"/>
      <c r="L170" s="5"/>
      <c r="M170" s="5">
        <f t="shared" si="89"/>
        <v>0</v>
      </c>
      <c r="N170" s="5">
        <v>7.1</v>
      </c>
      <c r="O170" s="10">
        <f t="shared" si="90"/>
        <v>10.9</v>
      </c>
      <c r="P170" s="7">
        <f>LOOKUP(O170,{0,7.8,8,8.2,8.4,8.6,8.8,9,9.2,9.4,9.6,9.8,10,10.2,10.4,10.6,10.8,10.9,11,11.1,11.2},{0,10,20,30,40,50,60,62,64,66,68,70,72,74,76,78,80,85,90,95,100})</f>
        <v>85</v>
      </c>
      <c r="Q170" s="5">
        <v>4.2</v>
      </c>
      <c r="R170" s="10">
        <f t="shared" si="91"/>
        <v>5.8</v>
      </c>
      <c r="S170" s="7">
        <f>LOOKUP(R170,{0,3.85,4.45,4.65,4.85,5.45,5.65,5.7,5.75,5.8,5.85,5.9,5.95,6,6.45,6.5,6.55,6.63,6.7,6.75,6.8},{0,10,20,30,40,50,60,62,64,66,68,70,72,74,76,78,80,85,90,95,100})</f>
        <v>66</v>
      </c>
      <c r="T170" s="5"/>
      <c r="U170" s="5"/>
      <c r="V170" s="5">
        <f t="shared" si="92"/>
        <v>66</v>
      </c>
      <c r="W170" s="5"/>
      <c r="X170" s="13">
        <f t="shared" si="93"/>
        <v>46.3</v>
      </c>
      <c r="Y170" s="13">
        <f t="shared" si="94"/>
        <v>66.1428571428572</v>
      </c>
    </row>
    <row r="171" ht="15.6" hidden="1" outlineLevel="2" spans="1:25">
      <c r="A171" s="5">
        <v>305</v>
      </c>
      <c r="B171" s="5">
        <v>10</v>
      </c>
      <c r="C171" s="9" t="s">
        <v>194</v>
      </c>
      <c r="D171" s="9" t="s">
        <v>12</v>
      </c>
      <c r="E171" s="5">
        <v>4.4</v>
      </c>
      <c r="F171" s="7">
        <f>LOOKUP(E171,{0,-1.8,-0.8,0.2,1.2,2.2,3.2,4.6,6,7.4,8.8,10.2,11.6,13,14.4,15.8,17.2,19.1,21,22.8,24.6},{0,10,20,30,40,50,60,62,64,66,68,70,72,74,76,78,80,85,90,95,100})</f>
        <v>60</v>
      </c>
      <c r="G171" s="5">
        <v>240</v>
      </c>
      <c r="H171" s="7">
        <f>LOOKUP(G171,{0,180,185,190,195,200,205,209,213,217,221,225,229,233,237,241,245,253,260,265,270},{0,10,20,30,40,50,60,62,64,66,68,70,72,74,76,78,80,85,90,95,100})</f>
        <v>76</v>
      </c>
      <c r="I171" s="5">
        <v>18</v>
      </c>
      <c r="J171" s="7">
        <f>LOOKUP(I171,{0,4,5,6,7,8,9,10,11,12,13,14,15,16,17,18},{0,10,20,30,40,50,60,64,68,72,76,80,85,90,95,100})</f>
        <v>100</v>
      </c>
      <c r="K171" s="5"/>
      <c r="L171" s="5"/>
      <c r="M171" s="5">
        <f t="shared" si="89"/>
        <v>100</v>
      </c>
      <c r="N171" s="5">
        <v>7.1</v>
      </c>
      <c r="O171" s="10">
        <f t="shared" si="90"/>
        <v>10.9</v>
      </c>
      <c r="P171" s="7">
        <f>LOOKUP(O171,{0,7.8,8,8.2,8.4,8.6,8.8,9,9.2,9.4,9.6,9.8,10,10.2,10.4,10.6,10.8,10.9,11,11.1,11.2},{0,10,20,30,40,50,60,62,64,66,68,70,72,74,76,78,80,85,90,95,100})</f>
        <v>85</v>
      </c>
      <c r="Q171" s="5">
        <v>4.37</v>
      </c>
      <c r="R171" s="10">
        <f t="shared" si="91"/>
        <v>5.63</v>
      </c>
      <c r="S171" s="7">
        <f>LOOKUP(R171,{0,3.85,4.45,4.65,4.85,5.45,5.65,5.7,5.75,5.8,5.85,5.9,5.95,6,6.45,6.5,6.55,6.63,6.7,6.75,6.8},{0,10,20,30,40,50,60,62,64,66,68,70,72,74,76,78,80,85,90,95,100})</f>
        <v>50</v>
      </c>
      <c r="T171" s="5"/>
      <c r="U171" s="5"/>
      <c r="V171" s="5">
        <f t="shared" si="92"/>
        <v>50</v>
      </c>
      <c r="W171" s="5"/>
      <c r="X171" s="13">
        <f t="shared" si="93"/>
        <v>50.6</v>
      </c>
      <c r="Y171" s="13">
        <f t="shared" si="94"/>
        <v>72.2857142857143</v>
      </c>
    </row>
    <row r="172" ht="15.6" hidden="1" outlineLevel="2" spans="1:25">
      <c r="A172" s="5">
        <v>305</v>
      </c>
      <c r="B172" s="5">
        <v>11</v>
      </c>
      <c r="C172" s="8" t="s">
        <v>196</v>
      </c>
      <c r="D172" s="9" t="s">
        <v>12</v>
      </c>
      <c r="E172" s="5">
        <v>21</v>
      </c>
      <c r="F172" s="7">
        <f>LOOKUP(E172,{0,-1.8,-0.8,0.2,1.2,2.2,3.2,4.6,6,7.4,8.8,10.2,11.6,13,14.4,15.8,17.2,19.1,21,22.8,24.6},{0,10,20,30,40,50,60,62,64,66,68,70,72,74,76,78,80,85,90,95,100})</f>
        <v>90</v>
      </c>
      <c r="G172" s="5">
        <v>186</v>
      </c>
      <c r="H172" s="7">
        <f>LOOKUP(G172,{0,180,185,190,195,200,205,209,213,217,221,225,229,233,237,241,245,253,260,265,270},{0,10,20,30,40,50,60,62,64,66,68,70,72,74,76,78,80,85,90,95,100})</f>
        <v>20</v>
      </c>
      <c r="I172" s="5">
        <v>4</v>
      </c>
      <c r="J172" s="7">
        <f>LOOKUP(I172,{0,4,5,6,7,8,9,10,11,12,13,14,15,16,17,18},{0,10,20,30,40,50,60,64,68,72,76,80,85,90,95,100})</f>
        <v>10</v>
      </c>
      <c r="K172" s="5"/>
      <c r="L172" s="5"/>
      <c r="M172" s="5">
        <f t="shared" si="89"/>
        <v>10</v>
      </c>
      <c r="N172" s="5">
        <v>9</v>
      </c>
      <c r="O172" s="10">
        <f t="shared" si="90"/>
        <v>9</v>
      </c>
      <c r="P172" s="7">
        <f>LOOKUP(O172,{0,7.8,8,8.2,8.4,8.6,8.8,9,9.2,9.4,9.6,9.8,10,10.2,10.4,10.6,10.8,10.9,11,11.1,11.2},{0,10,20,30,40,50,60,62,64,66,68,70,72,74,76,78,80,85,90,95,100})</f>
        <v>62</v>
      </c>
      <c r="Q172" s="5">
        <v>4.53</v>
      </c>
      <c r="R172" s="10">
        <f t="shared" si="91"/>
        <v>5.47</v>
      </c>
      <c r="S172" s="7">
        <f>LOOKUP(R172,{0,3.85,4.45,4.65,4.85,5.45,5.65,5.7,5.75,5.8,5.85,5.9,5.95,6,6.45,6.5,6.55,6.63,6.7,6.75,6.8},{0,10,20,30,40,50,60,62,64,66,68,70,72,74,76,78,80,85,90,95,100})</f>
        <v>50</v>
      </c>
      <c r="T172" s="5"/>
      <c r="U172" s="5"/>
      <c r="V172" s="5">
        <f t="shared" si="92"/>
        <v>50</v>
      </c>
      <c r="W172" s="5"/>
      <c r="X172" s="13">
        <f t="shared" si="93"/>
        <v>34.4</v>
      </c>
      <c r="Y172" s="13">
        <f t="shared" si="94"/>
        <v>49.1428571428571</v>
      </c>
    </row>
    <row r="173" ht="15.6" hidden="1" outlineLevel="2" spans="1:25">
      <c r="A173" s="5">
        <v>305</v>
      </c>
      <c r="B173" s="5">
        <v>12</v>
      </c>
      <c r="C173" s="9" t="s">
        <v>197</v>
      </c>
      <c r="D173" s="9" t="s">
        <v>12</v>
      </c>
      <c r="E173" s="5">
        <v>11</v>
      </c>
      <c r="F173" s="7">
        <f>LOOKUP(E173,{0,-1.8,-0.8,0.2,1.2,2.2,3.2,4.6,6,7.4,8.8,10.2,11.6,13,14.4,15.8,17.2,19.1,21,22.8,24.6},{0,10,20,30,40,50,60,62,64,66,68,70,72,74,76,78,80,85,90,95,100})</f>
        <v>70</v>
      </c>
      <c r="G173" s="5">
        <v>206</v>
      </c>
      <c r="H173" s="7">
        <f>LOOKUP(G173,{0,180,185,190,195,200,205,209,213,217,221,225,229,233,237,241,245,253,260,265,270},{0,10,20,30,40,50,60,62,64,66,68,70,72,74,76,78,80,85,90,95,100})</f>
        <v>60</v>
      </c>
      <c r="I173" s="5">
        <v>8</v>
      </c>
      <c r="J173" s="7">
        <f>LOOKUP(I173,{0,4,5,6,7,8,9,10,11,12,13,14,15,16,17,18},{0,10,20,30,40,50,60,64,68,72,76,80,85,90,95,100})</f>
        <v>50</v>
      </c>
      <c r="K173" s="5"/>
      <c r="L173" s="5"/>
      <c r="M173" s="5">
        <f t="shared" si="89"/>
        <v>50</v>
      </c>
      <c r="N173" s="5">
        <v>8.3</v>
      </c>
      <c r="O173" s="10">
        <f t="shared" si="90"/>
        <v>9.7</v>
      </c>
      <c r="P173" s="7">
        <f>LOOKUP(O173,{0,7.8,8,8.2,8.4,8.6,8.8,9,9.2,9.4,9.6,9.8,10,10.2,10.4,10.6,10.8,10.9,11,11.1,11.2},{0,10,20,30,40,50,60,62,64,66,68,70,72,74,76,78,80,85,90,95,100})</f>
        <v>68</v>
      </c>
      <c r="Q173" s="5">
        <v>4.05</v>
      </c>
      <c r="R173" s="10">
        <f t="shared" si="91"/>
        <v>5.95</v>
      </c>
      <c r="S173" s="7">
        <f>LOOKUP(R173,{0,3.85,4.45,4.65,4.85,5.45,5.65,5.7,5.75,5.8,5.85,5.9,5.95,6,6.45,6.5,6.55,6.63,6.7,6.75,6.8},{0,10,20,30,40,50,60,62,64,66,68,70,72,74,76,78,80,85,90,95,100})</f>
        <v>72</v>
      </c>
      <c r="T173" s="5"/>
      <c r="U173" s="5"/>
      <c r="V173" s="5">
        <f t="shared" si="92"/>
        <v>72</v>
      </c>
      <c r="W173" s="5"/>
      <c r="X173" s="13">
        <f t="shared" si="93"/>
        <v>46</v>
      </c>
      <c r="Y173" s="13">
        <f t="shared" si="94"/>
        <v>65.7142857142857</v>
      </c>
    </row>
    <row r="174" ht="15.6" hidden="1" outlineLevel="2" spans="1:25">
      <c r="A174" s="5">
        <v>305</v>
      </c>
      <c r="B174" s="5">
        <v>13</v>
      </c>
      <c r="C174" s="9" t="s">
        <v>198</v>
      </c>
      <c r="D174" s="9" t="s">
        <v>12</v>
      </c>
      <c r="E174" s="5">
        <v>16</v>
      </c>
      <c r="F174" s="7">
        <f>LOOKUP(E174,{0,-1.8,-0.8,0.2,1.2,2.2,3.2,4.6,6,7.4,8.8,10.2,11.6,13,14.4,15.8,17.2,19.1,21,22.8,24.6},{0,10,20,30,40,50,60,62,64,66,68,70,72,74,76,78,80,85,90,95,100})</f>
        <v>78</v>
      </c>
      <c r="G174" s="5">
        <v>227</v>
      </c>
      <c r="H174" s="7">
        <f>LOOKUP(G174,{0,180,185,190,195,200,205,209,213,217,221,225,229,233,237,241,245,253,260,265,270},{0,10,20,30,40,50,60,62,64,66,68,70,72,74,76,78,80,85,90,95,100})</f>
        <v>70</v>
      </c>
      <c r="I174" s="5">
        <v>8</v>
      </c>
      <c r="J174" s="7">
        <f>LOOKUP(I174,{0,4,5,6,7,8,9,10,11,12,13,14,15,16,17,18},{0,10,20,30,40,50,60,64,68,72,76,80,85,90,95,100})</f>
        <v>50</v>
      </c>
      <c r="K174" s="5"/>
      <c r="L174" s="5"/>
      <c r="M174" s="5">
        <f t="shared" si="89"/>
        <v>50</v>
      </c>
      <c r="N174" s="5">
        <v>8.2</v>
      </c>
      <c r="O174" s="10">
        <f t="shared" si="90"/>
        <v>9.8</v>
      </c>
      <c r="P174" s="7">
        <f>LOOKUP(O174,{0,7.8,8,8.2,8.4,8.6,8.8,9,9.2,9.4,9.6,9.8,10,10.2,10.4,10.6,10.8,10.9,11,11.1,11.2},{0,10,20,30,40,50,60,62,64,66,68,70,72,74,76,78,80,85,90,95,100})</f>
        <v>70</v>
      </c>
      <c r="Q174" s="5">
        <v>4.54</v>
      </c>
      <c r="R174" s="10">
        <f t="shared" si="91"/>
        <v>5.46</v>
      </c>
      <c r="S174" s="7">
        <f>LOOKUP(R174,{0,3.85,4.45,4.65,4.85,5.45,5.65,5.7,5.75,5.8,5.85,5.9,5.95,6,6.45,6.5,6.55,6.63,6.7,6.75,6.8},{0,10,20,30,40,50,60,62,64,66,68,70,72,74,76,78,80,85,90,95,100})</f>
        <v>50</v>
      </c>
      <c r="T174" s="5"/>
      <c r="U174" s="5"/>
      <c r="V174" s="5">
        <f t="shared" si="92"/>
        <v>50</v>
      </c>
      <c r="W174" s="5"/>
      <c r="X174" s="13">
        <f t="shared" si="93"/>
        <v>43.8</v>
      </c>
      <c r="Y174" s="13">
        <f t="shared" si="94"/>
        <v>62.5714285714286</v>
      </c>
    </row>
    <row r="175" ht="15.6" hidden="1" outlineLevel="2" spans="1:25">
      <c r="A175" s="5">
        <v>305</v>
      </c>
      <c r="B175" s="5">
        <v>14</v>
      </c>
      <c r="C175" s="9" t="s">
        <v>199</v>
      </c>
      <c r="D175" s="9" t="s">
        <v>12</v>
      </c>
      <c r="E175" s="5">
        <v>9</v>
      </c>
      <c r="F175" s="7">
        <f>LOOKUP(E175,{0,-1.8,-0.8,0.2,1.2,2.2,3.2,4.6,6,7.4,8.8,10.2,11.6,13,14.4,15.8,17.2,19.1,21,22.8,24.6},{0,10,20,30,40,50,60,62,64,66,68,70,72,74,76,78,80,85,90,95,100})</f>
        <v>68</v>
      </c>
      <c r="G175" s="5">
        <v>225</v>
      </c>
      <c r="H175" s="7">
        <f>LOOKUP(G175,{0,180,185,190,195,200,205,209,213,217,221,225,229,233,237,241,245,253,260,265,270},{0,10,20,30,40,50,60,62,64,66,68,70,72,74,76,78,80,85,90,95,100})</f>
        <v>70</v>
      </c>
      <c r="I175" s="5">
        <v>2</v>
      </c>
      <c r="J175" s="7">
        <f>LOOKUP(I175,{0,4,5,6,7,8,9,10,11,12,13,14,15,16,17,18},{0,10,20,30,40,50,60,64,68,72,76,80,85,90,95,100})</f>
        <v>0</v>
      </c>
      <c r="K175" s="5"/>
      <c r="L175" s="5"/>
      <c r="M175" s="5">
        <f t="shared" si="89"/>
        <v>0</v>
      </c>
      <c r="N175" s="5">
        <v>9.1</v>
      </c>
      <c r="O175" s="10">
        <f t="shared" si="90"/>
        <v>8.9</v>
      </c>
      <c r="P175" s="7">
        <f>LOOKUP(O175,{0,7.8,8,8.2,8.4,8.6,8.8,9,9.2,9.4,9.6,9.8,10,10.2,10.4,10.6,10.8,10.9,11,11.1,11.2},{0,10,20,30,40,50,60,62,64,66,68,70,72,74,76,78,80,85,90,95,100})</f>
        <v>60</v>
      </c>
      <c r="Q175" s="5">
        <v>5.01</v>
      </c>
      <c r="R175" s="10">
        <f t="shared" si="91"/>
        <v>4.99</v>
      </c>
      <c r="S175" s="7">
        <f>LOOKUP(R175,{0,3.85,4.45,4.65,4.85,5.45,5.65,5.7,5.75,5.8,5.85,5.9,5.95,6,6.45,6.5,6.55,6.63,6.7,6.75,6.8},{0,10,20,30,40,50,60,62,64,66,68,70,72,74,76,78,80,85,90,95,100})</f>
        <v>40</v>
      </c>
      <c r="T175" s="5"/>
      <c r="U175" s="5"/>
      <c r="V175" s="5">
        <f t="shared" si="92"/>
        <v>40</v>
      </c>
      <c r="W175" s="5"/>
      <c r="X175" s="13">
        <f t="shared" si="93"/>
        <v>33.8</v>
      </c>
      <c r="Y175" s="13">
        <f t="shared" si="94"/>
        <v>48.2857142857143</v>
      </c>
    </row>
    <row r="176" ht="15.6" hidden="1" outlineLevel="2" spans="1:25">
      <c r="A176" s="5">
        <v>305</v>
      </c>
      <c r="B176" s="5">
        <v>15</v>
      </c>
      <c r="C176" s="9" t="s">
        <v>200</v>
      </c>
      <c r="D176" s="9" t="s">
        <v>12</v>
      </c>
      <c r="E176" s="5">
        <v>6</v>
      </c>
      <c r="F176" s="7">
        <f>LOOKUP(E176,{0,-1.8,-0.8,0.2,1.2,2.2,3.2,4.6,6,7.4,8.8,10.2,11.6,13,14.4,15.8,17.2,19.1,21,22.8,24.6},{0,10,20,30,40,50,60,62,64,66,68,70,72,74,76,78,80,85,90,95,100})</f>
        <v>64</v>
      </c>
      <c r="G176" s="5">
        <v>228</v>
      </c>
      <c r="H176" s="7">
        <f>LOOKUP(G176,{0,180,185,190,195,200,205,209,213,217,221,225,229,233,237,241,245,253,260,265,270},{0,10,20,30,40,50,60,62,64,66,68,70,72,74,76,78,80,85,90,95,100})</f>
        <v>70</v>
      </c>
      <c r="I176" s="5">
        <v>22</v>
      </c>
      <c r="J176" s="7">
        <f>LOOKUP(I176,{0,4,5,6,7,8,9,10,11,12,13,14,15,16,17,18},{0,10,20,30,40,50,60,64,68,72,76,80,85,90,95,100})</f>
        <v>100</v>
      </c>
      <c r="K176" s="5">
        <f>I176-18</f>
        <v>4</v>
      </c>
      <c r="L176" s="7">
        <f>LOOKUP(K176,{0,1,2,3,4,5,6,7,8,9,10},{0,1,2,3,4,5,6,7,8,9,10})</f>
        <v>4</v>
      </c>
      <c r="M176" s="5">
        <f t="shared" si="89"/>
        <v>104</v>
      </c>
      <c r="N176" s="5">
        <v>7.7</v>
      </c>
      <c r="O176" s="10">
        <f t="shared" si="90"/>
        <v>10.3</v>
      </c>
      <c r="P176" s="7">
        <f>LOOKUP(O176,{0,7.8,8,8.2,8.4,8.6,8.8,9,9.2,9.4,9.6,9.8,10,10.2,10.4,10.6,10.8,10.9,11,11.1,11.2},{0,10,20,30,40,50,60,62,64,66,68,70,72,74,76,78,80,85,90,95,100})</f>
        <v>74</v>
      </c>
      <c r="Q176" s="5">
        <v>4.26</v>
      </c>
      <c r="R176" s="10">
        <f t="shared" si="91"/>
        <v>5.74</v>
      </c>
      <c r="S176" s="7">
        <f>LOOKUP(R176,{0,3.85,4.45,4.65,4.85,5.45,5.65,5.7,5.75,5.8,5.85,5.9,5.95,6,6.45,6.5,6.55,6.63,6.7,6.75,6.8},{0,10,20,30,40,50,60,62,64,66,68,70,72,74,76,78,80,85,90,95,100})</f>
        <v>62</v>
      </c>
      <c r="T176" s="5"/>
      <c r="U176" s="5"/>
      <c r="V176" s="5">
        <f t="shared" si="92"/>
        <v>62</v>
      </c>
      <c r="W176" s="5"/>
      <c r="X176" s="13">
        <f t="shared" si="93"/>
        <v>50.6</v>
      </c>
      <c r="Y176" s="13">
        <f t="shared" si="94"/>
        <v>76.2857142857143</v>
      </c>
    </row>
    <row r="177" ht="15.6" hidden="1" outlineLevel="2" spans="1:25">
      <c r="A177" s="5">
        <v>305</v>
      </c>
      <c r="B177" s="5">
        <v>16</v>
      </c>
      <c r="C177" s="9" t="s">
        <v>201</v>
      </c>
      <c r="D177" s="9" t="s">
        <v>12</v>
      </c>
      <c r="E177" s="5">
        <v>8.6</v>
      </c>
      <c r="F177" s="7">
        <f>LOOKUP(E177,{0,-1.8,-0.8,0.2,1.2,2.2,3.2,4.6,6,7.4,8.8,10.2,11.6,13,14.4,15.8,17.2,19.1,21,22.8,24.6},{0,10,20,30,40,50,60,62,64,66,68,70,72,74,76,78,80,85,90,95,100})</f>
        <v>66</v>
      </c>
      <c r="G177" s="5">
        <v>250</v>
      </c>
      <c r="H177" s="7">
        <f>LOOKUP(G177,{0,180,185,190,195,200,205,209,213,217,221,225,229,233,237,241,245,253,260,265,270},{0,10,20,30,40,50,60,62,64,66,68,70,72,74,76,78,80,85,90,95,100})</f>
        <v>80</v>
      </c>
      <c r="I177" s="5">
        <v>4</v>
      </c>
      <c r="J177" s="7">
        <f>LOOKUP(I177,{0,4,5,6,7,8,9,10,11,12,13,14,15,16,17,18},{0,10,20,30,40,50,60,64,68,72,76,80,85,90,95,100})</f>
        <v>10</v>
      </c>
      <c r="K177" s="5"/>
      <c r="L177" s="5"/>
      <c r="M177" s="5">
        <f t="shared" si="89"/>
        <v>10</v>
      </c>
      <c r="N177" s="5">
        <v>7.2</v>
      </c>
      <c r="O177" s="10">
        <f t="shared" si="90"/>
        <v>10.8</v>
      </c>
      <c r="P177" s="7">
        <f>LOOKUP(O177,{0,7.8,8,8.2,8.4,8.6,8.8,9,9.2,9.4,9.6,9.8,10,10.2,10.4,10.6,10.8,10.9,11,11.1,11.2},{0,10,20,30,40,50,60,62,64,66,68,70,72,74,76,78,80,85,90,95,100})</f>
        <v>80</v>
      </c>
      <c r="Q177" s="5">
        <v>4.53</v>
      </c>
      <c r="R177" s="10">
        <f t="shared" si="91"/>
        <v>5.47</v>
      </c>
      <c r="S177" s="7">
        <f>LOOKUP(R177,{0,3.85,4.45,4.65,4.85,5.45,5.65,5.7,5.75,5.8,5.85,5.9,5.95,6,6.45,6.5,6.55,6.63,6.7,6.75,6.8},{0,10,20,30,40,50,60,62,64,66,68,70,72,74,76,78,80,85,90,95,100})</f>
        <v>50</v>
      </c>
      <c r="T177" s="5"/>
      <c r="U177" s="5"/>
      <c r="V177" s="5">
        <f t="shared" si="92"/>
        <v>50</v>
      </c>
      <c r="W177" s="5"/>
      <c r="X177" s="13">
        <f t="shared" si="93"/>
        <v>41.6</v>
      </c>
      <c r="Y177" s="13">
        <f t="shared" si="94"/>
        <v>59.4285714285714</v>
      </c>
    </row>
    <row r="178" ht="15.6" hidden="1" outlineLevel="2" spans="1:25">
      <c r="A178" s="5">
        <v>305</v>
      </c>
      <c r="B178" s="5">
        <v>17</v>
      </c>
      <c r="C178" s="9" t="s">
        <v>202</v>
      </c>
      <c r="D178" s="9" t="s">
        <v>12</v>
      </c>
      <c r="E178" s="5">
        <v>5.5</v>
      </c>
      <c r="F178" s="7">
        <f>LOOKUP(E178,{0,-1.8,-0.8,0.2,1.2,2.2,3.2,4.6,6,7.4,8.8,10.2,11.6,13,14.4,15.8,17.2,19.1,21,22.8,24.6},{0,10,20,30,40,50,60,62,64,66,68,70,72,74,76,78,80,85,90,95,100})</f>
        <v>62</v>
      </c>
      <c r="G178" s="5">
        <v>219</v>
      </c>
      <c r="H178" s="7">
        <f>LOOKUP(G178,{0,180,185,190,195,200,205,209,213,217,221,225,229,233,237,241,245,253,260,265,270},{0,10,20,30,40,50,60,62,64,66,68,70,72,74,76,78,80,85,90,95,100})</f>
        <v>66</v>
      </c>
      <c r="I178" s="5">
        <v>7</v>
      </c>
      <c r="J178" s="7">
        <f>LOOKUP(I178,{0,4,5,6,7,8,9,10,11,12,13,14,15,16,17,18},{0,10,20,30,40,50,60,64,68,72,76,80,85,90,95,100})</f>
        <v>40</v>
      </c>
      <c r="K178" s="5"/>
      <c r="L178" s="5"/>
      <c r="M178" s="5">
        <f t="shared" si="89"/>
        <v>40</v>
      </c>
      <c r="N178" s="5">
        <v>7.6</v>
      </c>
      <c r="O178" s="10">
        <f t="shared" si="90"/>
        <v>10.4</v>
      </c>
      <c r="P178" s="7">
        <f>LOOKUP(O178,{0,7.8,8,8.2,8.4,8.6,8.8,9,9.2,9.4,9.6,9.8,10,10.2,10.4,10.6,10.8,10.9,11,11.1,11.2},{0,10,20,30,40,50,60,62,64,66,68,70,72,74,76,78,80,85,90,95,100})</f>
        <v>76</v>
      </c>
      <c r="Q178" s="5">
        <v>4.16</v>
      </c>
      <c r="R178" s="10">
        <f t="shared" si="91"/>
        <v>5.84</v>
      </c>
      <c r="S178" s="7">
        <f>LOOKUP(R178,{0,3.85,4.45,4.65,4.85,5.45,5.65,5.7,5.75,5.8,5.85,5.9,5.95,6,6.45,6.5,6.55,6.63,6.7,6.75,6.8},{0,10,20,30,40,50,60,62,64,66,68,70,72,74,76,78,80,85,90,95,100})</f>
        <v>66</v>
      </c>
      <c r="T178" s="5"/>
      <c r="U178" s="5"/>
      <c r="V178" s="5">
        <f t="shared" si="92"/>
        <v>66</v>
      </c>
      <c r="W178" s="5"/>
      <c r="X178" s="13">
        <f t="shared" si="93"/>
        <v>45.2</v>
      </c>
      <c r="Y178" s="13">
        <f t="shared" si="94"/>
        <v>64.5714285714286</v>
      </c>
    </row>
    <row r="179" ht="15.6" hidden="1" outlineLevel="2" spans="1:25">
      <c r="A179" s="5">
        <v>305</v>
      </c>
      <c r="B179" s="5">
        <v>18</v>
      </c>
      <c r="C179" s="9" t="s">
        <v>203</v>
      </c>
      <c r="D179" s="9" t="s">
        <v>12</v>
      </c>
      <c r="E179" s="5">
        <v>11</v>
      </c>
      <c r="F179" s="7">
        <f>LOOKUP(E179,{0,-1.8,-0.8,0.2,1.2,2.2,3.2,4.6,6,7.4,8.8,10.2,11.6,13,14.4,15.8,17.2,19.1,21,22.8,24.6},{0,10,20,30,40,50,60,62,64,66,68,70,72,74,76,78,80,85,90,95,100})</f>
        <v>70</v>
      </c>
      <c r="G179" s="5">
        <v>251</v>
      </c>
      <c r="H179" s="7">
        <f>LOOKUP(G179,{0,180,185,190,195,200,205,209,213,217,221,225,229,233,237,241,245,253,260,265,270},{0,10,20,30,40,50,60,62,64,66,68,70,72,74,76,78,80,85,90,95,100})</f>
        <v>80</v>
      </c>
      <c r="I179" s="5">
        <v>4</v>
      </c>
      <c r="J179" s="7">
        <f>LOOKUP(I179,{0,4,5,6,7,8,9,10,11,12,13,14,15,16,17,18},{0,10,20,30,40,50,60,64,68,72,76,80,85,90,95,100})</f>
        <v>10</v>
      </c>
      <c r="K179" s="5"/>
      <c r="L179" s="5"/>
      <c r="M179" s="5">
        <f t="shared" si="89"/>
        <v>10</v>
      </c>
      <c r="N179" s="5">
        <v>8.6</v>
      </c>
      <c r="O179" s="10">
        <f t="shared" si="90"/>
        <v>9.4</v>
      </c>
      <c r="P179" s="7">
        <f>LOOKUP(O179,{0,7.8,8,8.2,8.4,8.6,8.8,9,9.2,9.4,9.6,9.8,10,10.2,10.4,10.6,10.8,10.9,11,11.1,11.2},{0,10,20,30,40,50,60,62,64,66,68,70,72,74,76,78,80,85,90,95,100})</f>
        <v>66</v>
      </c>
      <c r="Q179" s="5">
        <v>5.01</v>
      </c>
      <c r="R179" s="10">
        <f t="shared" si="91"/>
        <v>4.99</v>
      </c>
      <c r="S179" s="7">
        <f>LOOKUP(R179,{0,3.85,4.45,4.65,4.85,5.45,5.65,5.7,5.75,5.8,5.85,5.9,5.95,6,6.45,6.5,6.55,6.63,6.7,6.75,6.8},{0,10,20,30,40,50,60,62,64,66,68,70,72,74,76,78,80,85,90,95,100})</f>
        <v>40</v>
      </c>
      <c r="T179" s="5"/>
      <c r="U179" s="5"/>
      <c r="V179" s="5">
        <f t="shared" si="92"/>
        <v>40</v>
      </c>
      <c r="W179" s="5"/>
      <c r="X179" s="13">
        <f t="shared" si="93"/>
        <v>37.2</v>
      </c>
      <c r="Y179" s="13">
        <f t="shared" si="94"/>
        <v>53.1428571428572</v>
      </c>
    </row>
    <row r="180" ht="15.6" hidden="1" outlineLevel="2" spans="1:25">
      <c r="A180" s="5">
        <v>305</v>
      </c>
      <c r="B180" s="5">
        <v>19</v>
      </c>
      <c r="C180" s="9" t="s">
        <v>204</v>
      </c>
      <c r="D180" s="9" t="s">
        <v>12</v>
      </c>
      <c r="E180" s="5">
        <v>11.5</v>
      </c>
      <c r="F180" s="7">
        <f>LOOKUP(E180,{0,-1.8,-0.8,0.2,1.2,2.2,3.2,4.6,6,7.4,8.8,10.2,11.6,13,14.4,15.8,17.2,19.1,21,22.8,24.6},{0,10,20,30,40,50,60,62,64,66,68,70,72,74,76,78,80,85,90,95,100})</f>
        <v>70</v>
      </c>
      <c r="G180" s="5">
        <v>270</v>
      </c>
      <c r="H180" s="7">
        <f>LOOKUP(G180,{0,180,185,190,195,200,205,209,213,217,221,225,229,233,237,241,245,253,260,265,270},{0,10,20,30,40,50,60,62,64,66,68,70,72,74,76,78,80,85,90,95,100})</f>
        <v>100</v>
      </c>
      <c r="I180" s="5">
        <v>10</v>
      </c>
      <c r="J180" s="7">
        <f>LOOKUP(I180,{0,4,5,6,7,8,9,10,11,12,13,14,15,16,17,18},{0,10,20,30,40,50,60,64,68,72,76,80,85,90,95,100})</f>
        <v>64</v>
      </c>
      <c r="K180" s="5"/>
      <c r="L180" s="5"/>
      <c r="M180" s="5">
        <f t="shared" si="89"/>
        <v>64</v>
      </c>
      <c r="N180" s="5">
        <v>7.7</v>
      </c>
      <c r="O180" s="10">
        <f t="shared" si="90"/>
        <v>10.3</v>
      </c>
      <c r="P180" s="7">
        <f>LOOKUP(O180,{0,7.8,8,8.2,8.4,8.6,8.8,9,9.2,9.4,9.6,9.8,10,10.2,10.4,10.6,10.8,10.9,11,11.1,11.2},{0,10,20,30,40,50,60,62,64,66,68,70,72,74,76,78,80,85,90,95,100})</f>
        <v>74</v>
      </c>
      <c r="Q180" s="5">
        <v>5.01</v>
      </c>
      <c r="R180" s="10">
        <f t="shared" si="91"/>
        <v>4.99</v>
      </c>
      <c r="S180" s="7">
        <f>LOOKUP(R180,{0,3.85,4.45,4.65,4.85,5.45,5.65,5.7,5.75,5.8,5.85,5.9,5.95,6,6.45,6.5,6.55,6.63,6.7,6.75,6.8},{0,10,20,30,40,50,60,62,64,66,68,70,72,74,76,78,80,85,90,95,100})</f>
        <v>40</v>
      </c>
      <c r="T180" s="5"/>
      <c r="U180" s="5"/>
      <c r="V180" s="5">
        <f t="shared" si="92"/>
        <v>40</v>
      </c>
      <c r="W180" s="5"/>
      <c r="X180" s="13">
        <f t="shared" si="93"/>
        <v>46.2</v>
      </c>
      <c r="Y180" s="13">
        <f t="shared" si="94"/>
        <v>66</v>
      </c>
    </row>
    <row r="181" ht="15.6" hidden="1" outlineLevel="2" spans="1:25">
      <c r="A181" s="5">
        <v>305</v>
      </c>
      <c r="B181" s="5">
        <v>20</v>
      </c>
      <c r="C181" s="9" t="s">
        <v>205</v>
      </c>
      <c r="D181" s="9" t="s">
        <v>12</v>
      </c>
      <c r="E181" s="5">
        <v>14.1</v>
      </c>
      <c r="F181" s="7">
        <f>LOOKUP(E181,{0,-1.8,-0.8,0.2,1.2,2.2,3.2,4.6,6,7.4,8.8,10.2,11.6,13,14.4,15.8,17.2,19.1,21,22.8,24.6},{0,10,20,30,40,50,60,62,64,66,68,70,72,74,76,78,80,85,90,95,100})</f>
        <v>74</v>
      </c>
      <c r="G181" s="5">
        <v>222</v>
      </c>
      <c r="H181" s="7">
        <f>LOOKUP(G181,{0,180,185,190,195,200,205,209,213,217,221,225,229,233,237,241,245,253,260,265,270},{0,10,20,30,40,50,60,62,64,66,68,70,72,74,76,78,80,85,90,95,100})</f>
        <v>68</v>
      </c>
      <c r="I181" s="5">
        <v>20</v>
      </c>
      <c r="J181" s="7">
        <f>LOOKUP(I181,{0,4,5,6,7,8,9,10,11,12,13,14,15,16,17,18},{0,10,20,30,40,50,60,64,68,72,76,80,85,90,95,100})</f>
        <v>100</v>
      </c>
      <c r="K181" s="5">
        <f>I181-18</f>
        <v>2</v>
      </c>
      <c r="L181" s="7">
        <f>LOOKUP(K181,{0,1,2,3,4,5,6,7,8,9,10},{0,1,2,3,4,5,6,7,8,9,10})</f>
        <v>2</v>
      </c>
      <c r="M181" s="5">
        <f t="shared" si="89"/>
        <v>102</v>
      </c>
      <c r="N181" s="5">
        <v>7.7</v>
      </c>
      <c r="O181" s="10">
        <f t="shared" si="90"/>
        <v>10.3</v>
      </c>
      <c r="P181" s="7">
        <f>LOOKUP(O181,{0,7.8,8,8.2,8.4,8.6,8.8,9,9.2,9.4,9.6,9.8,10,10.2,10.4,10.6,10.8,10.9,11,11.1,11.2},{0,10,20,30,40,50,60,62,64,66,68,70,72,74,76,78,80,85,90,95,100})</f>
        <v>74</v>
      </c>
      <c r="Q181" s="5">
        <v>3.53</v>
      </c>
      <c r="R181" s="10">
        <f t="shared" si="91"/>
        <v>6.47</v>
      </c>
      <c r="S181" s="7">
        <f>LOOKUP(R181,{0,3.85,4.45,4.65,4.85,5.45,5.65,5.7,5.75,5.8,5.85,5.9,5.95,6,6.45,6.5,6.55,6.63,6.7,6.75,6.8},{0,10,20,30,40,50,60,62,64,66,68,70,72,74,76,78,80,85,90,95,100})</f>
        <v>76</v>
      </c>
      <c r="T181" s="5"/>
      <c r="U181" s="5"/>
      <c r="V181" s="5">
        <f t="shared" si="92"/>
        <v>76</v>
      </c>
      <c r="W181" s="5"/>
      <c r="X181" s="13">
        <f t="shared" si="93"/>
        <v>54.2</v>
      </c>
      <c r="Y181" s="13">
        <f t="shared" si="94"/>
        <v>79.4285714285714</v>
      </c>
    </row>
    <row r="182" ht="15.6" hidden="1" outlineLevel="2" spans="1:25">
      <c r="A182" s="5">
        <v>305</v>
      </c>
      <c r="B182" s="5">
        <v>21</v>
      </c>
      <c r="C182" s="8" t="s">
        <v>207</v>
      </c>
      <c r="D182" s="9" t="s">
        <v>12</v>
      </c>
      <c r="E182" s="5">
        <v>22</v>
      </c>
      <c r="F182" s="7">
        <f>LOOKUP(E182,{0,-1.8,-0.8,0.2,1.2,2.2,3.2,4.6,6,7.4,8.8,10.2,11.6,13,14.4,15.8,17.2,19.1,21,22.8,24.6},{0,10,20,30,40,50,60,62,64,66,68,70,72,74,76,78,80,85,90,95,100})</f>
        <v>90</v>
      </c>
      <c r="G182" s="5">
        <v>240</v>
      </c>
      <c r="H182" s="7">
        <f>LOOKUP(G182,{0,180,185,190,195,200,205,209,213,217,221,225,229,233,237,241,245,253,260,265,270},{0,10,20,30,40,50,60,62,64,66,68,70,72,74,76,78,80,85,90,95,100})</f>
        <v>76</v>
      </c>
      <c r="I182" s="5">
        <v>3</v>
      </c>
      <c r="J182" s="7">
        <f>LOOKUP(I182,{0,4,5,6,7,8,9,10,11,12,13,14,15,16,17,18},{0,10,20,30,40,50,60,64,68,72,76,80,85,90,95,100})</f>
        <v>0</v>
      </c>
      <c r="K182" s="5"/>
      <c r="L182" s="5"/>
      <c r="M182" s="5">
        <f t="shared" si="89"/>
        <v>0</v>
      </c>
      <c r="N182" s="5">
        <v>7.5</v>
      </c>
      <c r="O182" s="10">
        <f t="shared" si="90"/>
        <v>10.5</v>
      </c>
      <c r="P182" s="7">
        <f>LOOKUP(O182,{0,7.8,8,8.2,8.4,8.6,8.8,9,9.2,9.4,9.6,9.8,10,10.2,10.4,10.6,10.8,10.9,11,11.1,11.2},{0,10,20,30,40,50,60,62,64,66,68,70,72,74,76,78,80,85,90,95,100})</f>
        <v>76</v>
      </c>
      <c r="Q182" s="5">
        <v>4.34</v>
      </c>
      <c r="R182" s="10">
        <f t="shared" si="91"/>
        <v>5.66</v>
      </c>
      <c r="S182" s="7">
        <f>LOOKUP(R182,{0,3.85,4.45,4.65,4.85,5.45,5.65,5.7,5.75,5.8,5.85,5.9,5.95,6,6.45,6.5,6.55,6.63,6.7,6.75,6.8},{0,10,20,30,40,50,60,62,64,66,68,70,72,74,76,78,80,85,90,95,100})</f>
        <v>60</v>
      </c>
      <c r="T182" s="5"/>
      <c r="U182" s="5"/>
      <c r="V182" s="5">
        <f t="shared" si="92"/>
        <v>60</v>
      </c>
      <c r="W182" s="5"/>
      <c r="X182" s="13">
        <f t="shared" si="93"/>
        <v>43.8</v>
      </c>
      <c r="Y182" s="13">
        <f t="shared" si="94"/>
        <v>62.5714285714286</v>
      </c>
    </row>
    <row r="183" ht="15.6" hidden="1" outlineLevel="2" spans="1:25">
      <c r="A183" s="5">
        <v>305</v>
      </c>
      <c r="B183" s="5">
        <v>22</v>
      </c>
      <c r="C183" s="9" t="s">
        <v>208</v>
      </c>
      <c r="D183" s="9" t="s">
        <v>12</v>
      </c>
      <c r="E183" s="5">
        <v>25.5</v>
      </c>
      <c r="F183" s="7">
        <f>LOOKUP(E183,{0,-1.8,-0.8,0.2,1.2,2.2,3.2,4.6,6,7.4,8.8,10.2,11.6,13,14.4,15.8,17.2,19.1,21,22.8,24.6},{0,10,20,30,40,50,60,62,64,66,68,70,72,74,76,78,80,85,90,95,100})</f>
        <v>100</v>
      </c>
      <c r="G183" s="5">
        <v>280</v>
      </c>
      <c r="H183" s="7">
        <f>LOOKUP(G183,{0,180,185,190,195,200,205,209,213,217,221,225,229,233,237,241,245,253,260,265,270},{0,10,20,30,40,50,60,62,64,66,68,70,72,74,76,78,80,85,90,95,100})</f>
        <v>100</v>
      </c>
      <c r="I183" s="5">
        <v>8</v>
      </c>
      <c r="J183" s="7">
        <f>LOOKUP(I183,{0,4,5,6,7,8,9,10,11,12,13,14,15,16,17,18},{0,10,20,30,40,50,60,64,68,72,76,80,85,90,95,100})</f>
        <v>50</v>
      </c>
      <c r="K183" s="5"/>
      <c r="L183" s="5"/>
      <c r="M183" s="5">
        <f t="shared" si="89"/>
        <v>50</v>
      </c>
      <c r="N183" s="5">
        <v>6.8</v>
      </c>
      <c r="O183" s="10">
        <f t="shared" si="90"/>
        <v>11.2</v>
      </c>
      <c r="P183" s="7">
        <f>LOOKUP(O183,{0,7.8,8,8.2,8.4,8.6,8.8,9,9.2,9.4,9.6,9.8,10,10.2,10.4,10.6,10.8,10.9,11,11.1,11.2},{0,10,20,30,40,50,60,62,64,66,68,70,72,74,76,78,80,85,90,95,100})</f>
        <v>100</v>
      </c>
      <c r="Q183" s="5">
        <v>6.48</v>
      </c>
      <c r="R183" s="10">
        <f t="shared" si="91"/>
        <v>3.52</v>
      </c>
      <c r="S183" s="7">
        <f>LOOKUP(R183,{0,3.85,4.45,4.65,4.85,5.45,5.65,5.7,5.75,5.8,5.85,5.9,5.95,6,6.45,6.5,6.55,6.63,6.7,6.75,6.8},{0,10,20,30,40,50,60,62,64,66,68,70,72,74,76,78,80,85,90,95,100})</f>
        <v>0</v>
      </c>
      <c r="T183" s="5"/>
      <c r="U183" s="5"/>
      <c r="V183" s="5">
        <f t="shared" si="92"/>
        <v>0</v>
      </c>
      <c r="W183" s="5"/>
      <c r="X183" s="13">
        <f t="shared" si="93"/>
        <v>45</v>
      </c>
      <c r="Y183" s="13">
        <f t="shared" si="94"/>
        <v>64.2857142857143</v>
      </c>
    </row>
    <row r="184" ht="15.6" hidden="1" outlineLevel="2" spans="1:25">
      <c r="A184" s="5">
        <v>305</v>
      </c>
      <c r="B184" s="5">
        <v>23</v>
      </c>
      <c r="C184" s="9" t="s">
        <v>209</v>
      </c>
      <c r="D184" s="9" t="s">
        <v>12</v>
      </c>
      <c r="E184" s="5">
        <v>-2</v>
      </c>
      <c r="F184" s="7">
        <v>0</v>
      </c>
      <c r="G184" s="5">
        <v>220</v>
      </c>
      <c r="H184" s="7">
        <f>LOOKUP(G184,{0,180,185,190,195,200,205,209,213,217,221,225,229,233,237,241,245,253,260,265,270},{0,10,20,30,40,50,60,62,64,66,68,70,72,74,76,78,80,85,90,95,100})</f>
        <v>66</v>
      </c>
      <c r="I184" s="5">
        <v>2</v>
      </c>
      <c r="J184" s="7">
        <f>LOOKUP(I184,{0,4,5,6,7,8,9,10,11,12,13,14,15,16,17,18},{0,10,20,30,40,50,60,64,68,72,76,80,85,90,95,100})</f>
        <v>0</v>
      </c>
      <c r="K184" s="5"/>
      <c r="L184" s="5"/>
      <c r="M184" s="5">
        <f t="shared" si="89"/>
        <v>0</v>
      </c>
      <c r="N184" s="5">
        <v>6.9</v>
      </c>
      <c r="O184" s="10">
        <f t="shared" si="90"/>
        <v>11.1</v>
      </c>
      <c r="P184" s="7">
        <f>LOOKUP(O184,{0,7.8,8,8.2,8.4,8.6,8.8,9,9.2,9.4,9.6,9.8,10,10.2,10.4,10.6,10.8,10.9,11,11.1,11.2},{0,10,20,30,40,50,60,62,64,66,68,70,72,74,76,78,80,85,90,95,100})</f>
        <v>95</v>
      </c>
      <c r="Q184" s="5">
        <v>6</v>
      </c>
      <c r="R184" s="10">
        <f t="shared" si="91"/>
        <v>4</v>
      </c>
      <c r="S184" s="7">
        <f>LOOKUP(R184,{0,3.85,4.45,4.65,4.85,5.45,5.65,5.7,5.75,5.8,5.85,5.9,5.95,6,6.45,6.5,6.55,6.63,6.7,6.75,6.8},{0,10,20,30,40,50,60,62,64,66,68,70,72,74,76,78,80,85,90,95,100})</f>
        <v>10</v>
      </c>
      <c r="T184" s="5"/>
      <c r="U184" s="5"/>
      <c r="V184" s="5">
        <f t="shared" si="92"/>
        <v>10</v>
      </c>
      <c r="W184" s="5"/>
      <c r="X184" s="13">
        <f t="shared" si="93"/>
        <v>27.6</v>
      </c>
      <c r="Y184" s="13">
        <f t="shared" si="94"/>
        <v>39.4285714285714</v>
      </c>
    </row>
    <row r="185" ht="15.6" hidden="1" outlineLevel="2" spans="1:25">
      <c r="A185" s="5">
        <v>305</v>
      </c>
      <c r="B185" s="5">
        <v>24</v>
      </c>
      <c r="C185" s="9" t="s">
        <v>210</v>
      </c>
      <c r="D185" s="9" t="s">
        <v>12</v>
      </c>
      <c r="E185" s="5">
        <v>10</v>
      </c>
      <c r="F185" s="7">
        <f>LOOKUP(E185,{0,-1.8,-0.8,0.2,1.2,2.2,3.2,4.6,6,7.4,8.8,10.2,11.6,13,14.4,15.8,17.2,19.1,21,22.8,24.6},{0,10,20,30,40,50,60,62,64,66,68,70,72,74,76,78,80,85,90,95,100})</f>
        <v>68</v>
      </c>
      <c r="G185" s="5">
        <v>240</v>
      </c>
      <c r="H185" s="7">
        <f>LOOKUP(G185,{0,180,185,190,195,200,205,209,213,217,221,225,229,233,237,241,245,253,260,265,270},{0,10,20,30,40,50,60,62,64,66,68,70,72,74,76,78,80,85,90,95,100})</f>
        <v>76</v>
      </c>
      <c r="I185" s="5">
        <v>2</v>
      </c>
      <c r="J185" s="7">
        <f>LOOKUP(I185,{0,4,5,6,7,8,9,10,11,12,13,14,15,16,17,18},{0,10,20,30,40,50,60,64,68,72,76,80,85,90,95,100})</f>
        <v>0</v>
      </c>
      <c r="K185" s="5"/>
      <c r="L185" s="5"/>
      <c r="M185" s="5">
        <f t="shared" si="89"/>
        <v>0</v>
      </c>
      <c r="N185" s="5">
        <v>7.4</v>
      </c>
      <c r="O185" s="10">
        <f t="shared" si="90"/>
        <v>10.6</v>
      </c>
      <c r="P185" s="7">
        <f>LOOKUP(O185,{0,7.8,8,8.2,8.4,8.6,8.8,9,9.2,9.4,9.6,9.8,10,10.2,10.4,10.6,10.8,10.9,11,11.1,11.2},{0,10,20,30,40,50,60,62,64,66,68,70,72,74,76,78,80,85,90,95,100})</f>
        <v>78</v>
      </c>
      <c r="Q185" s="5">
        <v>4.17</v>
      </c>
      <c r="R185" s="10">
        <f t="shared" si="91"/>
        <v>5.83</v>
      </c>
      <c r="S185" s="7">
        <f>LOOKUP(R185,{0,3.85,4.45,4.65,4.85,5.45,5.65,5.7,5.75,5.8,5.85,5.9,5.95,6,6.45,6.5,6.55,6.63,6.7,6.75,6.8},{0,10,20,30,40,50,60,62,64,66,68,70,72,74,76,78,80,85,90,95,100})</f>
        <v>66</v>
      </c>
      <c r="T185" s="5"/>
      <c r="U185" s="5"/>
      <c r="V185" s="5">
        <f t="shared" si="92"/>
        <v>66</v>
      </c>
      <c r="W185" s="5"/>
      <c r="X185" s="13">
        <f t="shared" si="93"/>
        <v>43.2</v>
      </c>
      <c r="Y185" s="13">
        <f t="shared" si="94"/>
        <v>61.7142857142857</v>
      </c>
    </row>
    <row r="186" ht="15.6" hidden="1" outlineLevel="2" spans="1:25">
      <c r="A186" s="5">
        <v>305</v>
      </c>
      <c r="B186" s="5">
        <v>25</v>
      </c>
      <c r="C186" s="9" t="s">
        <v>211</v>
      </c>
      <c r="D186" s="9" t="s">
        <v>12</v>
      </c>
      <c r="E186" s="5"/>
      <c r="F186" s="7"/>
      <c r="G186" s="5"/>
      <c r="H186" s="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>
        <v>50</v>
      </c>
      <c r="X186" s="13"/>
      <c r="Y186" s="13">
        <v>50</v>
      </c>
    </row>
    <row r="187" ht="15.6" hidden="1" outlineLevel="2" spans="1:25">
      <c r="A187" s="5">
        <v>305</v>
      </c>
      <c r="B187" s="5">
        <v>26</v>
      </c>
      <c r="C187" s="9" t="s">
        <v>212</v>
      </c>
      <c r="D187" s="9" t="s">
        <v>12</v>
      </c>
      <c r="E187" s="5">
        <v>14.5</v>
      </c>
      <c r="F187" s="7">
        <f>LOOKUP(E187,{0,-1.8,-0.8,0.2,1.2,2.2,3.2,4.6,6,7.4,8.8,10.2,11.6,13,14.4,15.8,17.2,19.1,21,22.8,24.6},{0,10,20,30,40,50,60,62,64,66,68,70,72,74,76,78,80,85,90,95,100})</f>
        <v>76</v>
      </c>
      <c r="G187" s="5">
        <v>230</v>
      </c>
      <c r="H187" s="7">
        <f>LOOKUP(G187,{0,180,185,190,195,200,205,209,213,217,221,225,229,233,237,241,245,253,260,265,270},{0,10,20,30,40,50,60,62,64,66,68,70,72,74,76,78,80,85,90,95,100})</f>
        <v>72</v>
      </c>
      <c r="I187" s="5">
        <v>8</v>
      </c>
      <c r="J187" s="7">
        <f>LOOKUP(I187,{0,4,5,6,7,8,9,10,11,12,13,14,15,16,17,18},{0,10,20,30,40,50,60,64,68,72,76,80,85,90,95,100})</f>
        <v>50</v>
      </c>
      <c r="K187" s="5"/>
      <c r="L187" s="5"/>
      <c r="M187" s="5">
        <f t="shared" ref="M187:M207" si="95">J187+L187</f>
        <v>50</v>
      </c>
      <c r="N187" s="5">
        <v>7.5</v>
      </c>
      <c r="O187" s="10">
        <f t="shared" ref="O187:O200" si="96">18-N187</f>
        <v>10.5</v>
      </c>
      <c r="P187" s="7">
        <f>LOOKUP(O187,{0,7.8,8,8.2,8.4,8.6,8.8,9,9.2,9.4,9.6,9.8,10,10.2,10.4,10.6,10.8,10.9,11,11.1,11.2},{0,10,20,30,40,50,60,62,64,66,68,70,72,74,76,78,80,85,90,95,100})</f>
        <v>76</v>
      </c>
      <c r="Q187" s="5">
        <v>5.17</v>
      </c>
      <c r="R187" s="10">
        <f t="shared" ref="R187:R200" si="97">10-Q187</f>
        <v>4.83</v>
      </c>
      <c r="S187" s="7">
        <f>LOOKUP(R187,{0,3.85,4.45,4.65,4.85,5.45,5.65,5.7,5.75,5.8,5.85,5.9,5.95,6,6.45,6.5,6.55,6.63,6.7,6.75,6.8},{0,10,20,30,40,50,60,62,64,66,68,70,72,74,76,78,80,85,90,95,100})</f>
        <v>30</v>
      </c>
      <c r="T187" s="5"/>
      <c r="U187" s="5"/>
      <c r="V187" s="5">
        <f t="shared" ref="V187:V200" si="98">S187+U187</f>
        <v>30</v>
      </c>
      <c r="W187" s="5"/>
      <c r="X187" s="13">
        <f t="shared" ref="X187:X207" si="99">F187*0.1+H187*0.1+J187*0.1+P187*0.2+S187*0.2</f>
        <v>41</v>
      </c>
      <c r="Y187" s="13">
        <f t="shared" ref="Y187:Y200" si="100">X187/0.7+L187+U187</f>
        <v>58.5714285714286</v>
      </c>
    </row>
    <row r="188" ht="15.6" hidden="1" outlineLevel="2" spans="1:25">
      <c r="A188" s="5">
        <v>305</v>
      </c>
      <c r="B188" s="5">
        <v>27</v>
      </c>
      <c r="C188" s="9" t="s">
        <v>213</v>
      </c>
      <c r="D188" s="9" t="s">
        <v>12</v>
      </c>
      <c r="E188" s="5">
        <v>15</v>
      </c>
      <c r="F188" s="7">
        <f>LOOKUP(E188,{0,-1.8,-0.8,0.2,1.2,2.2,3.2,4.6,6,7.4,8.8,10.2,11.6,13,14.4,15.8,17.2,19.1,21,22.8,24.6},{0,10,20,30,40,50,60,62,64,66,68,70,72,74,76,78,80,85,90,95,100})</f>
        <v>76</v>
      </c>
      <c r="G188" s="5">
        <v>220</v>
      </c>
      <c r="H188" s="7">
        <f>LOOKUP(G188,{0,180,185,190,195,200,205,209,213,217,221,225,229,233,237,241,245,253,260,265,270},{0,10,20,30,40,50,60,62,64,66,68,70,72,74,76,78,80,85,90,95,100})</f>
        <v>66</v>
      </c>
      <c r="I188" s="5">
        <v>8</v>
      </c>
      <c r="J188" s="7">
        <f>LOOKUP(I188,{0,4,5,6,7,8,9,10,11,12,13,14,15,16,17,18},{0,10,20,30,40,50,60,64,68,72,76,80,85,90,95,100})</f>
        <v>50</v>
      </c>
      <c r="K188" s="5"/>
      <c r="L188" s="5"/>
      <c r="M188" s="5">
        <f t="shared" si="95"/>
        <v>50</v>
      </c>
      <c r="N188" s="5">
        <v>7.2</v>
      </c>
      <c r="O188" s="10">
        <f t="shared" si="96"/>
        <v>10.8</v>
      </c>
      <c r="P188" s="7">
        <f>LOOKUP(O188,{0,7.8,8,8.2,8.4,8.6,8.8,9,9.2,9.4,9.6,9.8,10,10.2,10.4,10.6,10.8,10.9,11,11.1,11.2},{0,10,20,30,40,50,60,62,64,66,68,70,72,74,76,78,80,85,90,95,100})</f>
        <v>80</v>
      </c>
      <c r="Q188" s="5">
        <v>5.11</v>
      </c>
      <c r="R188" s="10">
        <f t="shared" si="97"/>
        <v>4.89</v>
      </c>
      <c r="S188" s="7">
        <f>LOOKUP(R188,{0,3.85,4.45,4.65,4.85,5.45,5.65,5.7,5.75,5.8,5.85,5.9,5.95,6,6.45,6.5,6.55,6.63,6.7,6.75,6.8},{0,10,20,30,40,50,60,62,64,66,68,70,72,74,76,78,80,85,90,95,100})</f>
        <v>40</v>
      </c>
      <c r="T188" s="5"/>
      <c r="U188" s="5"/>
      <c r="V188" s="5">
        <f t="shared" si="98"/>
        <v>40</v>
      </c>
      <c r="W188" s="5"/>
      <c r="X188" s="13">
        <f t="shared" si="99"/>
        <v>43.2</v>
      </c>
      <c r="Y188" s="13">
        <f t="shared" si="100"/>
        <v>61.7142857142857</v>
      </c>
    </row>
    <row r="189" ht="15.6" hidden="1" outlineLevel="2" spans="1:25">
      <c r="A189" s="5">
        <v>305</v>
      </c>
      <c r="B189" s="5">
        <v>28</v>
      </c>
      <c r="C189" s="9" t="s">
        <v>214</v>
      </c>
      <c r="D189" s="9" t="s">
        <v>12</v>
      </c>
      <c r="E189" s="5">
        <v>7</v>
      </c>
      <c r="F189" s="7">
        <f>LOOKUP(E189,{0,-1.8,-0.8,0.2,1.2,2.2,3.2,4.6,6,7.4,8.8,10.2,11.6,13,14.4,15.8,17.2,19.1,21,22.8,24.6},{0,10,20,30,40,50,60,62,64,66,68,70,72,74,76,78,80,85,90,95,100})</f>
        <v>64</v>
      </c>
      <c r="G189" s="5">
        <v>215</v>
      </c>
      <c r="H189" s="7">
        <f>LOOKUP(G189,{0,180,185,190,195,200,205,209,213,217,221,225,229,233,237,241,245,253,260,265,270},{0,10,20,30,40,50,60,62,64,66,68,70,72,74,76,78,80,85,90,95,100})</f>
        <v>64</v>
      </c>
      <c r="I189" s="5">
        <v>0</v>
      </c>
      <c r="J189" s="7">
        <f>LOOKUP(I189,{0,4,5,6,7,8,9,10,11,12,13,14,15,16,17,18},{0,10,20,30,40,50,60,64,68,72,76,80,85,90,95,100})</f>
        <v>0</v>
      </c>
      <c r="K189" s="5"/>
      <c r="L189" s="5"/>
      <c r="M189" s="5">
        <f t="shared" si="95"/>
        <v>0</v>
      </c>
      <c r="N189" s="5">
        <v>8</v>
      </c>
      <c r="O189" s="10">
        <f t="shared" si="96"/>
        <v>10</v>
      </c>
      <c r="P189" s="7">
        <f>LOOKUP(O189,{0,7.8,8,8.2,8.4,8.6,8.8,9,9.2,9.4,9.6,9.8,10,10.2,10.4,10.6,10.8,10.9,11,11.1,11.2},{0,10,20,30,40,50,60,62,64,66,68,70,72,74,76,78,80,85,90,95,100})</f>
        <v>72</v>
      </c>
      <c r="Q189" s="5">
        <v>6.09</v>
      </c>
      <c r="R189" s="10">
        <f t="shared" si="97"/>
        <v>3.91</v>
      </c>
      <c r="S189" s="7">
        <f>LOOKUP(R189,{0,3.85,4.45,4.65,4.85,5.45,5.65,5.7,5.75,5.8,5.85,5.9,5.95,6,6.45,6.5,6.55,6.63,6.7,6.75,6.8},{0,10,20,30,40,50,60,62,64,66,68,70,72,74,76,78,80,85,90,95,100})</f>
        <v>10</v>
      </c>
      <c r="T189" s="5"/>
      <c r="U189" s="5"/>
      <c r="V189" s="5">
        <f t="shared" si="98"/>
        <v>10</v>
      </c>
      <c r="W189" s="5"/>
      <c r="X189" s="13">
        <f t="shared" si="99"/>
        <v>29.2</v>
      </c>
      <c r="Y189" s="13">
        <f t="shared" si="100"/>
        <v>41.7142857142857</v>
      </c>
    </row>
    <row r="190" ht="15.6" hidden="1" outlineLevel="2" spans="1:25">
      <c r="A190" s="5">
        <v>305</v>
      </c>
      <c r="B190" s="5">
        <v>29</v>
      </c>
      <c r="C190" s="9" t="s">
        <v>215</v>
      </c>
      <c r="D190" s="9" t="s">
        <v>12</v>
      </c>
      <c r="E190" s="5">
        <v>2</v>
      </c>
      <c r="F190" s="7">
        <f>LOOKUP(E190,{0,-1.8,-0.8,0.2,1.2,2.2,3.2,4.6,6,7.4,8.8,10.2,11.6,13,14.4,15.8,17.2,19.1,21,22.8,24.6},{0,10,20,30,40,50,60,62,64,66,68,70,72,74,76,78,80,85,90,95,100})</f>
        <v>40</v>
      </c>
      <c r="G190" s="5">
        <v>270</v>
      </c>
      <c r="H190" s="7">
        <f>LOOKUP(G190,{0,180,185,190,195,200,205,209,213,217,221,225,229,233,237,241,245,253,260,265,270},{0,10,20,30,40,50,60,62,64,66,68,70,72,74,76,78,80,85,90,95,100})</f>
        <v>100</v>
      </c>
      <c r="I190" s="5">
        <v>8</v>
      </c>
      <c r="J190" s="7">
        <f>LOOKUP(I190,{0,4,5,6,7,8,9,10,11,12,13,14,15,16,17,18},{0,10,20,30,40,50,60,64,68,72,76,80,85,90,95,100})</f>
        <v>50</v>
      </c>
      <c r="K190" s="5"/>
      <c r="L190" s="5"/>
      <c r="M190" s="5">
        <f t="shared" si="95"/>
        <v>50</v>
      </c>
      <c r="N190" s="5">
        <v>6.9</v>
      </c>
      <c r="O190" s="10">
        <f t="shared" si="96"/>
        <v>11.1</v>
      </c>
      <c r="P190" s="7">
        <f>LOOKUP(O190,{0,7.8,8,8.2,8.4,8.6,8.8,9,9.2,9.4,9.6,9.8,10,10.2,10.4,10.6,10.8,10.9,11,11.1,11.2},{0,10,20,30,40,50,60,62,64,66,68,70,72,74,76,78,80,85,90,95,100})</f>
        <v>95</v>
      </c>
      <c r="Q190" s="5">
        <v>6.37</v>
      </c>
      <c r="R190" s="10">
        <f t="shared" si="97"/>
        <v>3.63</v>
      </c>
      <c r="S190" s="7">
        <f>LOOKUP(R190,{0,3.85,4.45,4.65,4.85,5.45,5.65,5.7,5.75,5.8,5.85,5.9,5.95,6,6.45,6.5,6.55,6.63,6.7,6.75,6.8},{0,10,20,30,40,50,60,62,64,66,68,70,72,74,76,78,80,85,90,95,100})</f>
        <v>0</v>
      </c>
      <c r="T190" s="5"/>
      <c r="U190" s="5"/>
      <c r="V190" s="5">
        <f t="shared" si="98"/>
        <v>0</v>
      </c>
      <c r="W190" s="5"/>
      <c r="X190" s="13">
        <f t="shared" si="99"/>
        <v>38</v>
      </c>
      <c r="Y190" s="13">
        <f t="shared" si="100"/>
        <v>54.2857142857143</v>
      </c>
    </row>
    <row r="191" ht="15.6" hidden="1" outlineLevel="2" spans="1:25">
      <c r="A191" s="5">
        <v>305</v>
      </c>
      <c r="B191" s="5">
        <v>30</v>
      </c>
      <c r="C191" s="9" t="s">
        <v>216</v>
      </c>
      <c r="D191" s="9" t="s">
        <v>12</v>
      </c>
      <c r="E191" s="5">
        <v>5</v>
      </c>
      <c r="F191" s="7">
        <f>LOOKUP(E191,{0,-1.8,-0.8,0.2,1.2,2.2,3.2,4.6,6,7.4,8.8,10.2,11.6,13,14.4,15.8,17.2,19.1,21,22.8,24.6},{0,10,20,30,40,50,60,62,64,66,68,70,72,74,76,78,80,85,90,95,100})</f>
        <v>62</v>
      </c>
      <c r="G191" s="5">
        <v>230</v>
      </c>
      <c r="H191" s="7">
        <f>LOOKUP(G191,{0,180,185,190,195,200,205,209,213,217,221,225,229,233,237,241,245,253,260,265,270},{0,10,20,30,40,50,60,62,64,66,68,70,72,74,76,78,80,85,90,95,100})</f>
        <v>72</v>
      </c>
      <c r="I191" s="5">
        <v>11</v>
      </c>
      <c r="J191" s="7">
        <f>LOOKUP(I191,{0,4,5,6,7,8,9,10,11,12,13,14,15,16,17,18},{0,10,20,30,40,50,60,64,68,72,76,80,85,90,95,100})</f>
        <v>68</v>
      </c>
      <c r="K191" s="5"/>
      <c r="L191" s="5"/>
      <c r="M191" s="5">
        <f t="shared" si="95"/>
        <v>68</v>
      </c>
      <c r="N191" s="5">
        <v>7.2</v>
      </c>
      <c r="O191" s="10">
        <f t="shared" si="96"/>
        <v>10.8</v>
      </c>
      <c r="P191" s="7">
        <f>LOOKUP(O191,{0,7.8,8,8.2,8.4,8.6,8.8,9,9.2,9.4,9.6,9.8,10,10.2,10.4,10.6,10.8,10.9,11,11.1,11.2},{0,10,20,30,40,50,60,62,64,66,68,70,72,74,76,78,80,85,90,95,100})</f>
        <v>80</v>
      </c>
      <c r="Q191" s="5">
        <v>3.51</v>
      </c>
      <c r="R191" s="10">
        <f t="shared" si="97"/>
        <v>6.49</v>
      </c>
      <c r="S191" s="7">
        <f>LOOKUP(R191,{0,3.85,4.45,4.65,4.85,5.45,5.65,5.7,5.75,5.8,5.85,5.9,5.95,6,6.45,6.5,6.55,6.63,6.7,6.75,6.8},{0,10,20,30,40,50,60,62,64,66,68,70,72,74,76,78,80,85,90,95,100})</f>
        <v>76</v>
      </c>
      <c r="T191" s="5"/>
      <c r="U191" s="5"/>
      <c r="V191" s="5">
        <f t="shared" si="98"/>
        <v>76</v>
      </c>
      <c r="W191" s="5"/>
      <c r="X191" s="13">
        <f t="shared" si="99"/>
        <v>51.4</v>
      </c>
      <c r="Y191" s="13">
        <f t="shared" si="100"/>
        <v>73.4285714285714</v>
      </c>
    </row>
    <row r="192" ht="15.6" hidden="1" outlineLevel="2" spans="1:25">
      <c r="A192" s="5">
        <v>305</v>
      </c>
      <c r="B192" s="5">
        <v>31</v>
      </c>
      <c r="C192" s="8" t="s">
        <v>218</v>
      </c>
      <c r="D192" s="9" t="s">
        <v>12</v>
      </c>
      <c r="E192" s="5">
        <v>8.8</v>
      </c>
      <c r="F192" s="7">
        <f>LOOKUP(E192,{0,-1.8,-0.8,0.2,1.2,2.2,3.2,4.6,6,7.4,8.8,10.2,11.6,13,14.4,15.8,17.2,19.1,21,22.8,24.6},{0,10,20,30,40,50,60,62,64,66,68,70,72,74,76,78,80,85,90,95,100})</f>
        <v>68</v>
      </c>
      <c r="G192" s="5">
        <v>235</v>
      </c>
      <c r="H192" s="7">
        <f>LOOKUP(G192,{0,180,185,190,195,200,205,209,213,217,221,225,229,233,237,241,245,253,260,265,270},{0,10,20,30,40,50,60,62,64,66,68,70,72,74,76,78,80,85,90,95,100})</f>
        <v>74</v>
      </c>
      <c r="I192" s="5">
        <v>7</v>
      </c>
      <c r="J192" s="7">
        <f>LOOKUP(I192,{0,4,5,6,7,8,9,10,11,12,13,14,15,16,17,18},{0,10,20,30,40,50,60,64,68,72,76,80,85,90,95,100})</f>
        <v>40</v>
      </c>
      <c r="K192" s="5"/>
      <c r="L192" s="5"/>
      <c r="M192" s="5">
        <f t="shared" si="95"/>
        <v>40</v>
      </c>
      <c r="N192" s="5">
        <v>7.4</v>
      </c>
      <c r="O192" s="10">
        <f t="shared" si="96"/>
        <v>10.6</v>
      </c>
      <c r="P192" s="7">
        <f>LOOKUP(O192,{0,7.8,8,8.2,8.4,8.6,8.8,9,9.2,9.4,9.6,9.8,10,10.2,10.4,10.6,10.8,10.9,11,11.1,11.2},{0,10,20,30,40,50,60,62,64,66,68,70,72,74,76,78,80,85,90,95,100})</f>
        <v>78</v>
      </c>
      <c r="Q192" s="5">
        <v>4.35</v>
      </c>
      <c r="R192" s="10">
        <f t="shared" si="97"/>
        <v>5.65</v>
      </c>
      <c r="S192" s="7">
        <f>LOOKUP(R192,{0,3.85,4.45,4.65,4.85,5.45,5.65,5.7,5.75,5.8,5.85,5.9,5.95,6,6.45,6.5,6.55,6.63,6.7,6.75,6.8},{0,10,20,30,40,50,60,62,64,66,68,70,72,74,76,78,80,85,90,95,100})</f>
        <v>60</v>
      </c>
      <c r="T192" s="5"/>
      <c r="U192" s="5"/>
      <c r="V192" s="5">
        <f t="shared" si="98"/>
        <v>60</v>
      </c>
      <c r="W192" s="5"/>
      <c r="X192" s="13">
        <f t="shared" si="99"/>
        <v>45.8</v>
      </c>
      <c r="Y192" s="13">
        <f t="shared" si="100"/>
        <v>65.4285714285714</v>
      </c>
    </row>
    <row r="193" ht="15.6" hidden="1" outlineLevel="2" spans="1:25">
      <c r="A193" s="5">
        <v>305</v>
      </c>
      <c r="B193" s="5">
        <v>32</v>
      </c>
      <c r="C193" s="9" t="s">
        <v>219</v>
      </c>
      <c r="D193" s="9" t="s">
        <v>12</v>
      </c>
      <c r="E193" s="5">
        <v>24</v>
      </c>
      <c r="F193" s="7">
        <f>LOOKUP(E193,{0,-1.8,-0.8,0.2,1.2,2.2,3.2,4.6,6,7.4,8.8,10.2,11.6,13,14.4,15.8,17.2,19.1,21,22.8,24.6},{0,10,20,30,40,50,60,62,64,66,68,70,72,74,76,78,80,85,90,95,100})</f>
        <v>95</v>
      </c>
      <c r="G193" s="5">
        <v>265</v>
      </c>
      <c r="H193" s="7">
        <f>LOOKUP(G193,{0,180,185,190,195,200,205,209,213,217,221,225,229,233,237,241,245,253,260,265,270},{0,10,20,30,40,50,60,62,64,66,68,70,72,74,76,78,80,85,90,95,100})</f>
        <v>95</v>
      </c>
      <c r="I193" s="5">
        <v>8</v>
      </c>
      <c r="J193" s="7">
        <f>LOOKUP(I193,{0,4,5,6,7,8,9,10,11,12,13,14,15,16,17,18},{0,10,20,30,40,50,60,64,68,72,76,80,85,90,95,100})</f>
        <v>50</v>
      </c>
      <c r="K193" s="5"/>
      <c r="L193" s="5"/>
      <c r="M193" s="5">
        <f t="shared" si="95"/>
        <v>50</v>
      </c>
      <c r="N193" s="5">
        <v>7.1</v>
      </c>
      <c r="O193" s="10">
        <f t="shared" si="96"/>
        <v>10.9</v>
      </c>
      <c r="P193" s="7">
        <f>LOOKUP(O193,{0,7.8,8,8.2,8.4,8.6,8.8,9,9.2,9.4,9.6,9.8,10,10.2,10.4,10.6,10.8,10.9,11,11.1,11.2},{0,10,20,30,40,50,60,62,64,66,68,70,72,74,76,78,80,85,90,95,100})</f>
        <v>85</v>
      </c>
      <c r="Q193" s="5">
        <v>4.03</v>
      </c>
      <c r="R193" s="10">
        <f t="shared" si="97"/>
        <v>5.97</v>
      </c>
      <c r="S193" s="7">
        <f>LOOKUP(R193,{0,3.85,4.45,4.65,4.85,5.45,5.65,5.7,5.75,5.8,5.85,5.9,5.95,6,6.45,6.5,6.55,6.63,6.7,6.75,6.8},{0,10,20,30,40,50,60,62,64,66,68,70,72,74,76,78,80,85,90,95,100})</f>
        <v>72</v>
      </c>
      <c r="T193" s="5"/>
      <c r="U193" s="5"/>
      <c r="V193" s="5">
        <f t="shared" si="98"/>
        <v>72</v>
      </c>
      <c r="W193" s="5"/>
      <c r="X193" s="13">
        <f t="shared" si="99"/>
        <v>55.4</v>
      </c>
      <c r="Y193" s="13">
        <f t="shared" si="100"/>
        <v>79.1428571428571</v>
      </c>
    </row>
    <row r="194" ht="15.6" hidden="1" outlineLevel="2" spans="1:25">
      <c r="A194" s="5">
        <v>305</v>
      </c>
      <c r="B194" s="5">
        <v>33</v>
      </c>
      <c r="C194" s="9" t="s">
        <v>220</v>
      </c>
      <c r="D194" s="9" t="s">
        <v>12</v>
      </c>
      <c r="E194" s="5">
        <v>3</v>
      </c>
      <c r="F194" s="7">
        <f>LOOKUP(E194,{0,-1.8,-0.8,0.2,1.2,2.2,3.2,4.6,6,7.4,8.8,10.2,11.6,13,14.4,15.8,17.2,19.1,21,22.8,24.6},{0,10,20,30,40,50,60,62,64,66,68,70,72,74,76,78,80,85,90,95,100})</f>
        <v>50</v>
      </c>
      <c r="G194" s="5">
        <v>170</v>
      </c>
      <c r="H194" s="7">
        <f>LOOKUP(G194,{0,180,185,190,195,200,205,209,213,217,221,225,229,233,237,241,245,253,260,265,270},{0,10,20,30,40,50,60,62,64,66,68,70,72,74,76,78,80,85,90,95,100})</f>
        <v>0</v>
      </c>
      <c r="I194" s="5">
        <v>1</v>
      </c>
      <c r="J194" s="7">
        <f>LOOKUP(I194,{0,4,5,6,7,8,9,10,11,12,13,14,15,16,17,18},{0,10,20,30,40,50,60,64,68,72,76,80,85,90,95,100})</f>
        <v>0</v>
      </c>
      <c r="K194" s="5"/>
      <c r="L194" s="5"/>
      <c r="M194" s="5">
        <f t="shared" si="95"/>
        <v>0</v>
      </c>
      <c r="N194" s="5">
        <v>8.5</v>
      </c>
      <c r="O194" s="10">
        <f t="shared" si="96"/>
        <v>9.5</v>
      </c>
      <c r="P194" s="7">
        <f>LOOKUP(O194,{0,7.8,8,8.2,8.4,8.6,8.8,9,9.2,9.4,9.6,9.8,10,10.2,10.4,10.6,10.8,10.9,11,11.1,11.2},{0,10,20,30,40,50,60,62,64,66,68,70,72,74,76,78,80,85,90,95,100})</f>
        <v>66</v>
      </c>
      <c r="Q194" s="5">
        <v>4.54</v>
      </c>
      <c r="R194" s="10">
        <f t="shared" si="97"/>
        <v>5.46</v>
      </c>
      <c r="S194" s="7">
        <f>LOOKUP(R194,{0,3.85,4.45,4.65,4.85,5.45,5.65,5.7,5.75,5.8,5.85,5.9,5.95,6,6.45,6.5,6.55,6.63,6.7,6.75,6.8},{0,10,20,30,40,50,60,62,64,66,68,70,72,74,76,78,80,85,90,95,100})</f>
        <v>50</v>
      </c>
      <c r="T194" s="5"/>
      <c r="U194" s="5"/>
      <c r="V194" s="5">
        <f t="shared" si="98"/>
        <v>50</v>
      </c>
      <c r="W194" s="5"/>
      <c r="X194" s="13">
        <f t="shared" si="99"/>
        <v>28.2</v>
      </c>
      <c r="Y194" s="13">
        <f t="shared" si="100"/>
        <v>40.2857142857143</v>
      </c>
    </row>
    <row r="195" ht="15.6" hidden="1" outlineLevel="2" spans="1:25">
      <c r="A195" s="5">
        <v>305</v>
      </c>
      <c r="B195" s="5">
        <v>34</v>
      </c>
      <c r="C195" s="9" t="s">
        <v>221</v>
      </c>
      <c r="D195" s="9" t="s">
        <v>12</v>
      </c>
      <c r="E195" s="5">
        <v>15.5</v>
      </c>
      <c r="F195" s="7">
        <f>LOOKUP(E195,{0,-1.8,-0.8,0.2,1.2,2.2,3.2,4.6,6,7.4,8.8,10.2,11.6,13,14.4,15.8,17.2,19.1,21,22.8,24.6},{0,10,20,30,40,50,60,62,64,66,68,70,72,74,76,78,80,85,90,95,100})</f>
        <v>76</v>
      </c>
      <c r="G195" s="5">
        <v>250</v>
      </c>
      <c r="H195" s="7">
        <f>LOOKUP(G195,{0,180,185,190,195,200,205,209,213,217,221,225,229,233,237,241,245,253,260,265,270},{0,10,20,30,40,50,60,62,64,66,68,70,72,74,76,78,80,85,90,95,100})</f>
        <v>80</v>
      </c>
      <c r="I195" s="5">
        <v>8</v>
      </c>
      <c r="J195" s="7">
        <f>LOOKUP(I195,{0,4,5,6,7,8,9,10,11,12,13,14,15,16,17,18},{0,10,20,30,40,50,60,64,68,72,76,80,85,90,95,100})</f>
        <v>50</v>
      </c>
      <c r="K195" s="5"/>
      <c r="L195" s="5"/>
      <c r="M195" s="5">
        <f t="shared" si="95"/>
        <v>50</v>
      </c>
      <c r="N195" s="5">
        <v>7.4</v>
      </c>
      <c r="O195" s="10">
        <f t="shared" si="96"/>
        <v>10.6</v>
      </c>
      <c r="P195" s="7">
        <f>LOOKUP(O195,{0,7.8,8,8.2,8.4,8.6,8.8,9,9.2,9.4,9.6,9.8,10,10.2,10.4,10.6,10.8,10.9,11,11.1,11.2},{0,10,20,30,40,50,60,62,64,66,68,70,72,74,76,78,80,85,90,95,100})</f>
        <v>78</v>
      </c>
      <c r="Q195" s="5">
        <v>4.26</v>
      </c>
      <c r="R195" s="10">
        <f t="shared" si="97"/>
        <v>5.74</v>
      </c>
      <c r="S195" s="7">
        <f>LOOKUP(R195,{0,3.85,4.45,4.65,4.85,5.45,5.65,5.7,5.75,5.8,5.85,5.9,5.95,6,6.45,6.5,6.55,6.63,6.7,6.75,6.8},{0,10,20,30,40,50,60,62,64,66,68,70,72,74,76,78,80,85,90,95,100})</f>
        <v>62</v>
      </c>
      <c r="T195" s="5"/>
      <c r="U195" s="5"/>
      <c r="V195" s="5">
        <f t="shared" si="98"/>
        <v>62</v>
      </c>
      <c r="W195" s="5"/>
      <c r="X195" s="13">
        <f t="shared" si="99"/>
        <v>48.6</v>
      </c>
      <c r="Y195" s="13">
        <f t="shared" si="100"/>
        <v>69.4285714285714</v>
      </c>
    </row>
    <row r="196" ht="15.6" hidden="1" outlineLevel="2" spans="1:25">
      <c r="A196" s="5">
        <v>305</v>
      </c>
      <c r="B196" s="5">
        <v>35</v>
      </c>
      <c r="C196" s="9" t="s">
        <v>222</v>
      </c>
      <c r="D196" s="9" t="s">
        <v>12</v>
      </c>
      <c r="E196" s="5">
        <v>14.5</v>
      </c>
      <c r="F196" s="7">
        <f>LOOKUP(E196,{0,-1.8,-0.8,0.2,1.2,2.2,3.2,4.6,6,7.4,8.8,10.2,11.6,13,14.4,15.8,17.2,19.1,21,22.8,24.6},{0,10,20,30,40,50,60,62,64,66,68,70,72,74,76,78,80,85,90,95,100})</f>
        <v>76</v>
      </c>
      <c r="G196" s="5">
        <v>210</v>
      </c>
      <c r="H196" s="7">
        <f>LOOKUP(G196,{0,180,185,190,195,200,205,209,213,217,221,225,229,233,237,241,245,253,260,265,270},{0,10,20,30,40,50,60,62,64,66,68,70,72,74,76,78,80,85,90,95,100})</f>
        <v>62</v>
      </c>
      <c r="I196" s="5">
        <v>8</v>
      </c>
      <c r="J196" s="7">
        <f>LOOKUP(I196,{0,4,5,6,7,8,9,10,11,12,13,14,15,16,17,18},{0,10,20,30,40,50,60,64,68,72,76,80,85,90,95,100})</f>
        <v>50</v>
      </c>
      <c r="K196" s="5"/>
      <c r="L196" s="5"/>
      <c r="M196" s="5">
        <f t="shared" si="95"/>
        <v>50</v>
      </c>
      <c r="N196" s="5">
        <v>7.8</v>
      </c>
      <c r="O196" s="10">
        <f t="shared" si="96"/>
        <v>10.2</v>
      </c>
      <c r="P196" s="7">
        <f>LOOKUP(O196,{0,7.8,8,8.2,8.4,8.6,8.8,9,9.2,9.4,9.6,9.8,10,10.2,10.4,10.6,10.8,10.9,11,11.1,11.2},{0,10,20,30,40,50,60,62,64,66,68,70,72,74,76,78,80,85,90,95,100})</f>
        <v>74</v>
      </c>
      <c r="Q196" s="5">
        <v>4.54</v>
      </c>
      <c r="R196" s="10">
        <f t="shared" si="97"/>
        <v>5.46</v>
      </c>
      <c r="S196" s="7">
        <f>LOOKUP(R196,{0,3.85,4.45,4.65,4.85,5.45,5.65,5.7,5.75,5.8,5.85,5.9,5.95,6,6.45,6.5,6.55,6.63,6.7,6.75,6.8},{0,10,20,30,40,50,60,62,64,66,68,70,72,74,76,78,80,85,90,95,100})</f>
        <v>50</v>
      </c>
      <c r="T196" s="5"/>
      <c r="U196" s="5"/>
      <c r="V196" s="5">
        <f t="shared" si="98"/>
        <v>50</v>
      </c>
      <c r="W196" s="5"/>
      <c r="X196" s="13">
        <f t="shared" si="99"/>
        <v>43.6</v>
      </c>
      <c r="Y196" s="13">
        <f t="shared" si="100"/>
        <v>62.2857142857143</v>
      </c>
    </row>
    <row r="197" ht="15.6" hidden="1" outlineLevel="2" spans="1:25">
      <c r="A197" s="5">
        <v>305</v>
      </c>
      <c r="B197" s="5">
        <v>36</v>
      </c>
      <c r="C197" s="9" t="s">
        <v>223</v>
      </c>
      <c r="D197" s="9" t="s">
        <v>12</v>
      </c>
      <c r="E197" s="5">
        <v>16</v>
      </c>
      <c r="F197" s="7">
        <f>LOOKUP(E197,{0,-1.8,-0.8,0.2,1.2,2.2,3.2,4.6,6,7.4,8.8,10.2,11.6,13,14.4,15.8,17.2,19.1,21,22.8,24.6},{0,10,20,30,40,50,60,62,64,66,68,70,72,74,76,78,80,85,90,95,100})</f>
        <v>78</v>
      </c>
      <c r="G197" s="5">
        <v>232</v>
      </c>
      <c r="H197" s="7">
        <f>LOOKUP(G197,{0,180,185,190,195,200,205,209,213,217,221,225,229,233,237,241,245,253,260,265,270},{0,10,20,30,40,50,60,62,64,66,68,70,72,74,76,78,80,85,90,95,100})</f>
        <v>72</v>
      </c>
      <c r="I197" s="5">
        <v>8</v>
      </c>
      <c r="J197" s="7">
        <f>LOOKUP(I197,{0,4,5,6,7,8,9,10,11,12,13,14,15,16,17,18},{0,10,20,30,40,50,60,64,68,72,76,80,85,90,95,100})</f>
        <v>50</v>
      </c>
      <c r="K197" s="5"/>
      <c r="L197" s="5"/>
      <c r="M197" s="5">
        <f t="shared" si="95"/>
        <v>50</v>
      </c>
      <c r="N197" s="5">
        <v>7.3</v>
      </c>
      <c r="O197" s="10">
        <f t="shared" si="96"/>
        <v>10.7</v>
      </c>
      <c r="P197" s="7">
        <f>LOOKUP(O197,{0,7.8,8,8.2,8.4,8.6,8.8,9,9.2,9.4,9.6,9.8,10,10.2,10.4,10.6,10.8,10.9,11,11.1,11.2},{0,10,20,30,40,50,60,62,64,66,68,70,72,74,76,78,80,85,90,95,100})</f>
        <v>78</v>
      </c>
      <c r="Q197" s="5">
        <v>4.04</v>
      </c>
      <c r="R197" s="10">
        <f t="shared" si="97"/>
        <v>5.96</v>
      </c>
      <c r="S197" s="7">
        <f>LOOKUP(R197,{0,3.85,4.45,4.65,4.85,5.45,5.65,5.7,5.75,5.8,5.85,5.9,5.95,6,6.45,6.5,6.55,6.63,6.7,6.75,6.8},{0,10,20,30,40,50,60,62,64,66,68,70,72,74,76,78,80,85,90,95,100})</f>
        <v>72</v>
      </c>
      <c r="T197" s="5"/>
      <c r="U197" s="5"/>
      <c r="V197" s="5">
        <f t="shared" si="98"/>
        <v>72</v>
      </c>
      <c r="W197" s="5"/>
      <c r="X197" s="13">
        <f t="shared" si="99"/>
        <v>50</v>
      </c>
      <c r="Y197" s="13">
        <f t="shared" si="100"/>
        <v>71.4285714285714</v>
      </c>
    </row>
    <row r="198" ht="15.6" hidden="1" outlineLevel="2" spans="1:25">
      <c r="A198" s="5">
        <v>305</v>
      </c>
      <c r="B198" s="5">
        <v>37</v>
      </c>
      <c r="C198" s="9" t="s">
        <v>224</v>
      </c>
      <c r="D198" s="9" t="s">
        <v>12</v>
      </c>
      <c r="E198" s="5">
        <v>21.5</v>
      </c>
      <c r="F198" s="7">
        <f>LOOKUP(E198,{0,-1.8,-0.8,0.2,1.2,2.2,3.2,4.6,6,7.4,8.8,10.2,11.6,13,14.4,15.8,17.2,19.1,21,22.8,24.6},{0,10,20,30,40,50,60,62,64,66,68,70,72,74,76,78,80,85,90,95,100})</f>
        <v>90</v>
      </c>
      <c r="G198" s="5">
        <v>228</v>
      </c>
      <c r="H198" s="7">
        <f>LOOKUP(G198,{0,180,185,190,195,200,205,209,213,217,221,225,229,233,237,241,245,253,260,265,270},{0,10,20,30,40,50,60,62,64,66,68,70,72,74,76,78,80,85,90,95,100})</f>
        <v>70</v>
      </c>
      <c r="I198" s="5">
        <v>10</v>
      </c>
      <c r="J198" s="7">
        <f>LOOKUP(I198,{0,4,5,6,7,8,9,10,11,12,13,14,15,16,17,18},{0,10,20,30,40,50,60,64,68,72,76,80,85,90,95,100})</f>
        <v>64</v>
      </c>
      <c r="K198" s="5"/>
      <c r="L198" s="5"/>
      <c r="M198" s="5">
        <f t="shared" si="95"/>
        <v>64</v>
      </c>
      <c r="N198" s="5">
        <v>7.6</v>
      </c>
      <c r="O198" s="10">
        <f t="shared" si="96"/>
        <v>10.4</v>
      </c>
      <c r="P198" s="7">
        <f>LOOKUP(O198,{0,7.8,8,8.2,8.4,8.6,8.8,9,9.2,9.4,9.6,9.8,10,10.2,10.4,10.6,10.8,10.9,11,11.1,11.2},{0,10,20,30,40,50,60,62,64,66,68,70,72,74,76,78,80,85,90,95,100})</f>
        <v>76</v>
      </c>
      <c r="Q198" s="5">
        <v>4.06</v>
      </c>
      <c r="R198" s="10">
        <f t="shared" si="97"/>
        <v>5.94</v>
      </c>
      <c r="S198" s="7">
        <f>LOOKUP(R198,{0,3.85,4.45,4.65,4.85,5.45,5.65,5.7,5.75,5.8,5.85,5.9,5.95,6,6.45,6.5,6.55,6.63,6.7,6.75,6.8},{0,10,20,30,40,50,60,62,64,66,68,70,72,74,76,78,80,85,90,95,100})</f>
        <v>70</v>
      </c>
      <c r="T198" s="5"/>
      <c r="U198" s="5"/>
      <c r="V198" s="5">
        <f t="shared" si="98"/>
        <v>70</v>
      </c>
      <c r="W198" s="5"/>
      <c r="X198" s="13">
        <f t="shared" si="99"/>
        <v>51.6</v>
      </c>
      <c r="Y198" s="13">
        <f t="shared" si="100"/>
        <v>73.7142857142857</v>
      </c>
    </row>
    <row r="199" ht="15.6" hidden="1" outlineLevel="2" spans="1:25">
      <c r="A199" s="5">
        <v>305</v>
      </c>
      <c r="B199" s="5">
        <v>38</v>
      </c>
      <c r="C199" s="9" t="s">
        <v>225</v>
      </c>
      <c r="D199" s="9" t="s">
        <v>12</v>
      </c>
      <c r="E199" s="5">
        <v>7</v>
      </c>
      <c r="F199" s="7">
        <f>LOOKUP(E199,{0,-1.8,-0.8,0.2,1.2,2.2,3.2,4.6,6,7.4,8.8,10.2,11.6,13,14.4,15.8,17.2,19.1,21,22.8,24.6},{0,10,20,30,40,50,60,62,64,66,68,70,72,74,76,78,80,85,90,95,100})</f>
        <v>64</v>
      </c>
      <c r="G199" s="5">
        <v>212</v>
      </c>
      <c r="H199" s="7">
        <f>LOOKUP(G199,{0,180,185,190,195,200,205,209,213,217,221,225,229,233,237,241,245,253,260,265,270},{0,10,20,30,40,50,60,62,64,66,68,70,72,74,76,78,80,85,90,95,100})</f>
        <v>62</v>
      </c>
      <c r="I199" s="5">
        <v>1</v>
      </c>
      <c r="J199" s="7">
        <f>LOOKUP(I199,{0,4,5,6,7,8,9,10,11,12,13,14,15,16,17,18},{0,10,20,30,40,50,60,64,68,72,76,80,85,90,95,100})</f>
        <v>0</v>
      </c>
      <c r="K199" s="5"/>
      <c r="L199" s="5"/>
      <c r="M199" s="5">
        <f t="shared" si="95"/>
        <v>0</v>
      </c>
      <c r="N199" s="5">
        <v>7.9</v>
      </c>
      <c r="O199" s="10">
        <f t="shared" si="96"/>
        <v>10.1</v>
      </c>
      <c r="P199" s="7">
        <f>LOOKUP(O199,{0,7.8,8,8.2,8.4,8.6,8.8,9,9.2,9.4,9.6,9.8,10,10.2,10.4,10.6,10.8,10.9,11,11.1,11.2},{0,10,20,30,40,50,60,62,64,66,68,70,72,74,76,78,80,85,90,95,100})</f>
        <v>72</v>
      </c>
      <c r="Q199" s="5">
        <v>4.47</v>
      </c>
      <c r="R199" s="10">
        <f t="shared" si="97"/>
        <v>5.53</v>
      </c>
      <c r="S199" s="7">
        <f>LOOKUP(R199,{0,3.85,4.45,4.65,4.85,5.45,5.65,5.7,5.75,5.8,5.85,5.9,5.95,6,6.45,6.5,6.55,6.63,6.7,6.75,6.8},{0,10,20,30,40,50,60,62,64,66,68,70,72,74,76,78,80,85,90,95,100})</f>
        <v>50</v>
      </c>
      <c r="T199" s="5"/>
      <c r="U199" s="5"/>
      <c r="V199" s="5">
        <f t="shared" si="98"/>
        <v>50</v>
      </c>
      <c r="W199" s="5"/>
      <c r="X199" s="13">
        <f t="shared" si="99"/>
        <v>37</v>
      </c>
      <c r="Y199" s="13">
        <f t="shared" si="100"/>
        <v>52.8571428571429</v>
      </c>
    </row>
    <row r="200" ht="15.6" hidden="1" outlineLevel="2" spans="1:25">
      <c r="A200" s="5">
        <v>305</v>
      </c>
      <c r="B200" s="5">
        <v>39</v>
      </c>
      <c r="C200" s="9" t="s">
        <v>226</v>
      </c>
      <c r="D200" s="9" t="s">
        <v>12</v>
      </c>
      <c r="E200" s="5">
        <v>20.5</v>
      </c>
      <c r="F200" s="7">
        <f>LOOKUP(E200,{0,-1.8,-0.8,0.2,1.2,2.2,3.2,4.6,6,7.4,8.8,10.2,11.6,13,14.4,15.8,17.2,19.1,21,22.8,24.6},{0,10,20,30,40,50,60,62,64,66,68,70,72,74,76,78,80,85,90,95,100})</f>
        <v>85</v>
      </c>
      <c r="G200" s="5">
        <v>230</v>
      </c>
      <c r="H200" s="7">
        <f>LOOKUP(G200,{0,180,185,190,195,200,205,209,213,217,221,225,229,233,237,241,245,253,260,265,270},{0,10,20,30,40,50,60,62,64,66,68,70,72,74,76,78,80,85,90,95,100})</f>
        <v>72</v>
      </c>
      <c r="I200" s="5">
        <v>9</v>
      </c>
      <c r="J200" s="7">
        <f>LOOKUP(I200,{0,4,5,6,7,8,9,10,11,12,13,14,15,16,17,18},{0,10,20,30,40,50,60,64,68,72,76,80,85,90,95,100})</f>
        <v>60</v>
      </c>
      <c r="K200" s="5"/>
      <c r="L200" s="5"/>
      <c r="M200" s="5">
        <f t="shared" si="95"/>
        <v>60</v>
      </c>
      <c r="N200" s="5">
        <v>7.5</v>
      </c>
      <c r="O200" s="10">
        <f t="shared" si="96"/>
        <v>10.5</v>
      </c>
      <c r="P200" s="7">
        <f>LOOKUP(O200,{0,7.8,8,8.2,8.4,8.6,8.8,9,9.2,9.4,9.6,9.8,10,10.2,10.4,10.6,10.8,10.9,11,11.1,11.2},{0,10,20,30,40,50,60,62,64,66,68,70,72,74,76,78,80,85,90,95,100})</f>
        <v>76</v>
      </c>
      <c r="Q200" s="5">
        <v>4.37</v>
      </c>
      <c r="R200" s="10">
        <f t="shared" si="97"/>
        <v>5.63</v>
      </c>
      <c r="S200" s="7">
        <f>LOOKUP(R200,{0,3.85,4.45,4.65,4.85,5.45,5.65,5.7,5.75,5.8,5.85,5.9,5.95,6,6.45,6.5,6.55,6.63,6.7,6.75,6.8},{0,10,20,30,40,50,60,62,64,66,68,70,72,74,76,78,80,85,90,95,100})</f>
        <v>50</v>
      </c>
      <c r="T200" s="5"/>
      <c r="U200" s="5"/>
      <c r="V200" s="5">
        <f t="shared" si="98"/>
        <v>50</v>
      </c>
      <c r="W200" s="5"/>
      <c r="X200" s="13">
        <f t="shared" si="99"/>
        <v>46.9</v>
      </c>
      <c r="Y200" s="13">
        <f t="shared" si="100"/>
        <v>67</v>
      </c>
    </row>
    <row r="201" ht="15.6" hidden="1" outlineLevel="2" spans="1:25">
      <c r="A201" s="5">
        <v>305</v>
      </c>
      <c r="B201" s="5">
        <v>40</v>
      </c>
      <c r="C201" s="8" t="s">
        <v>228</v>
      </c>
      <c r="D201" s="9" t="s">
        <v>46</v>
      </c>
      <c r="E201" s="5">
        <v>9.5</v>
      </c>
      <c r="F201" s="7">
        <f>LOOKUP(E201,{0,1.5,2.3,3.1,3.9,4.7,5.5,6.8,8.1,9.4,10.7,12,13.3,14.6,15.9,17.2,18.5,20.2,21.9,23.6,25.3},{0,10,20,30,40,50,60,62,64,66,68,70,72,74,76,78,80,85,90,95,100})</f>
        <v>66</v>
      </c>
      <c r="G201" s="5">
        <v>215</v>
      </c>
      <c r="H201" s="7">
        <f>LOOKUP(G201,{0,125,130,135,140,145,150,153,156,159,162,165,168,171,174,177,180,187,194,200,206},{0,10,20,30,40,50,60,62,64,66,68,70,72,74,76,78,80,85,90,95,100})</f>
        <v>100</v>
      </c>
      <c r="I201" s="5">
        <v>54</v>
      </c>
      <c r="J201" s="7">
        <f>LOOKUP(I201,{0,15,17,19,21,23,25,27,29,31,33,35,37,39,41,43,45,48,51,53,55},{0,10,20,30,40,50,60,62,64,66,68,70,72,74,76,78,80,85,90,95,100})</f>
        <v>95</v>
      </c>
      <c r="K201" s="5"/>
      <c r="L201" s="5"/>
      <c r="M201" s="5">
        <f t="shared" si="95"/>
        <v>95</v>
      </c>
      <c r="N201" s="5" t="s">
        <v>77</v>
      </c>
      <c r="O201" s="5"/>
      <c r="P201" s="5"/>
      <c r="Q201" s="5" t="s">
        <v>77</v>
      </c>
      <c r="R201" s="5"/>
      <c r="S201" s="5"/>
      <c r="T201" s="5"/>
      <c r="U201" s="5"/>
      <c r="V201" s="5"/>
      <c r="W201" s="14">
        <v>50</v>
      </c>
      <c r="X201" s="13">
        <f t="shared" si="99"/>
        <v>26.1</v>
      </c>
      <c r="Y201" s="13">
        <v>50</v>
      </c>
    </row>
    <row r="202" ht="15.6" hidden="1" outlineLevel="2" spans="1:25">
      <c r="A202" s="5">
        <v>305</v>
      </c>
      <c r="B202" s="5">
        <v>41</v>
      </c>
      <c r="C202" s="9" t="s">
        <v>229</v>
      </c>
      <c r="D202" s="9" t="s">
        <v>46</v>
      </c>
      <c r="E202" s="5">
        <v>17</v>
      </c>
      <c r="F202" s="7">
        <f>LOOKUP(E202,{0,1.5,2.3,3.1,3.9,4.7,5.5,6.8,8.1,9.4,10.7,12,13.3,14.6,15.9,17.2,18.5,20.2,21.9,23.6,25.3},{0,10,20,30,40,50,60,62,64,66,68,70,72,74,76,78,80,85,90,95,100})</f>
        <v>76</v>
      </c>
      <c r="G202" s="5">
        <v>160</v>
      </c>
      <c r="H202" s="7">
        <f>LOOKUP(G202,{0,125,130,135,140,145,150,153,156,159,162,165,168,171,174,177,180,187,194,200,206},{0,10,20,30,40,50,60,62,64,66,68,70,72,74,76,78,80,85,90,95,100})</f>
        <v>66</v>
      </c>
      <c r="I202" s="5">
        <v>48</v>
      </c>
      <c r="J202" s="7">
        <f>LOOKUP(I202,{0,15,17,19,21,23,25,27,29,31,33,35,37,39,41,43,45,48,51,53,55},{0,10,20,30,40,50,60,62,64,66,68,70,72,74,76,78,80,85,90,95,100})</f>
        <v>85</v>
      </c>
      <c r="K202" s="5"/>
      <c r="L202" s="5"/>
      <c r="M202" s="5">
        <f t="shared" si="95"/>
        <v>85</v>
      </c>
      <c r="N202" s="5">
        <v>9.6</v>
      </c>
      <c r="O202" s="10">
        <f t="shared" ref="O202:O207" si="101">18-N202</f>
        <v>8.4</v>
      </c>
      <c r="P202" s="7">
        <f>LOOKUP(O202,{0,6.6,6.8,7,7.2,7.4,7.6,7.8,8,8.2,8.4,8.6,8.8,9,9.2,9.4,9.6,9.9,10.2,10.3,10.4},{0,10,20,30,40,50,60,62,64,66,68,70,72,74,76,78,80,85,90,95,100})</f>
        <v>68</v>
      </c>
      <c r="Q202" s="5">
        <v>4.06</v>
      </c>
      <c r="R202" s="10">
        <f t="shared" ref="R202:R207" si="102">10-Q202</f>
        <v>5.94</v>
      </c>
      <c r="S202" s="7">
        <f>LOOKUP(R202,{0,4.74,4.84,4.94,5.44,5.54,5.64,5.69,5.74,5.79,5.84,5.89,5.94,5.99,6.44,6.49,6.54,6.61,6.68,6.74,6.8},{0,10,20,30,40,50,60,62,64,66,68,70,72,74,76,78,80,85,90,95,100})</f>
        <v>72</v>
      </c>
      <c r="T202" s="5"/>
      <c r="U202" s="5"/>
      <c r="V202" s="5">
        <f t="shared" ref="V202:V207" si="103">S202+U202</f>
        <v>72</v>
      </c>
      <c r="W202" s="5"/>
      <c r="X202" s="13">
        <f t="shared" si="99"/>
        <v>50.7</v>
      </c>
      <c r="Y202" s="13">
        <f t="shared" ref="Y202:Y207" si="104">X202/0.7+L202+U202</f>
        <v>72.4285714285714</v>
      </c>
    </row>
    <row r="203" ht="15.6" hidden="1" outlineLevel="2" spans="1:25">
      <c r="A203" s="5">
        <v>305</v>
      </c>
      <c r="B203" s="5">
        <v>42</v>
      </c>
      <c r="C203" s="9" t="s">
        <v>230</v>
      </c>
      <c r="D203" s="9" t="s">
        <v>46</v>
      </c>
      <c r="E203" s="5">
        <v>13</v>
      </c>
      <c r="F203" s="7">
        <f>LOOKUP(E203,{0,1.5,2.3,3.1,3.9,4.7,5.5,6.8,8.1,9.4,10.7,12,13.3,14.6,15.9,17.2,18.5,20.2,21.9,23.6,25.3},{0,10,20,30,40,50,60,62,64,66,68,70,72,74,76,78,80,85,90,95,100})</f>
        <v>70</v>
      </c>
      <c r="G203" s="5">
        <v>154</v>
      </c>
      <c r="H203" s="7">
        <f>LOOKUP(G203,{0,125,130,135,140,145,150,153,156,159,162,165,168,171,174,177,180,187,194,200,206},{0,10,20,30,40,50,60,62,64,66,68,70,72,74,76,78,80,85,90,95,100})</f>
        <v>62</v>
      </c>
      <c r="I203" s="5">
        <v>50</v>
      </c>
      <c r="J203" s="7">
        <f>LOOKUP(I203,{0,15,17,19,21,23,25,27,29,31,33,35,37,39,41,43,45,48,51,53,55},{0,10,20,30,40,50,60,62,64,66,68,70,72,74,76,78,80,85,90,95,100})</f>
        <v>85</v>
      </c>
      <c r="K203" s="5"/>
      <c r="L203" s="5"/>
      <c r="M203" s="5">
        <f t="shared" si="95"/>
        <v>85</v>
      </c>
      <c r="N203" s="5">
        <v>9.1</v>
      </c>
      <c r="O203" s="10">
        <f t="shared" si="101"/>
        <v>8.9</v>
      </c>
      <c r="P203" s="7">
        <f>LOOKUP(O203,{0,6.6,6.8,7,7.2,7.4,7.6,7.8,8,8.2,8.4,8.6,8.8,9,9.2,9.4,9.6,9.9,10.2,10.3,10.4},{0,10,20,30,40,50,60,62,64,66,68,70,72,74,76,78,80,85,90,95,100})</f>
        <v>72</v>
      </c>
      <c r="Q203" s="5">
        <v>3.56</v>
      </c>
      <c r="R203" s="10">
        <f t="shared" si="102"/>
        <v>6.44</v>
      </c>
      <c r="S203" s="7">
        <f>LOOKUP(R203,{0,4.74,4.84,4.94,5.44,5.54,5.64,5.69,5.74,5.79,5.84,5.89,5.94,5.99,6.44,6.49,6.54,6.61,6.68,6.74,6.8},{0,10,20,30,40,50,60,62,64,66,68,70,72,74,76,78,80,85,90,95,100})</f>
        <v>76</v>
      </c>
      <c r="T203" s="5"/>
      <c r="U203" s="5"/>
      <c r="V203" s="5">
        <f t="shared" si="103"/>
        <v>76</v>
      </c>
      <c r="W203" s="5"/>
      <c r="X203" s="13">
        <f t="shared" si="99"/>
        <v>51.3</v>
      </c>
      <c r="Y203" s="13">
        <f t="shared" si="104"/>
        <v>73.2857142857143</v>
      </c>
    </row>
    <row r="204" ht="15.6" hidden="1" outlineLevel="2" spans="1:25">
      <c r="A204" s="5">
        <v>305</v>
      </c>
      <c r="B204" s="5">
        <v>43</v>
      </c>
      <c r="C204" s="9" t="s">
        <v>231</v>
      </c>
      <c r="D204" s="9" t="s">
        <v>46</v>
      </c>
      <c r="E204" s="5">
        <v>21.5</v>
      </c>
      <c r="F204" s="7">
        <f>LOOKUP(E204,{0,1.5,2.3,3.1,3.9,4.7,5.5,6.8,8.1,9.4,10.7,12,13.3,14.6,15.9,17.2,18.5,20.2,21.9,23.6,25.3},{0,10,20,30,40,50,60,62,64,66,68,70,72,74,76,78,80,85,90,95,100})</f>
        <v>85</v>
      </c>
      <c r="G204" s="5">
        <v>205</v>
      </c>
      <c r="H204" s="7">
        <f>LOOKUP(G204,{0,125,130,135,140,145,150,153,156,159,162,165,168,171,174,177,180,187,194,200,206},{0,10,20,30,40,50,60,62,64,66,68,70,72,74,76,78,80,85,90,95,100})</f>
        <v>95</v>
      </c>
      <c r="I204" s="5">
        <v>43</v>
      </c>
      <c r="J204" s="7">
        <f>LOOKUP(I204,{0,15,17,19,21,23,25,27,29,31,33,35,37,39,41,43,45,48,51,53,55},{0,10,20,30,40,50,60,62,64,66,68,70,72,74,76,78,80,85,90,95,100})</f>
        <v>78</v>
      </c>
      <c r="K204" s="5"/>
      <c r="L204" s="5"/>
      <c r="M204" s="5">
        <f t="shared" si="95"/>
        <v>78</v>
      </c>
      <c r="N204" s="5">
        <v>8.1</v>
      </c>
      <c r="O204" s="10">
        <f t="shared" si="101"/>
        <v>9.9</v>
      </c>
      <c r="P204" s="7">
        <f>LOOKUP(O204,{0,6.6,6.8,7,7.2,7.4,7.6,7.8,8,8.2,8.4,8.6,8.8,9,9.2,9.4,9.6,9.9,10.2,10.3,10.4},{0,10,20,30,40,50,60,62,64,66,68,70,72,74,76,78,80,85,90,95,100})</f>
        <v>85</v>
      </c>
      <c r="Q204" s="5">
        <v>3.36</v>
      </c>
      <c r="R204" s="10">
        <f t="shared" si="102"/>
        <v>6.64</v>
      </c>
      <c r="S204" s="7">
        <f>LOOKUP(R204,{0,4.74,4.84,4.94,5.44,5.54,5.64,5.69,5.74,5.79,5.84,5.89,5.94,5.99,6.44,6.49,6.54,6.61,6.68,6.74,6.8},{0,10,20,30,40,50,60,62,64,66,68,70,72,74,76,78,80,85,90,95,100})</f>
        <v>85</v>
      </c>
      <c r="T204" s="5"/>
      <c r="U204" s="5"/>
      <c r="V204" s="5">
        <f t="shared" si="103"/>
        <v>85</v>
      </c>
      <c r="W204" s="5"/>
      <c r="X204" s="13">
        <f t="shared" si="99"/>
        <v>59.8</v>
      </c>
      <c r="Y204" s="13">
        <f t="shared" si="104"/>
        <v>85.4285714285714</v>
      </c>
    </row>
    <row r="205" ht="15.6" hidden="1" outlineLevel="2" spans="1:25">
      <c r="A205" s="5">
        <v>305</v>
      </c>
      <c r="B205" s="5">
        <v>44</v>
      </c>
      <c r="C205" s="9" t="s">
        <v>232</v>
      </c>
      <c r="D205" s="9" t="s">
        <v>46</v>
      </c>
      <c r="E205" s="5">
        <v>30.5</v>
      </c>
      <c r="F205" s="7">
        <f>LOOKUP(E205,{0,1.5,2.3,3.1,3.9,4.7,5.5,6.8,8.1,9.4,10.7,12,13.3,14.6,15.9,17.2,18.5,20.2,21.9,23.6,25.3},{0,10,20,30,40,50,60,62,64,66,68,70,72,74,76,78,80,85,90,95,100})</f>
        <v>100</v>
      </c>
      <c r="G205" s="5">
        <v>205</v>
      </c>
      <c r="H205" s="7">
        <f>LOOKUP(G205,{0,125,130,135,140,145,150,153,156,159,162,165,168,171,174,177,180,187,194,200,206},{0,10,20,30,40,50,60,62,64,66,68,70,72,74,76,78,80,85,90,95,100})</f>
        <v>95</v>
      </c>
      <c r="I205" s="5">
        <v>47</v>
      </c>
      <c r="J205" s="7">
        <f>LOOKUP(I205,{0,15,17,19,21,23,25,27,29,31,33,35,37,39,41,43,45,48,51,53,55},{0,10,20,30,40,50,60,62,64,66,68,70,72,74,76,78,80,85,90,95,100})</f>
        <v>80</v>
      </c>
      <c r="K205" s="5"/>
      <c r="L205" s="5"/>
      <c r="M205" s="5">
        <f t="shared" si="95"/>
        <v>80</v>
      </c>
      <c r="N205" s="5">
        <v>8.2</v>
      </c>
      <c r="O205" s="10">
        <f t="shared" si="101"/>
        <v>9.8</v>
      </c>
      <c r="P205" s="7">
        <f>LOOKUP(O205,{0,6.6,6.8,7,7.2,7.4,7.6,7.8,8,8.2,8.4,8.6,8.8,9,9.2,9.4,9.6,9.9,10.2,10.3,10.4},{0,10,20,30,40,50,60,62,64,66,68,70,72,74,76,78,80,85,90,95,100})</f>
        <v>80</v>
      </c>
      <c r="Q205" s="5">
        <v>4.35</v>
      </c>
      <c r="R205" s="10">
        <f t="shared" si="102"/>
        <v>5.65</v>
      </c>
      <c r="S205" s="7">
        <f>LOOKUP(R205,{0,4.74,4.84,4.94,5.44,5.54,5.64,5.69,5.74,5.79,5.84,5.89,5.94,5.99,6.44,6.49,6.54,6.61,6.68,6.74,6.8},{0,10,20,30,40,50,60,62,64,66,68,70,72,74,76,78,80,85,90,95,100})</f>
        <v>60</v>
      </c>
      <c r="T205" s="5"/>
      <c r="U205" s="5"/>
      <c r="V205" s="5">
        <f t="shared" si="103"/>
        <v>60</v>
      </c>
      <c r="W205" s="5"/>
      <c r="X205" s="13">
        <f t="shared" si="99"/>
        <v>55.5</v>
      </c>
      <c r="Y205" s="13">
        <f t="shared" si="104"/>
        <v>79.2857142857143</v>
      </c>
    </row>
    <row r="206" ht="15.6" hidden="1" outlineLevel="2" spans="1:25">
      <c r="A206" s="5">
        <v>305</v>
      </c>
      <c r="B206" s="5">
        <v>45</v>
      </c>
      <c r="C206" s="9" t="s">
        <v>233</v>
      </c>
      <c r="D206" s="9" t="s">
        <v>46</v>
      </c>
      <c r="E206" s="5">
        <v>12.5</v>
      </c>
      <c r="F206" s="7">
        <f>LOOKUP(E206,{0,1.5,2.3,3.1,3.9,4.7,5.5,6.8,8.1,9.4,10.7,12,13.3,14.6,15.9,17.2,18.5,20.2,21.9,23.6,25.3},{0,10,20,30,40,50,60,62,64,66,68,70,72,74,76,78,80,85,90,95,100})</f>
        <v>70</v>
      </c>
      <c r="G206" s="5">
        <v>157</v>
      </c>
      <c r="H206" s="7">
        <f>LOOKUP(G206,{0,125,130,135,140,145,150,153,156,159,162,165,168,171,174,177,180,187,194,200,206},{0,10,20,30,40,50,60,62,64,66,68,70,72,74,76,78,80,85,90,95,100})</f>
        <v>64</v>
      </c>
      <c r="I206" s="5">
        <v>48</v>
      </c>
      <c r="J206" s="7">
        <f>LOOKUP(I206,{0,15,17,19,21,23,25,27,29,31,33,35,37,39,41,43,45,48,51,53,55},{0,10,20,30,40,50,60,62,64,66,68,70,72,74,76,78,80,85,90,95,100})</f>
        <v>85</v>
      </c>
      <c r="K206" s="5"/>
      <c r="L206" s="5"/>
      <c r="M206" s="5">
        <f t="shared" si="95"/>
        <v>85</v>
      </c>
      <c r="N206" s="5">
        <v>9.1</v>
      </c>
      <c r="O206" s="10">
        <f t="shared" si="101"/>
        <v>8.9</v>
      </c>
      <c r="P206" s="7">
        <f>LOOKUP(O206,{0,6.6,6.8,7,7.2,7.4,7.6,7.8,8,8.2,8.4,8.6,8.8,9,9.2,9.4,9.6,9.9,10.2,10.3,10.4},{0,10,20,30,40,50,60,62,64,66,68,70,72,74,76,78,80,85,90,95,100})</f>
        <v>72</v>
      </c>
      <c r="Q206" s="5">
        <v>3.51</v>
      </c>
      <c r="R206" s="10">
        <f t="shared" si="102"/>
        <v>6.49</v>
      </c>
      <c r="S206" s="7">
        <f>LOOKUP(R206,{0,4.74,4.84,4.94,5.44,5.54,5.64,5.69,5.74,5.79,5.84,5.89,5.94,5.99,6.44,6.49,6.54,6.61,6.68,6.74,6.8},{0,10,20,30,40,50,60,62,64,66,68,70,72,74,76,78,80,85,90,95,100})</f>
        <v>78</v>
      </c>
      <c r="T206" s="5"/>
      <c r="U206" s="5"/>
      <c r="V206" s="5">
        <f t="shared" si="103"/>
        <v>78</v>
      </c>
      <c r="W206" s="5"/>
      <c r="X206" s="13">
        <f t="shared" si="99"/>
        <v>51.9</v>
      </c>
      <c r="Y206" s="13">
        <f t="shared" si="104"/>
        <v>74.1428571428571</v>
      </c>
    </row>
    <row r="207" ht="15.6" hidden="1" outlineLevel="2" spans="1:25">
      <c r="A207" s="5">
        <v>305</v>
      </c>
      <c r="B207" s="5">
        <v>46</v>
      </c>
      <c r="C207" s="9" t="s">
        <v>234</v>
      </c>
      <c r="D207" s="9" t="s">
        <v>46</v>
      </c>
      <c r="E207" s="5">
        <v>22.3</v>
      </c>
      <c r="F207" s="7">
        <f>LOOKUP(E207,{0,1.5,2.3,3.1,3.9,4.7,5.5,6.8,8.1,9.4,10.7,12,13.3,14.6,15.9,17.2,18.5,20.2,21.9,23.6,25.3},{0,10,20,30,40,50,60,62,64,66,68,70,72,74,76,78,80,85,90,95,100})</f>
        <v>90</v>
      </c>
      <c r="G207" s="5">
        <v>188</v>
      </c>
      <c r="H207" s="7">
        <f>LOOKUP(G207,{0,125,130,135,140,145,150,153,156,159,162,165,168,171,174,177,180,187,194,200,206},{0,10,20,30,40,50,60,62,64,66,68,70,72,74,76,78,80,85,90,95,100})</f>
        <v>85</v>
      </c>
      <c r="I207" s="5">
        <v>35</v>
      </c>
      <c r="J207" s="7">
        <f>LOOKUP(I207,{0,15,17,19,21,23,25,27,29,31,33,35,37,39,41,43,45,48,51,53,55},{0,10,20,30,40,50,60,62,64,66,68,70,72,74,76,78,80,85,90,95,100})</f>
        <v>70</v>
      </c>
      <c r="K207" s="5"/>
      <c r="L207" s="5"/>
      <c r="M207" s="5">
        <f t="shared" si="95"/>
        <v>70</v>
      </c>
      <c r="N207" s="5">
        <v>9.1</v>
      </c>
      <c r="O207" s="10">
        <f t="shared" si="101"/>
        <v>8.9</v>
      </c>
      <c r="P207" s="7">
        <f>LOOKUP(O207,{0,6.6,6.8,7,7.2,7.4,7.6,7.8,8,8.2,8.4,8.6,8.8,9,9.2,9.4,9.6,9.9,10.2,10.3,10.4},{0,10,20,30,40,50,60,62,64,66,68,70,72,74,76,78,80,85,90,95,100})</f>
        <v>72</v>
      </c>
      <c r="Q207" s="5">
        <v>4</v>
      </c>
      <c r="R207" s="10">
        <f t="shared" si="102"/>
        <v>6</v>
      </c>
      <c r="S207" s="7">
        <f>LOOKUP(R207,{0,4.74,4.84,4.94,5.44,5.54,5.64,5.69,5.74,5.79,5.84,5.89,5.94,5.99,6.44,6.49,6.54,6.61,6.68,6.74,6.8},{0,10,20,30,40,50,60,62,64,66,68,70,72,74,76,78,80,85,90,95,100})</f>
        <v>74</v>
      </c>
      <c r="T207" s="5"/>
      <c r="U207" s="5"/>
      <c r="V207" s="5">
        <f t="shared" si="103"/>
        <v>74</v>
      </c>
      <c r="W207" s="5"/>
      <c r="X207" s="13">
        <f t="shared" si="99"/>
        <v>53.7</v>
      </c>
      <c r="Y207" s="13">
        <f t="shared" si="104"/>
        <v>76.7142857142857</v>
      </c>
    </row>
    <row r="208" hidden="1" outlineLevel="2" spans="1:25">
      <c r="A208" s="5">
        <v>305</v>
      </c>
      <c r="B208" s="5">
        <v>47</v>
      </c>
      <c r="C208" s="9" t="s">
        <v>235</v>
      </c>
      <c r="D208" s="9" t="s">
        <v>46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>
        <v>50</v>
      </c>
      <c r="X208" s="13"/>
      <c r="Y208" s="13">
        <v>50</v>
      </c>
    </row>
    <row r="209" ht="15.6" hidden="1" outlineLevel="2" spans="1:25">
      <c r="A209" s="5">
        <v>305</v>
      </c>
      <c r="B209" s="5">
        <v>48</v>
      </c>
      <c r="C209" s="9" t="s">
        <v>236</v>
      </c>
      <c r="D209" s="9" t="s">
        <v>46</v>
      </c>
      <c r="E209" s="5">
        <v>8.6</v>
      </c>
      <c r="F209" s="7">
        <f>LOOKUP(E209,{0,1.5,2.3,3.1,3.9,4.7,5.5,6.8,8.1,9.4,10.7,12,13.3,14.6,15.9,17.2,18.5,20.2,21.9,23.6,25.3},{0,10,20,30,40,50,60,62,64,66,68,70,72,74,76,78,80,85,90,95,100})</f>
        <v>64</v>
      </c>
      <c r="G209" s="5">
        <v>135</v>
      </c>
      <c r="H209" s="7">
        <f>LOOKUP(G209,{0,125,130,135,140,145,150,153,156,159,162,165,168,171,174,177,180,187,194,200,206},{0,10,20,30,40,50,60,62,64,66,68,70,72,74,76,78,80,85,90,95,100})</f>
        <v>30</v>
      </c>
      <c r="I209" s="5">
        <v>33</v>
      </c>
      <c r="J209" s="7">
        <f>LOOKUP(I209,{0,15,17,19,21,23,25,27,29,31,33,35,37,39,41,43,45,48,51,53,55},{0,10,20,30,40,50,60,62,64,66,68,70,72,74,76,78,80,85,90,95,100})</f>
        <v>68</v>
      </c>
      <c r="K209" s="5"/>
      <c r="L209" s="5"/>
      <c r="M209" s="5">
        <f>J209+L209</f>
        <v>68</v>
      </c>
      <c r="N209" s="5">
        <v>11.9</v>
      </c>
      <c r="O209" s="10">
        <f>18-N209</f>
        <v>6.1</v>
      </c>
      <c r="P209" s="7">
        <f>LOOKUP(O209,{0,6.6,6.8,7,7.2,7.4,7.6,7.8,8,8.2,8.4,8.6,8.8,9,9.2,9.4,9.6,9.9,10.2,10.3,10.4},{0,10,20,30,40,50,60,62,64,66,68,70,72,74,76,78,80,85,90,95,100})</f>
        <v>0</v>
      </c>
      <c r="Q209" s="5">
        <v>5.16</v>
      </c>
      <c r="R209" s="10">
        <f>10-Q209</f>
        <v>4.84</v>
      </c>
      <c r="S209" s="7">
        <f>LOOKUP(R209,{0,4.74,4.84,4.94,5.44,5.54,5.64,5.69,5.74,5.79,5.84,5.89,5.94,5.99,6.44,6.49,6.54,6.61,6.68,6.74,6.8},{0,10,20,30,40,50,60,62,64,66,68,70,72,74,76,78,80,85,90,95,100})</f>
        <v>20</v>
      </c>
      <c r="T209" s="5"/>
      <c r="U209" s="5"/>
      <c r="V209" s="5">
        <f>S209+U209</f>
        <v>20</v>
      </c>
      <c r="W209" s="5"/>
      <c r="X209" s="13">
        <f>F209*0.1+H209*0.1+J209*0.1+P209*0.2+S209*0.2</f>
        <v>20.2</v>
      </c>
      <c r="Y209" s="13">
        <f>X209/0.7+L209+U209</f>
        <v>28.8571428571429</v>
      </c>
    </row>
    <row r="210" ht="15.6" hidden="1" outlineLevel="2" spans="1:25">
      <c r="A210" s="5">
        <v>305</v>
      </c>
      <c r="B210" s="5">
        <v>49</v>
      </c>
      <c r="C210" s="9" t="s">
        <v>237</v>
      </c>
      <c r="D210" s="9" t="s">
        <v>46</v>
      </c>
      <c r="E210" s="5">
        <v>16</v>
      </c>
      <c r="F210" s="7">
        <f>LOOKUP(E210,{0,1.5,2.3,3.1,3.9,4.7,5.5,6.8,8.1,9.4,10.7,12,13.3,14.6,15.9,17.2,18.5,20.2,21.9,23.6,25.3},{0,10,20,30,40,50,60,62,64,66,68,70,72,74,76,78,80,85,90,95,100})</f>
        <v>76</v>
      </c>
      <c r="G210" s="5">
        <v>165</v>
      </c>
      <c r="H210" s="7">
        <f>LOOKUP(G210,{0,125,130,135,140,145,150,153,156,159,162,165,168,171,174,177,180,187,194,200,206},{0,10,20,30,40,50,60,62,64,66,68,70,72,74,76,78,80,85,90,95,100})</f>
        <v>70</v>
      </c>
      <c r="I210" s="5">
        <v>51</v>
      </c>
      <c r="J210" s="7">
        <f>LOOKUP(I210,{0,15,17,19,21,23,25,27,29,31,33,35,37,39,41,43,45,48,51,53,55},{0,10,20,30,40,50,60,62,64,66,68,70,72,74,76,78,80,85,90,95,100})</f>
        <v>90</v>
      </c>
      <c r="K210" s="5"/>
      <c r="L210" s="5"/>
      <c r="M210" s="5">
        <f>J210+L210</f>
        <v>90</v>
      </c>
      <c r="N210" s="5">
        <v>9.1</v>
      </c>
      <c r="O210" s="10">
        <f>18-N210</f>
        <v>8.9</v>
      </c>
      <c r="P210" s="7">
        <f>LOOKUP(O210,{0,6.6,6.8,7,7.2,7.4,7.6,7.8,8,8.2,8.4,8.6,8.8,9,9.2,9.4,9.6,9.9,10.2,10.3,10.4},{0,10,20,30,40,50,60,62,64,66,68,70,72,74,76,78,80,85,90,95,100})</f>
        <v>72</v>
      </c>
      <c r="Q210" s="5">
        <v>3.34</v>
      </c>
      <c r="R210" s="10">
        <f>10-Q210</f>
        <v>6.66</v>
      </c>
      <c r="S210" s="7">
        <f>LOOKUP(R210,{0,4.74,4.84,4.94,5.44,5.54,5.64,5.69,5.74,5.79,5.84,5.89,5.94,5.99,6.44,6.49,6.54,6.61,6.68,6.74,6.8},{0,10,20,30,40,50,60,62,64,66,68,70,72,74,76,78,80,85,90,95,100})</f>
        <v>85</v>
      </c>
      <c r="T210" s="5"/>
      <c r="U210" s="5"/>
      <c r="V210" s="5">
        <f>S210+U210</f>
        <v>85</v>
      </c>
      <c r="W210" s="5"/>
      <c r="X210" s="13">
        <f>F210*0.1+H210*0.1+J210*0.1+P210*0.2+S210*0.2</f>
        <v>55</v>
      </c>
      <c r="Y210" s="13">
        <f>X210/0.7+L210+U210</f>
        <v>78.5714285714286</v>
      </c>
    </row>
    <row r="211" ht="15.6" hidden="1" outlineLevel="2" spans="1:25">
      <c r="A211" s="5">
        <v>305</v>
      </c>
      <c r="B211" s="5">
        <v>50</v>
      </c>
      <c r="C211" s="5" t="s">
        <v>238</v>
      </c>
      <c r="D211" s="5" t="s">
        <v>46</v>
      </c>
      <c r="E211" s="5">
        <v>8</v>
      </c>
      <c r="F211" s="7">
        <f>LOOKUP(E211,{0,1.5,2.3,3.1,3.9,4.7,5.5,6.8,8.1,9.4,10.7,12,13.3,14.6,15.9,17.2,18.5,20.2,21.9,23.6,25.3},{0,10,20,30,40,50,60,62,64,66,68,70,72,74,76,78,80,85,90,95,100})</f>
        <v>62</v>
      </c>
      <c r="G211" s="5" t="s">
        <v>77</v>
      </c>
      <c r="H211" s="7"/>
      <c r="I211" s="5">
        <v>58</v>
      </c>
      <c r="J211" s="7">
        <f>LOOKUP(I211,{0,15,17,19,21,23,25,27,29,31,33,35,37,39,41,43,45,48,51,53,55},{0,10,20,30,40,50,60,62,64,66,68,70,72,74,76,78,80,85,90,95,100})</f>
        <v>100</v>
      </c>
      <c r="K211" s="11">
        <f>I211-55</f>
        <v>3</v>
      </c>
      <c r="L211" s="7">
        <f>LOOKUP(K211,{0,2,4,6,7,8,9,10,11,12,13},{0,1,2,3,4,5,6,7,8,9,10})</f>
        <v>1</v>
      </c>
      <c r="M211" s="5">
        <f>J211+L211</f>
        <v>101</v>
      </c>
      <c r="N211" s="5" t="s">
        <v>77</v>
      </c>
      <c r="O211" s="5"/>
      <c r="P211" s="5"/>
      <c r="Q211" s="5" t="s">
        <v>77</v>
      </c>
      <c r="R211" s="5"/>
      <c r="S211" s="5"/>
      <c r="T211" s="5"/>
      <c r="U211" s="5"/>
      <c r="V211" s="5"/>
      <c r="W211" s="14">
        <v>50</v>
      </c>
      <c r="X211" s="13">
        <f>F211*0.1+H211*0.1+J211*0.1+P211*0.2+S211*0.2</f>
        <v>16.2</v>
      </c>
      <c r="Y211" s="13">
        <v>50</v>
      </c>
    </row>
    <row r="212" ht="15.6" hidden="1" outlineLevel="2" spans="1:25">
      <c r="A212" s="5">
        <v>305</v>
      </c>
      <c r="B212" s="5">
        <v>51</v>
      </c>
      <c r="C212" s="9" t="s">
        <v>239</v>
      </c>
      <c r="D212" s="9" t="s">
        <v>46</v>
      </c>
      <c r="E212" s="5">
        <v>24</v>
      </c>
      <c r="F212" s="7">
        <f>LOOKUP(E212,{0,1.5,2.3,3.1,3.9,4.7,5.5,6.8,8.1,9.4,10.7,12,13.3,14.6,15.9,17.2,18.5,20.2,21.9,23.6,25.3},{0,10,20,30,40,50,60,62,64,66,68,70,72,74,76,78,80,85,90,95,100})</f>
        <v>95</v>
      </c>
      <c r="G212" s="5">
        <v>160</v>
      </c>
      <c r="H212" s="7">
        <f>LOOKUP(G212,{0,125,130,135,140,145,150,153,156,159,162,165,168,171,174,177,180,187,194,200,206},{0,10,20,30,40,50,60,62,64,66,68,70,72,74,76,78,80,85,90,95,100})</f>
        <v>66</v>
      </c>
      <c r="I212" s="5">
        <v>38</v>
      </c>
      <c r="J212" s="7">
        <f>LOOKUP(I212,{0,15,17,19,21,23,25,27,29,31,33,35,37,39,41,43,45,48,51,53,55},{0,10,20,30,40,50,60,62,64,66,68,70,72,74,76,78,80,85,90,95,100})</f>
        <v>72</v>
      </c>
      <c r="K212" s="5"/>
      <c r="L212" s="5"/>
      <c r="M212" s="5">
        <f>J212+L212</f>
        <v>72</v>
      </c>
      <c r="N212" s="5">
        <v>9.7</v>
      </c>
      <c r="O212" s="10">
        <f>18-N212</f>
        <v>8.3</v>
      </c>
      <c r="P212" s="7">
        <f>LOOKUP(O212,{0,6.6,6.8,7,7.2,7.4,7.6,7.8,8,8.2,8.4,8.6,8.8,9,9.2,9.4,9.6,9.9,10.2,10.3,10.4},{0,10,20,30,40,50,60,62,64,66,68,70,72,74,76,78,80,85,90,95,100})</f>
        <v>66</v>
      </c>
      <c r="Q212" s="5">
        <v>5.22</v>
      </c>
      <c r="R212" s="10">
        <f>10-Q212</f>
        <v>4.78</v>
      </c>
      <c r="S212" s="7">
        <f>LOOKUP(R212,{0,4.74,4.84,4.94,5.44,5.54,5.64,5.69,5.74,5.79,5.84,5.89,5.94,5.99,6.44,6.49,6.54,6.61,6.68,6.74,6.8},{0,10,20,30,40,50,60,62,64,66,68,70,72,74,76,78,80,85,90,95,100})</f>
        <v>10</v>
      </c>
      <c r="T212" s="5"/>
      <c r="U212" s="5"/>
      <c r="V212" s="5">
        <f>S212+U212</f>
        <v>10</v>
      </c>
      <c r="W212" s="5"/>
      <c r="X212" s="13">
        <f>F212*0.1+H212*0.1+J212*0.1+P212*0.2+S212*0.2</f>
        <v>38.5</v>
      </c>
      <c r="Y212" s="13">
        <f>X212/0.7+L212+U212</f>
        <v>55</v>
      </c>
    </row>
    <row r="213" ht="15.6" hidden="1" outlineLevel="2" spans="1:25">
      <c r="A213" s="5">
        <v>305</v>
      </c>
      <c r="B213" s="5">
        <v>52</v>
      </c>
      <c r="C213" s="9" t="s">
        <v>240</v>
      </c>
      <c r="D213" s="9" t="s">
        <v>46</v>
      </c>
      <c r="E213" s="5">
        <v>10.5</v>
      </c>
      <c r="F213" s="7">
        <f>LOOKUP(E213,{0,1.5,2.3,3.1,3.9,4.7,5.5,6.8,8.1,9.4,10.7,12,13.3,14.6,15.9,17.2,18.5,20.2,21.9,23.6,25.3},{0,10,20,30,40,50,60,62,64,66,68,70,72,74,76,78,80,85,90,95,100})</f>
        <v>66</v>
      </c>
      <c r="G213" s="5">
        <v>172</v>
      </c>
      <c r="H213" s="7">
        <f>LOOKUP(G213,{0,125,130,135,140,145,150,153,156,159,162,165,168,171,174,177,180,187,194,200,206},{0,10,20,30,40,50,60,62,64,66,68,70,72,74,76,78,80,85,90,95,100})</f>
        <v>74</v>
      </c>
      <c r="I213" s="5">
        <v>51</v>
      </c>
      <c r="J213" s="7">
        <f>LOOKUP(I213,{0,15,17,19,21,23,25,27,29,31,33,35,37,39,41,43,45,48,51,53,55},{0,10,20,30,40,50,60,62,64,66,68,70,72,74,76,78,80,85,90,95,100})</f>
        <v>90</v>
      </c>
      <c r="K213" s="5"/>
      <c r="L213" s="5"/>
      <c r="M213" s="5">
        <f>J213+L213</f>
        <v>90</v>
      </c>
      <c r="N213" s="5">
        <v>9.2</v>
      </c>
      <c r="O213" s="10">
        <f>18-N213</f>
        <v>8.8</v>
      </c>
      <c r="P213" s="7">
        <f>LOOKUP(O213,{0,6.6,6.8,7,7.2,7.4,7.6,7.8,8,8.2,8.4,8.6,8.8,9,9.2,9.4,9.6,9.9,10.2,10.3,10.4},{0,10,20,30,40,50,60,62,64,66,68,70,72,74,76,78,80,85,90,95,100})</f>
        <v>72</v>
      </c>
      <c r="Q213" s="5">
        <v>4.01</v>
      </c>
      <c r="R213" s="10">
        <f>10-Q213</f>
        <v>5.99</v>
      </c>
      <c r="S213" s="7">
        <f>LOOKUP(R213,{0,4.74,4.84,4.94,5.44,5.54,5.64,5.69,5.74,5.79,5.84,5.89,5.94,5.99,6.44,6.49,6.54,6.61,6.68,6.74,6.8},{0,10,20,30,40,50,60,62,64,66,68,70,72,74,76,78,80,85,90,95,100})</f>
        <v>74</v>
      </c>
      <c r="T213" s="5"/>
      <c r="U213" s="5"/>
      <c r="V213" s="5">
        <f>S213+U213</f>
        <v>74</v>
      </c>
      <c r="W213" s="5"/>
      <c r="X213" s="13">
        <f>F213*0.1+H213*0.1+J213*0.1+P213*0.2+S213*0.2</f>
        <v>52.2</v>
      </c>
      <c r="Y213" s="13">
        <f>X213/0.7+L213+U213</f>
        <v>74.5714285714286</v>
      </c>
    </row>
    <row r="214" ht="15.6" outlineLevel="1" collapsed="1" spans="1:25">
      <c r="A214" s="6" t="s">
        <v>856</v>
      </c>
      <c r="B214" s="5"/>
      <c r="C214" s="9"/>
      <c r="D214" s="9"/>
      <c r="E214" s="5"/>
      <c r="F214" s="7">
        <f>SUBTOTAL(1,F162:F213)</f>
        <v>72.26</v>
      </c>
      <c r="G214" s="5"/>
      <c r="H214" s="7">
        <f>SUBTOTAL(1,H162:H213)</f>
        <v>71.4285714285714</v>
      </c>
      <c r="I214" s="5"/>
      <c r="J214" s="7">
        <f>SUBTOTAL(1,J162:J213)</f>
        <v>48.96</v>
      </c>
      <c r="K214" s="5"/>
      <c r="L214" s="5"/>
      <c r="M214" s="5">
        <f>SUBTOTAL(1,M162:M213)</f>
        <v>49.44</v>
      </c>
      <c r="N214" s="5"/>
      <c r="O214" s="10"/>
      <c r="P214" s="7">
        <f>SUBTOTAL(1,P162:P213)</f>
        <v>75.3958333333333</v>
      </c>
      <c r="Q214" s="5"/>
      <c r="R214" s="10"/>
      <c r="S214" s="7">
        <f>SUBTOTAL(1,S162:S213)</f>
        <v>53.5</v>
      </c>
      <c r="T214" s="5"/>
      <c r="U214" s="5"/>
      <c r="V214" s="5">
        <f>SUBTOTAL(1,V162:V213)</f>
        <v>53.5</v>
      </c>
      <c r="W214" s="5"/>
      <c r="X214" s="13">
        <f>SUBTOTAL(1,X162:X213)</f>
        <v>43.87</v>
      </c>
      <c r="Y214" s="13">
        <f>SUBTOTAL(1,Y162:Y213)</f>
        <v>63.3873626373626</v>
      </c>
    </row>
    <row r="215" ht="15.6" hidden="1" outlineLevel="2" spans="1:25">
      <c r="A215" s="5">
        <v>306</v>
      </c>
      <c r="B215" s="5">
        <v>1</v>
      </c>
      <c r="C215" s="8" t="s">
        <v>242</v>
      </c>
      <c r="D215" s="9" t="s">
        <v>12</v>
      </c>
      <c r="E215" s="5">
        <v>8</v>
      </c>
      <c r="F215" s="7">
        <f>LOOKUP(E215,{0,-1.8,-0.8,0.2,1.2,2.2,3.2,4.6,6,7.4,8.8,10.2,11.6,13,14.4,15.8,17.2,19.1,21,22.8,24.6},{0,10,20,30,40,50,60,62,64,66,68,70,72,74,76,78,80,85,90,95,100})</f>
        <v>66</v>
      </c>
      <c r="G215" s="5">
        <v>250</v>
      </c>
      <c r="H215" s="7">
        <f>LOOKUP(G215,{0,180,185,190,195,200,205,209,213,217,221,225,229,233,237,241,245,253,260,265,270},{0,10,20,30,40,50,60,62,64,66,68,70,72,74,76,78,80,85,90,95,100})</f>
        <v>80</v>
      </c>
      <c r="I215" s="5">
        <v>1</v>
      </c>
      <c r="J215" s="7">
        <f>LOOKUP(I215,{0,4,5,6,7,8,9,10,11,12,13,14,15,16,17,18},{0,10,20,30,40,50,60,64,68,72,76,80,85,90,95,100})</f>
        <v>0</v>
      </c>
      <c r="K215" s="5"/>
      <c r="L215" s="5"/>
      <c r="M215" s="5">
        <f>J215+L215</f>
        <v>0</v>
      </c>
      <c r="N215" s="5">
        <v>7.6</v>
      </c>
      <c r="O215" s="10">
        <f>18-N215</f>
        <v>10.4</v>
      </c>
      <c r="P215" s="7">
        <f>LOOKUP(O215,{0,7.8,8,8.2,8.4,8.6,8.8,9,9.2,9.4,9.6,9.8,10,10.2,10.4,10.6,10.8,10.9,11,11.1,11.2},{0,10,20,30,40,50,60,62,64,66,68,70,72,74,76,78,80,85,90,95,100})</f>
        <v>76</v>
      </c>
      <c r="Q215" s="5">
        <v>4.36</v>
      </c>
      <c r="R215" s="10">
        <f>10-Q215</f>
        <v>5.64</v>
      </c>
      <c r="S215" s="7">
        <f>LOOKUP(R215,{0,3.85,4.45,4.65,4.85,5.45,5.65,5.7,5.75,5.8,5.85,5.9,5.95,6,6.45,6.5,6.55,6.63,6.7,6.75,6.8},{0,10,20,30,40,50,60,62,64,66,68,70,72,74,76,78,80,85,90,95,100})</f>
        <v>50</v>
      </c>
      <c r="T215" s="5"/>
      <c r="U215" s="5"/>
      <c r="V215" s="5">
        <f>S215+U215</f>
        <v>50</v>
      </c>
      <c r="W215" s="5"/>
      <c r="X215" s="13">
        <f>F215*0.1+H215*0.1+J215*0.1+P215*0.2+S215*0.2</f>
        <v>39.8</v>
      </c>
      <c r="Y215" s="13">
        <f>X215/0.7+L215+U215</f>
        <v>56.8571428571429</v>
      </c>
    </row>
    <row r="216" ht="15.6" hidden="1" outlineLevel="2" spans="1:25">
      <c r="A216" s="5">
        <v>306</v>
      </c>
      <c r="B216" s="5">
        <v>2</v>
      </c>
      <c r="C216" s="9" t="s">
        <v>243</v>
      </c>
      <c r="D216" s="9" t="s">
        <v>12</v>
      </c>
      <c r="E216" s="5">
        <v>-1</v>
      </c>
      <c r="F216" s="7">
        <f>LOOKUP(E216,{0,-1.8,-0.8,0.2,1.2,2.2,3.2,4.6,6,7.4,8.8,10.2,11.6,13,14.4,15.8,17.2,19.1,21,22.8,24.6},{0,10,20,30,40,50,60,62,64,66,68,70,72,74,76,78,80,85,90,95,100})</f>
        <v>10</v>
      </c>
      <c r="G216" s="5">
        <v>225</v>
      </c>
      <c r="H216" s="7">
        <f>LOOKUP(G216,{0,180,185,190,195,200,205,209,213,217,221,225,229,233,237,241,245,253,260,265,270},{0,10,20,30,40,50,60,62,64,66,68,70,72,74,76,78,80,85,90,95,100})</f>
        <v>70</v>
      </c>
      <c r="I216" s="5">
        <v>0</v>
      </c>
      <c r="J216" s="7">
        <f>LOOKUP(I216,{0,4,5,6,7,8,9,10,11,12,13,14,15,16,17,18},{0,10,20,30,40,50,60,64,68,72,76,80,85,90,95,100})</f>
        <v>0</v>
      </c>
      <c r="K216" s="5"/>
      <c r="L216" s="5"/>
      <c r="M216" s="5">
        <f>J216+L216</f>
        <v>0</v>
      </c>
      <c r="N216" s="5">
        <v>7.3</v>
      </c>
      <c r="O216" s="10">
        <f>18-N216</f>
        <v>10.7</v>
      </c>
      <c r="P216" s="7">
        <f>LOOKUP(O216,{0,7.8,8,8.2,8.4,8.6,8.8,9,9.2,9.4,9.6,9.8,10,10.2,10.4,10.6,10.8,10.9,11,11.1,11.2},{0,10,20,30,40,50,60,62,64,66,68,70,72,74,76,78,80,85,90,95,100})</f>
        <v>78</v>
      </c>
      <c r="Q216" s="5">
        <v>4.41</v>
      </c>
      <c r="R216" s="10">
        <f>10-Q216</f>
        <v>5.59</v>
      </c>
      <c r="S216" s="7">
        <f>LOOKUP(R216,{0,3.85,4.45,4.65,4.85,5.45,5.65,5.7,5.75,5.8,5.85,5.9,5.95,6,6.45,6.5,6.55,6.63,6.7,6.75,6.8},{0,10,20,30,40,50,60,62,64,66,68,70,72,74,76,78,80,85,90,95,100})</f>
        <v>50</v>
      </c>
      <c r="T216" s="5"/>
      <c r="U216" s="5"/>
      <c r="V216" s="5">
        <f>S216+U216</f>
        <v>50</v>
      </c>
      <c r="W216" s="5"/>
      <c r="X216" s="13">
        <f>F216*0.1+H216*0.1+J216*0.1+P216*0.2+S216*0.2</f>
        <v>33.6</v>
      </c>
      <c r="Y216" s="13">
        <f>X216/0.7+L216+U216</f>
        <v>48</v>
      </c>
    </row>
    <row r="217" ht="15.6" hidden="1" outlineLevel="2" spans="1:25">
      <c r="A217" s="5">
        <v>306</v>
      </c>
      <c r="B217" s="5">
        <v>3</v>
      </c>
      <c r="C217" s="9" t="s">
        <v>244</v>
      </c>
      <c r="D217" s="9" t="s">
        <v>12</v>
      </c>
      <c r="E217" s="5">
        <v>12.5</v>
      </c>
      <c r="F217" s="7">
        <f>LOOKUP(E217,{0,-1.8,-0.8,0.2,1.2,2.2,3.2,4.6,6,7.4,8.8,10.2,11.6,13,14.4,15.8,17.2,19.1,21,22.8,24.6},{0,10,20,30,40,50,60,62,64,66,68,70,72,74,76,78,80,85,90,95,100})</f>
        <v>72</v>
      </c>
      <c r="G217" s="5">
        <v>227</v>
      </c>
      <c r="H217" s="7">
        <f>LOOKUP(G217,{0,180,185,190,195,200,205,209,213,217,221,225,229,233,237,241,245,253,260,265,270},{0,10,20,30,40,50,60,62,64,66,68,70,72,74,76,78,80,85,90,95,100})</f>
        <v>70</v>
      </c>
      <c r="I217" s="5">
        <v>1</v>
      </c>
      <c r="J217" s="7">
        <f>LOOKUP(I217,{0,4,5,6,7,8,9,10,11,12,13,14,15,16,17,18},{0,10,20,30,40,50,60,64,68,72,76,80,85,90,95,100})</f>
        <v>0</v>
      </c>
      <c r="K217" s="5"/>
      <c r="L217" s="5"/>
      <c r="M217" s="5">
        <f>J217+L217</f>
        <v>0</v>
      </c>
      <c r="N217" s="5">
        <v>7.1</v>
      </c>
      <c r="O217" s="10">
        <f>18-N217</f>
        <v>10.9</v>
      </c>
      <c r="P217" s="7">
        <f>LOOKUP(O217,{0,7.8,8,8.2,8.4,8.6,8.8,9,9.2,9.4,9.6,9.8,10,10.2,10.4,10.6,10.8,10.9,11,11.1,11.2},{0,10,20,30,40,50,60,62,64,66,68,70,72,74,76,78,80,85,90,95,100})</f>
        <v>85</v>
      </c>
      <c r="Q217" s="5">
        <v>4.36</v>
      </c>
      <c r="R217" s="10">
        <f>10-Q217</f>
        <v>5.64</v>
      </c>
      <c r="S217" s="7">
        <f>LOOKUP(R217,{0,3.85,4.45,4.65,4.85,5.45,5.65,5.7,5.75,5.8,5.85,5.9,5.95,6,6.45,6.5,6.55,6.63,6.7,6.75,6.8},{0,10,20,30,40,50,60,62,64,66,68,70,72,74,76,78,80,85,90,95,100})</f>
        <v>50</v>
      </c>
      <c r="T217" s="5"/>
      <c r="U217" s="5"/>
      <c r="V217" s="5">
        <f>S217+U217</f>
        <v>50</v>
      </c>
      <c r="W217" s="5"/>
      <c r="X217" s="13">
        <f>F217*0.1+H217*0.1+J217*0.1+P217*0.2+S217*0.2</f>
        <v>41.2</v>
      </c>
      <c r="Y217" s="13">
        <f>X217/0.7+L217+U217</f>
        <v>58.8571428571429</v>
      </c>
    </row>
    <row r="218" ht="15.6" hidden="1" outlineLevel="2" spans="1:25">
      <c r="A218" s="5">
        <v>306</v>
      </c>
      <c r="B218" s="5">
        <v>4</v>
      </c>
      <c r="C218" s="9" t="s">
        <v>245</v>
      </c>
      <c r="D218" s="9" t="s">
        <v>12</v>
      </c>
      <c r="E218" s="5"/>
      <c r="F218" s="7"/>
      <c r="G218" s="5"/>
      <c r="H218" s="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>
        <v>50</v>
      </c>
      <c r="X218" s="13"/>
      <c r="Y218" s="13">
        <v>50</v>
      </c>
    </row>
    <row r="219" ht="15.6" hidden="1" outlineLevel="2" spans="1:25">
      <c r="A219" s="5">
        <v>306</v>
      </c>
      <c r="B219" s="5">
        <v>5</v>
      </c>
      <c r="C219" s="9" t="s">
        <v>246</v>
      </c>
      <c r="D219" s="9" t="s">
        <v>12</v>
      </c>
      <c r="E219" s="5">
        <v>11</v>
      </c>
      <c r="F219" s="7">
        <f>LOOKUP(E219,{0,-1.8,-0.8,0.2,1.2,2.2,3.2,4.6,6,7.4,8.8,10.2,11.6,13,14.4,15.8,17.2,19.1,21,22.8,24.6},{0,10,20,30,40,50,60,62,64,66,68,70,72,74,76,78,80,85,90,95,100})</f>
        <v>70</v>
      </c>
      <c r="G219" s="5">
        <v>211</v>
      </c>
      <c r="H219" s="7">
        <f>LOOKUP(G219,{0,180,185,190,195,200,205,209,213,217,221,225,229,233,237,241,245,253,260,265,270},{0,10,20,30,40,50,60,62,64,66,68,70,72,74,76,78,80,85,90,95,100})</f>
        <v>62</v>
      </c>
      <c r="I219" s="5">
        <v>1</v>
      </c>
      <c r="J219" s="7">
        <f>LOOKUP(I219,{0,4,5,6,7,8,9,10,11,12,13,14,15,16,17,18},{0,10,20,30,40,50,60,64,68,72,76,80,85,90,95,100})</f>
        <v>0</v>
      </c>
      <c r="K219" s="5"/>
      <c r="L219" s="5"/>
      <c r="M219" s="5">
        <f t="shared" ref="M219:M226" si="105">J219+L219</f>
        <v>0</v>
      </c>
      <c r="N219" s="5">
        <v>7.8</v>
      </c>
      <c r="O219" s="10">
        <f t="shared" ref="O219:O226" si="106">18-N219</f>
        <v>10.2</v>
      </c>
      <c r="P219" s="7">
        <f>LOOKUP(O219,{0,7.8,8,8.2,8.4,8.6,8.8,9,9.2,9.4,9.6,9.8,10,10.2,10.4,10.6,10.8,10.9,11,11.1,11.2},{0,10,20,30,40,50,60,62,64,66,68,70,72,74,76,78,80,85,90,95,100})</f>
        <v>74</v>
      </c>
      <c r="Q219" s="5">
        <v>4.3</v>
      </c>
      <c r="R219" s="10">
        <f t="shared" ref="R219:R226" si="107">10-Q219</f>
        <v>5.7</v>
      </c>
      <c r="S219" s="7">
        <f>LOOKUP(R219,{0,3.85,4.45,4.65,4.85,5.45,5.65,5.7,5.75,5.8,5.85,5.9,5.95,6,6.45,6.5,6.55,6.63,6.7,6.75,6.8},{0,10,20,30,40,50,60,62,64,66,68,70,72,74,76,78,80,85,90,95,100})</f>
        <v>62</v>
      </c>
      <c r="T219" s="5"/>
      <c r="U219" s="5"/>
      <c r="V219" s="5">
        <f t="shared" ref="V219:V226" si="108">S219+U219</f>
        <v>62</v>
      </c>
      <c r="W219" s="5"/>
      <c r="X219" s="13">
        <f t="shared" ref="X219:X226" si="109">F219*0.1+H219*0.1+J219*0.1+P219*0.2+S219*0.2</f>
        <v>40.4</v>
      </c>
      <c r="Y219" s="13">
        <f t="shared" ref="Y219:Y226" si="110">X219/0.7+L219+U219</f>
        <v>57.7142857142857</v>
      </c>
    </row>
    <row r="220" ht="15.6" hidden="1" outlineLevel="2" spans="1:25">
      <c r="A220" s="5">
        <v>306</v>
      </c>
      <c r="B220" s="5">
        <v>6</v>
      </c>
      <c r="C220" s="9" t="s">
        <v>247</v>
      </c>
      <c r="D220" s="9" t="s">
        <v>12</v>
      </c>
      <c r="E220" s="5">
        <v>-9</v>
      </c>
      <c r="F220" s="7">
        <v>0</v>
      </c>
      <c r="G220" s="5">
        <v>215</v>
      </c>
      <c r="H220" s="7">
        <f>LOOKUP(G220,{0,180,185,190,195,200,205,209,213,217,221,225,229,233,237,241,245,253,260,265,270},{0,10,20,30,40,50,60,62,64,66,68,70,72,74,76,78,80,85,90,95,100})</f>
        <v>64</v>
      </c>
      <c r="I220" s="5">
        <v>6</v>
      </c>
      <c r="J220" s="7">
        <f>LOOKUP(I220,{0,4,5,6,7,8,9,10,11,12,13,14,15,16,17,18},{0,10,20,30,40,50,60,64,68,72,76,80,85,90,95,100})</f>
        <v>30</v>
      </c>
      <c r="K220" s="5"/>
      <c r="L220" s="5"/>
      <c r="M220" s="5">
        <f t="shared" si="105"/>
        <v>30</v>
      </c>
      <c r="N220" s="5">
        <v>7.5</v>
      </c>
      <c r="O220" s="10">
        <f t="shared" si="106"/>
        <v>10.5</v>
      </c>
      <c r="P220" s="7">
        <f>LOOKUP(O220,{0,7.8,8,8.2,8.4,8.6,8.8,9,9.2,9.4,9.6,9.8,10,10.2,10.4,10.6,10.8,10.9,11,11.1,11.2},{0,10,20,30,40,50,60,62,64,66,68,70,72,74,76,78,80,85,90,95,100})</f>
        <v>76</v>
      </c>
      <c r="Q220" s="5">
        <v>3.56</v>
      </c>
      <c r="R220" s="10">
        <f t="shared" si="107"/>
        <v>6.44</v>
      </c>
      <c r="S220" s="7">
        <f>LOOKUP(R220,{0,3.85,4.45,4.65,4.85,5.45,5.65,5.7,5.75,5.8,5.85,5.9,5.95,6,6.45,6.5,6.55,6.63,6.7,6.75,6.8},{0,10,20,30,40,50,60,62,64,66,68,70,72,74,76,78,80,85,90,95,100})</f>
        <v>74</v>
      </c>
      <c r="T220" s="5"/>
      <c r="U220" s="5"/>
      <c r="V220" s="5">
        <f t="shared" si="108"/>
        <v>74</v>
      </c>
      <c r="W220" s="5"/>
      <c r="X220" s="13">
        <f t="shared" si="109"/>
        <v>39.4</v>
      </c>
      <c r="Y220" s="13">
        <f t="shared" si="110"/>
        <v>56.2857142857143</v>
      </c>
    </row>
    <row r="221" ht="15.6" hidden="1" outlineLevel="2" spans="1:25">
      <c r="A221" s="5">
        <v>306</v>
      </c>
      <c r="B221" s="5">
        <v>7</v>
      </c>
      <c r="C221" s="9" t="s">
        <v>248</v>
      </c>
      <c r="D221" s="9" t="s">
        <v>12</v>
      </c>
      <c r="E221" s="5">
        <v>0.5</v>
      </c>
      <c r="F221" s="7">
        <f>LOOKUP(E221,{0,-1.8,-0.8,0.2,1.2,2.2,3.2,4.6,6,7.4,8.8,10.2,11.6,13,14.4,15.8,17.2,19.1,21,22.8,24.6},{0,10,20,30,40,50,60,62,64,66,68,70,72,74,76,78,80,85,90,95,100})</f>
        <v>30</v>
      </c>
      <c r="G221" s="5">
        <v>227</v>
      </c>
      <c r="H221" s="7">
        <f>LOOKUP(G221,{0,180,185,190,195,200,205,209,213,217,221,225,229,233,237,241,245,253,260,265,270},{0,10,20,30,40,50,60,62,64,66,68,70,72,74,76,78,80,85,90,95,100})</f>
        <v>70</v>
      </c>
      <c r="I221" s="5">
        <v>17</v>
      </c>
      <c r="J221" s="7">
        <f>LOOKUP(I221,{0,4,5,6,7,8,9,10,11,12,13,14,15,16,17,18},{0,10,20,30,40,50,60,64,68,72,76,80,85,90,95,100})</f>
        <v>95</v>
      </c>
      <c r="K221" s="5"/>
      <c r="L221" s="5"/>
      <c r="M221" s="5">
        <f t="shared" si="105"/>
        <v>95</v>
      </c>
      <c r="N221" s="5">
        <v>6.9</v>
      </c>
      <c r="O221" s="10">
        <f t="shared" si="106"/>
        <v>11.1</v>
      </c>
      <c r="P221" s="7">
        <f>LOOKUP(O221,{0,7.8,8,8.2,8.4,8.6,8.8,9,9.2,9.4,9.6,9.8,10,10.2,10.4,10.6,10.8,10.9,11,11.1,11.2},{0,10,20,30,40,50,60,62,64,66,68,70,72,74,76,78,80,85,90,95,100})</f>
        <v>95</v>
      </c>
      <c r="Q221" s="5">
        <v>4.36</v>
      </c>
      <c r="R221" s="10">
        <f t="shared" si="107"/>
        <v>5.64</v>
      </c>
      <c r="S221" s="7">
        <f>LOOKUP(R221,{0,3.85,4.45,4.65,4.85,5.45,5.65,5.7,5.75,5.8,5.85,5.9,5.95,6,6.45,6.5,6.55,6.63,6.7,6.75,6.8},{0,10,20,30,40,50,60,62,64,66,68,70,72,74,76,78,80,85,90,95,100})</f>
        <v>50</v>
      </c>
      <c r="T221" s="5"/>
      <c r="U221" s="5"/>
      <c r="V221" s="5">
        <f t="shared" si="108"/>
        <v>50</v>
      </c>
      <c r="W221" s="5"/>
      <c r="X221" s="13">
        <f t="shared" si="109"/>
        <v>48.5</v>
      </c>
      <c r="Y221" s="13">
        <f t="shared" si="110"/>
        <v>69.2857142857143</v>
      </c>
    </row>
    <row r="222" ht="15.6" hidden="1" outlineLevel="2" spans="1:25">
      <c r="A222" s="5">
        <v>306</v>
      </c>
      <c r="B222" s="5">
        <v>8</v>
      </c>
      <c r="C222" s="9" t="s">
        <v>249</v>
      </c>
      <c r="D222" s="9" t="s">
        <v>12</v>
      </c>
      <c r="E222" s="5">
        <v>16</v>
      </c>
      <c r="F222" s="7">
        <f>LOOKUP(E222,{0,-1.8,-0.8,0.2,1.2,2.2,3.2,4.6,6,7.4,8.8,10.2,11.6,13,14.4,15.8,17.2,19.1,21,22.8,24.6},{0,10,20,30,40,50,60,62,64,66,68,70,72,74,76,78,80,85,90,95,100})</f>
        <v>78</v>
      </c>
      <c r="G222" s="5">
        <v>215</v>
      </c>
      <c r="H222" s="7">
        <f>LOOKUP(G222,{0,180,185,190,195,200,205,209,213,217,221,225,229,233,237,241,245,253,260,265,270},{0,10,20,30,40,50,60,62,64,66,68,70,72,74,76,78,80,85,90,95,100})</f>
        <v>64</v>
      </c>
      <c r="I222" s="5">
        <v>3</v>
      </c>
      <c r="J222" s="7">
        <f>LOOKUP(I222,{0,4,5,6,7,8,9,10,11,12,13,14,15,16,17,18},{0,10,20,30,40,50,60,64,68,72,76,80,85,90,95,100})</f>
        <v>0</v>
      </c>
      <c r="K222" s="5"/>
      <c r="L222" s="5"/>
      <c r="M222" s="5">
        <f t="shared" si="105"/>
        <v>0</v>
      </c>
      <c r="N222" s="5">
        <v>7</v>
      </c>
      <c r="O222" s="10">
        <f t="shared" si="106"/>
        <v>11</v>
      </c>
      <c r="P222" s="7">
        <f>LOOKUP(O222,{0,7.8,8,8.2,8.4,8.6,8.8,9,9.2,9.4,9.6,9.8,10,10.2,10.4,10.6,10.8,10.9,11,11.1,11.2},{0,10,20,30,40,50,60,62,64,66,68,70,72,74,76,78,80,85,90,95,100})</f>
        <v>90</v>
      </c>
      <c r="Q222" s="5">
        <v>4.36</v>
      </c>
      <c r="R222" s="10">
        <f t="shared" si="107"/>
        <v>5.64</v>
      </c>
      <c r="S222" s="7">
        <f>LOOKUP(R222,{0,3.85,4.45,4.65,4.85,5.45,5.65,5.7,5.75,5.8,5.85,5.9,5.95,6,6.45,6.5,6.55,6.63,6.7,6.75,6.8},{0,10,20,30,40,50,60,62,64,66,68,70,72,74,76,78,80,85,90,95,100})</f>
        <v>50</v>
      </c>
      <c r="T222" s="5"/>
      <c r="U222" s="5"/>
      <c r="V222" s="5">
        <f t="shared" si="108"/>
        <v>50</v>
      </c>
      <c r="W222" s="5"/>
      <c r="X222" s="13">
        <f t="shared" si="109"/>
        <v>42.2</v>
      </c>
      <c r="Y222" s="13">
        <f t="shared" si="110"/>
        <v>60.2857142857143</v>
      </c>
    </row>
    <row r="223" ht="15.6" hidden="1" outlineLevel="2" spans="1:25">
      <c r="A223" s="5">
        <v>306</v>
      </c>
      <c r="B223" s="5">
        <v>9</v>
      </c>
      <c r="C223" s="9" t="s">
        <v>250</v>
      </c>
      <c r="D223" s="9" t="s">
        <v>12</v>
      </c>
      <c r="E223" s="5">
        <v>20.5</v>
      </c>
      <c r="F223" s="7">
        <f>LOOKUP(E223,{0,-1.8,-0.8,0.2,1.2,2.2,3.2,4.6,6,7.4,8.8,10.2,11.6,13,14.4,15.8,17.2,19.1,21,22.8,24.6},{0,10,20,30,40,50,60,62,64,66,68,70,72,74,76,78,80,85,90,95,100})</f>
        <v>85</v>
      </c>
      <c r="G223" s="5">
        <v>244</v>
      </c>
      <c r="H223" s="7">
        <f>LOOKUP(G223,{0,180,185,190,195,200,205,209,213,217,221,225,229,233,237,241,245,253,260,265,270},{0,10,20,30,40,50,60,62,64,66,68,70,72,74,76,78,80,85,90,95,100})</f>
        <v>78</v>
      </c>
      <c r="I223" s="5">
        <v>11</v>
      </c>
      <c r="J223" s="7">
        <f>LOOKUP(I223,{0,4,5,6,7,8,9,10,11,12,13,14,15,16,17,18},{0,10,20,30,40,50,60,64,68,72,76,80,85,90,95,100})</f>
        <v>68</v>
      </c>
      <c r="K223" s="5"/>
      <c r="L223" s="5"/>
      <c r="M223" s="5">
        <f t="shared" si="105"/>
        <v>68</v>
      </c>
      <c r="N223" s="5">
        <v>7.1</v>
      </c>
      <c r="O223" s="10">
        <f t="shared" si="106"/>
        <v>10.9</v>
      </c>
      <c r="P223" s="7">
        <f>LOOKUP(O223,{0,7.8,8,8.2,8.4,8.6,8.8,9,9.2,9.4,9.6,9.8,10,10.2,10.4,10.6,10.8,10.9,11,11.1,11.2},{0,10,20,30,40,50,60,62,64,66,68,70,72,74,76,78,80,85,90,95,100})</f>
        <v>85</v>
      </c>
      <c r="Q223" s="5">
        <v>3.41</v>
      </c>
      <c r="R223" s="10">
        <f t="shared" si="107"/>
        <v>6.59</v>
      </c>
      <c r="S223" s="7">
        <f>LOOKUP(R223,{0,3.85,4.45,4.65,4.85,5.45,5.65,5.7,5.75,5.8,5.85,5.9,5.95,6,6.45,6.5,6.55,6.63,6.7,6.75,6.8},{0,10,20,30,40,50,60,62,64,66,68,70,72,74,76,78,80,85,90,95,100})</f>
        <v>80</v>
      </c>
      <c r="T223" s="5"/>
      <c r="U223" s="5"/>
      <c r="V223" s="5">
        <f t="shared" si="108"/>
        <v>80</v>
      </c>
      <c r="W223" s="5"/>
      <c r="X223" s="13">
        <f t="shared" si="109"/>
        <v>56.1</v>
      </c>
      <c r="Y223" s="13">
        <f t="shared" si="110"/>
        <v>80.1428571428572</v>
      </c>
    </row>
    <row r="224" ht="15.6" hidden="1" outlineLevel="2" spans="1:25">
      <c r="A224" s="5">
        <v>306</v>
      </c>
      <c r="B224" s="5">
        <v>10</v>
      </c>
      <c r="C224" s="9" t="s">
        <v>251</v>
      </c>
      <c r="D224" s="9" t="s">
        <v>12</v>
      </c>
      <c r="E224" s="5">
        <v>3.2</v>
      </c>
      <c r="F224" s="7">
        <f>LOOKUP(E224,{0,-1.8,-0.8,0.2,1.2,2.2,3.2,4.6,6,7.4,8.8,10.2,11.6,13,14.4,15.8,17.2,19.1,21,22.8,24.6},{0,10,20,30,40,50,60,62,64,66,68,70,72,74,76,78,80,85,90,95,100})</f>
        <v>60</v>
      </c>
      <c r="G224" s="5">
        <v>240</v>
      </c>
      <c r="H224" s="7">
        <f>LOOKUP(G224,{0,180,185,190,195,200,205,209,213,217,221,225,229,233,237,241,245,253,260,265,270},{0,10,20,30,40,50,60,62,64,66,68,70,72,74,76,78,80,85,90,95,100})</f>
        <v>76</v>
      </c>
      <c r="I224" s="5">
        <v>10</v>
      </c>
      <c r="J224" s="7">
        <f>LOOKUP(I224,{0,4,5,6,7,8,9,10,11,12,13,14,15,16,17,18},{0,10,20,30,40,50,60,64,68,72,76,80,85,90,95,100})</f>
        <v>64</v>
      </c>
      <c r="K224" s="5"/>
      <c r="L224" s="5"/>
      <c r="M224" s="5">
        <f t="shared" si="105"/>
        <v>64</v>
      </c>
      <c r="N224" s="5">
        <v>6.6</v>
      </c>
      <c r="O224" s="10">
        <f t="shared" si="106"/>
        <v>11.4</v>
      </c>
      <c r="P224" s="7">
        <f>LOOKUP(O224,{0,7.8,8,8.2,8.4,8.6,8.8,9,9.2,9.4,9.6,9.8,10,10.2,10.4,10.6,10.8,10.9,11,11.1,11.2},{0,10,20,30,40,50,60,62,64,66,68,70,72,74,76,78,80,85,90,95,100})</f>
        <v>100</v>
      </c>
      <c r="Q224" s="5">
        <v>5.42</v>
      </c>
      <c r="R224" s="10">
        <f t="shared" si="107"/>
        <v>4.58</v>
      </c>
      <c r="S224" s="7">
        <f>LOOKUP(R224,{0,3.85,4.45,4.65,4.85,5.45,5.65,5.7,5.75,5.8,5.85,5.9,5.95,6,6.45,6.5,6.55,6.63,6.7,6.75,6.8},{0,10,20,30,40,50,60,62,64,66,68,70,72,74,76,78,80,85,90,95,100})</f>
        <v>20</v>
      </c>
      <c r="T224" s="5"/>
      <c r="U224" s="5"/>
      <c r="V224" s="5">
        <f t="shared" si="108"/>
        <v>20</v>
      </c>
      <c r="W224" s="5"/>
      <c r="X224" s="13">
        <f t="shared" si="109"/>
        <v>44</v>
      </c>
      <c r="Y224" s="13">
        <f t="shared" si="110"/>
        <v>62.8571428571429</v>
      </c>
    </row>
    <row r="225" ht="15.6" hidden="1" outlineLevel="2" spans="1:25">
      <c r="A225" s="5">
        <v>306</v>
      </c>
      <c r="B225" s="5">
        <v>11</v>
      </c>
      <c r="C225" s="8" t="s">
        <v>253</v>
      </c>
      <c r="D225" s="9" t="s">
        <v>12</v>
      </c>
      <c r="E225" s="5">
        <v>20</v>
      </c>
      <c r="F225" s="7">
        <f>LOOKUP(E225,{0,-1.8,-0.8,0.2,1.2,2.2,3.2,4.6,6,7.4,8.8,10.2,11.6,13,14.4,15.8,17.2,19.1,21,22.8,24.6},{0,10,20,30,40,50,60,62,64,66,68,70,72,74,76,78,80,85,90,95,100})</f>
        <v>85</v>
      </c>
      <c r="G225" s="5">
        <v>242</v>
      </c>
      <c r="H225" s="7">
        <f>LOOKUP(G225,{0,180,185,190,195,200,205,209,213,217,221,225,229,233,237,241,245,253,260,265,270},{0,10,20,30,40,50,60,62,64,66,68,70,72,74,76,78,80,85,90,95,100})</f>
        <v>78</v>
      </c>
      <c r="I225" s="5">
        <v>5</v>
      </c>
      <c r="J225" s="7">
        <f>LOOKUP(I225,{0,4,5,6,7,8,9,10,11,12,13,14,15,16,17,18},{0,10,20,30,40,50,60,64,68,72,76,80,85,90,95,100})</f>
        <v>20</v>
      </c>
      <c r="K225" s="5"/>
      <c r="L225" s="5"/>
      <c r="M225" s="5">
        <f t="shared" si="105"/>
        <v>20</v>
      </c>
      <c r="N225" s="5">
        <v>7.5</v>
      </c>
      <c r="O225" s="10">
        <f t="shared" si="106"/>
        <v>10.5</v>
      </c>
      <c r="P225" s="7">
        <f>LOOKUP(O225,{0,7.8,8,8.2,8.4,8.6,8.8,9,9.2,9.4,9.6,9.8,10,10.2,10.4,10.6,10.8,10.9,11,11.1,11.2},{0,10,20,30,40,50,60,62,64,66,68,70,72,74,76,78,80,85,90,95,100})</f>
        <v>76</v>
      </c>
      <c r="Q225" s="5">
        <v>4.05</v>
      </c>
      <c r="R225" s="10">
        <f t="shared" si="107"/>
        <v>5.95</v>
      </c>
      <c r="S225" s="7">
        <f>LOOKUP(R225,{0,3.85,4.45,4.65,4.85,5.45,5.65,5.7,5.75,5.8,5.85,5.9,5.95,6,6.45,6.5,6.55,6.63,6.7,6.75,6.8},{0,10,20,30,40,50,60,62,64,66,68,70,72,74,76,78,80,85,90,95,100})</f>
        <v>72</v>
      </c>
      <c r="T225" s="5"/>
      <c r="U225" s="5"/>
      <c r="V225" s="5">
        <f t="shared" si="108"/>
        <v>72</v>
      </c>
      <c r="W225" s="5"/>
      <c r="X225" s="13">
        <f t="shared" si="109"/>
        <v>47.9</v>
      </c>
      <c r="Y225" s="13">
        <f t="shared" si="110"/>
        <v>68.4285714285714</v>
      </c>
    </row>
    <row r="226" ht="15.6" hidden="1" outlineLevel="2" spans="1:25">
      <c r="A226" s="5">
        <v>306</v>
      </c>
      <c r="B226" s="5">
        <v>12</v>
      </c>
      <c r="C226" s="9" t="s">
        <v>254</v>
      </c>
      <c r="D226" s="9" t="s">
        <v>12</v>
      </c>
      <c r="E226" s="5">
        <v>5.7</v>
      </c>
      <c r="F226" s="7">
        <f>LOOKUP(E226,{0,-1.8,-0.8,0.2,1.2,2.2,3.2,4.6,6,7.4,8.8,10.2,11.6,13,14.4,15.8,17.2,19.1,21,22.8,24.6},{0,10,20,30,40,50,60,62,64,66,68,70,72,74,76,78,80,85,90,95,100})</f>
        <v>62</v>
      </c>
      <c r="G226" s="5">
        <v>230</v>
      </c>
      <c r="H226" s="7">
        <f>LOOKUP(G226,{0,180,185,190,195,200,205,209,213,217,221,225,229,233,237,241,245,253,260,265,270},{0,10,20,30,40,50,60,62,64,66,68,70,72,74,76,78,80,85,90,95,100})</f>
        <v>72</v>
      </c>
      <c r="I226" s="5">
        <v>2</v>
      </c>
      <c r="J226" s="7">
        <f>LOOKUP(I226,{0,4,5,6,7,8,9,10,11,12,13,14,15,16,17,18},{0,10,20,30,40,50,60,64,68,72,76,80,85,90,95,100})</f>
        <v>0</v>
      </c>
      <c r="K226" s="5"/>
      <c r="L226" s="5"/>
      <c r="M226" s="5">
        <f t="shared" si="105"/>
        <v>0</v>
      </c>
      <c r="N226" s="5">
        <v>7.2</v>
      </c>
      <c r="O226" s="10">
        <f t="shared" si="106"/>
        <v>10.8</v>
      </c>
      <c r="P226" s="7">
        <f>LOOKUP(O226,{0,7.8,8,8.2,8.4,8.6,8.8,9,9.2,9.4,9.6,9.8,10,10.2,10.4,10.6,10.8,10.9,11,11.1,11.2},{0,10,20,30,40,50,60,62,64,66,68,70,72,74,76,78,80,85,90,95,100})</f>
        <v>80</v>
      </c>
      <c r="Q226" s="5">
        <v>4.19</v>
      </c>
      <c r="R226" s="10">
        <f t="shared" si="107"/>
        <v>5.81</v>
      </c>
      <c r="S226" s="7">
        <f>LOOKUP(R226,{0,3.85,4.45,4.65,4.85,5.45,5.65,5.7,5.75,5.8,5.85,5.9,5.95,6,6.45,6.5,6.55,6.63,6.7,6.75,6.8},{0,10,20,30,40,50,60,62,64,66,68,70,72,74,76,78,80,85,90,95,100})</f>
        <v>66</v>
      </c>
      <c r="T226" s="5"/>
      <c r="U226" s="5"/>
      <c r="V226" s="5">
        <f t="shared" si="108"/>
        <v>66</v>
      </c>
      <c r="W226" s="5"/>
      <c r="X226" s="13">
        <f t="shared" si="109"/>
        <v>42.6</v>
      </c>
      <c r="Y226" s="13">
        <f t="shared" si="110"/>
        <v>60.8571428571429</v>
      </c>
    </row>
    <row r="227" ht="15.6" hidden="1" outlineLevel="2" spans="1:25">
      <c r="A227" s="5">
        <v>306</v>
      </c>
      <c r="B227" s="5">
        <v>13</v>
      </c>
      <c r="C227" s="9" t="s">
        <v>255</v>
      </c>
      <c r="D227" s="9" t="s">
        <v>12</v>
      </c>
      <c r="E227" s="5"/>
      <c r="F227" s="7"/>
      <c r="G227" s="5"/>
      <c r="H227" s="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>
        <v>50</v>
      </c>
      <c r="X227" s="13"/>
      <c r="Y227" s="13">
        <v>50</v>
      </c>
    </row>
    <row r="228" ht="15.6" hidden="1" outlineLevel="2" spans="1:25">
      <c r="A228" s="5">
        <v>306</v>
      </c>
      <c r="B228" s="5">
        <v>14</v>
      </c>
      <c r="C228" s="9" t="s">
        <v>256</v>
      </c>
      <c r="D228" s="9" t="s">
        <v>12</v>
      </c>
      <c r="E228" s="5">
        <v>3.4</v>
      </c>
      <c r="F228" s="7">
        <f>LOOKUP(E228,{0,-1.8,-0.8,0.2,1.2,2.2,3.2,4.6,6,7.4,8.8,10.2,11.6,13,14.4,15.8,17.2,19.1,21,22.8,24.6},{0,10,20,30,40,50,60,62,64,66,68,70,72,74,76,78,80,85,90,95,100})</f>
        <v>60</v>
      </c>
      <c r="G228" s="5">
        <v>212</v>
      </c>
      <c r="H228" s="7">
        <f>LOOKUP(G228,{0,180,185,190,195,200,205,209,213,217,221,225,229,233,237,241,245,253,260,265,270},{0,10,20,30,40,50,60,62,64,66,68,70,72,74,76,78,80,85,90,95,100})</f>
        <v>62</v>
      </c>
      <c r="I228" s="5">
        <v>1</v>
      </c>
      <c r="J228" s="7">
        <f>LOOKUP(I228,{0,4,5,6,7,8,9,10,11,12,13,14,15,16,17,18},{0,10,20,30,40,50,60,64,68,72,76,80,85,90,95,100})</f>
        <v>0</v>
      </c>
      <c r="K228" s="5"/>
      <c r="L228" s="5"/>
      <c r="M228" s="5">
        <f t="shared" ref="M228:M247" si="111">J228+L228</f>
        <v>0</v>
      </c>
      <c r="N228" s="5">
        <v>7.2</v>
      </c>
      <c r="O228" s="10">
        <f t="shared" ref="O228:O247" si="112">18-N228</f>
        <v>10.8</v>
      </c>
      <c r="P228" s="7">
        <f>LOOKUP(O228,{0,7.8,8,8.2,8.4,8.6,8.8,9,9.2,9.4,9.6,9.8,10,10.2,10.4,10.6,10.8,10.9,11,11.1,11.2},{0,10,20,30,40,50,60,62,64,66,68,70,72,74,76,78,80,85,90,95,100})</f>
        <v>80</v>
      </c>
      <c r="Q228" s="5">
        <v>5.57</v>
      </c>
      <c r="R228" s="10">
        <f t="shared" ref="R228:R247" si="113">10-Q228</f>
        <v>4.43</v>
      </c>
      <c r="S228" s="7">
        <f>LOOKUP(R228,{0,3.85,4.45,4.65,4.85,5.45,5.65,5.7,5.75,5.8,5.85,5.9,5.95,6,6.45,6.5,6.55,6.63,6.7,6.75,6.8},{0,10,20,30,40,50,60,62,64,66,68,70,72,74,76,78,80,85,90,95,100})</f>
        <v>10</v>
      </c>
      <c r="T228" s="5"/>
      <c r="U228" s="5"/>
      <c r="V228" s="5">
        <f t="shared" ref="V228:V247" si="114">S228+U228</f>
        <v>10</v>
      </c>
      <c r="W228" s="5"/>
      <c r="X228" s="13">
        <f t="shared" ref="X228:X247" si="115">F228*0.1+H228*0.1+J228*0.1+P228*0.2+S228*0.2</f>
        <v>30.2</v>
      </c>
      <c r="Y228" s="13">
        <f t="shared" ref="Y228:Y247" si="116">X228/0.7+L228+U228</f>
        <v>43.1428571428571</v>
      </c>
    </row>
    <row r="229" ht="15.6" hidden="1" outlineLevel="2" spans="1:25">
      <c r="A229" s="5">
        <v>306</v>
      </c>
      <c r="B229" s="5">
        <v>15</v>
      </c>
      <c r="C229" s="9" t="s">
        <v>257</v>
      </c>
      <c r="D229" s="9" t="s">
        <v>12</v>
      </c>
      <c r="E229" s="5">
        <v>10.3</v>
      </c>
      <c r="F229" s="7">
        <f>LOOKUP(E229,{0,-1.8,-0.8,0.2,1.2,2.2,3.2,4.6,6,7.4,8.8,10.2,11.6,13,14.4,15.8,17.2,19.1,21,22.8,24.6},{0,10,20,30,40,50,60,62,64,66,68,70,72,74,76,78,80,85,90,95,100})</f>
        <v>70</v>
      </c>
      <c r="G229" s="5">
        <v>265</v>
      </c>
      <c r="H229" s="7">
        <f>LOOKUP(G229,{0,180,185,190,195,200,205,209,213,217,221,225,229,233,237,241,245,253,260,265,270},{0,10,20,30,40,50,60,62,64,66,68,70,72,74,76,78,80,85,90,95,100})</f>
        <v>95</v>
      </c>
      <c r="I229" s="5">
        <v>20</v>
      </c>
      <c r="J229" s="7">
        <f>LOOKUP(I229,{0,4,5,6,7,8,9,10,11,12,13,14,15,16,17,18},{0,10,20,30,40,50,60,64,68,72,76,80,85,90,95,100})</f>
        <v>100</v>
      </c>
      <c r="K229" s="5">
        <f>I229-18</f>
        <v>2</v>
      </c>
      <c r="L229" s="7">
        <f>LOOKUP(K229,{0,1,2,3,4,5,6,7,8,9,10},{0,1,2,3,4,5,6,7,8,9,10})</f>
        <v>2</v>
      </c>
      <c r="M229" s="5">
        <f t="shared" si="111"/>
        <v>102</v>
      </c>
      <c r="N229" s="5">
        <v>7</v>
      </c>
      <c r="O229" s="10">
        <f t="shared" si="112"/>
        <v>11</v>
      </c>
      <c r="P229" s="7">
        <f>LOOKUP(O229,{0,7.8,8,8.2,8.4,8.6,8.8,9,9.2,9.4,9.6,9.8,10,10.2,10.4,10.6,10.8,10.9,11,11.1,11.2},{0,10,20,30,40,50,60,62,64,66,68,70,72,74,76,78,80,85,90,95,100})</f>
        <v>90</v>
      </c>
      <c r="Q229" s="5">
        <v>3.47</v>
      </c>
      <c r="R229" s="10">
        <f t="shared" si="113"/>
        <v>6.53</v>
      </c>
      <c r="S229" s="7">
        <f>LOOKUP(R229,{0,3.85,4.45,4.65,4.85,5.45,5.65,5.7,5.75,5.8,5.85,5.9,5.95,6,6.45,6.5,6.55,6.63,6.7,6.75,6.8},{0,10,20,30,40,50,60,62,64,66,68,70,72,74,76,78,80,85,90,95,100})</f>
        <v>78</v>
      </c>
      <c r="T229" s="5"/>
      <c r="U229" s="5"/>
      <c r="V229" s="5">
        <f t="shared" si="114"/>
        <v>78</v>
      </c>
      <c r="W229" s="5"/>
      <c r="X229" s="13">
        <f t="shared" si="115"/>
        <v>60.1</v>
      </c>
      <c r="Y229" s="13">
        <f t="shared" si="116"/>
        <v>87.8571428571429</v>
      </c>
    </row>
    <row r="230" ht="15.6" hidden="1" outlineLevel="2" spans="1:25">
      <c r="A230" s="5">
        <v>306</v>
      </c>
      <c r="B230" s="5">
        <v>16</v>
      </c>
      <c r="C230" s="9" t="s">
        <v>258</v>
      </c>
      <c r="D230" s="9" t="s">
        <v>12</v>
      </c>
      <c r="E230" s="5">
        <v>12.7</v>
      </c>
      <c r="F230" s="7">
        <f>LOOKUP(E230,{0,-1.8,-0.8,0.2,1.2,2.2,3.2,4.6,6,7.4,8.8,10.2,11.6,13,14.4,15.8,17.2,19.1,21,22.8,24.6},{0,10,20,30,40,50,60,62,64,66,68,70,72,74,76,78,80,85,90,95,100})</f>
        <v>72</v>
      </c>
      <c r="G230" s="5">
        <v>240</v>
      </c>
      <c r="H230" s="7">
        <f>LOOKUP(G230,{0,180,185,190,195,200,205,209,213,217,221,225,229,233,237,241,245,253,260,265,270},{0,10,20,30,40,50,60,62,64,66,68,70,72,74,76,78,80,85,90,95,100})</f>
        <v>76</v>
      </c>
      <c r="I230" s="5">
        <v>9</v>
      </c>
      <c r="J230" s="7">
        <f>LOOKUP(I230,{0,4,5,6,7,8,9,10,11,12,13,14,15,16,17,18},{0,10,20,30,40,50,60,64,68,72,76,80,85,90,95,100})</f>
        <v>60</v>
      </c>
      <c r="K230" s="5"/>
      <c r="L230" s="5"/>
      <c r="M230" s="5">
        <f t="shared" si="111"/>
        <v>60</v>
      </c>
      <c r="N230" s="5">
        <v>7</v>
      </c>
      <c r="O230" s="10">
        <f t="shared" si="112"/>
        <v>11</v>
      </c>
      <c r="P230" s="7">
        <f>LOOKUP(O230,{0,7.8,8,8.2,8.4,8.6,8.8,9,9.2,9.4,9.6,9.8,10,10.2,10.4,10.6,10.8,10.9,11,11.1,11.2},{0,10,20,30,40,50,60,62,64,66,68,70,72,74,76,78,80,85,90,95,100})</f>
        <v>90</v>
      </c>
      <c r="Q230" s="5">
        <v>5.57</v>
      </c>
      <c r="R230" s="10">
        <f t="shared" si="113"/>
        <v>4.43</v>
      </c>
      <c r="S230" s="7">
        <f>LOOKUP(R230,{0,3.85,4.45,4.65,4.85,5.45,5.65,5.7,5.75,5.8,5.85,5.9,5.95,6,6.45,6.5,6.55,6.63,6.7,6.75,6.8},{0,10,20,30,40,50,60,62,64,66,68,70,72,74,76,78,80,85,90,95,100})</f>
        <v>10</v>
      </c>
      <c r="T230" s="5"/>
      <c r="U230" s="5"/>
      <c r="V230" s="5">
        <f t="shared" si="114"/>
        <v>10</v>
      </c>
      <c r="W230" s="5"/>
      <c r="X230" s="13">
        <f t="shared" si="115"/>
        <v>40.8</v>
      </c>
      <c r="Y230" s="13">
        <f t="shared" si="116"/>
        <v>58.2857142857143</v>
      </c>
    </row>
    <row r="231" ht="15.6" hidden="1" outlineLevel="2" spans="1:25">
      <c r="A231" s="5">
        <v>306</v>
      </c>
      <c r="B231" s="5">
        <v>17</v>
      </c>
      <c r="C231" s="9" t="s">
        <v>259</v>
      </c>
      <c r="D231" s="9" t="s">
        <v>12</v>
      </c>
      <c r="E231" s="5">
        <v>13.3</v>
      </c>
      <c r="F231" s="7">
        <f>LOOKUP(E231,{0,-1.8,-0.8,0.2,1.2,2.2,3.2,4.6,6,7.4,8.8,10.2,11.6,13,14.4,15.8,17.2,19.1,21,22.8,24.6},{0,10,20,30,40,50,60,62,64,66,68,70,72,74,76,78,80,85,90,95,100})</f>
        <v>74</v>
      </c>
      <c r="G231" s="5">
        <v>255</v>
      </c>
      <c r="H231" s="7">
        <f>LOOKUP(G231,{0,180,185,190,195,200,205,209,213,217,221,225,229,233,237,241,245,253,260,265,270},{0,10,20,30,40,50,60,62,64,66,68,70,72,74,76,78,80,85,90,95,100})</f>
        <v>85</v>
      </c>
      <c r="I231" s="5">
        <v>19</v>
      </c>
      <c r="J231" s="7">
        <f>LOOKUP(I231,{0,4,5,6,7,8,9,10,11,12,13,14,15,16,17,18},{0,10,20,30,40,50,60,64,68,72,76,80,85,90,95,100})</f>
        <v>100</v>
      </c>
      <c r="K231" s="5">
        <f>I231-18</f>
        <v>1</v>
      </c>
      <c r="L231" s="7">
        <f>LOOKUP(K231,{0,1,2,3,4,5,6,7,8,9,10},{0,1,2,3,4,5,6,7,8,9,10})</f>
        <v>1</v>
      </c>
      <c r="M231" s="5">
        <f t="shared" si="111"/>
        <v>101</v>
      </c>
      <c r="N231" s="5">
        <v>6.7</v>
      </c>
      <c r="O231" s="10">
        <f t="shared" si="112"/>
        <v>11.3</v>
      </c>
      <c r="P231" s="7">
        <f>LOOKUP(O231,{0,7.8,8,8.2,8.4,8.6,8.8,9,9.2,9.4,9.6,9.8,10,10.2,10.4,10.6,10.8,10.9,11,11.1,11.2},{0,10,20,30,40,50,60,62,64,66,68,70,72,74,76,78,80,85,90,95,100})</f>
        <v>100</v>
      </c>
      <c r="Q231" s="5">
        <v>3.36</v>
      </c>
      <c r="R231" s="10">
        <f t="shared" si="113"/>
        <v>6.64</v>
      </c>
      <c r="S231" s="7">
        <f>LOOKUP(R231,{0,3.85,4.45,4.65,4.85,5.45,5.65,5.7,5.75,5.8,5.85,5.9,5.95,6,6.45,6.5,6.55,6.63,6.7,6.75,6.8},{0,10,20,30,40,50,60,62,64,66,68,70,72,74,76,78,80,85,90,95,100})</f>
        <v>85</v>
      </c>
      <c r="T231" s="5"/>
      <c r="U231" s="5"/>
      <c r="V231" s="5">
        <f t="shared" si="114"/>
        <v>85</v>
      </c>
      <c r="W231" s="5"/>
      <c r="X231" s="13">
        <f t="shared" si="115"/>
        <v>62.9</v>
      </c>
      <c r="Y231" s="13">
        <f t="shared" si="116"/>
        <v>90.8571428571429</v>
      </c>
    </row>
    <row r="232" ht="15.6" hidden="1" outlineLevel="2" spans="1:25">
      <c r="A232" s="5">
        <v>306</v>
      </c>
      <c r="B232" s="5">
        <v>18</v>
      </c>
      <c r="C232" s="9" t="s">
        <v>260</v>
      </c>
      <c r="D232" s="9" t="s">
        <v>12</v>
      </c>
      <c r="E232" s="5">
        <v>6.1</v>
      </c>
      <c r="F232" s="7">
        <f>LOOKUP(E232,{0,-1.8,-0.8,0.2,1.2,2.2,3.2,4.6,6,7.4,8.8,10.2,11.6,13,14.4,15.8,17.2,19.1,21,22.8,24.6},{0,10,20,30,40,50,60,62,64,66,68,70,72,74,76,78,80,85,90,95,100})</f>
        <v>64</v>
      </c>
      <c r="G232" s="5">
        <v>225</v>
      </c>
      <c r="H232" s="7">
        <f>LOOKUP(G232,{0,180,185,190,195,200,205,209,213,217,221,225,229,233,237,241,245,253,260,265,270},{0,10,20,30,40,50,60,62,64,66,68,70,72,74,76,78,80,85,90,95,100})</f>
        <v>70</v>
      </c>
      <c r="I232" s="5">
        <v>3</v>
      </c>
      <c r="J232" s="7">
        <f>LOOKUP(I232,{0,4,5,6,7,8,9,10,11,12,13,14,15,16,17,18},{0,10,20,30,40,50,60,64,68,72,76,80,85,90,95,100})</f>
        <v>0</v>
      </c>
      <c r="K232" s="5"/>
      <c r="L232" s="5"/>
      <c r="M232" s="5">
        <f t="shared" si="111"/>
        <v>0</v>
      </c>
      <c r="N232" s="5">
        <v>7.2</v>
      </c>
      <c r="O232" s="10">
        <f t="shared" si="112"/>
        <v>10.8</v>
      </c>
      <c r="P232" s="7">
        <f>LOOKUP(O232,{0,7.8,8,8.2,8.4,8.6,8.8,9,9.2,9.4,9.6,9.8,10,10.2,10.4,10.6,10.8,10.9,11,11.1,11.2},{0,10,20,30,40,50,60,62,64,66,68,70,72,74,76,78,80,85,90,95,100})</f>
        <v>80</v>
      </c>
      <c r="Q232" s="5">
        <v>4.25</v>
      </c>
      <c r="R232" s="10">
        <f t="shared" si="113"/>
        <v>5.75</v>
      </c>
      <c r="S232" s="7">
        <f>LOOKUP(R232,{0,3.85,4.45,4.65,4.85,5.45,5.65,5.7,5.75,5.8,5.85,5.9,5.95,6,6.45,6.5,6.55,6.63,6.7,6.75,6.8},{0,10,20,30,40,50,60,62,64,66,68,70,72,74,76,78,80,85,90,95,100})</f>
        <v>64</v>
      </c>
      <c r="T232" s="5"/>
      <c r="U232" s="5"/>
      <c r="V232" s="5">
        <f t="shared" si="114"/>
        <v>64</v>
      </c>
      <c r="W232" s="5"/>
      <c r="X232" s="13">
        <f t="shared" si="115"/>
        <v>42.2</v>
      </c>
      <c r="Y232" s="13">
        <f t="shared" si="116"/>
        <v>60.2857142857143</v>
      </c>
    </row>
    <row r="233" ht="15.6" hidden="1" outlineLevel="2" spans="1:25">
      <c r="A233" s="5">
        <v>306</v>
      </c>
      <c r="B233" s="5">
        <v>19</v>
      </c>
      <c r="C233" s="9" t="s">
        <v>261</v>
      </c>
      <c r="D233" s="9" t="s">
        <v>12</v>
      </c>
      <c r="E233" s="5">
        <v>3.5</v>
      </c>
      <c r="F233" s="7">
        <f>LOOKUP(E233,{0,-1.8,-0.8,0.2,1.2,2.2,3.2,4.6,6,7.4,8.8,10.2,11.6,13,14.4,15.8,17.2,19.1,21,22.8,24.6},{0,10,20,30,40,50,60,62,64,66,68,70,72,74,76,78,80,85,90,95,100})</f>
        <v>60</v>
      </c>
      <c r="G233" s="5">
        <v>253</v>
      </c>
      <c r="H233" s="7">
        <f>LOOKUP(G233,{0,180,185,190,195,200,205,209,213,217,221,225,229,233,237,241,245,253,260,265,270},{0,10,20,30,40,50,60,62,64,66,68,70,72,74,76,78,80,85,90,95,100})</f>
        <v>85</v>
      </c>
      <c r="I233" s="5">
        <v>3</v>
      </c>
      <c r="J233" s="7">
        <f>LOOKUP(I233,{0,4,5,6,7,8,9,10,11,12,13,14,15,16,17,18},{0,10,20,30,40,50,60,64,68,72,76,80,85,90,95,100})</f>
        <v>0</v>
      </c>
      <c r="K233" s="5"/>
      <c r="L233" s="5"/>
      <c r="M233" s="5">
        <f t="shared" si="111"/>
        <v>0</v>
      </c>
      <c r="N233" s="5">
        <v>6.9</v>
      </c>
      <c r="O233" s="10">
        <f t="shared" si="112"/>
        <v>11.1</v>
      </c>
      <c r="P233" s="7">
        <f>LOOKUP(O233,{0,7.8,8,8.2,8.4,8.6,8.8,9,9.2,9.4,9.6,9.8,10,10.2,10.4,10.6,10.8,10.9,11,11.1,11.2},{0,10,20,30,40,50,60,62,64,66,68,70,72,74,76,78,80,85,90,95,100})</f>
        <v>95</v>
      </c>
      <c r="Q233" s="5">
        <v>4.09</v>
      </c>
      <c r="R233" s="10">
        <f t="shared" si="113"/>
        <v>5.91</v>
      </c>
      <c r="S233" s="7">
        <f>LOOKUP(R233,{0,3.85,4.45,4.65,4.85,5.45,5.65,5.7,5.75,5.8,5.85,5.9,5.95,6,6.45,6.5,6.55,6.63,6.7,6.75,6.8},{0,10,20,30,40,50,60,62,64,66,68,70,72,74,76,78,80,85,90,95,100})</f>
        <v>70</v>
      </c>
      <c r="T233" s="5"/>
      <c r="U233" s="5"/>
      <c r="V233" s="5">
        <f t="shared" si="114"/>
        <v>70</v>
      </c>
      <c r="W233" s="5"/>
      <c r="X233" s="13">
        <f t="shared" si="115"/>
        <v>47.5</v>
      </c>
      <c r="Y233" s="13">
        <f t="shared" si="116"/>
        <v>67.8571428571429</v>
      </c>
    </row>
    <row r="234" ht="15.6" hidden="1" outlineLevel="2" spans="1:25">
      <c r="A234" s="5">
        <v>306</v>
      </c>
      <c r="B234" s="5">
        <v>20</v>
      </c>
      <c r="C234" s="9" t="s">
        <v>262</v>
      </c>
      <c r="D234" s="9" t="s">
        <v>12</v>
      </c>
      <c r="E234" s="5">
        <v>8.2</v>
      </c>
      <c r="F234" s="7">
        <f>LOOKUP(E234,{0,-1.8,-0.8,0.2,1.2,2.2,3.2,4.6,6,7.4,8.8,10.2,11.6,13,14.4,15.8,17.2,19.1,21,22.8,24.6},{0,10,20,30,40,50,60,62,64,66,68,70,72,74,76,78,80,85,90,95,100})</f>
        <v>66</v>
      </c>
      <c r="G234" s="5">
        <v>230</v>
      </c>
      <c r="H234" s="7">
        <f>LOOKUP(G234,{0,180,185,190,195,200,205,209,213,217,221,225,229,233,237,241,245,253,260,265,270},{0,10,20,30,40,50,60,62,64,66,68,70,72,74,76,78,80,85,90,95,100})</f>
        <v>72</v>
      </c>
      <c r="I234" s="5">
        <v>10</v>
      </c>
      <c r="J234" s="7">
        <f>LOOKUP(I234,{0,4,5,6,7,8,9,10,11,12,13,14,15,16,17,18},{0,10,20,30,40,50,60,64,68,72,76,80,85,90,95,100})</f>
        <v>64</v>
      </c>
      <c r="K234" s="5"/>
      <c r="L234" s="5"/>
      <c r="M234" s="5">
        <f t="shared" si="111"/>
        <v>64</v>
      </c>
      <c r="N234" s="5">
        <v>7.5</v>
      </c>
      <c r="O234" s="10">
        <f t="shared" si="112"/>
        <v>10.5</v>
      </c>
      <c r="P234" s="7">
        <f>LOOKUP(O234,{0,7.8,8,8.2,8.4,8.6,8.8,9,9.2,9.4,9.6,9.8,10,10.2,10.4,10.6,10.8,10.9,11,11.1,11.2},{0,10,20,30,40,50,60,62,64,66,68,70,72,74,76,78,80,85,90,95,100})</f>
        <v>76</v>
      </c>
      <c r="Q234" s="5">
        <v>5.57</v>
      </c>
      <c r="R234" s="10">
        <f t="shared" si="113"/>
        <v>4.43</v>
      </c>
      <c r="S234" s="7">
        <f>LOOKUP(R234,{0,3.85,4.45,4.65,4.85,5.45,5.65,5.7,5.75,5.8,5.85,5.9,5.95,6,6.45,6.5,6.55,6.63,6.7,6.75,6.8},{0,10,20,30,40,50,60,62,64,66,68,70,72,74,76,78,80,85,90,95,100})</f>
        <v>10</v>
      </c>
      <c r="T234" s="5"/>
      <c r="U234" s="5"/>
      <c r="V234" s="5">
        <f t="shared" si="114"/>
        <v>10</v>
      </c>
      <c r="W234" s="5"/>
      <c r="X234" s="13">
        <f t="shared" si="115"/>
        <v>37.4</v>
      </c>
      <c r="Y234" s="13">
        <f t="shared" si="116"/>
        <v>53.4285714285714</v>
      </c>
    </row>
    <row r="235" ht="15.6" hidden="1" outlineLevel="2" spans="1:25">
      <c r="A235" s="5">
        <v>306</v>
      </c>
      <c r="B235" s="5">
        <v>21</v>
      </c>
      <c r="C235" s="9" t="s">
        <v>263</v>
      </c>
      <c r="D235" s="9" t="s">
        <v>12</v>
      </c>
      <c r="E235" s="5">
        <v>17.7</v>
      </c>
      <c r="F235" s="7">
        <f>LOOKUP(E235,{0,-1.8,-0.8,0.2,1.2,2.2,3.2,4.6,6,7.4,8.8,10.2,11.6,13,14.4,15.8,17.2,19.1,21,22.8,24.6},{0,10,20,30,40,50,60,62,64,66,68,70,72,74,76,78,80,85,90,95,100})</f>
        <v>80</v>
      </c>
      <c r="G235" s="5">
        <v>270</v>
      </c>
      <c r="H235" s="7">
        <f>LOOKUP(G235,{0,180,185,190,195,200,205,209,213,217,221,225,229,233,237,241,245,253,260,265,270},{0,10,20,30,40,50,60,62,64,66,68,70,72,74,76,78,80,85,90,95,100})</f>
        <v>100</v>
      </c>
      <c r="I235" s="5">
        <v>7</v>
      </c>
      <c r="J235" s="7">
        <f>LOOKUP(I235,{0,4,5,6,7,8,9,10,11,12,13,14,15,16,17,18},{0,10,20,30,40,50,60,64,68,72,76,80,85,90,95,100})</f>
        <v>40</v>
      </c>
      <c r="K235" s="5"/>
      <c r="L235" s="5"/>
      <c r="M235" s="5">
        <f t="shared" si="111"/>
        <v>40</v>
      </c>
      <c r="N235" s="5">
        <v>6.9</v>
      </c>
      <c r="O235" s="10">
        <f t="shared" si="112"/>
        <v>11.1</v>
      </c>
      <c r="P235" s="7">
        <f>LOOKUP(O235,{0,7.8,8,8.2,8.4,8.6,8.8,9,9.2,9.4,9.6,9.8,10,10.2,10.4,10.6,10.8,10.9,11,11.1,11.2},{0,10,20,30,40,50,60,62,64,66,68,70,72,74,76,78,80,85,90,95,100})</f>
        <v>95</v>
      </c>
      <c r="Q235" s="5">
        <v>3.39</v>
      </c>
      <c r="R235" s="10">
        <f t="shared" si="113"/>
        <v>6.61</v>
      </c>
      <c r="S235" s="7">
        <f>LOOKUP(R235,{0,3.85,4.45,4.65,4.85,5.45,5.65,5.7,5.75,5.8,5.85,5.9,5.95,6,6.45,6.5,6.55,6.63,6.7,6.75,6.8},{0,10,20,30,40,50,60,62,64,66,68,70,72,74,76,78,80,85,90,95,100})</f>
        <v>80</v>
      </c>
      <c r="T235" s="5"/>
      <c r="U235" s="5"/>
      <c r="V235" s="5">
        <f t="shared" si="114"/>
        <v>80</v>
      </c>
      <c r="W235" s="5"/>
      <c r="X235" s="13">
        <f t="shared" si="115"/>
        <v>57</v>
      </c>
      <c r="Y235" s="13">
        <f t="shared" si="116"/>
        <v>81.4285714285714</v>
      </c>
    </row>
    <row r="236" ht="15.6" hidden="1" outlineLevel="2" spans="1:25">
      <c r="A236" s="5">
        <v>306</v>
      </c>
      <c r="B236" s="5">
        <v>22</v>
      </c>
      <c r="C236" s="8" t="s">
        <v>265</v>
      </c>
      <c r="D236" s="9" t="s">
        <v>12</v>
      </c>
      <c r="E236" s="5">
        <v>3.7</v>
      </c>
      <c r="F236" s="7">
        <f>LOOKUP(E236,{0,-1.8,-0.8,0.2,1.2,2.2,3.2,4.6,6,7.4,8.8,10.2,11.6,13,14.4,15.8,17.2,19.1,21,22.8,24.6},{0,10,20,30,40,50,60,62,64,66,68,70,72,74,76,78,80,85,90,95,100})</f>
        <v>60</v>
      </c>
      <c r="G236" s="5">
        <v>219</v>
      </c>
      <c r="H236" s="7">
        <f>LOOKUP(G236,{0,180,185,190,195,200,205,209,213,217,221,225,229,233,237,241,245,253,260,265,270},{0,10,20,30,40,50,60,62,64,66,68,70,72,74,76,78,80,85,90,95,100})</f>
        <v>66</v>
      </c>
      <c r="I236" s="5">
        <v>0</v>
      </c>
      <c r="J236" s="7">
        <f>LOOKUP(I236,{0,4,5,6,7,8,9,10,11,12,13,14,15,16,17,18},{0,10,20,30,40,50,60,64,68,72,76,80,85,90,95,100})</f>
        <v>0</v>
      </c>
      <c r="K236" s="5"/>
      <c r="L236" s="5"/>
      <c r="M236" s="5">
        <f t="shared" si="111"/>
        <v>0</v>
      </c>
      <c r="N236" s="5">
        <v>8.2</v>
      </c>
      <c r="O236" s="10">
        <f t="shared" si="112"/>
        <v>9.8</v>
      </c>
      <c r="P236" s="7">
        <f>LOOKUP(O236,{0,7.8,8,8.2,8.4,8.6,8.8,9,9.2,9.4,9.6,9.8,10,10.2,10.4,10.6,10.8,10.9,11,11.1,11.2},{0,10,20,30,40,50,60,62,64,66,68,70,72,74,76,78,80,85,90,95,100})</f>
        <v>70</v>
      </c>
      <c r="Q236" s="5">
        <v>6.48</v>
      </c>
      <c r="R236" s="10">
        <f t="shared" si="113"/>
        <v>3.52</v>
      </c>
      <c r="S236" s="7">
        <f>LOOKUP(R236,{0,3.85,4.45,4.65,4.85,5.45,5.65,5.7,5.75,5.8,5.85,5.9,5.95,6,6.45,6.5,6.55,6.63,6.7,6.75,6.8},{0,10,20,30,40,50,60,62,64,66,68,70,72,74,76,78,80,85,90,95,100})</f>
        <v>0</v>
      </c>
      <c r="T236" s="5"/>
      <c r="U236" s="5"/>
      <c r="V236" s="5">
        <f t="shared" si="114"/>
        <v>0</v>
      </c>
      <c r="W236" s="5"/>
      <c r="X236" s="13">
        <f t="shared" si="115"/>
        <v>26.6</v>
      </c>
      <c r="Y236" s="13">
        <f t="shared" si="116"/>
        <v>38</v>
      </c>
    </row>
    <row r="237" ht="15.6" hidden="1" outlineLevel="2" spans="1:25">
      <c r="A237" s="5">
        <v>306</v>
      </c>
      <c r="B237" s="5">
        <v>23</v>
      </c>
      <c r="C237" s="9" t="s">
        <v>266</v>
      </c>
      <c r="D237" s="9" t="s">
        <v>12</v>
      </c>
      <c r="E237" s="5">
        <v>13.7</v>
      </c>
      <c r="F237" s="7">
        <f>LOOKUP(E237,{0,-1.8,-0.8,0.2,1.2,2.2,3.2,4.6,6,7.4,8.8,10.2,11.6,13,14.4,15.8,17.2,19.1,21,22.8,24.6},{0,10,20,30,40,50,60,62,64,66,68,70,72,74,76,78,80,85,90,95,100})</f>
        <v>74</v>
      </c>
      <c r="G237" s="5">
        <v>216</v>
      </c>
      <c r="H237" s="7">
        <f>LOOKUP(G237,{0,180,185,190,195,200,205,209,213,217,221,225,229,233,237,241,245,253,260,265,270},{0,10,20,30,40,50,60,62,64,66,68,70,72,74,76,78,80,85,90,95,100})</f>
        <v>64</v>
      </c>
      <c r="I237" s="5">
        <v>1</v>
      </c>
      <c r="J237" s="7">
        <f>LOOKUP(I237,{0,4,5,6,7,8,9,10,11,12,13,14,15,16,17,18},{0,10,20,30,40,50,60,64,68,72,76,80,85,90,95,100})</f>
        <v>0</v>
      </c>
      <c r="K237" s="5"/>
      <c r="L237" s="5"/>
      <c r="M237" s="5">
        <f t="shared" si="111"/>
        <v>0</v>
      </c>
      <c r="N237" s="5">
        <v>8</v>
      </c>
      <c r="O237" s="10">
        <f t="shared" si="112"/>
        <v>10</v>
      </c>
      <c r="P237" s="7">
        <f>LOOKUP(O237,{0,7.8,8,8.2,8.4,8.6,8.8,9,9.2,9.4,9.6,9.8,10,10.2,10.4,10.6,10.8,10.9,11,11.1,11.2},{0,10,20,30,40,50,60,62,64,66,68,70,72,74,76,78,80,85,90,95,100})</f>
        <v>72</v>
      </c>
      <c r="Q237" s="5">
        <v>6.52</v>
      </c>
      <c r="R237" s="10">
        <f t="shared" si="113"/>
        <v>3.48</v>
      </c>
      <c r="S237" s="7">
        <f>LOOKUP(R237,{0,3.85,4.45,4.65,4.85,5.45,5.65,5.7,5.75,5.8,5.85,5.9,5.95,6,6.45,6.5,6.55,6.63,6.7,6.75,6.8},{0,10,20,30,40,50,60,62,64,66,68,70,72,74,76,78,80,85,90,95,100})</f>
        <v>0</v>
      </c>
      <c r="T237" s="5"/>
      <c r="U237" s="5"/>
      <c r="V237" s="5">
        <f t="shared" si="114"/>
        <v>0</v>
      </c>
      <c r="W237" s="5"/>
      <c r="X237" s="13">
        <f t="shared" si="115"/>
        <v>28.2</v>
      </c>
      <c r="Y237" s="13">
        <f t="shared" si="116"/>
        <v>40.2857142857143</v>
      </c>
    </row>
    <row r="238" ht="15.6" hidden="1" outlineLevel="2" spans="1:25">
      <c r="A238" s="5">
        <v>306</v>
      </c>
      <c r="B238" s="5">
        <v>24</v>
      </c>
      <c r="C238" s="9" t="s">
        <v>267</v>
      </c>
      <c r="D238" s="9" t="s">
        <v>12</v>
      </c>
      <c r="E238" s="5">
        <v>14.4</v>
      </c>
      <c r="F238" s="7">
        <f>LOOKUP(E238,{0,-1.8,-0.8,0.2,1.2,2.2,3.2,4.6,6,7.4,8.8,10.2,11.6,13,14.4,15.8,17.2,19.1,21,22.8,24.6},{0,10,20,30,40,50,60,62,64,66,68,70,72,74,76,78,80,85,90,95,100})</f>
        <v>76</v>
      </c>
      <c r="G238" s="5">
        <v>241</v>
      </c>
      <c r="H238" s="7">
        <f>LOOKUP(G238,{0,180,185,190,195,200,205,209,213,217,221,225,229,233,237,241,245,253,260,265,270},{0,10,20,30,40,50,60,62,64,66,68,70,72,74,76,78,80,85,90,95,100})</f>
        <v>78</v>
      </c>
      <c r="I238" s="5">
        <v>5</v>
      </c>
      <c r="J238" s="7">
        <f>LOOKUP(I238,{0,4,5,6,7,8,9,10,11,12,13,14,15,16,17,18},{0,10,20,30,40,50,60,64,68,72,76,80,85,90,95,100})</f>
        <v>20</v>
      </c>
      <c r="K238" s="5"/>
      <c r="L238" s="5"/>
      <c r="M238" s="5">
        <f t="shared" si="111"/>
        <v>20</v>
      </c>
      <c r="N238" s="5">
        <v>8.7</v>
      </c>
      <c r="O238" s="10">
        <f t="shared" si="112"/>
        <v>9.3</v>
      </c>
      <c r="P238" s="7">
        <f>LOOKUP(O238,{0,7.8,8,8.2,8.4,8.6,8.8,9,9.2,9.4,9.6,9.8,10,10.2,10.4,10.6,10.8,10.9,11,11.1,11.2},{0,10,20,30,40,50,60,62,64,66,68,70,72,74,76,78,80,85,90,95,100})</f>
        <v>64</v>
      </c>
      <c r="Q238" s="5">
        <v>4.39</v>
      </c>
      <c r="R238" s="10">
        <f t="shared" si="113"/>
        <v>5.61</v>
      </c>
      <c r="S238" s="7">
        <f>LOOKUP(R238,{0,3.85,4.45,4.65,4.85,5.45,5.65,5.7,5.75,5.8,5.85,5.9,5.95,6,6.45,6.5,6.55,6.63,6.7,6.75,6.8},{0,10,20,30,40,50,60,62,64,66,68,70,72,74,76,78,80,85,90,95,100})</f>
        <v>50</v>
      </c>
      <c r="T238" s="5"/>
      <c r="U238" s="5"/>
      <c r="V238" s="5">
        <f t="shared" si="114"/>
        <v>50</v>
      </c>
      <c r="W238" s="5"/>
      <c r="X238" s="13">
        <f t="shared" si="115"/>
        <v>40.2</v>
      </c>
      <c r="Y238" s="13">
        <f t="shared" si="116"/>
        <v>57.4285714285714</v>
      </c>
    </row>
    <row r="239" ht="15.6" hidden="1" outlineLevel="2" spans="1:25">
      <c r="A239" s="5">
        <v>306</v>
      </c>
      <c r="B239" s="5">
        <v>25</v>
      </c>
      <c r="C239" s="9" t="s">
        <v>268</v>
      </c>
      <c r="D239" s="9" t="s">
        <v>12</v>
      </c>
      <c r="E239" s="5">
        <v>12</v>
      </c>
      <c r="F239" s="7">
        <f>LOOKUP(E239,{0,-1.8,-0.8,0.2,1.2,2.2,3.2,4.6,6,7.4,8.8,10.2,11.6,13,14.4,15.8,17.2,19.1,21,22.8,24.6},{0,10,20,30,40,50,60,62,64,66,68,70,72,74,76,78,80,85,90,95,100})</f>
        <v>72</v>
      </c>
      <c r="G239" s="5">
        <v>244</v>
      </c>
      <c r="H239" s="7">
        <f>LOOKUP(G239,{0,180,185,190,195,200,205,209,213,217,221,225,229,233,237,241,245,253,260,265,270},{0,10,20,30,40,50,60,62,64,66,68,70,72,74,76,78,80,85,90,95,100})</f>
        <v>78</v>
      </c>
      <c r="I239" s="5">
        <v>5</v>
      </c>
      <c r="J239" s="7">
        <f>LOOKUP(I239,{0,4,5,6,7,8,9,10,11,12,13,14,15,16,17,18},{0,10,20,30,40,50,60,64,68,72,76,80,85,90,95,100})</f>
        <v>20</v>
      </c>
      <c r="K239" s="5"/>
      <c r="L239" s="5"/>
      <c r="M239" s="5">
        <f t="shared" si="111"/>
        <v>20</v>
      </c>
      <c r="N239" s="5">
        <v>8.7</v>
      </c>
      <c r="O239" s="10">
        <f t="shared" si="112"/>
        <v>9.3</v>
      </c>
      <c r="P239" s="7">
        <f>LOOKUP(O239,{0,7.8,8,8.2,8.4,8.6,8.8,9,9.2,9.4,9.6,9.8,10,10.2,10.4,10.6,10.8,10.9,11,11.1,11.2},{0,10,20,30,40,50,60,62,64,66,68,70,72,74,76,78,80,85,90,95,100})</f>
        <v>64</v>
      </c>
      <c r="Q239" s="5">
        <v>6.58</v>
      </c>
      <c r="R239" s="10">
        <f t="shared" si="113"/>
        <v>3.42</v>
      </c>
      <c r="S239" s="7">
        <f>LOOKUP(R239,{0,3.85,4.45,4.65,4.85,5.45,5.65,5.7,5.75,5.8,5.85,5.9,5.95,6,6.45,6.5,6.55,6.63,6.7,6.75,6.8},{0,10,20,30,40,50,60,62,64,66,68,70,72,74,76,78,80,85,90,95,100})</f>
        <v>0</v>
      </c>
      <c r="T239" s="5"/>
      <c r="U239" s="5"/>
      <c r="V239" s="5">
        <f t="shared" si="114"/>
        <v>0</v>
      </c>
      <c r="W239" s="5"/>
      <c r="X239" s="13">
        <f t="shared" si="115"/>
        <v>29.8</v>
      </c>
      <c r="Y239" s="13">
        <f t="shared" si="116"/>
        <v>42.5714285714286</v>
      </c>
    </row>
    <row r="240" ht="15.6" hidden="1" outlineLevel="2" spans="1:25">
      <c r="A240" s="5">
        <v>306</v>
      </c>
      <c r="B240" s="5">
        <v>26</v>
      </c>
      <c r="C240" s="9" t="s">
        <v>269</v>
      </c>
      <c r="D240" s="9" t="s">
        <v>12</v>
      </c>
      <c r="E240" s="5">
        <v>9.2</v>
      </c>
      <c r="F240" s="7">
        <f>LOOKUP(E240,{0,-1.8,-0.8,0.2,1.2,2.2,3.2,4.6,6,7.4,8.8,10.2,11.6,13,14.4,15.8,17.2,19.1,21,22.8,24.6},{0,10,20,30,40,50,60,62,64,66,68,70,72,74,76,78,80,85,90,95,100})</f>
        <v>68</v>
      </c>
      <c r="G240" s="5">
        <v>229</v>
      </c>
      <c r="H240" s="7">
        <f>LOOKUP(G240,{0,180,185,190,195,200,205,209,213,217,221,225,229,233,237,241,245,253,260,265,270},{0,10,20,30,40,50,60,62,64,66,68,70,72,74,76,78,80,85,90,95,100})</f>
        <v>72</v>
      </c>
      <c r="I240" s="5">
        <v>1</v>
      </c>
      <c r="J240" s="7">
        <f>LOOKUP(I240,{0,4,5,6,7,8,9,10,11,12,13,14,15,16,17,18},{0,10,20,30,40,50,60,64,68,72,76,80,85,90,95,100})</f>
        <v>0</v>
      </c>
      <c r="K240" s="5"/>
      <c r="L240" s="5"/>
      <c r="M240" s="5">
        <f t="shared" si="111"/>
        <v>0</v>
      </c>
      <c r="N240" s="5">
        <v>15</v>
      </c>
      <c r="O240" s="10">
        <f t="shared" si="112"/>
        <v>3</v>
      </c>
      <c r="P240" s="7">
        <f>LOOKUP(O240,{0,7.8,8,8.2,8.4,8.6,8.8,9,9.2,9.4,9.6,9.8,10,10.2,10.4,10.6,10.8,10.9,11,11.1,11.2},{0,10,20,30,40,50,60,62,64,66,68,70,72,74,76,78,80,85,90,95,100})</f>
        <v>0</v>
      </c>
      <c r="Q240" s="5">
        <v>12.4</v>
      </c>
      <c r="R240" s="10">
        <f t="shared" si="113"/>
        <v>-2.4</v>
      </c>
      <c r="S240" s="7">
        <v>0</v>
      </c>
      <c r="T240" s="5"/>
      <c r="U240" s="5"/>
      <c r="V240" s="5">
        <f t="shared" si="114"/>
        <v>0</v>
      </c>
      <c r="W240" s="5"/>
      <c r="X240" s="13">
        <f t="shared" si="115"/>
        <v>14</v>
      </c>
      <c r="Y240" s="13">
        <f t="shared" si="116"/>
        <v>20</v>
      </c>
    </row>
    <row r="241" ht="15.6" hidden="1" outlineLevel="2" spans="1:25">
      <c r="A241" s="5">
        <v>306</v>
      </c>
      <c r="B241" s="5">
        <v>27</v>
      </c>
      <c r="C241" s="9" t="s">
        <v>270</v>
      </c>
      <c r="D241" s="9" t="s">
        <v>12</v>
      </c>
      <c r="E241" s="5">
        <v>1</v>
      </c>
      <c r="F241" s="7">
        <f>LOOKUP(E241,{0,-1.8,-0.8,0.2,1.2,2.2,3.2,4.6,6,7.4,8.8,10.2,11.6,13,14.4,15.8,17.2,19.1,21,22.8,24.6},{0,10,20,30,40,50,60,62,64,66,68,70,72,74,76,78,80,85,90,95,100})</f>
        <v>30</v>
      </c>
      <c r="G241" s="5">
        <v>247</v>
      </c>
      <c r="H241" s="7">
        <f>LOOKUP(G241,{0,180,185,190,195,200,205,209,213,217,221,225,229,233,237,241,245,253,260,265,270},{0,10,20,30,40,50,60,62,64,66,68,70,72,74,76,78,80,85,90,95,100})</f>
        <v>80</v>
      </c>
      <c r="I241" s="5">
        <v>3</v>
      </c>
      <c r="J241" s="7">
        <f>LOOKUP(I241,{0,4,5,6,7,8,9,10,11,12,13,14,15,16,17,18},{0,10,20,30,40,50,60,64,68,72,76,80,85,90,95,100})</f>
        <v>0</v>
      </c>
      <c r="K241" s="5"/>
      <c r="L241" s="5"/>
      <c r="M241" s="5">
        <f t="shared" si="111"/>
        <v>0</v>
      </c>
      <c r="N241" s="5">
        <v>7.1</v>
      </c>
      <c r="O241" s="10">
        <f t="shared" si="112"/>
        <v>10.9</v>
      </c>
      <c r="P241" s="7">
        <f>LOOKUP(O241,{0,7.8,8,8.2,8.4,8.6,8.8,9,9.2,9.4,9.6,9.8,10,10.2,10.4,10.6,10.8,10.9,11,11.1,11.2},{0,10,20,30,40,50,60,62,64,66,68,70,72,74,76,78,80,85,90,95,100})</f>
        <v>85</v>
      </c>
      <c r="Q241" s="5">
        <v>4.24</v>
      </c>
      <c r="R241" s="10">
        <f t="shared" si="113"/>
        <v>5.76</v>
      </c>
      <c r="S241" s="7">
        <f>LOOKUP(R241,{0,3.85,4.45,4.65,4.85,5.45,5.65,5.7,5.75,5.8,5.85,5.9,5.95,6,6.45,6.5,6.55,6.63,6.7,6.75,6.8},{0,10,20,30,40,50,60,62,64,66,68,70,72,74,76,78,80,85,90,95,100})</f>
        <v>64</v>
      </c>
      <c r="T241" s="5"/>
      <c r="U241" s="5"/>
      <c r="V241" s="5">
        <f t="shared" si="114"/>
        <v>64</v>
      </c>
      <c r="W241" s="5"/>
      <c r="X241" s="13">
        <f t="shared" si="115"/>
        <v>40.8</v>
      </c>
      <c r="Y241" s="13">
        <f t="shared" si="116"/>
        <v>58.2857142857143</v>
      </c>
    </row>
    <row r="242" ht="15.6" hidden="1" outlineLevel="2" spans="1:25">
      <c r="A242" s="5">
        <v>306</v>
      </c>
      <c r="B242" s="5">
        <v>28</v>
      </c>
      <c r="C242" s="9" t="s">
        <v>271</v>
      </c>
      <c r="D242" s="9" t="s">
        <v>12</v>
      </c>
      <c r="E242" s="5">
        <v>20</v>
      </c>
      <c r="F242" s="7">
        <f>LOOKUP(E242,{0,-1.8,-0.8,0.2,1.2,2.2,3.2,4.6,6,7.4,8.8,10.2,11.6,13,14.4,15.8,17.2,19.1,21,22.8,24.6},{0,10,20,30,40,50,60,62,64,66,68,70,72,74,76,78,80,85,90,95,100})</f>
        <v>85</v>
      </c>
      <c r="G242" s="5">
        <v>273</v>
      </c>
      <c r="H242" s="7">
        <f>LOOKUP(G242,{0,180,185,190,195,200,205,209,213,217,221,225,229,233,237,241,245,253,260,265,270},{0,10,20,30,40,50,60,62,64,66,68,70,72,74,76,78,80,85,90,95,100})</f>
        <v>100</v>
      </c>
      <c r="I242" s="5">
        <v>18</v>
      </c>
      <c r="J242" s="7">
        <f>LOOKUP(I242,{0,4,5,6,7,8,9,10,11,12,13,14,15,16,17,18},{0,10,20,30,40,50,60,64,68,72,76,80,85,90,95,100})</f>
        <v>100</v>
      </c>
      <c r="K242" s="5"/>
      <c r="L242" s="5"/>
      <c r="M242" s="5">
        <f t="shared" si="111"/>
        <v>100</v>
      </c>
      <c r="N242" s="5">
        <v>6.7</v>
      </c>
      <c r="O242" s="10">
        <f t="shared" si="112"/>
        <v>11.3</v>
      </c>
      <c r="P242" s="7">
        <f>LOOKUP(O242,{0,7.8,8,8.2,8.4,8.6,8.8,9,9.2,9.4,9.6,9.8,10,10.2,10.4,10.6,10.8,10.9,11,11.1,11.2},{0,10,20,30,40,50,60,62,64,66,68,70,72,74,76,78,80,85,90,95,100})</f>
        <v>100</v>
      </c>
      <c r="Q242" s="5">
        <v>4.49</v>
      </c>
      <c r="R242" s="10">
        <f t="shared" si="113"/>
        <v>5.51</v>
      </c>
      <c r="S242" s="7">
        <f>LOOKUP(R242,{0,3.85,4.45,4.65,4.85,5.45,5.65,5.7,5.75,5.8,5.85,5.9,5.95,6,6.45,6.5,6.55,6.63,6.7,6.75,6.8},{0,10,20,30,40,50,60,62,64,66,68,70,72,74,76,78,80,85,90,95,100})</f>
        <v>50</v>
      </c>
      <c r="T242" s="5"/>
      <c r="U242" s="5"/>
      <c r="V242" s="5">
        <f t="shared" si="114"/>
        <v>50</v>
      </c>
      <c r="W242" s="5"/>
      <c r="X242" s="13">
        <f t="shared" si="115"/>
        <v>58.5</v>
      </c>
      <c r="Y242" s="13">
        <f t="shared" si="116"/>
        <v>83.5714285714286</v>
      </c>
    </row>
    <row r="243" ht="15.6" hidden="1" outlineLevel="2" spans="1:25">
      <c r="A243" s="5">
        <v>306</v>
      </c>
      <c r="B243" s="5">
        <v>29</v>
      </c>
      <c r="C243" s="9" t="s">
        <v>272</v>
      </c>
      <c r="D243" s="9" t="s">
        <v>12</v>
      </c>
      <c r="E243" s="5">
        <v>15</v>
      </c>
      <c r="F243" s="7">
        <f>LOOKUP(E243,{0,-1.8,-0.8,0.2,1.2,2.2,3.2,4.6,6,7.4,8.8,10.2,11.6,13,14.4,15.8,17.2,19.1,21,22.8,24.6},{0,10,20,30,40,50,60,62,64,66,68,70,72,74,76,78,80,85,90,95,100})</f>
        <v>76</v>
      </c>
      <c r="G243" s="5">
        <v>213</v>
      </c>
      <c r="H243" s="7">
        <f>LOOKUP(G243,{0,180,185,190,195,200,205,209,213,217,221,225,229,233,237,241,245,253,260,265,270},{0,10,20,30,40,50,60,62,64,66,68,70,72,74,76,78,80,85,90,95,100})</f>
        <v>64</v>
      </c>
      <c r="I243" s="5">
        <v>7</v>
      </c>
      <c r="J243" s="7">
        <f>LOOKUP(I243,{0,4,5,6,7,8,9,10,11,12,13,14,15,16,17,18},{0,10,20,30,40,50,60,64,68,72,76,80,85,90,95,100})</f>
        <v>40</v>
      </c>
      <c r="K243" s="5"/>
      <c r="L243" s="5"/>
      <c r="M243" s="5">
        <f t="shared" si="111"/>
        <v>40</v>
      </c>
      <c r="N243" s="5">
        <v>8.5</v>
      </c>
      <c r="O243" s="10">
        <f t="shared" si="112"/>
        <v>9.5</v>
      </c>
      <c r="P243" s="7">
        <f>LOOKUP(O243,{0,7.8,8,8.2,8.4,8.6,8.8,9,9.2,9.4,9.6,9.8,10,10.2,10.4,10.6,10.8,10.9,11,11.1,11.2},{0,10,20,30,40,50,60,62,64,66,68,70,72,74,76,78,80,85,90,95,100})</f>
        <v>66</v>
      </c>
      <c r="Q243" s="5">
        <v>4.56</v>
      </c>
      <c r="R243" s="10">
        <f t="shared" si="113"/>
        <v>5.44</v>
      </c>
      <c r="S243" s="7">
        <f>LOOKUP(R243,{0,3.85,4.45,4.65,4.85,5.45,5.65,5.7,5.75,5.8,5.85,5.9,5.95,6,6.45,6.5,6.55,6.63,6.7,6.75,6.8},{0,10,20,30,40,50,60,62,64,66,68,70,72,74,76,78,80,85,90,95,100})</f>
        <v>40</v>
      </c>
      <c r="T243" s="5"/>
      <c r="U243" s="5"/>
      <c r="V243" s="5">
        <f t="shared" si="114"/>
        <v>40</v>
      </c>
      <c r="W243" s="5"/>
      <c r="X243" s="13">
        <f t="shared" si="115"/>
        <v>39.2</v>
      </c>
      <c r="Y243" s="13">
        <f t="shared" si="116"/>
        <v>56</v>
      </c>
    </row>
    <row r="244" ht="15.6" hidden="1" outlineLevel="2" spans="1:25">
      <c r="A244" s="5">
        <v>306</v>
      </c>
      <c r="B244" s="5">
        <v>30</v>
      </c>
      <c r="C244" s="9" t="s">
        <v>273</v>
      </c>
      <c r="D244" s="9" t="s">
        <v>12</v>
      </c>
      <c r="E244" s="5">
        <v>6</v>
      </c>
      <c r="F244" s="7">
        <f>LOOKUP(E244,{0,-1.8,-0.8,0.2,1.2,2.2,3.2,4.6,6,7.4,8.8,10.2,11.6,13,14.4,15.8,17.2,19.1,21,22.8,24.6},{0,10,20,30,40,50,60,62,64,66,68,70,72,74,76,78,80,85,90,95,100})</f>
        <v>64</v>
      </c>
      <c r="G244" s="5">
        <v>216</v>
      </c>
      <c r="H244" s="7">
        <f>LOOKUP(G244,{0,180,185,190,195,200,205,209,213,217,221,225,229,233,237,241,245,253,260,265,270},{0,10,20,30,40,50,60,62,64,66,68,70,72,74,76,78,80,85,90,95,100})</f>
        <v>64</v>
      </c>
      <c r="I244" s="5">
        <v>6</v>
      </c>
      <c r="J244" s="7">
        <f>LOOKUP(I244,{0,4,5,6,7,8,9,10,11,12,13,14,15,16,17,18},{0,10,20,30,40,50,60,64,68,72,76,80,85,90,95,100})</f>
        <v>30</v>
      </c>
      <c r="K244" s="5"/>
      <c r="L244" s="5"/>
      <c r="M244" s="5">
        <f t="shared" si="111"/>
        <v>30</v>
      </c>
      <c r="N244" s="5">
        <v>7.7</v>
      </c>
      <c r="O244" s="10">
        <f t="shared" si="112"/>
        <v>10.3</v>
      </c>
      <c r="P244" s="7">
        <f>LOOKUP(O244,{0,7.8,8,8.2,8.4,8.6,8.8,9,9.2,9.4,9.6,9.8,10,10.2,10.4,10.6,10.8,10.9,11,11.1,11.2},{0,10,20,30,40,50,60,62,64,66,68,70,72,74,76,78,80,85,90,95,100})</f>
        <v>74</v>
      </c>
      <c r="Q244" s="5">
        <v>4.4</v>
      </c>
      <c r="R244" s="10">
        <f t="shared" si="113"/>
        <v>5.6</v>
      </c>
      <c r="S244" s="7">
        <f>LOOKUP(R244,{0,3.85,4.45,4.65,4.85,5.45,5.65,5.7,5.75,5.8,5.85,5.9,5.95,6,6.45,6.5,6.55,6.63,6.7,6.75,6.8},{0,10,20,30,40,50,60,62,64,66,68,70,72,74,76,78,80,85,90,95,100})</f>
        <v>50</v>
      </c>
      <c r="T244" s="5"/>
      <c r="U244" s="5"/>
      <c r="V244" s="5">
        <f t="shared" si="114"/>
        <v>50</v>
      </c>
      <c r="W244" s="5"/>
      <c r="X244" s="13">
        <f t="shared" si="115"/>
        <v>40.6</v>
      </c>
      <c r="Y244" s="13">
        <f t="shared" si="116"/>
        <v>58</v>
      </c>
    </row>
    <row r="245" ht="15.6" hidden="1" outlineLevel="2" spans="1:25">
      <c r="A245" s="5">
        <v>306</v>
      </c>
      <c r="B245" s="5">
        <v>31</v>
      </c>
      <c r="C245" s="9" t="s">
        <v>274</v>
      </c>
      <c r="D245" s="9" t="s">
        <v>12</v>
      </c>
      <c r="E245" s="5">
        <v>24.5</v>
      </c>
      <c r="F245" s="7">
        <f>LOOKUP(E245,{0,-1.8,-0.8,0.2,1.2,2.2,3.2,4.6,6,7.4,8.8,10.2,11.6,13,14.4,15.8,17.2,19.1,21,22.8,24.6},{0,10,20,30,40,50,60,62,64,66,68,70,72,74,76,78,80,85,90,95,100})</f>
        <v>95</v>
      </c>
      <c r="G245" s="5">
        <v>219</v>
      </c>
      <c r="H245" s="7">
        <f>LOOKUP(G245,{0,180,185,190,195,200,205,209,213,217,221,225,229,233,237,241,245,253,260,265,270},{0,10,20,30,40,50,60,62,64,66,68,70,72,74,76,78,80,85,90,95,100})</f>
        <v>66</v>
      </c>
      <c r="I245" s="5">
        <v>0</v>
      </c>
      <c r="J245" s="7">
        <f>LOOKUP(I245,{0,4,5,6,7,8,9,10,11,12,13,14,15,16,17,18},{0,10,20,30,40,50,60,64,68,72,76,80,85,90,95,100})</f>
        <v>0</v>
      </c>
      <c r="K245" s="5"/>
      <c r="L245" s="5"/>
      <c r="M245" s="5">
        <f t="shared" si="111"/>
        <v>0</v>
      </c>
      <c r="N245" s="5">
        <v>8.3</v>
      </c>
      <c r="O245" s="10">
        <f t="shared" si="112"/>
        <v>9.7</v>
      </c>
      <c r="P245" s="7">
        <f>LOOKUP(O245,{0,7.8,8,8.2,8.4,8.6,8.8,9,9.2,9.4,9.6,9.8,10,10.2,10.4,10.6,10.8,10.9,11,11.1,11.2},{0,10,20,30,40,50,60,62,64,66,68,70,72,74,76,78,80,85,90,95,100})</f>
        <v>68</v>
      </c>
      <c r="Q245" s="5">
        <v>4.58</v>
      </c>
      <c r="R245" s="10">
        <f t="shared" si="113"/>
        <v>5.42</v>
      </c>
      <c r="S245" s="7">
        <f>LOOKUP(R245,{0,3.85,4.45,4.65,4.85,5.45,5.65,5.7,5.75,5.8,5.85,5.9,5.95,6,6.45,6.5,6.55,6.63,6.7,6.75,6.8},{0,10,20,30,40,50,60,62,64,66,68,70,72,74,76,78,80,85,90,95,100})</f>
        <v>40</v>
      </c>
      <c r="T245" s="5"/>
      <c r="U245" s="5"/>
      <c r="V245" s="5">
        <f t="shared" si="114"/>
        <v>40</v>
      </c>
      <c r="W245" s="5"/>
      <c r="X245" s="13">
        <f t="shared" si="115"/>
        <v>37.7</v>
      </c>
      <c r="Y245" s="13">
        <f t="shared" si="116"/>
        <v>53.8571428571429</v>
      </c>
    </row>
    <row r="246" ht="15.6" hidden="1" outlineLevel="2" spans="1:25">
      <c r="A246" s="5">
        <v>306</v>
      </c>
      <c r="B246" s="5">
        <v>32</v>
      </c>
      <c r="C246" s="9" t="s">
        <v>275</v>
      </c>
      <c r="D246" s="9" t="s">
        <v>12</v>
      </c>
      <c r="E246" s="5">
        <v>7.2</v>
      </c>
      <c r="F246" s="7">
        <f>LOOKUP(E246,{0,-1.8,-0.8,0.2,1.2,2.2,3.2,4.6,6,7.4,8.8,10.2,11.6,13,14.4,15.8,17.2,19.1,21,22.8,24.6},{0,10,20,30,40,50,60,62,64,66,68,70,72,74,76,78,80,85,90,95,100})</f>
        <v>64</v>
      </c>
      <c r="G246" s="5">
        <v>250</v>
      </c>
      <c r="H246" s="7">
        <f>LOOKUP(G246,{0,180,185,190,195,200,205,209,213,217,221,225,229,233,237,241,245,253,260,265,270},{0,10,20,30,40,50,60,62,64,66,68,70,72,74,76,78,80,85,90,95,100})</f>
        <v>80</v>
      </c>
      <c r="I246" s="5">
        <v>3</v>
      </c>
      <c r="J246" s="7">
        <f>LOOKUP(I246,{0,4,5,6,7,8,9,10,11,12,13,14,15,16,17,18},{0,10,20,30,40,50,60,64,68,72,76,80,85,90,95,100})</f>
        <v>0</v>
      </c>
      <c r="K246" s="5"/>
      <c r="L246" s="5"/>
      <c r="M246" s="5">
        <f t="shared" si="111"/>
        <v>0</v>
      </c>
      <c r="N246" s="5">
        <v>6.8</v>
      </c>
      <c r="O246" s="10">
        <f t="shared" si="112"/>
        <v>11.2</v>
      </c>
      <c r="P246" s="7">
        <f>LOOKUP(O246,{0,7.8,8,8.2,8.4,8.6,8.8,9,9.2,9.4,9.6,9.8,10,10.2,10.4,10.6,10.8,10.9,11,11.1,11.2},{0,10,20,30,40,50,60,62,64,66,68,70,72,74,76,78,80,85,90,95,100})</f>
        <v>100</v>
      </c>
      <c r="Q246" s="5">
        <v>4.22</v>
      </c>
      <c r="R246" s="10">
        <f t="shared" si="113"/>
        <v>5.78</v>
      </c>
      <c r="S246" s="7">
        <f>LOOKUP(R246,{0,3.85,4.45,4.65,4.85,5.45,5.65,5.7,5.75,5.8,5.85,5.9,5.95,6,6.45,6.5,6.55,6.63,6.7,6.75,6.8},{0,10,20,30,40,50,60,62,64,66,68,70,72,74,76,78,80,85,90,95,100})</f>
        <v>64</v>
      </c>
      <c r="T246" s="5"/>
      <c r="U246" s="5"/>
      <c r="V246" s="5">
        <f t="shared" si="114"/>
        <v>64</v>
      </c>
      <c r="W246" s="5"/>
      <c r="X246" s="13">
        <f t="shared" si="115"/>
        <v>47.2</v>
      </c>
      <c r="Y246" s="13">
        <f t="shared" si="116"/>
        <v>67.4285714285714</v>
      </c>
    </row>
    <row r="247" ht="15.6" hidden="1" outlineLevel="2" spans="1:25">
      <c r="A247" s="5">
        <v>306</v>
      </c>
      <c r="B247" s="5">
        <v>33</v>
      </c>
      <c r="C247" s="8" t="s">
        <v>277</v>
      </c>
      <c r="D247" s="9" t="s">
        <v>46</v>
      </c>
      <c r="E247" s="5">
        <v>0.5</v>
      </c>
      <c r="F247" s="7">
        <f>LOOKUP(E247,{0,1.5,2.3,3.1,3.9,4.7,5.5,6.8,8.1,9.4,10.7,12,13.3,14.6,15.9,17.2,18.5,20.2,21.9,23.6,25.3},{0,10,20,30,40,50,60,62,64,66,68,70,72,74,76,78,80,85,90,95,100})</f>
        <v>0</v>
      </c>
      <c r="G247" s="5">
        <v>155</v>
      </c>
      <c r="H247" s="7">
        <f>LOOKUP(G247,{0,125,130,135,140,145,150,153,156,159,162,165,168,171,174,177,180,187,194,200,206},{0,10,20,30,40,50,60,62,64,66,68,70,72,74,76,78,80,85,90,95,100})</f>
        <v>62</v>
      </c>
      <c r="I247" s="5">
        <v>50</v>
      </c>
      <c r="J247" s="7">
        <f>LOOKUP(I247,{0,15,17,19,21,23,25,27,29,31,33,35,37,39,41,43,45,48,51,53,55},{0,10,20,30,40,50,60,62,64,66,68,70,72,74,76,78,80,85,90,95,100})</f>
        <v>85</v>
      </c>
      <c r="K247" s="5"/>
      <c r="L247" s="5"/>
      <c r="M247" s="5">
        <f t="shared" si="111"/>
        <v>85</v>
      </c>
      <c r="N247" s="5">
        <v>10.3</v>
      </c>
      <c r="O247" s="10">
        <f t="shared" si="112"/>
        <v>7.7</v>
      </c>
      <c r="P247" s="7">
        <f>LOOKUP(O247,{0,6.6,6.8,7,7.2,7.4,7.6,7.8,8,8.2,8.4,8.6,8.8,9,9.2,9.4,9.6,9.9,10.2,10.3,10.4},{0,10,20,30,40,50,60,62,64,66,68,70,72,74,76,78,80,85,90,95,100})</f>
        <v>60</v>
      </c>
      <c r="Q247" s="5">
        <v>4.28</v>
      </c>
      <c r="R247" s="10">
        <f t="shared" si="113"/>
        <v>5.72</v>
      </c>
      <c r="S247" s="7">
        <f>LOOKUP(R247,{0,4.74,4.84,4.94,5.44,5.54,5.64,5.69,5.74,5.79,5.84,5.89,5.94,5.99,6.44,6.49,6.54,6.61,6.68,6.74,6.8},{0,10,20,30,40,50,60,62,64,66,68,70,72,74,76,78,80,85,90,95,100})</f>
        <v>62</v>
      </c>
      <c r="T247" s="5"/>
      <c r="U247" s="5"/>
      <c r="V247" s="5">
        <f t="shared" si="114"/>
        <v>62</v>
      </c>
      <c r="W247" s="5"/>
      <c r="X247" s="13">
        <f t="shared" si="115"/>
        <v>39.1</v>
      </c>
      <c r="Y247" s="13">
        <f t="shared" si="116"/>
        <v>55.8571428571429</v>
      </c>
    </row>
    <row r="248" hidden="1" outlineLevel="2" spans="1:25">
      <c r="A248" s="5">
        <v>306</v>
      </c>
      <c r="B248" s="5">
        <v>34</v>
      </c>
      <c r="C248" s="9" t="s">
        <v>278</v>
      </c>
      <c r="D248" s="9" t="s">
        <v>46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>
        <v>50</v>
      </c>
      <c r="X248" s="13"/>
      <c r="Y248" s="13">
        <v>50</v>
      </c>
    </row>
    <row r="249" ht="15.6" hidden="1" outlineLevel="2" spans="1:25">
      <c r="A249" s="5">
        <v>306</v>
      </c>
      <c r="B249" s="5">
        <v>35</v>
      </c>
      <c r="C249" s="9" t="s">
        <v>279</v>
      </c>
      <c r="D249" s="9" t="s">
        <v>46</v>
      </c>
      <c r="E249" s="5">
        <v>28</v>
      </c>
      <c r="F249" s="7">
        <f>LOOKUP(E249,{0,1.5,2.3,3.1,3.9,4.7,5.5,6.8,8.1,9.4,10.7,12,13.3,14.6,15.9,17.2,18.5,20.2,21.9,23.6,25.3},{0,10,20,30,40,50,60,62,64,66,68,70,72,74,76,78,80,85,90,95,100})</f>
        <v>100</v>
      </c>
      <c r="G249" s="5">
        <v>190</v>
      </c>
      <c r="H249" s="7">
        <f>LOOKUP(G249,{0,125,130,135,140,145,150,153,156,159,162,165,168,171,174,177,180,187,194,200,206},{0,10,20,30,40,50,60,62,64,66,68,70,72,74,76,78,80,85,90,95,100})</f>
        <v>85</v>
      </c>
      <c r="I249" s="5">
        <v>62</v>
      </c>
      <c r="J249" s="7">
        <f>LOOKUP(I249,{0,15,17,19,21,23,25,27,29,31,33,35,37,39,41,43,45,48,51,53,55},{0,10,20,30,40,50,60,62,64,66,68,70,72,74,76,78,80,85,90,95,100})</f>
        <v>100</v>
      </c>
      <c r="K249" s="11">
        <f>I249-55</f>
        <v>7</v>
      </c>
      <c r="L249" s="7">
        <f>LOOKUP(K249,{0,2,4,6,7,8,9,10,11,12,13},{0,1,2,3,4,5,6,7,8,9,10})</f>
        <v>4</v>
      </c>
      <c r="M249" s="5">
        <f t="shared" ref="M249:M252" si="117">J249+L249</f>
        <v>104</v>
      </c>
      <c r="N249" s="5">
        <v>8.2</v>
      </c>
      <c r="O249" s="10">
        <f t="shared" ref="O249:O252" si="118">18-N249</f>
        <v>9.8</v>
      </c>
      <c r="P249" s="7">
        <f>LOOKUP(O249,{0,6.6,6.8,7,7.2,7.4,7.6,7.8,8,8.2,8.4,8.6,8.8,9,9.2,9.4,9.6,9.9,10.2,10.3,10.4},{0,10,20,30,40,50,60,62,64,66,68,70,72,74,76,78,80,85,90,95,100})</f>
        <v>80</v>
      </c>
      <c r="Q249" s="5">
        <v>3.328</v>
      </c>
      <c r="R249" s="10">
        <f t="shared" ref="R249:R252" si="119">10-Q249</f>
        <v>6.672</v>
      </c>
      <c r="S249" s="7">
        <f>LOOKUP(R249,{0,4.74,4.84,4.94,5.44,5.54,5.64,5.69,5.74,5.79,5.84,5.89,5.94,5.99,6.44,6.49,6.54,6.61,6.68,6.74,6.8},{0,10,20,30,40,50,60,62,64,66,68,70,72,74,76,78,80,85,90,95,100})</f>
        <v>85</v>
      </c>
      <c r="T249" s="5"/>
      <c r="U249" s="5"/>
      <c r="V249" s="5">
        <f t="shared" ref="V249:V252" si="120">S249+U249</f>
        <v>85</v>
      </c>
      <c r="W249" s="5"/>
      <c r="X249" s="13">
        <f t="shared" ref="X249:X252" si="121">F249*0.1+H249*0.1+J249*0.1+P249*0.2+S249*0.2</f>
        <v>61.5</v>
      </c>
      <c r="Y249" s="13">
        <f t="shared" ref="Y249:Y252" si="122">X249/0.7+L249+U249</f>
        <v>91.8571428571429</v>
      </c>
    </row>
    <row r="250" ht="15.6" hidden="1" outlineLevel="2" spans="1:25">
      <c r="A250" s="5">
        <v>306</v>
      </c>
      <c r="B250" s="5">
        <v>36</v>
      </c>
      <c r="C250" s="9" t="s">
        <v>280</v>
      </c>
      <c r="D250" s="9" t="s">
        <v>46</v>
      </c>
      <c r="E250" s="5">
        <v>25.5</v>
      </c>
      <c r="F250" s="7">
        <f>LOOKUP(E250,{0,1.5,2.3,3.1,3.9,4.7,5.5,6.8,8.1,9.4,10.7,12,13.3,14.6,15.9,17.2,18.5,20.2,21.9,23.6,25.3},{0,10,20,30,40,50,60,62,64,66,68,70,72,74,76,78,80,85,90,95,100})</f>
        <v>100</v>
      </c>
      <c r="G250" s="5">
        <v>172</v>
      </c>
      <c r="H250" s="7">
        <f>LOOKUP(G250,{0,125,130,135,140,145,150,153,156,159,162,165,168,171,174,177,180,187,194,200,206},{0,10,20,30,40,50,60,62,64,66,68,70,72,74,76,78,80,85,90,95,100})</f>
        <v>74</v>
      </c>
      <c r="I250" s="5">
        <v>56</v>
      </c>
      <c r="J250" s="7">
        <f>LOOKUP(I250,{0,15,17,19,21,23,25,27,29,31,33,35,37,39,41,43,45,48,51,53,55},{0,10,20,30,40,50,60,62,64,66,68,70,72,74,76,78,80,85,90,95,100})</f>
        <v>100</v>
      </c>
      <c r="K250" s="11">
        <f>I250-55</f>
        <v>1</v>
      </c>
      <c r="L250" s="7">
        <f>LOOKUP(K250,{0,2,4,6,7,8,9,10,11,12,13},{0,1,2,3,4,5,6,7,8,9,10})</f>
        <v>0</v>
      </c>
      <c r="M250" s="5">
        <f t="shared" si="117"/>
        <v>100</v>
      </c>
      <c r="N250" s="5">
        <v>8.7</v>
      </c>
      <c r="O250" s="10">
        <f t="shared" si="118"/>
        <v>9.3</v>
      </c>
      <c r="P250" s="7">
        <f>LOOKUP(O250,{0,6.6,6.8,7,7.2,7.4,7.6,7.8,8,8.2,8.4,8.6,8.8,9,9.2,9.4,9.6,9.9,10.2,10.3,10.4},{0,10,20,30,40,50,60,62,64,66,68,70,72,74,76,78,80,85,90,95,100})</f>
        <v>76</v>
      </c>
      <c r="Q250" s="5">
        <v>3.52</v>
      </c>
      <c r="R250" s="10">
        <f t="shared" si="119"/>
        <v>6.48</v>
      </c>
      <c r="S250" s="7">
        <f>LOOKUP(R250,{0,4.74,4.84,4.94,5.44,5.54,5.64,5.69,5.74,5.79,5.84,5.89,5.94,5.99,6.44,6.49,6.54,6.61,6.68,6.74,6.8},{0,10,20,30,40,50,60,62,64,66,68,70,72,74,76,78,80,85,90,95,100})</f>
        <v>76</v>
      </c>
      <c r="T250" s="5"/>
      <c r="U250" s="5"/>
      <c r="V250" s="5">
        <f t="shared" si="120"/>
        <v>76</v>
      </c>
      <c r="W250" s="5"/>
      <c r="X250" s="13">
        <f t="shared" si="121"/>
        <v>57.8</v>
      </c>
      <c r="Y250" s="13">
        <f t="shared" si="122"/>
        <v>82.5714285714286</v>
      </c>
    </row>
    <row r="251" ht="15.6" hidden="1" outlineLevel="2" spans="1:25">
      <c r="A251" s="5">
        <v>306</v>
      </c>
      <c r="B251" s="5">
        <v>37</v>
      </c>
      <c r="C251" s="9" t="s">
        <v>281</v>
      </c>
      <c r="D251" s="9" t="s">
        <v>46</v>
      </c>
      <c r="E251" s="5">
        <v>7</v>
      </c>
      <c r="F251" s="7">
        <f>LOOKUP(E251,{0,1.5,2.3,3.1,3.9,4.7,5.5,6.8,8.1,9.4,10.7,12,13.3,14.6,15.9,17.2,18.5,20.2,21.9,23.6,25.3},{0,10,20,30,40,50,60,62,64,66,68,70,72,74,76,78,80,85,90,95,100})</f>
        <v>62</v>
      </c>
      <c r="G251" s="5">
        <v>174</v>
      </c>
      <c r="H251" s="7">
        <f>LOOKUP(G251,{0,125,130,135,140,145,150,153,156,159,162,165,168,171,174,177,180,187,194,200,206},{0,10,20,30,40,50,60,62,64,66,68,70,72,74,76,78,80,85,90,95,100})</f>
        <v>76</v>
      </c>
      <c r="I251" s="5">
        <v>41</v>
      </c>
      <c r="J251" s="7">
        <f>LOOKUP(I251,{0,15,17,19,21,23,25,27,29,31,33,35,37,39,41,43,45,48,51,53,55},{0,10,20,30,40,50,60,62,64,66,68,70,72,74,76,78,80,85,90,95,100})</f>
        <v>76</v>
      </c>
      <c r="K251" s="5"/>
      <c r="L251" s="5"/>
      <c r="M251" s="5">
        <f t="shared" si="117"/>
        <v>76</v>
      </c>
      <c r="N251" s="5">
        <v>9.7</v>
      </c>
      <c r="O251" s="10">
        <f t="shared" si="118"/>
        <v>8.3</v>
      </c>
      <c r="P251" s="7">
        <f>LOOKUP(O251,{0,6.6,6.8,7,7.2,7.4,7.6,7.8,8,8.2,8.4,8.6,8.8,9,9.2,9.4,9.6,9.9,10.2,10.3,10.4},{0,10,20,30,40,50,60,62,64,66,68,70,72,74,76,78,80,85,90,95,100})</f>
        <v>66</v>
      </c>
      <c r="Q251" s="5">
        <v>4.11</v>
      </c>
      <c r="R251" s="10">
        <f t="shared" si="119"/>
        <v>5.89</v>
      </c>
      <c r="S251" s="7">
        <f>LOOKUP(R251,{0,4.74,4.84,4.94,5.44,5.54,5.64,5.69,5.74,5.79,5.84,5.89,5.94,5.99,6.44,6.49,6.54,6.61,6.68,6.74,6.8},{0,10,20,30,40,50,60,62,64,66,68,70,72,74,76,78,80,85,90,95,100})</f>
        <v>70</v>
      </c>
      <c r="T251" s="5"/>
      <c r="U251" s="5"/>
      <c r="V251" s="5">
        <f t="shared" si="120"/>
        <v>70</v>
      </c>
      <c r="W251" s="5"/>
      <c r="X251" s="13">
        <f t="shared" si="121"/>
        <v>48.6</v>
      </c>
      <c r="Y251" s="13">
        <f t="shared" si="122"/>
        <v>69.4285714285714</v>
      </c>
    </row>
    <row r="252" ht="15.6" hidden="1" outlineLevel="2" spans="1:25">
      <c r="A252" s="5">
        <v>306</v>
      </c>
      <c r="B252" s="5">
        <v>38</v>
      </c>
      <c r="C252" s="9" t="s">
        <v>282</v>
      </c>
      <c r="D252" s="9" t="s">
        <v>46</v>
      </c>
      <c r="E252" s="5">
        <v>25.5</v>
      </c>
      <c r="F252" s="7">
        <f>LOOKUP(E252,{0,1.5,2.3,3.1,3.9,4.7,5.5,6.8,8.1,9.4,10.7,12,13.3,14.6,15.9,17.2,18.5,20.2,21.9,23.6,25.3},{0,10,20,30,40,50,60,62,64,66,68,70,72,74,76,78,80,85,90,95,100})</f>
        <v>100</v>
      </c>
      <c r="G252" s="5">
        <v>165</v>
      </c>
      <c r="H252" s="7">
        <f>LOOKUP(G252,{0,125,130,135,140,145,150,153,156,159,162,165,168,171,174,177,180,187,194,200,206},{0,10,20,30,40,50,60,62,64,66,68,70,72,74,76,78,80,85,90,95,100})</f>
        <v>70</v>
      </c>
      <c r="I252" s="5">
        <v>42</v>
      </c>
      <c r="J252" s="7">
        <f>LOOKUP(I252,{0,15,17,19,21,23,25,27,29,31,33,35,37,39,41,43,45,48,51,53,55},{0,10,20,30,40,50,60,62,64,66,68,70,72,74,76,78,80,85,90,95,100})</f>
        <v>76</v>
      </c>
      <c r="K252" s="5"/>
      <c r="L252" s="5"/>
      <c r="M252" s="5">
        <f t="shared" si="117"/>
        <v>76</v>
      </c>
      <c r="N252" s="5">
        <v>9.9</v>
      </c>
      <c r="O252" s="10">
        <f t="shared" si="118"/>
        <v>8.1</v>
      </c>
      <c r="P252" s="7">
        <f>LOOKUP(O252,{0,6.6,6.8,7,7.2,7.4,7.6,7.8,8,8.2,8.4,8.6,8.8,9,9.2,9.4,9.6,9.9,10.2,10.3,10.4},{0,10,20,30,40,50,60,62,64,66,68,70,72,74,76,78,80,85,90,95,100})</f>
        <v>64</v>
      </c>
      <c r="Q252" s="5">
        <v>4.04</v>
      </c>
      <c r="R252" s="10">
        <f t="shared" si="119"/>
        <v>5.96</v>
      </c>
      <c r="S252" s="7">
        <f>LOOKUP(R252,{0,4.74,4.84,4.94,5.44,5.54,5.64,5.69,5.74,5.79,5.84,5.89,5.94,5.99,6.44,6.49,6.54,6.61,6.68,6.74,6.8},{0,10,20,30,40,50,60,62,64,66,68,70,72,74,76,78,80,85,90,95,100})</f>
        <v>72</v>
      </c>
      <c r="T252" s="5"/>
      <c r="U252" s="5"/>
      <c r="V252" s="5">
        <f t="shared" si="120"/>
        <v>72</v>
      </c>
      <c r="W252" s="5"/>
      <c r="X252" s="13">
        <f t="shared" si="121"/>
        <v>51.8</v>
      </c>
      <c r="Y252" s="13">
        <f t="shared" si="122"/>
        <v>74</v>
      </c>
    </row>
    <row r="253" hidden="1" outlineLevel="2" spans="1:25">
      <c r="A253" s="5">
        <v>306</v>
      </c>
      <c r="B253" s="5">
        <v>39</v>
      </c>
      <c r="C253" s="9" t="s">
        <v>283</v>
      </c>
      <c r="D253" s="9" t="s">
        <v>46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>
        <v>50</v>
      </c>
      <c r="X253" s="13"/>
      <c r="Y253" s="13">
        <v>50</v>
      </c>
    </row>
    <row r="254" ht="15.6" hidden="1" outlineLevel="2" spans="1:25">
      <c r="A254" s="5">
        <v>306</v>
      </c>
      <c r="B254" s="5">
        <v>40</v>
      </c>
      <c r="C254" s="9" t="s">
        <v>284</v>
      </c>
      <c r="D254" s="9" t="s">
        <v>46</v>
      </c>
      <c r="E254" s="5">
        <v>13</v>
      </c>
      <c r="F254" s="7">
        <f>LOOKUP(E254,{0,1.5,2.3,3.1,3.9,4.7,5.5,6.8,8.1,9.4,10.7,12,13.3,14.6,15.9,17.2,18.5,20.2,21.9,23.6,25.3},{0,10,20,30,40,50,60,62,64,66,68,70,72,74,76,78,80,85,90,95,100})</f>
        <v>70</v>
      </c>
      <c r="G254" s="5">
        <v>140</v>
      </c>
      <c r="H254" s="7">
        <f>LOOKUP(G254,{0,125,130,135,140,145,150,153,156,159,162,165,168,171,174,177,180,187,194,200,206},{0,10,20,30,40,50,60,62,64,66,68,70,72,74,76,78,80,85,90,95,100})</f>
        <v>40</v>
      </c>
      <c r="I254" s="5">
        <v>34</v>
      </c>
      <c r="J254" s="7">
        <f>LOOKUP(I254,{0,15,17,19,21,23,25,27,29,31,33,35,37,39,41,43,45,48,51,53,55},{0,10,20,30,40,50,60,62,64,66,68,70,72,74,76,78,80,85,90,95,100})</f>
        <v>68</v>
      </c>
      <c r="K254" s="5"/>
      <c r="L254" s="5"/>
      <c r="M254" s="5">
        <f t="shared" ref="M254:M267" si="123">J254+L254</f>
        <v>68</v>
      </c>
      <c r="N254" s="5">
        <v>9.7</v>
      </c>
      <c r="O254" s="10">
        <f t="shared" ref="O254:O267" si="124">18-N254</f>
        <v>8.3</v>
      </c>
      <c r="P254" s="7">
        <f>LOOKUP(O254,{0,6.6,6.8,7,7.2,7.4,7.6,7.8,8,8.2,8.4,8.6,8.8,9,9.2,9.4,9.6,9.9,10.2,10.3,10.4},{0,10,20,30,40,50,60,62,64,66,68,70,72,74,76,78,80,85,90,95,100})</f>
        <v>66</v>
      </c>
      <c r="Q254" s="5">
        <v>4.09</v>
      </c>
      <c r="R254" s="10">
        <f t="shared" ref="R254:R267" si="125">10-Q254</f>
        <v>5.91</v>
      </c>
      <c r="S254" s="7">
        <f>LOOKUP(R254,{0,4.74,4.84,4.94,5.44,5.54,5.64,5.69,5.74,5.79,5.84,5.89,5.94,5.99,6.44,6.49,6.54,6.61,6.68,6.74,6.8},{0,10,20,30,40,50,60,62,64,66,68,70,72,74,76,78,80,85,90,95,100})</f>
        <v>70</v>
      </c>
      <c r="T254" s="5"/>
      <c r="U254" s="5"/>
      <c r="V254" s="5">
        <f t="shared" ref="V254:V267" si="126">S254+U254</f>
        <v>70</v>
      </c>
      <c r="W254" s="5"/>
      <c r="X254" s="13">
        <f t="shared" ref="X254:X267" si="127">F254*0.1+H254*0.1+J254*0.1+P254*0.2+S254*0.2</f>
        <v>45</v>
      </c>
      <c r="Y254" s="13">
        <f t="shared" ref="Y254:Y267" si="128">X254/0.7+L254+U254</f>
        <v>64.2857142857143</v>
      </c>
    </row>
    <row r="255" hidden="1" outlineLevel="2" spans="1:25">
      <c r="A255" s="5">
        <v>306</v>
      </c>
      <c r="B255" s="5">
        <v>41</v>
      </c>
      <c r="C255" s="9" t="s">
        <v>285</v>
      </c>
      <c r="D255" s="9" t="s">
        <v>46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>
        <v>50</v>
      </c>
      <c r="X255" s="13"/>
      <c r="Y255" s="13">
        <v>50</v>
      </c>
    </row>
    <row r="256" ht="15.6" hidden="1" outlineLevel="2" spans="1:25">
      <c r="A256" s="5">
        <v>306</v>
      </c>
      <c r="B256" s="5">
        <v>42</v>
      </c>
      <c r="C256" s="9" t="s">
        <v>286</v>
      </c>
      <c r="D256" s="9" t="s">
        <v>46</v>
      </c>
      <c r="E256" s="5">
        <v>15.5</v>
      </c>
      <c r="F256" s="7">
        <f>LOOKUP(E256,{0,1.5,2.3,3.1,3.9,4.7,5.5,6.8,8.1,9.4,10.7,12,13.3,14.6,15.9,17.2,18.5,20.2,21.9,23.6,25.3},{0,10,20,30,40,50,60,62,64,66,68,70,72,74,76,78,80,85,90,95,100})</f>
        <v>74</v>
      </c>
      <c r="G256" s="5">
        <v>180</v>
      </c>
      <c r="H256" s="7">
        <f>LOOKUP(G256,{0,125,130,135,140,145,150,153,156,159,162,165,168,171,174,177,180,187,194,200,206},{0,10,20,30,40,50,60,62,64,66,68,70,72,74,76,78,80,85,90,95,100})</f>
        <v>80</v>
      </c>
      <c r="I256" s="5">
        <v>42</v>
      </c>
      <c r="J256" s="7">
        <f>LOOKUP(I256,{0,15,17,19,21,23,25,27,29,31,33,35,37,39,41,43,45,48,51,53,55},{0,10,20,30,40,50,60,62,64,66,68,70,72,74,76,78,80,85,90,95,100})</f>
        <v>76</v>
      </c>
      <c r="K256" s="5"/>
      <c r="L256" s="5"/>
      <c r="M256" s="5">
        <f t="shared" si="123"/>
        <v>76</v>
      </c>
      <c r="N256" s="5">
        <v>9.3</v>
      </c>
      <c r="O256" s="10">
        <f t="shared" si="124"/>
        <v>8.7</v>
      </c>
      <c r="P256" s="7">
        <f>LOOKUP(O256,{0,6.6,6.8,7,7.2,7.4,7.6,7.8,8,8.2,8.4,8.6,8.8,9,9.2,9.4,9.6,9.9,10.2,10.3,10.4},{0,10,20,30,40,50,60,62,64,66,68,70,72,74,76,78,80,85,90,95,100})</f>
        <v>70</v>
      </c>
      <c r="Q256" s="5">
        <v>3.56</v>
      </c>
      <c r="R256" s="10">
        <f t="shared" si="125"/>
        <v>6.44</v>
      </c>
      <c r="S256" s="7">
        <f>LOOKUP(R256,{0,4.74,4.84,4.94,5.44,5.54,5.64,5.69,5.74,5.79,5.84,5.89,5.94,5.99,6.44,6.49,6.54,6.61,6.68,6.74,6.8},{0,10,20,30,40,50,60,62,64,66,68,70,72,74,76,78,80,85,90,95,100})</f>
        <v>76</v>
      </c>
      <c r="T256" s="5"/>
      <c r="U256" s="5"/>
      <c r="V256" s="5">
        <f t="shared" si="126"/>
        <v>76</v>
      </c>
      <c r="W256" s="5"/>
      <c r="X256" s="13">
        <f t="shared" si="127"/>
        <v>52.2</v>
      </c>
      <c r="Y256" s="13">
        <f t="shared" si="128"/>
        <v>74.5714285714286</v>
      </c>
    </row>
    <row r="257" ht="15.6" hidden="1" outlineLevel="2" spans="1:25">
      <c r="A257" s="5">
        <v>306</v>
      </c>
      <c r="B257" s="5">
        <v>43</v>
      </c>
      <c r="C257" s="8" t="s">
        <v>288</v>
      </c>
      <c r="D257" s="9" t="s">
        <v>46</v>
      </c>
      <c r="E257" s="5">
        <v>10.5</v>
      </c>
      <c r="F257" s="7">
        <f>LOOKUP(E257,{0,1.5,2.3,3.1,3.9,4.7,5.5,6.8,8.1,9.4,10.7,12,13.3,14.6,15.9,17.2,18.5,20.2,21.9,23.6,25.3},{0,10,20,30,40,50,60,62,64,66,68,70,72,74,76,78,80,85,90,95,100})</f>
        <v>66</v>
      </c>
      <c r="G257" s="5">
        <v>179</v>
      </c>
      <c r="H257" s="7">
        <f>LOOKUP(G257,{0,125,130,135,140,145,150,153,156,159,162,165,168,171,174,177,180,187,194,200,206},{0,10,20,30,40,50,60,62,64,66,68,70,72,74,76,78,80,85,90,95,100})</f>
        <v>78</v>
      </c>
      <c r="I257" s="5">
        <v>46</v>
      </c>
      <c r="J257" s="7">
        <f>LOOKUP(I257,{0,15,17,19,21,23,25,27,29,31,33,35,37,39,41,43,45,48,51,53,55},{0,10,20,30,40,50,60,62,64,66,68,70,72,74,76,78,80,85,90,95,100})</f>
        <v>80</v>
      </c>
      <c r="K257" s="5"/>
      <c r="L257" s="5"/>
      <c r="M257" s="5">
        <f t="shared" si="123"/>
        <v>80</v>
      </c>
      <c r="N257" s="5">
        <v>9.1</v>
      </c>
      <c r="O257" s="10">
        <f t="shared" si="124"/>
        <v>8.9</v>
      </c>
      <c r="P257" s="7">
        <f>LOOKUP(O257,{0,6.6,6.8,7,7.2,7.4,7.6,7.8,8,8.2,8.4,8.6,8.8,9,9.2,9.4,9.6,9.9,10.2,10.3,10.4},{0,10,20,30,40,50,60,62,64,66,68,70,72,74,76,78,80,85,90,95,100})</f>
        <v>72</v>
      </c>
      <c r="Q257" s="5">
        <v>3.48</v>
      </c>
      <c r="R257" s="10">
        <f t="shared" si="125"/>
        <v>6.52</v>
      </c>
      <c r="S257" s="7">
        <f>LOOKUP(R257,{0,4.74,4.84,4.94,5.44,5.54,5.64,5.69,5.74,5.79,5.84,5.89,5.94,5.99,6.44,6.49,6.54,6.61,6.68,6.74,6.8},{0,10,20,30,40,50,60,62,64,66,68,70,72,74,76,78,80,85,90,95,100})</f>
        <v>78</v>
      </c>
      <c r="T257" s="5"/>
      <c r="U257" s="5"/>
      <c r="V257" s="5">
        <f t="shared" si="126"/>
        <v>78</v>
      </c>
      <c r="W257" s="5"/>
      <c r="X257" s="13">
        <f t="shared" si="127"/>
        <v>52.4</v>
      </c>
      <c r="Y257" s="13">
        <f t="shared" si="128"/>
        <v>74.8571428571429</v>
      </c>
    </row>
    <row r="258" ht="15.6" hidden="1" outlineLevel="2" spans="1:25">
      <c r="A258" s="5">
        <v>306</v>
      </c>
      <c r="B258" s="5">
        <v>44</v>
      </c>
      <c r="C258" s="9" t="s">
        <v>289</v>
      </c>
      <c r="D258" s="9" t="s">
        <v>46</v>
      </c>
      <c r="E258" s="5">
        <v>19.5</v>
      </c>
      <c r="F258" s="7">
        <f>LOOKUP(E258,{0,1.5,2.3,3.1,3.9,4.7,5.5,6.8,8.1,9.4,10.7,12,13.3,14.6,15.9,17.2,18.5,20.2,21.9,23.6,25.3},{0,10,20,30,40,50,60,62,64,66,68,70,72,74,76,78,80,85,90,95,100})</f>
        <v>80</v>
      </c>
      <c r="G258" s="5">
        <v>182</v>
      </c>
      <c r="H258" s="7">
        <f>LOOKUP(G258,{0,125,130,135,140,145,150,153,156,159,162,165,168,171,174,177,180,187,194,200,206},{0,10,20,30,40,50,60,62,64,66,68,70,72,74,76,78,80,85,90,95,100})</f>
        <v>80</v>
      </c>
      <c r="I258" s="5">
        <v>42</v>
      </c>
      <c r="J258" s="7">
        <f>LOOKUP(I258,{0,15,17,19,21,23,25,27,29,31,33,35,37,39,41,43,45,48,51,53,55},{0,10,20,30,40,50,60,62,64,66,68,70,72,74,76,78,80,85,90,95,100})</f>
        <v>76</v>
      </c>
      <c r="K258" s="5"/>
      <c r="L258" s="5"/>
      <c r="M258" s="5">
        <f t="shared" si="123"/>
        <v>76</v>
      </c>
      <c r="N258" s="5">
        <v>8.6</v>
      </c>
      <c r="O258" s="10">
        <f t="shared" si="124"/>
        <v>9.4</v>
      </c>
      <c r="P258" s="7">
        <f>LOOKUP(O258,{0,6.6,6.8,7,7.2,7.4,7.6,7.8,8,8.2,8.4,8.6,8.8,9,9.2,9.4,9.6,9.9,10.2,10.3,10.4},{0,10,20,30,40,50,60,62,64,66,68,70,72,74,76,78,80,85,90,95,100})</f>
        <v>78</v>
      </c>
      <c r="Q258" s="5">
        <v>4.01</v>
      </c>
      <c r="R258" s="10">
        <f t="shared" si="125"/>
        <v>5.99</v>
      </c>
      <c r="S258" s="7">
        <f>LOOKUP(R258,{0,4.74,4.84,4.94,5.44,5.54,5.64,5.69,5.74,5.79,5.84,5.89,5.94,5.99,6.44,6.49,6.54,6.61,6.68,6.74,6.8},{0,10,20,30,40,50,60,62,64,66,68,70,72,74,76,78,80,85,90,95,100})</f>
        <v>74</v>
      </c>
      <c r="T258" s="5"/>
      <c r="U258" s="5"/>
      <c r="V258" s="5">
        <f t="shared" si="126"/>
        <v>74</v>
      </c>
      <c r="W258" s="5"/>
      <c r="X258" s="13">
        <f t="shared" si="127"/>
        <v>54</v>
      </c>
      <c r="Y258" s="13">
        <f t="shared" si="128"/>
        <v>77.1428571428572</v>
      </c>
    </row>
    <row r="259" ht="15.6" hidden="1" outlineLevel="2" spans="1:25">
      <c r="A259" s="5">
        <v>306</v>
      </c>
      <c r="B259" s="5">
        <v>45</v>
      </c>
      <c r="C259" s="9" t="s">
        <v>290</v>
      </c>
      <c r="D259" s="9" t="s">
        <v>46</v>
      </c>
      <c r="E259" s="5">
        <v>25.6</v>
      </c>
      <c r="F259" s="7">
        <f>LOOKUP(E259,{0,1.5,2.3,3.1,3.9,4.7,5.5,6.8,8.1,9.4,10.7,12,13.3,14.6,15.9,17.2,18.5,20.2,21.9,23.6,25.3},{0,10,20,30,40,50,60,62,64,66,68,70,72,74,76,78,80,85,90,95,100})</f>
        <v>100</v>
      </c>
      <c r="G259" s="5">
        <v>205</v>
      </c>
      <c r="H259" s="7">
        <f>LOOKUP(G259,{0,125,130,135,140,145,150,153,156,159,162,165,168,171,174,177,180,187,194,200,206},{0,10,20,30,40,50,60,62,64,66,68,70,72,74,76,78,80,85,90,95,100})</f>
        <v>95</v>
      </c>
      <c r="I259" s="5">
        <v>49</v>
      </c>
      <c r="J259" s="7">
        <f>LOOKUP(I259,{0,15,17,19,21,23,25,27,29,31,33,35,37,39,41,43,45,48,51,53,55},{0,10,20,30,40,50,60,62,64,66,68,70,72,74,76,78,80,85,90,95,100})</f>
        <v>85</v>
      </c>
      <c r="K259" s="5"/>
      <c r="L259" s="5"/>
      <c r="M259" s="5">
        <f t="shared" si="123"/>
        <v>85</v>
      </c>
      <c r="N259" s="5">
        <v>8.1</v>
      </c>
      <c r="O259" s="10">
        <f t="shared" si="124"/>
        <v>9.9</v>
      </c>
      <c r="P259" s="7">
        <f>LOOKUP(O259,{0,6.6,6.8,7,7.2,7.4,7.6,7.8,8,8.2,8.4,8.6,8.8,9,9.2,9.4,9.6,9.9,10.2,10.3,10.4},{0,10,20,30,40,50,60,62,64,66,68,70,72,74,76,78,80,85,90,95,100})</f>
        <v>85</v>
      </c>
      <c r="Q259" s="5">
        <v>3.52</v>
      </c>
      <c r="R259" s="10">
        <f t="shared" si="125"/>
        <v>6.48</v>
      </c>
      <c r="S259" s="7">
        <f>LOOKUP(R259,{0,4.74,4.84,4.94,5.44,5.54,5.64,5.69,5.74,5.79,5.84,5.89,5.94,5.99,6.44,6.49,6.54,6.61,6.68,6.74,6.8},{0,10,20,30,40,50,60,62,64,66,68,70,72,74,76,78,80,85,90,95,100})</f>
        <v>76</v>
      </c>
      <c r="T259" s="5"/>
      <c r="U259" s="5"/>
      <c r="V259" s="5">
        <f t="shared" si="126"/>
        <v>76</v>
      </c>
      <c r="W259" s="5"/>
      <c r="X259" s="13">
        <f t="shared" si="127"/>
        <v>60.2</v>
      </c>
      <c r="Y259" s="13">
        <f t="shared" si="128"/>
        <v>86</v>
      </c>
    </row>
    <row r="260" ht="15.6" hidden="1" outlineLevel="2" spans="1:25">
      <c r="A260" s="5">
        <v>306</v>
      </c>
      <c r="B260" s="5">
        <v>46</v>
      </c>
      <c r="C260" s="9" t="s">
        <v>291</v>
      </c>
      <c r="D260" s="9" t="s">
        <v>46</v>
      </c>
      <c r="E260" s="5">
        <v>12.5</v>
      </c>
      <c r="F260" s="7">
        <f>LOOKUP(E260,{0,1.5,2.3,3.1,3.9,4.7,5.5,6.8,8.1,9.4,10.7,12,13.3,14.6,15.9,17.2,18.5,20.2,21.9,23.6,25.3},{0,10,20,30,40,50,60,62,64,66,68,70,72,74,76,78,80,85,90,95,100})</f>
        <v>70</v>
      </c>
      <c r="G260" s="5">
        <v>173</v>
      </c>
      <c r="H260" s="7">
        <f>LOOKUP(G260,{0,125,130,135,140,145,150,153,156,159,162,165,168,171,174,177,180,187,194,200,206},{0,10,20,30,40,50,60,62,64,66,68,70,72,74,76,78,80,85,90,95,100})</f>
        <v>74</v>
      </c>
      <c r="I260" s="5">
        <v>43</v>
      </c>
      <c r="J260" s="7">
        <f>LOOKUP(I260,{0,15,17,19,21,23,25,27,29,31,33,35,37,39,41,43,45,48,51,53,55},{0,10,20,30,40,50,60,62,64,66,68,70,72,74,76,78,80,85,90,95,100})</f>
        <v>78</v>
      </c>
      <c r="K260" s="5"/>
      <c r="L260" s="5"/>
      <c r="M260" s="5">
        <f t="shared" si="123"/>
        <v>78</v>
      </c>
      <c r="N260" s="5">
        <v>9.1</v>
      </c>
      <c r="O260" s="10">
        <f t="shared" si="124"/>
        <v>8.9</v>
      </c>
      <c r="P260" s="7">
        <f>LOOKUP(O260,{0,6.6,6.8,7,7.2,7.4,7.6,7.8,8,8.2,8.4,8.6,8.8,9,9.2,9.4,9.6,9.9,10.2,10.3,10.4},{0,10,20,30,40,50,60,62,64,66,68,70,72,74,76,78,80,85,90,95,100})</f>
        <v>72</v>
      </c>
      <c r="Q260" s="5">
        <v>4.23</v>
      </c>
      <c r="R260" s="10">
        <f t="shared" si="125"/>
        <v>5.77</v>
      </c>
      <c r="S260" s="7">
        <f>LOOKUP(R260,{0,4.74,4.84,4.94,5.44,5.54,5.64,5.69,5.74,5.79,5.84,5.89,5.94,5.99,6.44,6.49,6.54,6.61,6.68,6.74,6.8},{0,10,20,30,40,50,60,62,64,66,68,70,72,74,76,78,80,85,90,95,100})</f>
        <v>64</v>
      </c>
      <c r="T260" s="5"/>
      <c r="U260" s="5"/>
      <c r="V260" s="5">
        <f t="shared" si="126"/>
        <v>64</v>
      </c>
      <c r="W260" s="5"/>
      <c r="X260" s="13">
        <f t="shared" si="127"/>
        <v>49.4</v>
      </c>
      <c r="Y260" s="13">
        <f t="shared" si="128"/>
        <v>70.5714285714286</v>
      </c>
    </row>
    <row r="261" ht="15.6" hidden="1" outlineLevel="2" spans="1:25">
      <c r="A261" s="5">
        <v>306</v>
      </c>
      <c r="B261" s="5">
        <v>47</v>
      </c>
      <c r="C261" s="9" t="s">
        <v>292</v>
      </c>
      <c r="D261" s="9" t="s">
        <v>46</v>
      </c>
      <c r="E261" s="5">
        <v>10</v>
      </c>
      <c r="F261" s="7">
        <f>LOOKUP(E261,{0,1.5,2.3,3.1,3.9,4.7,5.5,6.8,8.1,9.4,10.7,12,13.3,14.6,15.9,17.2,18.5,20.2,21.9,23.6,25.3},{0,10,20,30,40,50,60,62,64,66,68,70,72,74,76,78,80,85,90,95,100})</f>
        <v>66</v>
      </c>
      <c r="G261" s="5">
        <v>163</v>
      </c>
      <c r="H261" s="7">
        <f>LOOKUP(G261,{0,125,130,135,140,145,150,153,156,159,162,165,168,171,174,177,180,187,194,200,206},{0,10,20,30,40,50,60,62,64,66,68,70,72,74,76,78,80,85,90,95,100})</f>
        <v>68</v>
      </c>
      <c r="I261" s="5">
        <v>41</v>
      </c>
      <c r="J261" s="7">
        <f>LOOKUP(I261,{0,15,17,19,21,23,25,27,29,31,33,35,37,39,41,43,45,48,51,53,55},{0,10,20,30,40,50,60,62,64,66,68,70,72,74,76,78,80,85,90,95,100})</f>
        <v>76</v>
      </c>
      <c r="K261" s="5"/>
      <c r="L261" s="5"/>
      <c r="M261" s="5">
        <f t="shared" si="123"/>
        <v>76</v>
      </c>
      <c r="N261" s="5">
        <v>9.6</v>
      </c>
      <c r="O261" s="10">
        <f t="shared" si="124"/>
        <v>8.4</v>
      </c>
      <c r="P261" s="7">
        <f>LOOKUP(O261,{0,6.6,6.8,7,7.2,7.4,7.6,7.8,8,8.2,8.4,8.6,8.8,9,9.2,9.4,9.6,9.9,10.2,10.3,10.4},{0,10,20,30,40,50,60,62,64,66,68,70,72,74,76,78,80,85,90,95,100})</f>
        <v>68</v>
      </c>
      <c r="Q261" s="5">
        <v>4.05</v>
      </c>
      <c r="R261" s="10">
        <f t="shared" si="125"/>
        <v>5.95</v>
      </c>
      <c r="S261" s="7">
        <f>LOOKUP(R261,{0,4.74,4.84,4.94,5.44,5.54,5.64,5.69,5.74,5.79,5.84,5.89,5.94,5.99,6.44,6.49,6.54,6.61,6.68,6.74,6.8},{0,10,20,30,40,50,60,62,64,66,68,70,72,74,76,78,80,85,90,95,100})</f>
        <v>72</v>
      </c>
      <c r="T261" s="5"/>
      <c r="U261" s="5"/>
      <c r="V261" s="5">
        <f t="shared" si="126"/>
        <v>72</v>
      </c>
      <c r="W261" s="5"/>
      <c r="X261" s="13">
        <f t="shared" si="127"/>
        <v>49</v>
      </c>
      <c r="Y261" s="13">
        <f t="shared" si="128"/>
        <v>70</v>
      </c>
    </row>
    <row r="262" ht="15.6" hidden="1" outlineLevel="2" spans="1:25">
      <c r="A262" s="5">
        <v>306</v>
      </c>
      <c r="B262" s="5">
        <v>48</v>
      </c>
      <c r="C262" s="9" t="s">
        <v>293</v>
      </c>
      <c r="D262" s="9" t="s">
        <v>46</v>
      </c>
      <c r="E262" s="5">
        <v>12</v>
      </c>
      <c r="F262" s="7">
        <f>LOOKUP(E262,{0,1.5,2.3,3.1,3.9,4.7,5.5,6.8,8.1,9.4,10.7,12,13.3,14.6,15.9,17.2,18.5,20.2,21.9,23.6,25.3},{0,10,20,30,40,50,60,62,64,66,68,70,72,74,76,78,80,85,90,95,100})</f>
        <v>70</v>
      </c>
      <c r="G262" s="5">
        <v>195</v>
      </c>
      <c r="H262" s="7">
        <f>LOOKUP(G262,{0,125,130,135,140,145,150,153,156,159,162,165,168,171,174,177,180,187,194,200,206},{0,10,20,30,40,50,60,62,64,66,68,70,72,74,76,78,80,85,90,95,100})</f>
        <v>90</v>
      </c>
      <c r="I262" s="5">
        <v>46</v>
      </c>
      <c r="J262" s="7">
        <f>LOOKUP(I262,{0,15,17,19,21,23,25,27,29,31,33,35,37,39,41,43,45,48,51,53,55},{0,10,20,30,40,50,60,62,64,66,68,70,72,74,76,78,80,85,90,95,100})</f>
        <v>80</v>
      </c>
      <c r="K262" s="5"/>
      <c r="L262" s="5"/>
      <c r="M262" s="5">
        <f t="shared" si="123"/>
        <v>80</v>
      </c>
      <c r="N262" s="5">
        <v>8.9</v>
      </c>
      <c r="O262" s="10">
        <f t="shared" si="124"/>
        <v>9.1</v>
      </c>
      <c r="P262" s="7">
        <f>LOOKUP(O262,{0,6.6,6.8,7,7.2,7.4,7.6,7.8,8,8.2,8.4,8.6,8.8,9,9.2,9.4,9.6,9.9,10.2,10.3,10.4},{0,10,20,30,40,50,60,62,64,66,68,70,72,74,76,78,80,85,90,95,100})</f>
        <v>74</v>
      </c>
      <c r="Q262" s="5">
        <v>3.45</v>
      </c>
      <c r="R262" s="10">
        <f t="shared" si="125"/>
        <v>6.55</v>
      </c>
      <c r="S262" s="7">
        <f>LOOKUP(R262,{0,4.74,4.84,4.94,5.44,5.54,5.64,5.69,5.74,5.79,5.84,5.89,5.94,5.99,6.44,6.49,6.54,6.61,6.68,6.74,6.8},{0,10,20,30,40,50,60,62,64,66,68,70,72,74,76,78,80,85,90,95,100})</f>
        <v>80</v>
      </c>
      <c r="T262" s="5"/>
      <c r="U262" s="5"/>
      <c r="V262" s="5">
        <f t="shared" si="126"/>
        <v>80</v>
      </c>
      <c r="W262" s="5"/>
      <c r="X262" s="13">
        <f t="shared" si="127"/>
        <v>54.8</v>
      </c>
      <c r="Y262" s="13">
        <f t="shared" si="128"/>
        <v>78.2857142857143</v>
      </c>
    </row>
    <row r="263" ht="15.6" hidden="1" outlineLevel="2" spans="1:25">
      <c r="A263" s="5">
        <v>306</v>
      </c>
      <c r="B263" s="5">
        <v>49</v>
      </c>
      <c r="C263" s="9" t="s">
        <v>294</v>
      </c>
      <c r="D263" s="9" t="s">
        <v>46</v>
      </c>
      <c r="E263" s="5">
        <v>25</v>
      </c>
      <c r="F263" s="7">
        <f>LOOKUP(E263,{0,1.5,2.3,3.1,3.9,4.7,5.5,6.8,8.1,9.4,10.7,12,13.3,14.6,15.9,17.2,18.5,20.2,21.9,23.6,25.3},{0,10,20,30,40,50,60,62,64,66,68,70,72,74,76,78,80,85,90,95,100})</f>
        <v>95</v>
      </c>
      <c r="G263" s="5">
        <v>173</v>
      </c>
      <c r="H263" s="7">
        <f>LOOKUP(G263,{0,125,130,135,140,145,150,153,156,159,162,165,168,171,174,177,180,187,194,200,206},{0,10,20,30,40,50,60,62,64,66,68,70,72,74,76,78,80,85,90,95,100})</f>
        <v>74</v>
      </c>
      <c r="I263" s="5">
        <v>50</v>
      </c>
      <c r="J263" s="7">
        <f>LOOKUP(I263,{0,15,17,19,21,23,25,27,29,31,33,35,37,39,41,43,45,48,51,53,55},{0,10,20,30,40,50,60,62,64,66,68,70,72,74,76,78,80,85,90,95,100})</f>
        <v>85</v>
      </c>
      <c r="K263" s="5"/>
      <c r="L263" s="5"/>
      <c r="M263" s="5">
        <f t="shared" si="123"/>
        <v>85</v>
      </c>
      <c r="N263" s="5">
        <v>9.2</v>
      </c>
      <c r="O263" s="10">
        <f t="shared" si="124"/>
        <v>8.8</v>
      </c>
      <c r="P263" s="7">
        <f>LOOKUP(O263,{0,6.6,6.8,7,7.2,7.4,7.6,7.8,8,8.2,8.4,8.6,8.8,9,9.2,9.4,9.6,9.9,10.2,10.3,10.4},{0,10,20,30,40,50,60,62,64,66,68,70,72,74,76,78,80,85,90,95,100})</f>
        <v>72</v>
      </c>
      <c r="Q263" s="5">
        <v>3.58</v>
      </c>
      <c r="R263" s="10">
        <f t="shared" si="125"/>
        <v>6.42</v>
      </c>
      <c r="S263" s="7">
        <f>LOOKUP(R263,{0,4.74,4.84,4.94,5.44,5.54,5.64,5.69,5.74,5.79,5.84,5.89,5.94,5.99,6.44,6.49,6.54,6.61,6.68,6.74,6.8},{0,10,20,30,40,50,60,62,64,66,68,70,72,74,76,78,80,85,90,95,100})</f>
        <v>74</v>
      </c>
      <c r="T263" s="5"/>
      <c r="U263" s="5"/>
      <c r="V263" s="5">
        <f t="shared" si="126"/>
        <v>74</v>
      </c>
      <c r="W263" s="5"/>
      <c r="X263" s="13">
        <f t="shared" si="127"/>
        <v>54.6</v>
      </c>
      <c r="Y263" s="13">
        <f t="shared" si="128"/>
        <v>78</v>
      </c>
    </row>
    <row r="264" ht="15.6" hidden="1" outlineLevel="2" spans="1:25">
      <c r="A264" s="5">
        <v>306</v>
      </c>
      <c r="B264" s="5">
        <v>50</v>
      </c>
      <c r="C264" s="9" t="s">
        <v>295</v>
      </c>
      <c r="D264" s="9" t="s">
        <v>46</v>
      </c>
      <c r="E264" s="5">
        <v>17</v>
      </c>
      <c r="F264" s="7">
        <f>LOOKUP(E264,{0,1.5,2.3,3.1,3.9,4.7,5.5,6.8,8.1,9.4,10.7,12,13.3,14.6,15.9,17.2,18.5,20.2,21.9,23.6,25.3},{0,10,20,30,40,50,60,62,64,66,68,70,72,74,76,78,80,85,90,95,100})</f>
        <v>76</v>
      </c>
      <c r="G264" s="5">
        <v>130</v>
      </c>
      <c r="H264" s="7">
        <f>LOOKUP(G264,{0,125,130,135,140,145,150,153,156,159,162,165,168,171,174,177,180,187,194,200,206},{0,10,20,30,40,50,60,62,64,66,68,70,72,74,76,78,80,85,90,95,100})</f>
        <v>20</v>
      </c>
      <c r="I264" s="5">
        <v>45</v>
      </c>
      <c r="J264" s="7">
        <f>LOOKUP(I264,{0,15,17,19,21,23,25,27,29,31,33,35,37,39,41,43,45,48,51,53,55},{0,10,20,30,40,50,60,62,64,66,68,70,72,74,76,78,80,85,90,95,100})</f>
        <v>80</v>
      </c>
      <c r="K264" s="5"/>
      <c r="L264" s="5"/>
      <c r="M264" s="5">
        <f t="shared" si="123"/>
        <v>80</v>
      </c>
      <c r="N264" s="5">
        <v>9.8</v>
      </c>
      <c r="O264" s="10">
        <f t="shared" si="124"/>
        <v>8.2</v>
      </c>
      <c r="P264" s="7">
        <f>LOOKUP(O264,{0,6.6,6.8,7,7.2,7.4,7.6,7.8,8,8.2,8.4,8.6,8.8,9,9.2,9.4,9.6,9.9,10.2,10.3,10.4},{0,10,20,30,40,50,60,62,64,66,68,70,72,74,76,78,80,85,90,95,100})</f>
        <v>66</v>
      </c>
      <c r="Q264" s="5">
        <v>4.13</v>
      </c>
      <c r="R264" s="10">
        <f t="shared" si="125"/>
        <v>5.87</v>
      </c>
      <c r="S264" s="7">
        <f>LOOKUP(R264,{0,4.74,4.84,4.94,5.44,5.54,5.64,5.69,5.74,5.79,5.84,5.89,5.94,5.99,6.44,6.49,6.54,6.61,6.68,6.74,6.8},{0,10,20,30,40,50,60,62,64,66,68,70,72,74,76,78,80,85,90,95,100})</f>
        <v>68</v>
      </c>
      <c r="T264" s="5"/>
      <c r="U264" s="5"/>
      <c r="V264" s="5">
        <f t="shared" si="126"/>
        <v>68</v>
      </c>
      <c r="W264" s="5"/>
      <c r="X264" s="13">
        <f t="shared" si="127"/>
        <v>44.4</v>
      </c>
      <c r="Y264" s="13">
        <f t="shared" si="128"/>
        <v>63.4285714285714</v>
      </c>
    </row>
    <row r="265" ht="15.6" hidden="1" outlineLevel="2" spans="1:25">
      <c r="A265" s="5">
        <v>306</v>
      </c>
      <c r="B265" s="5">
        <v>51</v>
      </c>
      <c r="C265" s="9" t="s">
        <v>296</v>
      </c>
      <c r="D265" s="9" t="s">
        <v>46</v>
      </c>
      <c r="E265" s="5">
        <v>15</v>
      </c>
      <c r="F265" s="7">
        <f>LOOKUP(E265,{0,1.5,2.3,3.1,3.9,4.7,5.5,6.8,8.1,9.4,10.7,12,13.3,14.6,15.9,17.2,18.5,20.2,21.9,23.6,25.3},{0,10,20,30,40,50,60,62,64,66,68,70,72,74,76,78,80,85,90,95,100})</f>
        <v>74</v>
      </c>
      <c r="G265" s="5">
        <v>163</v>
      </c>
      <c r="H265" s="7">
        <f>LOOKUP(G265,{0,125,130,135,140,145,150,153,156,159,162,165,168,171,174,177,180,187,194,200,206},{0,10,20,30,40,50,60,62,64,66,68,70,72,74,76,78,80,85,90,95,100})</f>
        <v>68</v>
      </c>
      <c r="I265" s="5">
        <v>38</v>
      </c>
      <c r="J265" s="7">
        <f>LOOKUP(I265,{0,15,17,19,21,23,25,27,29,31,33,35,37,39,41,43,45,48,51,53,55},{0,10,20,30,40,50,60,62,64,66,68,70,72,74,76,78,80,85,90,95,100})</f>
        <v>72</v>
      </c>
      <c r="K265" s="5"/>
      <c r="L265" s="5"/>
      <c r="M265" s="5">
        <f t="shared" si="123"/>
        <v>72</v>
      </c>
      <c r="N265" s="5">
        <v>9.8</v>
      </c>
      <c r="O265" s="10">
        <f t="shared" si="124"/>
        <v>8.2</v>
      </c>
      <c r="P265" s="7">
        <f>LOOKUP(O265,{0,6.6,6.8,7,7.2,7.4,7.6,7.8,8,8.2,8.4,8.6,8.8,9,9.2,9.4,9.6,9.9,10.2,10.3,10.4},{0,10,20,30,40,50,60,62,64,66,68,70,72,74,76,78,80,85,90,95,100})</f>
        <v>66</v>
      </c>
      <c r="Q265" s="5">
        <v>4.32</v>
      </c>
      <c r="R265" s="10">
        <f t="shared" si="125"/>
        <v>5.68</v>
      </c>
      <c r="S265" s="7">
        <f>LOOKUP(R265,{0,4.74,4.84,4.94,5.44,5.54,5.64,5.69,5.74,5.79,5.84,5.89,5.94,5.99,6.44,6.49,6.54,6.61,6.68,6.74,6.8},{0,10,20,30,40,50,60,62,64,66,68,70,72,74,76,78,80,85,90,95,100})</f>
        <v>60</v>
      </c>
      <c r="T265" s="5"/>
      <c r="U265" s="5"/>
      <c r="V265" s="5">
        <f t="shared" si="126"/>
        <v>60</v>
      </c>
      <c r="W265" s="5"/>
      <c r="X265" s="13">
        <f t="shared" si="127"/>
        <v>46.6</v>
      </c>
      <c r="Y265" s="13">
        <f t="shared" si="128"/>
        <v>66.5714285714286</v>
      </c>
    </row>
    <row r="266" ht="15.6" hidden="1" outlineLevel="2" spans="1:25">
      <c r="A266" s="5">
        <v>306</v>
      </c>
      <c r="B266" s="5">
        <v>52</v>
      </c>
      <c r="C266" s="9" t="s">
        <v>297</v>
      </c>
      <c r="D266" s="9" t="s">
        <v>46</v>
      </c>
      <c r="E266" s="5">
        <v>14</v>
      </c>
      <c r="F266" s="7">
        <f>LOOKUP(E266,{0,1.5,2.3,3.1,3.9,4.7,5.5,6.8,8.1,9.4,10.7,12,13.3,14.6,15.9,17.2,18.5,20.2,21.9,23.6,25.3},{0,10,20,30,40,50,60,62,64,66,68,70,72,74,76,78,80,85,90,95,100})</f>
        <v>72</v>
      </c>
      <c r="G266" s="5">
        <v>205</v>
      </c>
      <c r="H266" s="7">
        <f>LOOKUP(G266,{0,125,130,135,140,145,150,153,156,159,162,165,168,171,174,177,180,187,194,200,206},{0,10,20,30,40,50,60,62,64,66,68,70,72,74,76,78,80,85,90,95,100})</f>
        <v>95</v>
      </c>
      <c r="I266" s="5">
        <v>35</v>
      </c>
      <c r="J266" s="7">
        <f>LOOKUP(I266,{0,15,17,19,21,23,25,27,29,31,33,35,37,39,41,43,45,48,51,53,55},{0,10,20,30,40,50,60,62,64,66,68,70,72,74,76,78,80,85,90,95,100})</f>
        <v>70</v>
      </c>
      <c r="K266" s="5"/>
      <c r="L266" s="5"/>
      <c r="M266" s="5">
        <f t="shared" si="123"/>
        <v>70</v>
      </c>
      <c r="N266" s="5">
        <v>8.1</v>
      </c>
      <c r="O266" s="10">
        <f t="shared" si="124"/>
        <v>9.9</v>
      </c>
      <c r="P266" s="7">
        <f>LOOKUP(O266,{0,6.6,6.8,7,7.2,7.4,7.6,7.8,8,8.2,8.4,8.6,8.8,9,9.2,9.4,9.6,9.9,10.2,10.3,10.4},{0,10,20,30,40,50,60,62,64,66,68,70,72,74,76,78,80,85,90,95,100})</f>
        <v>85</v>
      </c>
      <c r="Q266" s="5">
        <v>3.36</v>
      </c>
      <c r="R266" s="10">
        <f t="shared" si="125"/>
        <v>6.64</v>
      </c>
      <c r="S266" s="7">
        <f>LOOKUP(R266,{0,4.74,4.84,4.94,5.44,5.54,5.64,5.69,5.74,5.79,5.84,5.89,5.94,5.99,6.44,6.49,6.54,6.61,6.68,6.74,6.8},{0,10,20,30,40,50,60,62,64,66,68,70,72,74,76,78,80,85,90,95,100})</f>
        <v>85</v>
      </c>
      <c r="T266" s="5"/>
      <c r="U266" s="5"/>
      <c r="V266" s="5">
        <f t="shared" si="126"/>
        <v>85</v>
      </c>
      <c r="W266" s="5"/>
      <c r="X266" s="13">
        <f t="shared" si="127"/>
        <v>57.7</v>
      </c>
      <c r="Y266" s="13">
        <f t="shared" si="128"/>
        <v>82.4285714285714</v>
      </c>
    </row>
    <row r="267" ht="15.6" outlineLevel="1" collapsed="1" spans="1:25">
      <c r="A267" s="6" t="s">
        <v>857</v>
      </c>
      <c r="B267" s="5"/>
      <c r="C267" s="9"/>
      <c r="D267" s="9"/>
      <c r="E267" s="5"/>
      <c r="F267" s="7">
        <f>SUBTOTAL(1,F215:F266)</f>
        <v>68.1489361702128</v>
      </c>
      <c r="G267" s="5"/>
      <c r="H267" s="7">
        <f>SUBTOTAL(1,H215:H266)</f>
        <v>73.8297872340426</v>
      </c>
      <c r="I267" s="5"/>
      <c r="J267" s="7">
        <f>SUBTOTAL(1,J215:J266)</f>
        <v>47.1063829787234</v>
      </c>
      <c r="K267" s="5"/>
      <c r="L267" s="5"/>
      <c r="M267" s="5">
        <f>SUBTOTAL(1,M215:M266)</f>
        <v>47.2553191489362</v>
      </c>
      <c r="N267" s="5"/>
      <c r="O267" s="10"/>
      <c r="P267" s="7">
        <f>SUBTOTAL(1,P215:P266)</f>
        <v>76.6808510638298</v>
      </c>
      <c r="Q267" s="5"/>
      <c r="R267" s="10"/>
      <c r="S267" s="7">
        <f>SUBTOTAL(1,S215:S266)</f>
        <v>55.9787234042553</v>
      </c>
      <c r="T267" s="5"/>
      <c r="U267" s="5"/>
      <c r="V267" s="5">
        <f>SUBTOTAL(1,V215:V266)</f>
        <v>55.9787234042553</v>
      </c>
      <c r="W267" s="5"/>
      <c r="X267" s="13">
        <f>SUBTOTAL(1,X215:X266)</f>
        <v>45.4404255319149</v>
      </c>
      <c r="Y267" s="13">
        <f>SUBTOTAL(1,Y215:Y266)</f>
        <v>63.6153846153846</v>
      </c>
    </row>
    <row r="268" ht="15.6" hidden="1" outlineLevel="2" spans="1:25">
      <c r="A268" s="5">
        <v>307</v>
      </c>
      <c r="B268" s="5">
        <v>1</v>
      </c>
      <c r="C268" s="8" t="s">
        <v>299</v>
      </c>
      <c r="D268" s="9" t="s">
        <v>12</v>
      </c>
      <c r="E268" s="5">
        <v>17.5</v>
      </c>
      <c r="F268" s="7">
        <f>LOOKUP(E268,{0,-1.8,-0.8,0.2,1.2,2.2,3.2,4.6,6,7.4,8.8,10.2,11.6,13,14.4,15.8,17.2,19.1,21,22.8,24.6},{0,10,20,30,40,50,60,62,64,66,68,70,72,74,76,78,80,85,90,95,100})</f>
        <v>80</v>
      </c>
      <c r="G268" s="5">
        <v>245</v>
      </c>
      <c r="H268" s="7">
        <f>LOOKUP(G268,{0,180,185,190,195,200,205,209,213,217,221,225,229,233,237,241,245,253,260,265,270},{0,10,20,30,40,50,60,62,64,66,68,70,72,74,76,78,80,85,90,95,100})</f>
        <v>80</v>
      </c>
      <c r="I268" s="5">
        <v>4</v>
      </c>
      <c r="J268" s="7">
        <f>LOOKUP(I268,{0,4,5,6,7,8,9,10,11,12,13,14,15,16,17,18},{0,10,20,30,40,50,60,64,68,72,76,80,85,90,95,100})</f>
        <v>10</v>
      </c>
      <c r="K268" s="5"/>
      <c r="L268" s="5"/>
      <c r="M268" s="5">
        <f>J268+L268</f>
        <v>10</v>
      </c>
      <c r="N268" s="5">
        <v>6.7</v>
      </c>
      <c r="O268" s="10">
        <f>18-N268</f>
        <v>11.3</v>
      </c>
      <c r="P268" s="7">
        <f>LOOKUP(O268,{0,7.8,8,8.2,8.4,8.6,8.8,9,9.2,9.4,9.6,9.8,10,10.2,10.4,10.6,10.8,10.9,11,11.1,11.2},{0,10,20,30,40,50,60,62,64,66,68,70,72,74,76,78,80,85,90,95,100})</f>
        <v>100</v>
      </c>
      <c r="Q268" s="5">
        <v>3.12</v>
      </c>
      <c r="R268" s="10">
        <f>10-Q268</f>
        <v>6.88</v>
      </c>
      <c r="S268" s="7">
        <f>LOOKUP(R268,{0,3.85,4.45,4.65,4.85,5.45,5.65,5.7,5.75,5.8,5.85,5.9,5.95,6,6.45,6.5,6.55,6.63,6.7,6.75,6.8},{0,10,20,30,40,50,60,62,64,66,68,70,72,74,76,78,80,85,90,95,100})</f>
        <v>100</v>
      </c>
      <c r="T268" s="5">
        <f>3.2-Q268</f>
        <v>0.0800000000000001</v>
      </c>
      <c r="U268" s="7">
        <f>LOOKUP(T268,{0,0.04,0.08,0.12,0.16,0.2,0.23,0.26,0.29,0.32,0.35},{0,1,2,3,4,5,6,7,8,9,10})</f>
        <v>2</v>
      </c>
      <c r="V268" s="5">
        <f>S268+U268</f>
        <v>102</v>
      </c>
      <c r="W268" s="5"/>
      <c r="X268" s="13">
        <f>F268*0.1+H268*0.1+J268*0.1+P268*0.2+S268*0.2</f>
        <v>57</v>
      </c>
      <c r="Y268" s="13">
        <f>X268/0.7+L268+U268</f>
        <v>83.4285714285714</v>
      </c>
    </row>
    <row r="269" ht="15.6" hidden="1" outlineLevel="2" spans="1:25">
      <c r="A269" s="5">
        <v>307</v>
      </c>
      <c r="B269" s="5">
        <v>2</v>
      </c>
      <c r="C269" s="9" t="s">
        <v>300</v>
      </c>
      <c r="D269" s="9" t="s">
        <v>12</v>
      </c>
      <c r="E269" s="5"/>
      <c r="F269" s="7"/>
      <c r="G269" s="5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>
        <v>50</v>
      </c>
      <c r="X269" s="13"/>
      <c r="Y269" s="13">
        <v>50</v>
      </c>
    </row>
    <row r="270" ht="15.6" hidden="1" outlineLevel="2" spans="1:25">
      <c r="A270" s="5">
        <v>307</v>
      </c>
      <c r="B270" s="5">
        <v>3</v>
      </c>
      <c r="C270" s="9" t="s">
        <v>301</v>
      </c>
      <c r="D270" s="9" t="s">
        <v>12</v>
      </c>
      <c r="E270" s="5">
        <v>14</v>
      </c>
      <c r="F270" s="7">
        <f>LOOKUP(E270,{0,-1.8,-0.8,0.2,1.2,2.2,3.2,4.6,6,7.4,8.8,10.2,11.6,13,14.4,15.8,17.2,19.1,21,22.8,24.6},{0,10,20,30,40,50,60,62,64,66,68,70,72,74,76,78,80,85,90,95,100})</f>
        <v>74</v>
      </c>
      <c r="G270" s="5">
        <v>282</v>
      </c>
      <c r="H270" s="7">
        <f>LOOKUP(G270,{0,180,185,190,195,200,205,209,213,217,221,225,229,233,237,241,245,253,260,265,270},{0,10,20,30,40,50,60,62,64,66,68,70,72,74,76,78,80,85,90,95,100})</f>
        <v>100</v>
      </c>
      <c r="I270" s="5">
        <v>9</v>
      </c>
      <c r="J270" s="7">
        <f>LOOKUP(I270,{0,4,5,6,7,8,9,10,11,12,13,14,15,16,17,18},{0,10,20,30,40,50,60,64,68,72,76,80,85,90,95,100})</f>
        <v>60</v>
      </c>
      <c r="K270" s="5"/>
      <c r="L270" s="5"/>
      <c r="M270" s="5">
        <f t="shared" ref="M270:M291" si="129">J270+L270</f>
        <v>60</v>
      </c>
      <c r="N270" s="5">
        <v>6.8</v>
      </c>
      <c r="O270" s="10">
        <f t="shared" ref="O270:O291" si="130">18-N270</f>
        <v>11.2</v>
      </c>
      <c r="P270" s="7">
        <f>LOOKUP(O270,{0,7.8,8,8.2,8.4,8.6,8.8,9,9.2,9.4,9.6,9.8,10,10.2,10.4,10.6,10.8,10.9,11,11.1,11.2},{0,10,20,30,40,50,60,62,64,66,68,70,72,74,76,78,80,85,90,95,100})</f>
        <v>100</v>
      </c>
      <c r="Q270" s="5">
        <v>4.26</v>
      </c>
      <c r="R270" s="10">
        <f t="shared" ref="R270:R291" si="131">10-Q270</f>
        <v>5.74</v>
      </c>
      <c r="S270" s="7">
        <f>LOOKUP(R270,{0,3.85,4.45,4.65,4.85,5.45,5.65,5.7,5.75,5.8,5.85,5.9,5.95,6,6.45,6.5,6.55,6.63,6.7,6.75,6.8},{0,10,20,30,40,50,60,62,64,66,68,70,72,74,76,78,80,85,90,95,100})</f>
        <v>62</v>
      </c>
      <c r="T270" s="5"/>
      <c r="U270" s="5"/>
      <c r="V270" s="5">
        <f t="shared" ref="V270:V291" si="132">S270+U270</f>
        <v>62</v>
      </c>
      <c r="W270" s="5"/>
      <c r="X270" s="13">
        <f t="shared" ref="X270:X291" si="133">F270*0.1+H270*0.1+J270*0.1+P270*0.2+S270*0.2</f>
        <v>55.8</v>
      </c>
      <c r="Y270" s="13">
        <f t="shared" ref="Y270:Y291" si="134">X270/0.7+L270+U270</f>
        <v>79.7142857142857</v>
      </c>
    </row>
    <row r="271" ht="15.6" hidden="1" outlineLevel="2" spans="1:25">
      <c r="A271" s="5">
        <v>307</v>
      </c>
      <c r="B271" s="5">
        <v>4</v>
      </c>
      <c r="C271" s="9" t="s">
        <v>302</v>
      </c>
      <c r="D271" s="9" t="s">
        <v>12</v>
      </c>
      <c r="E271" s="5">
        <v>11.8</v>
      </c>
      <c r="F271" s="7">
        <f>LOOKUP(E271,{0,-1.8,-0.8,0.2,1.2,2.2,3.2,4.6,6,7.4,8.8,10.2,11.6,13,14.4,15.8,17.2,19.1,21,22.8,24.6},{0,10,20,30,40,50,60,62,64,66,68,70,72,74,76,78,80,85,90,95,100})</f>
        <v>72</v>
      </c>
      <c r="G271" s="5">
        <v>235</v>
      </c>
      <c r="H271" s="7">
        <f>LOOKUP(G271,{0,180,185,190,195,200,205,209,213,217,221,225,229,233,237,241,245,253,260,265,270},{0,10,20,30,40,50,60,62,64,66,68,70,72,74,76,78,80,85,90,95,100})</f>
        <v>74</v>
      </c>
      <c r="I271" s="5">
        <v>4</v>
      </c>
      <c r="J271" s="7">
        <f>LOOKUP(I271,{0,4,5,6,7,8,9,10,11,12,13,14,15,16,17,18},{0,10,20,30,40,50,60,64,68,72,76,80,85,90,95,100})</f>
        <v>10</v>
      </c>
      <c r="K271" s="5"/>
      <c r="L271" s="5"/>
      <c r="M271" s="5">
        <f t="shared" si="129"/>
        <v>10</v>
      </c>
      <c r="N271" s="5">
        <v>7.8</v>
      </c>
      <c r="O271" s="10">
        <f t="shared" si="130"/>
        <v>10.2</v>
      </c>
      <c r="P271" s="7">
        <f>LOOKUP(O271,{0,7.8,8,8.2,8.4,8.6,8.8,9,9.2,9.4,9.6,9.8,10,10.2,10.4,10.6,10.8,10.9,11,11.1,11.2},{0,10,20,30,40,50,60,62,64,66,68,70,72,74,76,78,80,85,90,95,100})</f>
        <v>74</v>
      </c>
      <c r="Q271" s="5">
        <v>4.36</v>
      </c>
      <c r="R271" s="10">
        <f t="shared" si="131"/>
        <v>5.64</v>
      </c>
      <c r="S271" s="7">
        <f>LOOKUP(R271,{0,3.85,4.45,4.65,4.85,5.45,5.65,5.7,5.75,5.8,5.85,5.9,5.95,6,6.45,6.5,6.55,6.63,6.7,6.75,6.8},{0,10,20,30,40,50,60,62,64,66,68,70,72,74,76,78,80,85,90,95,100})</f>
        <v>50</v>
      </c>
      <c r="T271" s="5"/>
      <c r="U271" s="5"/>
      <c r="V271" s="5">
        <f t="shared" si="132"/>
        <v>50</v>
      </c>
      <c r="W271" s="5"/>
      <c r="X271" s="13">
        <f t="shared" si="133"/>
        <v>40.4</v>
      </c>
      <c r="Y271" s="13">
        <f t="shared" si="134"/>
        <v>57.7142857142857</v>
      </c>
    </row>
    <row r="272" ht="15.6" hidden="1" outlineLevel="2" spans="1:25">
      <c r="A272" s="5">
        <v>307</v>
      </c>
      <c r="B272" s="5">
        <v>5</v>
      </c>
      <c r="C272" s="9" t="s">
        <v>303</v>
      </c>
      <c r="D272" s="9" t="s">
        <v>12</v>
      </c>
      <c r="E272" s="5">
        <v>9.4</v>
      </c>
      <c r="F272" s="7">
        <f>LOOKUP(E272,{0,-1.8,-0.8,0.2,1.2,2.2,3.2,4.6,6,7.4,8.8,10.2,11.6,13,14.4,15.8,17.2,19.1,21,22.8,24.6},{0,10,20,30,40,50,60,62,64,66,68,70,72,74,76,78,80,85,90,95,100})</f>
        <v>68</v>
      </c>
      <c r="G272" s="5">
        <v>240</v>
      </c>
      <c r="H272" s="7">
        <f>LOOKUP(G272,{0,180,185,190,195,200,205,209,213,217,221,225,229,233,237,241,245,253,260,265,270},{0,10,20,30,40,50,60,62,64,66,68,70,72,74,76,78,80,85,90,95,100})</f>
        <v>76</v>
      </c>
      <c r="I272" s="5">
        <v>18</v>
      </c>
      <c r="J272" s="7">
        <f>LOOKUP(I272,{0,4,5,6,7,8,9,10,11,12,13,14,15,16,17,18},{0,10,20,30,40,50,60,64,68,72,76,80,85,90,95,100})</f>
        <v>100</v>
      </c>
      <c r="K272" s="5"/>
      <c r="L272" s="5"/>
      <c r="M272" s="5">
        <f t="shared" si="129"/>
        <v>100</v>
      </c>
      <c r="N272" s="5">
        <v>6.9</v>
      </c>
      <c r="O272" s="10">
        <f t="shared" si="130"/>
        <v>11.1</v>
      </c>
      <c r="P272" s="7">
        <f>LOOKUP(O272,{0,7.8,8,8.2,8.4,8.6,8.8,9,9.2,9.4,9.6,9.8,10,10.2,10.4,10.6,10.8,10.9,11,11.1,11.2},{0,10,20,30,40,50,60,62,64,66,68,70,72,74,76,78,80,85,90,95,100})</f>
        <v>95</v>
      </c>
      <c r="Q272" s="5">
        <v>3.56</v>
      </c>
      <c r="R272" s="10">
        <f t="shared" si="131"/>
        <v>6.44</v>
      </c>
      <c r="S272" s="7">
        <f>LOOKUP(R272,{0,3.85,4.45,4.65,4.85,5.45,5.65,5.7,5.75,5.8,5.85,5.9,5.95,6,6.45,6.5,6.55,6.63,6.7,6.75,6.8},{0,10,20,30,40,50,60,62,64,66,68,70,72,74,76,78,80,85,90,95,100})</f>
        <v>74</v>
      </c>
      <c r="T272" s="5"/>
      <c r="U272" s="5"/>
      <c r="V272" s="5">
        <f t="shared" si="132"/>
        <v>74</v>
      </c>
      <c r="W272" s="5"/>
      <c r="X272" s="13">
        <f t="shared" si="133"/>
        <v>58.2</v>
      </c>
      <c r="Y272" s="13">
        <f t="shared" si="134"/>
        <v>83.1428571428572</v>
      </c>
    </row>
    <row r="273" ht="15.6" hidden="1" outlineLevel="2" spans="1:25">
      <c r="A273" s="5">
        <v>307</v>
      </c>
      <c r="B273" s="5">
        <v>6</v>
      </c>
      <c r="C273" s="9" t="s">
        <v>304</v>
      </c>
      <c r="D273" s="9" t="s">
        <v>12</v>
      </c>
      <c r="E273" s="5">
        <v>7</v>
      </c>
      <c r="F273" s="7">
        <f>LOOKUP(E273,{0,-1.8,-0.8,0.2,1.2,2.2,3.2,4.6,6,7.4,8.8,10.2,11.6,13,14.4,15.8,17.2,19.1,21,22.8,24.6},{0,10,20,30,40,50,60,62,64,66,68,70,72,74,76,78,80,85,90,95,100})</f>
        <v>64</v>
      </c>
      <c r="G273" s="5">
        <v>252</v>
      </c>
      <c r="H273" s="7">
        <f>LOOKUP(G273,{0,180,185,190,195,200,205,209,213,217,221,225,229,233,237,241,245,253,260,265,270},{0,10,20,30,40,50,60,62,64,66,68,70,72,74,76,78,80,85,90,95,100})</f>
        <v>80</v>
      </c>
      <c r="I273" s="5">
        <v>10</v>
      </c>
      <c r="J273" s="7">
        <f>LOOKUP(I273,{0,4,5,6,7,8,9,10,11,12,13,14,15,16,17,18},{0,10,20,30,40,50,60,64,68,72,76,80,85,90,95,100})</f>
        <v>64</v>
      </c>
      <c r="K273" s="5"/>
      <c r="L273" s="5"/>
      <c r="M273" s="5">
        <f t="shared" si="129"/>
        <v>64</v>
      </c>
      <c r="N273" s="5">
        <v>7.4</v>
      </c>
      <c r="O273" s="10">
        <f t="shared" si="130"/>
        <v>10.6</v>
      </c>
      <c r="P273" s="7">
        <f>LOOKUP(O273,{0,7.8,8,8.2,8.4,8.6,8.8,9,9.2,9.4,9.6,9.8,10,10.2,10.4,10.6,10.8,10.9,11,11.1,11.2},{0,10,20,30,40,50,60,62,64,66,68,70,72,74,76,78,80,85,90,95,100})</f>
        <v>78</v>
      </c>
      <c r="Q273" s="5">
        <v>4.34</v>
      </c>
      <c r="R273" s="10">
        <f t="shared" si="131"/>
        <v>5.66</v>
      </c>
      <c r="S273" s="7">
        <f>LOOKUP(R273,{0,3.85,4.45,4.65,4.85,5.45,5.65,5.7,5.75,5.8,5.85,5.9,5.95,6,6.45,6.5,6.55,6.63,6.7,6.75,6.8},{0,10,20,30,40,50,60,62,64,66,68,70,72,74,76,78,80,85,90,95,100})</f>
        <v>60</v>
      </c>
      <c r="T273" s="5"/>
      <c r="U273" s="5"/>
      <c r="V273" s="5">
        <f t="shared" si="132"/>
        <v>60</v>
      </c>
      <c r="W273" s="5"/>
      <c r="X273" s="13">
        <f t="shared" si="133"/>
        <v>48.4</v>
      </c>
      <c r="Y273" s="13">
        <f t="shared" si="134"/>
        <v>69.1428571428572</v>
      </c>
    </row>
    <row r="274" ht="15.6" hidden="1" outlineLevel="2" spans="1:25">
      <c r="A274" s="5">
        <v>307</v>
      </c>
      <c r="B274" s="5">
        <v>7</v>
      </c>
      <c r="C274" s="9" t="s">
        <v>305</v>
      </c>
      <c r="D274" s="9" t="s">
        <v>12</v>
      </c>
      <c r="E274" s="5">
        <v>2</v>
      </c>
      <c r="F274" s="7">
        <f>LOOKUP(E274,{0,-1.8,-0.8,0.2,1.2,2.2,3.2,4.6,6,7.4,8.8,10.2,11.6,13,14.4,15.8,17.2,19.1,21,22.8,24.6},{0,10,20,30,40,50,60,62,64,66,68,70,72,74,76,78,80,85,90,95,100})</f>
        <v>40</v>
      </c>
      <c r="G274" s="5">
        <v>240</v>
      </c>
      <c r="H274" s="7">
        <f>LOOKUP(G274,{0,180,185,190,195,200,205,209,213,217,221,225,229,233,237,241,245,253,260,265,270},{0,10,20,30,40,50,60,62,64,66,68,70,72,74,76,78,80,85,90,95,100})</f>
        <v>76</v>
      </c>
      <c r="I274" s="5">
        <v>4</v>
      </c>
      <c r="J274" s="7">
        <f>LOOKUP(I274,{0,4,5,6,7,8,9,10,11,12,13,14,15,16,17,18},{0,10,20,30,40,50,60,64,68,72,76,80,85,90,95,100})</f>
        <v>10</v>
      </c>
      <c r="K274" s="5"/>
      <c r="L274" s="5"/>
      <c r="M274" s="5">
        <f t="shared" si="129"/>
        <v>10</v>
      </c>
      <c r="N274" s="5">
        <v>6.9</v>
      </c>
      <c r="O274" s="10">
        <f t="shared" si="130"/>
        <v>11.1</v>
      </c>
      <c r="P274" s="7">
        <f>LOOKUP(O274,{0,7.8,8,8.2,8.4,8.6,8.8,9,9.2,9.4,9.6,9.8,10,10.2,10.4,10.6,10.8,10.9,11,11.1,11.2},{0,10,20,30,40,50,60,62,64,66,68,70,72,74,76,78,80,85,90,95,100})</f>
        <v>95</v>
      </c>
      <c r="Q274" s="5">
        <v>3.56</v>
      </c>
      <c r="R274" s="10">
        <f t="shared" si="131"/>
        <v>6.44</v>
      </c>
      <c r="S274" s="7">
        <f>LOOKUP(R274,{0,3.85,4.45,4.65,4.85,5.45,5.65,5.7,5.75,5.8,5.85,5.9,5.95,6,6.45,6.5,6.55,6.63,6.7,6.75,6.8},{0,10,20,30,40,50,60,62,64,66,68,70,72,74,76,78,80,85,90,95,100})</f>
        <v>74</v>
      </c>
      <c r="T274" s="5"/>
      <c r="U274" s="5"/>
      <c r="V274" s="5">
        <f t="shared" si="132"/>
        <v>74</v>
      </c>
      <c r="W274" s="5"/>
      <c r="X274" s="13">
        <f t="shared" si="133"/>
        <v>46.4</v>
      </c>
      <c r="Y274" s="13">
        <f t="shared" si="134"/>
        <v>66.2857142857143</v>
      </c>
    </row>
    <row r="275" ht="15.6" hidden="1" outlineLevel="2" spans="1:25">
      <c r="A275" s="5">
        <v>307</v>
      </c>
      <c r="B275" s="5">
        <v>8</v>
      </c>
      <c r="C275" s="9" t="s">
        <v>306</v>
      </c>
      <c r="D275" s="9" t="s">
        <v>12</v>
      </c>
      <c r="E275" s="5">
        <v>1</v>
      </c>
      <c r="F275" s="7">
        <f>LOOKUP(E275,{0,-1.8,-0.8,0.2,1.2,2.2,3.2,4.6,6,7.4,8.8,10.2,11.6,13,14.4,15.8,17.2,19.1,21,22.8,24.6},{0,10,20,30,40,50,60,62,64,66,68,70,72,74,76,78,80,85,90,95,100})</f>
        <v>30</v>
      </c>
      <c r="G275" s="5">
        <v>190</v>
      </c>
      <c r="H275" s="7">
        <f>LOOKUP(G275,{0,180,185,190,195,200,205,209,213,217,221,225,229,233,237,241,245,253,260,265,270},{0,10,20,30,40,50,60,62,64,66,68,70,72,74,76,78,80,85,90,95,100})</f>
        <v>30</v>
      </c>
      <c r="I275" s="5">
        <v>1</v>
      </c>
      <c r="J275" s="7">
        <f>LOOKUP(I275,{0,4,5,6,7,8,9,10,11,12,13,14,15,16,17,18},{0,10,20,30,40,50,60,64,68,72,76,80,85,90,95,100})</f>
        <v>0</v>
      </c>
      <c r="K275" s="5"/>
      <c r="L275" s="5"/>
      <c r="M275" s="5">
        <f t="shared" si="129"/>
        <v>0</v>
      </c>
      <c r="N275" s="5">
        <v>8</v>
      </c>
      <c r="O275" s="10">
        <f t="shared" si="130"/>
        <v>10</v>
      </c>
      <c r="P275" s="7">
        <f>LOOKUP(O275,{0,7.8,8,8.2,8.4,8.6,8.8,9,9.2,9.4,9.6,9.8,10,10.2,10.4,10.6,10.8,10.9,11,11.1,11.2},{0,10,20,30,40,50,60,62,64,66,68,70,72,74,76,78,80,85,90,95,100})</f>
        <v>72</v>
      </c>
      <c r="Q275" s="5">
        <v>5.11</v>
      </c>
      <c r="R275" s="10">
        <f t="shared" si="131"/>
        <v>4.89</v>
      </c>
      <c r="S275" s="7">
        <f>LOOKUP(R275,{0,3.85,4.45,4.65,4.85,5.45,5.65,5.7,5.75,5.8,5.85,5.9,5.95,6,6.45,6.5,6.55,6.63,6.7,6.75,6.8},{0,10,20,30,40,50,60,62,64,66,68,70,72,74,76,78,80,85,90,95,100})</f>
        <v>40</v>
      </c>
      <c r="T275" s="5"/>
      <c r="U275" s="5"/>
      <c r="V275" s="5">
        <f t="shared" si="132"/>
        <v>40</v>
      </c>
      <c r="W275" s="5"/>
      <c r="X275" s="13">
        <f t="shared" si="133"/>
        <v>28.4</v>
      </c>
      <c r="Y275" s="13">
        <f t="shared" si="134"/>
        <v>40.5714285714286</v>
      </c>
    </row>
    <row r="276" ht="15.6" hidden="1" outlineLevel="2" spans="1:25">
      <c r="A276" s="5">
        <v>307</v>
      </c>
      <c r="B276" s="5">
        <v>9</v>
      </c>
      <c r="C276" s="9" t="s">
        <v>307</v>
      </c>
      <c r="D276" s="9" t="s">
        <v>12</v>
      </c>
      <c r="E276" s="5">
        <v>11</v>
      </c>
      <c r="F276" s="7">
        <f>LOOKUP(E276,{0,-1.8,-0.8,0.2,1.2,2.2,3.2,4.6,6,7.4,8.8,10.2,11.6,13,14.4,15.8,17.2,19.1,21,22.8,24.6},{0,10,20,30,40,50,60,62,64,66,68,70,72,74,76,78,80,85,90,95,100})</f>
        <v>70</v>
      </c>
      <c r="G276" s="5">
        <v>262</v>
      </c>
      <c r="H276" s="7">
        <f>LOOKUP(G276,{0,180,185,190,195,200,205,209,213,217,221,225,229,233,237,241,245,253,260,265,270},{0,10,20,30,40,50,60,62,64,66,68,70,72,74,76,78,80,85,90,95,100})</f>
        <v>90</v>
      </c>
      <c r="I276" s="5">
        <v>22</v>
      </c>
      <c r="J276" s="7">
        <f>LOOKUP(I276,{0,4,5,6,7,8,9,10,11,12,13,14,15,16,17,18},{0,10,20,30,40,50,60,64,68,72,76,80,85,90,95,100})</f>
        <v>100</v>
      </c>
      <c r="K276" s="5">
        <f>I276-18</f>
        <v>4</v>
      </c>
      <c r="L276" s="7">
        <f>LOOKUP(K276,{0,1,2,3,4,5,6,7,8,9,10},{0,1,2,3,4,5,6,7,8,9,10})</f>
        <v>4</v>
      </c>
      <c r="M276" s="5">
        <f t="shared" si="129"/>
        <v>104</v>
      </c>
      <c r="N276" s="5">
        <v>7</v>
      </c>
      <c r="O276" s="10">
        <f t="shared" si="130"/>
        <v>11</v>
      </c>
      <c r="P276" s="7">
        <f>LOOKUP(O276,{0,7.8,8,8.2,8.4,8.6,8.8,9,9.2,9.4,9.6,9.8,10,10.2,10.4,10.6,10.8,10.9,11,11.1,11.2},{0,10,20,30,40,50,60,62,64,66,68,70,72,74,76,78,80,85,90,95,100})</f>
        <v>90</v>
      </c>
      <c r="Q276" s="5">
        <v>3.47</v>
      </c>
      <c r="R276" s="10">
        <f t="shared" si="131"/>
        <v>6.53</v>
      </c>
      <c r="S276" s="7">
        <f>LOOKUP(R276,{0,3.85,4.45,4.65,4.85,5.45,5.65,5.7,5.75,5.8,5.85,5.9,5.95,6,6.45,6.5,6.55,6.63,6.7,6.75,6.8},{0,10,20,30,40,50,60,62,64,66,68,70,72,74,76,78,80,85,90,95,100})</f>
        <v>78</v>
      </c>
      <c r="T276" s="5"/>
      <c r="U276" s="5"/>
      <c r="V276" s="5">
        <f t="shared" si="132"/>
        <v>78</v>
      </c>
      <c r="W276" s="5"/>
      <c r="X276" s="13">
        <f t="shared" si="133"/>
        <v>59.6</v>
      </c>
      <c r="Y276" s="13">
        <f t="shared" si="134"/>
        <v>89.1428571428572</v>
      </c>
    </row>
    <row r="277" ht="15.6" hidden="1" outlineLevel="2" spans="1:25">
      <c r="A277" s="5">
        <v>307</v>
      </c>
      <c r="B277" s="5">
        <v>10</v>
      </c>
      <c r="C277" s="8" t="s">
        <v>309</v>
      </c>
      <c r="D277" s="9" t="s">
        <v>12</v>
      </c>
      <c r="E277" s="5">
        <v>9.2</v>
      </c>
      <c r="F277" s="7">
        <f>LOOKUP(E277,{0,-1.8,-0.8,0.2,1.2,2.2,3.2,4.6,6,7.4,8.8,10.2,11.6,13,14.4,15.8,17.2,19.1,21,22.8,24.6},{0,10,20,30,40,50,60,62,64,66,68,70,72,74,76,78,80,85,90,95,100})</f>
        <v>68</v>
      </c>
      <c r="G277" s="5">
        <v>222</v>
      </c>
      <c r="H277" s="7">
        <f>LOOKUP(G277,{0,180,185,190,195,200,205,209,213,217,221,225,229,233,237,241,245,253,260,265,270},{0,10,20,30,40,50,60,62,64,66,68,70,72,74,76,78,80,85,90,95,100})</f>
        <v>68</v>
      </c>
      <c r="I277" s="5">
        <v>1</v>
      </c>
      <c r="J277" s="7">
        <f>LOOKUP(I277,{0,4,5,6,7,8,9,10,11,12,13,14,15,16,17,18},{0,10,20,30,40,50,60,64,68,72,76,80,85,90,95,100})</f>
        <v>0</v>
      </c>
      <c r="K277" s="5"/>
      <c r="L277" s="5"/>
      <c r="M277" s="5">
        <f t="shared" si="129"/>
        <v>0</v>
      </c>
      <c r="N277" s="5">
        <v>7.3</v>
      </c>
      <c r="O277" s="10">
        <f t="shared" si="130"/>
        <v>10.7</v>
      </c>
      <c r="P277" s="7">
        <f>LOOKUP(O277,{0,7.8,8,8.2,8.4,8.6,8.8,9,9.2,9.4,9.6,9.8,10,10.2,10.4,10.6,10.8,10.9,11,11.1,11.2},{0,10,20,30,40,50,60,62,64,66,68,70,72,74,76,78,80,85,90,95,100})</f>
        <v>78</v>
      </c>
      <c r="Q277" s="5">
        <v>4.44</v>
      </c>
      <c r="R277" s="10">
        <f t="shared" si="131"/>
        <v>5.56</v>
      </c>
      <c r="S277" s="7">
        <f>LOOKUP(R277,{0,3.85,4.45,4.65,4.85,5.45,5.65,5.7,5.75,5.8,5.85,5.9,5.95,6,6.45,6.5,6.55,6.63,6.7,6.75,6.8},{0,10,20,30,40,50,60,62,64,66,68,70,72,74,76,78,80,85,90,95,100})</f>
        <v>50</v>
      </c>
      <c r="T277" s="5"/>
      <c r="U277" s="5"/>
      <c r="V277" s="5">
        <f t="shared" si="132"/>
        <v>50</v>
      </c>
      <c r="W277" s="5"/>
      <c r="X277" s="13">
        <f t="shared" si="133"/>
        <v>39.2</v>
      </c>
      <c r="Y277" s="13">
        <f t="shared" si="134"/>
        <v>56</v>
      </c>
    </row>
    <row r="278" ht="15.6" hidden="1" outlineLevel="2" spans="1:25">
      <c r="A278" s="5">
        <v>307</v>
      </c>
      <c r="B278" s="5">
        <v>11</v>
      </c>
      <c r="C278" s="9" t="s">
        <v>310</v>
      </c>
      <c r="D278" s="9" t="s">
        <v>12</v>
      </c>
      <c r="E278" s="5">
        <v>16</v>
      </c>
      <c r="F278" s="7">
        <f>LOOKUP(E278,{0,-1.8,-0.8,0.2,1.2,2.2,3.2,4.6,6,7.4,8.8,10.2,11.6,13,14.4,15.8,17.2,19.1,21,22.8,24.6},{0,10,20,30,40,50,60,62,64,66,68,70,72,74,76,78,80,85,90,95,100})</f>
        <v>78</v>
      </c>
      <c r="G278" s="5">
        <v>197</v>
      </c>
      <c r="H278" s="7">
        <f>LOOKUP(G278,{0,180,185,190,195,200,205,209,213,217,221,225,229,233,237,241,245,253,260,265,270},{0,10,20,30,40,50,60,62,64,66,68,70,72,74,76,78,80,85,90,95,100})</f>
        <v>40</v>
      </c>
      <c r="I278" s="5">
        <v>1</v>
      </c>
      <c r="J278" s="7">
        <f>LOOKUP(I278,{0,4,5,6,7,8,9,10,11,12,13,14,15,16,17,18},{0,10,20,30,40,50,60,64,68,72,76,80,85,90,95,100})</f>
        <v>0</v>
      </c>
      <c r="K278" s="5"/>
      <c r="L278" s="5"/>
      <c r="M278" s="5">
        <f t="shared" si="129"/>
        <v>0</v>
      </c>
      <c r="N278" s="5">
        <v>7.3</v>
      </c>
      <c r="O278" s="10">
        <f t="shared" si="130"/>
        <v>10.7</v>
      </c>
      <c r="P278" s="7">
        <f>LOOKUP(O278,{0,7.8,8,8.2,8.4,8.6,8.8,9,9.2,9.4,9.6,9.8,10,10.2,10.4,10.6,10.8,10.9,11,11.1,11.2},{0,10,20,30,40,50,60,62,64,66,68,70,72,74,76,78,80,85,90,95,100})</f>
        <v>78</v>
      </c>
      <c r="Q278" s="5">
        <v>5.08</v>
      </c>
      <c r="R278" s="10">
        <f t="shared" si="131"/>
        <v>4.92</v>
      </c>
      <c r="S278" s="7">
        <f>LOOKUP(R278,{0,3.85,4.45,4.65,4.85,5.45,5.65,5.7,5.75,5.8,5.85,5.9,5.95,6,6.45,6.5,6.55,6.63,6.7,6.75,6.8},{0,10,20,30,40,50,60,62,64,66,68,70,72,74,76,78,80,85,90,95,100})</f>
        <v>40</v>
      </c>
      <c r="T278" s="5"/>
      <c r="U278" s="5"/>
      <c r="V278" s="5">
        <f t="shared" si="132"/>
        <v>40</v>
      </c>
      <c r="W278" s="5"/>
      <c r="X278" s="13">
        <f t="shared" si="133"/>
        <v>35.4</v>
      </c>
      <c r="Y278" s="13">
        <f t="shared" si="134"/>
        <v>50.5714285714286</v>
      </c>
    </row>
    <row r="279" ht="15.6" hidden="1" outlineLevel="2" spans="1:25">
      <c r="A279" s="5">
        <v>307</v>
      </c>
      <c r="B279" s="5">
        <v>12</v>
      </c>
      <c r="C279" s="9" t="s">
        <v>311</v>
      </c>
      <c r="D279" s="9" t="s">
        <v>12</v>
      </c>
      <c r="E279" s="5">
        <v>-0.5</v>
      </c>
      <c r="F279" s="7">
        <f>LOOKUP(E279,{0,-1.8,-0.8,0.2,1.2,2.2,3.2,4.6,6,7.4,8.8,10.2,11.6,13,14.4,15.8,17.2,19.1,21,22.8,24.6},{0,10,20,30,40,50,60,62,64,66,68,70,72,74,76,78,80,85,90,95,100})</f>
        <v>20</v>
      </c>
      <c r="G279" s="5">
        <v>285</v>
      </c>
      <c r="H279" s="7">
        <f>LOOKUP(G279,{0,180,185,190,195,200,205,209,213,217,221,225,229,233,237,241,245,253,260,265,270},{0,10,20,30,40,50,60,62,64,66,68,70,72,74,76,78,80,85,90,95,100})</f>
        <v>100</v>
      </c>
      <c r="I279" s="5">
        <v>1</v>
      </c>
      <c r="J279" s="7">
        <f>LOOKUP(I279,{0,4,5,6,7,8,9,10,11,12,13,14,15,16,17,18},{0,10,20,30,40,50,60,64,68,72,76,80,85,90,95,100})</f>
        <v>0</v>
      </c>
      <c r="K279" s="5"/>
      <c r="L279" s="5"/>
      <c r="M279" s="5">
        <f t="shared" si="129"/>
        <v>0</v>
      </c>
      <c r="N279" s="5">
        <v>6.6</v>
      </c>
      <c r="O279" s="10">
        <f t="shared" si="130"/>
        <v>11.4</v>
      </c>
      <c r="P279" s="7">
        <f>LOOKUP(O279,{0,7.8,8,8.2,8.4,8.6,8.8,9,9.2,9.4,9.6,9.8,10,10.2,10.4,10.6,10.8,10.9,11,11.1,11.2},{0,10,20,30,40,50,60,62,64,66,68,70,72,74,76,78,80,85,90,95,100})</f>
        <v>100</v>
      </c>
      <c r="Q279" s="5">
        <v>4.11</v>
      </c>
      <c r="R279" s="10">
        <f t="shared" si="131"/>
        <v>5.89</v>
      </c>
      <c r="S279" s="7">
        <f>LOOKUP(R279,{0,3.85,4.45,4.65,4.85,5.45,5.65,5.7,5.75,5.8,5.85,5.9,5.95,6,6.45,6.5,6.55,6.63,6.7,6.75,6.8},{0,10,20,30,40,50,60,62,64,66,68,70,72,74,76,78,80,85,90,95,100})</f>
        <v>68</v>
      </c>
      <c r="T279" s="5"/>
      <c r="U279" s="5"/>
      <c r="V279" s="5">
        <f t="shared" si="132"/>
        <v>68</v>
      </c>
      <c r="W279" s="5"/>
      <c r="X279" s="13">
        <f t="shared" si="133"/>
        <v>45.6</v>
      </c>
      <c r="Y279" s="13">
        <f t="shared" si="134"/>
        <v>65.1428571428572</v>
      </c>
    </row>
    <row r="280" ht="15.6" hidden="1" outlineLevel="2" spans="1:25">
      <c r="A280" s="5">
        <v>307</v>
      </c>
      <c r="B280" s="5">
        <v>13</v>
      </c>
      <c r="C280" s="9" t="s">
        <v>312</v>
      </c>
      <c r="D280" s="9" t="s">
        <v>12</v>
      </c>
      <c r="E280" s="5">
        <v>20</v>
      </c>
      <c r="F280" s="7">
        <f>LOOKUP(E280,{0,-1.8,-0.8,0.2,1.2,2.2,3.2,4.6,6,7.4,8.8,10.2,11.6,13,14.4,15.8,17.2,19.1,21,22.8,24.6},{0,10,20,30,40,50,60,62,64,66,68,70,72,74,76,78,80,85,90,95,100})</f>
        <v>85</v>
      </c>
      <c r="G280" s="5">
        <v>230</v>
      </c>
      <c r="H280" s="7">
        <f>LOOKUP(G280,{0,180,185,190,195,200,205,209,213,217,221,225,229,233,237,241,245,253,260,265,270},{0,10,20,30,40,50,60,62,64,66,68,70,72,74,76,78,80,85,90,95,100})</f>
        <v>72</v>
      </c>
      <c r="I280" s="5">
        <v>10</v>
      </c>
      <c r="J280" s="7">
        <f>LOOKUP(I280,{0,4,5,6,7,8,9,10,11,12,13,14,15,16,17,18},{0,10,20,30,40,50,60,64,68,72,76,80,85,90,95,100})</f>
        <v>64</v>
      </c>
      <c r="K280" s="5"/>
      <c r="L280" s="5"/>
      <c r="M280" s="5">
        <f t="shared" si="129"/>
        <v>64</v>
      </c>
      <c r="N280" s="5">
        <v>7</v>
      </c>
      <c r="O280" s="10">
        <f t="shared" si="130"/>
        <v>11</v>
      </c>
      <c r="P280" s="7">
        <f>LOOKUP(O280,{0,7.8,8,8.2,8.4,8.6,8.8,9,9.2,9.4,9.6,9.8,10,10.2,10.4,10.6,10.8,10.9,11,11.1,11.2},{0,10,20,30,40,50,60,62,64,66,68,70,72,74,76,78,80,85,90,95,100})</f>
        <v>90</v>
      </c>
      <c r="Q280" s="5">
        <v>3.56</v>
      </c>
      <c r="R280" s="10">
        <f t="shared" si="131"/>
        <v>6.44</v>
      </c>
      <c r="S280" s="7">
        <f>LOOKUP(R280,{0,3.85,4.45,4.65,4.85,5.45,5.65,5.7,5.75,5.8,5.85,5.9,5.95,6,6.45,6.5,6.55,6.63,6.7,6.75,6.8},{0,10,20,30,40,50,60,62,64,66,68,70,72,74,76,78,80,85,90,95,100})</f>
        <v>74</v>
      </c>
      <c r="T280" s="5"/>
      <c r="U280" s="5"/>
      <c r="V280" s="5">
        <f t="shared" si="132"/>
        <v>74</v>
      </c>
      <c r="W280" s="5"/>
      <c r="X280" s="13">
        <f t="shared" si="133"/>
        <v>54.9</v>
      </c>
      <c r="Y280" s="13">
        <f t="shared" si="134"/>
        <v>78.4285714285714</v>
      </c>
    </row>
    <row r="281" ht="15.6" hidden="1" outlineLevel="2" spans="1:25">
      <c r="A281" s="5">
        <v>307</v>
      </c>
      <c r="B281" s="5">
        <v>14</v>
      </c>
      <c r="C281" s="9" t="s">
        <v>313</v>
      </c>
      <c r="D281" s="9" t="s">
        <v>12</v>
      </c>
      <c r="E281" s="5">
        <v>2.6</v>
      </c>
      <c r="F281" s="7">
        <f>LOOKUP(E281,{0,-1.8,-0.8,0.2,1.2,2.2,3.2,4.6,6,7.4,8.8,10.2,11.6,13,14.4,15.8,17.2,19.1,21,22.8,24.6},{0,10,20,30,40,50,60,62,64,66,68,70,72,74,76,78,80,85,90,95,100})</f>
        <v>50</v>
      </c>
      <c r="G281" s="5">
        <v>230</v>
      </c>
      <c r="H281" s="7">
        <f>LOOKUP(G281,{0,180,185,190,195,200,205,209,213,217,221,225,229,233,237,241,245,253,260,265,270},{0,10,20,30,40,50,60,62,64,66,68,70,72,74,76,78,80,85,90,95,100})</f>
        <v>72</v>
      </c>
      <c r="I281" s="5">
        <v>12</v>
      </c>
      <c r="J281" s="7">
        <f>LOOKUP(I281,{0,4,5,6,7,8,9,10,11,12,13,14,15,16,17,18},{0,10,20,30,40,50,60,64,68,72,76,80,85,90,95,100})</f>
        <v>72</v>
      </c>
      <c r="K281" s="5"/>
      <c r="L281" s="5"/>
      <c r="M281" s="5">
        <f t="shared" si="129"/>
        <v>72</v>
      </c>
      <c r="N281" s="5">
        <v>7.2</v>
      </c>
      <c r="O281" s="10">
        <f t="shared" si="130"/>
        <v>10.8</v>
      </c>
      <c r="P281" s="7">
        <f>LOOKUP(O281,{0,7.8,8,8.2,8.4,8.6,8.8,9,9.2,9.4,9.6,9.8,10,10.2,10.4,10.6,10.8,10.9,11,11.1,11.2},{0,10,20,30,40,50,60,62,64,66,68,70,72,74,76,78,80,85,90,95,100})</f>
        <v>80</v>
      </c>
      <c r="Q281" s="5">
        <v>3.43</v>
      </c>
      <c r="R281" s="10">
        <f t="shared" si="131"/>
        <v>6.57</v>
      </c>
      <c r="S281" s="7">
        <f>LOOKUP(R281,{0,3.85,4.45,4.65,4.85,5.45,5.65,5.7,5.75,5.8,5.85,5.9,5.95,6,6.45,6.5,6.55,6.63,6.7,6.75,6.8},{0,10,20,30,40,50,60,62,64,66,68,70,72,74,76,78,80,85,90,95,100})</f>
        <v>80</v>
      </c>
      <c r="T281" s="5"/>
      <c r="U281" s="5"/>
      <c r="V281" s="5">
        <f t="shared" si="132"/>
        <v>80</v>
      </c>
      <c r="W281" s="5"/>
      <c r="X281" s="13">
        <f t="shared" si="133"/>
        <v>51.4</v>
      </c>
      <c r="Y281" s="13">
        <f t="shared" si="134"/>
        <v>73.4285714285714</v>
      </c>
    </row>
    <row r="282" ht="15.6" hidden="1" outlineLevel="2" spans="1:25">
      <c r="A282" s="5">
        <v>307</v>
      </c>
      <c r="B282" s="5">
        <v>15</v>
      </c>
      <c r="C282" s="9" t="s">
        <v>314</v>
      </c>
      <c r="D282" s="9" t="s">
        <v>12</v>
      </c>
      <c r="E282" s="5">
        <v>0.5</v>
      </c>
      <c r="F282" s="7">
        <f>LOOKUP(E282,{0,-1.8,-0.8,0.2,1.2,2.2,3.2,4.6,6,7.4,8.8,10.2,11.6,13,14.4,15.8,17.2,19.1,21,22.8,24.6},{0,10,20,30,40,50,60,62,64,66,68,70,72,74,76,78,80,85,90,95,100})</f>
        <v>30</v>
      </c>
      <c r="G282" s="5">
        <v>210</v>
      </c>
      <c r="H282" s="7">
        <f>LOOKUP(G282,{0,180,185,190,195,200,205,209,213,217,221,225,229,233,237,241,245,253,260,265,270},{0,10,20,30,40,50,60,62,64,66,68,70,72,74,76,78,80,85,90,95,100})</f>
        <v>62</v>
      </c>
      <c r="I282" s="5">
        <v>0</v>
      </c>
      <c r="J282" s="7">
        <f>LOOKUP(I282,{0,4,5,6,7,8,9,10,11,12,13,14,15,16,17,18},{0,10,20,30,40,50,60,64,68,72,76,80,85,90,95,100})</f>
        <v>0</v>
      </c>
      <c r="K282" s="5"/>
      <c r="L282" s="5"/>
      <c r="M282" s="5">
        <f t="shared" si="129"/>
        <v>0</v>
      </c>
      <c r="N282" s="5">
        <v>7.8</v>
      </c>
      <c r="O282" s="10">
        <f t="shared" si="130"/>
        <v>10.2</v>
      </c>
      <c r="P282" s="7">
        <f>LOOKUP(O282,{0,7.8,8,8.2,8.4,8.6,8.8,9,9.2,9.4,9.6,9.8,10,10.2,10.4,10.6,10.8,10.9,11,11.1,11.2},{0,10,20,30,40,50,60,62,64,66,68,70,72,74,76,78,80,85,90,95,100})</f>
        <v>74</v>
      </c>
      <c r="Q282" s="5">
        <v>4.34</v>
      </c>
      <c r="R282" s="10">
        <f t="shared" si="131"/>
        <v>5.66</v>
      </c>
      <c r="S282" s="7">
        <f>LOOKUP(R282,{0,3.85,4.45,4.65,4.85,5.45,5.65,5.7,5.75,5.8,5.85,5.9,5.95,6,6.45,6.5,6.55,6.63,6.7,6.75,6.8},{0,10,20,30,40,50,60,62,64,66,68,70,72,74,76,78,80,85,90,95,100})</f>
        <v>60</v>
      </c>
      <c r="T282" s="5"/>
      <c r="U282" s="5"/>
      <c r="V282" s="5">
        <f t="shared" si="132"/>
        <v>60</v>
      </c>
      <c r="W282" s="5"/>
      <c r="X282" s="13">
        <f t="shared" si="133"/>
        <v>36</v>
      </c>
      <c r="Y282" s="13">
        <f t="shared" si="134"/>
        <v>51.4285714285714</v>
      </c>
    </row>
    <row r="283" ht="15.6" hidden="1" outlineLevel="2" spans="1:25">
      <c r="A283" s="5">
        <v>307</v>
      </c>
      <c r="B283" s="5">
        <v>16</v>
      </c>
      <c r="C283" s="9" t="s">
        <v>315</v>
      </c>
      <c r="D283" s="9" t="s">
        <v>12</v>
      </c>
      <c r="E283" s="5">
        <v>15.6</v>
      </c>
      <c r="F283" s="7">
        <f>LOOKUP(E283,{0,-1.8,-0.8,0.2,1.2,2.2,3.2,4.6,6,7.4,8.8,10.2,11.6,13,14.4,15.8,17.2,19.1,21,22.8,24.6},{0,10,20,30,40,50,60,62,64,66,68,70,72,74,76,78,80,85,90,95,100})</f>
        <v>76</v>
      </c>
      <c r="G283" s="5">
        <v>230</v>
      </c>
      <c r="H283" s="7">
        <f>LOOKUP(G283,{0,180,185,190,195,200,205,209,213,217,221,225,229,233,237,241,245,253,260,265,270},{0,10,20,30,40,50,60,62,64,66,68,70,72,74,76,78,80,85,90,95,100})</f>
        <v>72</v>
      </c>
      <c r="I283" s="5">
        <v>14</v>
      </c>
      <c r="J283" s="7">
        <f>LOOKUP(I283,{0,4,5,6,7,8,9,10,11,12,13,14,15,16,17,18},{0,10,20,30,40,50,60,64,68,72,76,80,85,90,95,100})</f>
        <v>80</v>
      </c>
      <c r="K283" s="5"/>
      <c r="L283" s="5"/>
      <c r="M283" s="5">
        <f t="shared" si="129"/>
        <v>80</v>
      </c>
      <c r="N283" s="5">
        <v>7.3</v>
      </c>
      <c r="O283" s="10">
        <f t="shared" si="130"/>
        <v>10.7</v>
      </c>
      <c r="P283" s="7">
        <f>LOOKUP(O283,{0,7.8,8,8.2,8.4,8.6,8.8,9,9.2,9.4,9.6,9.8,10,10.2,10.4,10.6,10.8,10.9,11,11.1,11.2},{0,10,20,30,40,50,60,62,64,66,68,70,72,74,76,78,80,85,90,95,100})</f>
        <v>78</v>
      </c>
      <c r="Q283" s="5">
        <v>3.56</v>
      </c>
      <c r="R283" s="10">
        <f t="shared" si="131"/>
        <v>6.44</v>
      </c>
      <c r="S283" s="7">
        <f>LOOKUP(R283,{0,3.85,4.45,4.65,4.85,5.45,5.65,5.7,5.75,5.8,5.85,5.9,5.95,6,6.45,6.5,6.55,6.63,6.7,6.75,6.8},{0,10,20,30,40,50,60,62,64,66,68,70,72,74,76,78,80,85,90,95,100})</f>
        <v>74</v>
      </c>
      <c r="T283" s="5"/>
      <c r="U283" s="5"/>
      <c r="V283" s="5">
        <f t="shared" si="132"/>
        <v>74</v>
      </c>
      <c r="W283" s="5"/>
      <c r="X283" s="13">
        <f t="shared" si="133"/>
        <v>53.2</v>
      </c>
      <c r="Y283" s="13">
        <f t="shared" si="134"/>
        <v>76</v>
      </c>
    </row>
    <row r="284" ht="15.6" hidden="1" outlineLevel="2" spans="1:25">
      <c r="A284" s="5">
        <v>307</v>
      </c>
      <c r="B284" s="5">
        <v>17</v>
      </c>
      <c r="C284" s="9" t="s">
        <v>316</v>
      </c>
      <c r="D284" s="9" t="s">
        <v>12</v>
      </c>
      <c r="E284" s="5">
        <v>13.4</v>
      </c>
      <c r="F284" s="7">
        <f>LOOKUP(E284,{0,-1.8,-0.8,0.2,1.2,2.2,3.2,4.6,6,7.4,8.8,10.2,11.6,13,14.4,15.8,17.2,19.1,21,22.8,24.6},{0,10,20,30,40,50,60,62,64,66,68,70,72,74,76,78,80,85,90,95,100})</f>
        <v>74</v>
      </c>
      <c r="G284" s="5">
        <v>260</v>
      </c>
      <c r="H284" s="7">
        <f>LOOKUP(G284,{0,180,185,190,195,200,205,209,213,217,221,225,229,233,237,241,245,253,260,265,270},{0,10,20,30,40,50,60,62,64,66,68,70,72,74,76,78,80,85,90,95,100})</f>
        <v>90</v>
      </c>
      <c r="I284" s="5">
        <v>5</v>
      </c>
      <c r="J284" s="7">
        <f>LOOKUP(I284,{0,4,5,6,7,8,9,10,11,12,13,14,15,16,17,18},{0,10,20,30,40,50,60,64,68,72,76,80,85,90,95,100})</f>
        <v>20</v>
      </c>
      <c r="K284" s="5"/>
      <c r="L284" s="5"/>
      <c r="M284" s="5">
        <f t="shared" si="129"/>
        <v>20</v>
      </c>
      <c r="N284" s="5">
        <v>6.8</v>
      </c>
      <c r="O284" s="10">
        <f t="shared" si="130"/>
        <v>11.2</v>
      </c>
      <c r="P284" s="7">
        <f>LOOKUP(O284,{0,7.8,8,8.2,8.4,8.6,8.8,9,9.2,9.4,9.6,9.8,10,10.2,10.4,10.6,10.8,10.9,11,11.1,11.2},{0,10,20,30,40,50,60,62,64,66,68,70,72,74,76,78,80,85,90,95,100})</f>
        <v>100</v>
      </c>
      <c r="Q284" s="5">
        <v>4.04</v>
      </c>
      <c r="R284" s="10">
        <f t="shared" si="131"/>
        <v>5.96</v>
      </c>
      <c r="S284" s="7">
        <f>LOOKUP(R284,{0,3.85,4.45,4.65,4.85,5.45,5.65,5.7,5.75,5.8,5.85,5.9,5.95,6,6.45,6.5,6.55,6.63,6.7,6.75,6.8},{0,10,20,30,40,50,60,62,64,66,68,70,72,74,76,78,80,85,90,95,100})</f>
        <v>72</v>
      </c>
      <c r="T284" s="5"/>
      <c r="U284" s="5"/>
      <c r="V284" s="5">
        <f t="shared" si="132"/>
        <v>72</v>
      </c>
      <c r="W284" s="5"/>
      <c r="X284" s="13">
        <f t="shared" si="133"/>
        <v>52.8</v>
      </c>
      <c r="Y284" s="13">
        <f t="shared" si="134"/>
        <v>75.4285714285714</v>
      </c>
    </row>
    <row r="285" ht="15.6" hidden="1" outlineLevel="2" spans="1:25">
      <c r="A285" s="5">
        <v>307</v>
      </c>
      <c r="B285" s="5">
        <v>18</v>
      </c>
      <c r="C285" s="8" t="s">
        <v>318</v>
      </c>
      <c r="D285" s="9" t="s">
        <v>46</v>
      </c>
      <c r="E285" s="5">
        <v>10</v>
      </c>
      <c r="F285" s="7">
        <f>LOOKUP(E285,{0,1.5,2.3,3.1,3.9,4.7,5.5,6.8,8.1,9.4,10.7,12,13.3,14.6,15.9,17.2,18.5,20.2,21.9,23.6,25.3},{0,10,20,30,40,50,60,62,64,66,68,70,72,74,76,78,80,85,90,95,100})</f>
        <v>66</v>
      </c>
      <c r="G285" s="5">
        <v>170</v>
      </c>
      <c r="H285" s="7">
        <f>LOOKUP(G285,{0,125,130,135,140,145,150,153,156,159,162,165,168,171,174,177,180,187,194,200,206},{0,10,20,30,40,50,60,62,64,66,68,70,72,74,76,78,80,85,90,95,100})</f>
        <v>72</v>
      </c>
      <c r="I285" s="5">
        <v>37</v>
      </c>
      <c r="J285" s="7">
        <f>LOOKUP(I285,{0,15,17,19,21,23,25,27,29,31,33,35,37,39,41,43,45,48,51,53,55},{0,10,20,30,40,50,60,62,64,66,68,70,72,74,76,78,80,85,90,95,100})</f>
        <v>72</v>
      </c>
      <c r="K285" s="5"/>
      <c r="L285" s="5"/>
      <c r="M285" s="5">
        <f t="shared" si="129"/>
        <v>72</v>
      </c>
      <c r="N285" s="5">
        <v>10.1</v>
      </c>
      <c r="O285" s="10">
        <f t="shared" si="130"/>
        <v>7.9</v>
      </c>
      <c r="P285" s="7">
        <f>LOOKUP(O285,{0,6.6,6.8,7,7.2,7.4,7.6,7.8,8,8.2,8.4,8.6,8.8,9,9.2,9.4,9.6,9.9,10.2,10.3,10.4},{0,10,20,30,40,50,60,62,64,66,68,70,72,74,76,78,80,85,90,95,100})</f>
        <v>62</v>
      </c>
      <c r="Q285" s="5">
        <v>4.17</v>
      </c>
      <c r="R285" s="10">
        <f t="shared" si="131"/>
        <v>5.83</v>
      </c>
      <c r="S285" s="7">
        <f>LOOKUP(R285,{0,4.74,4.84,4.94,5.44,5.54,5.64,5.69,5.74,5.79,5.84,5.89,5.94,5.99,6.44,6.49,6.54,6.61,6.68,6.74,6.8},{0,10,20,30,40,50,60,62,64,66,68,70,72,74,76,78,80,85,90,95,100})</f>
        <v>66</v>
      </c>
      <c r="T285" s="5"/>
      <c r="U285" s="5"/>
      <c r="V285" s="5">
        <f t="shared" si="132"/>
        <v>66</v>
      </c>
      <c r="W285" s="5"/>
      <c r="X285" s="13">
        <f t="shared" si="133"/>
        <v>46.6</v>
      </c>
      <c r="Y285" s="13">
        <f t="shared" si="134"/>
        <v>66.5714285714286</v>
      </c>
    </row>
    <row r="286" ht="15.6" hidden="1" outlineLevel="2" spans="1:25">
      <c r="A286" s="5">
        <v>307</v>
      </c>
      <c r="B286" s="5">
        <v>19</v>
      </c>
      <c r="C286" s="9" t="s">
        <v>319</v>
      </c>
      <c r="D286" s="9" t="s">
        <v>46</v>
      </c>
      <c r="E286" s="5">
        <v>8</v>
      </c>
      <c r="F286" s="7">
        <f>LOOKUP(E286,{0,1.5,2.3,3.1,3.9,4.7,5.5,6.8,8.1,9.4,10.7,12,13.3,14.6,15.9,17.2,18.5,20.2,21.9,23.6,25.3},{0,10,20,30,40,50,60,62,64,66,68,70,72,74,76,78,80,85,90,95,100})</f>
        <v>62</v>
      </c>
      <c r="G286" s="5">
        <v>180</v>
      </c>
      <c r="H286" s="7">
        <f>LOOKUP(G286,{0,125,130,135,140,145,150,153,156,159,162,165,168,171,174,177,180,187,194,200,206},{0,10,20,30,40,50,60,62,64,66,68,70,72,74,76,78,80,85,90,95,100})</f>
        <v>80</v>
      </c>
      <c r="I286" s="5">
        <v>45</v>
      </c>
      <c r="J286" s="7">
        <f>LOOKUP(I286,{0,15,17,19,21,23,25,27,29,31,33,35,37,39,41,43,45,48,51,53,55},{0,10,20,30,40,50,60,62,64,66,68,70,72,74,76,78,80,85,90,95,100})</f>
        <v>80</v>
      </c>
      <c r="K286" s="5"/>
      <c r="L286" s="5"/>
      <c r="M286" s="5">
        <f t="shared" si="129"/>
        <v>80</v>
      </c>
      <c r="N286" s="5">
        <v>9.1</v>
      </c>
      <c r="O286" s="10">
        <f t="shared" si="130"/>
        <v>8.9</v>
      </c>
      <c r="P286" s="7">
        <f>LOOKUP(O286,{0,6.6,6.8,7,7.2,7.4,7.6,7.8,8,8.2,8.4,8.6,8.8,9,9.2,9.4,9.6,9.9,10.2,10.3,10.4},{0,10,20,30,40,50,60,62,64,66,68,70,72,74,76,78,80,85,90,95,100})</f>
        <v>72</v>
      </c>
      <c r="Q286" s="5">
        <v>4.14</v>
      </c>
      <c r="R286" s="10">
        <f t="shared" si="131"/>
        <v>5.86</v>
      </c>
      <c r="S286" s="7">
        <f>LOOKUP(R286,{0,4.74,4.84,4.94,5.44,5.54,5.64,5.69,5.74,5.79,5.84,5.89,5.94,5.99,6.44,6.49,6.54,6.61,6.68,6.74,6.8},{0,10,20,30,40,50,60,62,64,66,68,70,72,74,76,78,80,85,90,95,100})</f>
        <v>68</v>
      </c>
      <c r="T286" s="5"/>
      <c r="U286" s="5"/>
      <c r="V286" s="5">
        <f t="shared" si="132"/>
        <v>68</v>
      </c>
      <c r="W286" s="5"/>
      <c r="X286" s="13">
        <f t="shared" si="133"/>
        <v>50.2</v>
      </c>
      <c r="Y286" s="13">
        <f t="shared" si="134"/>
        <v>71.7142857142857</v>
      </c>
    </row>
    <row r="287" ht="15.6" hidden="1" outlineLevel="2" spans="1:25">
      <c r="A287" s="5">
        <v>307</v>
      </c>
      <c r="B287" s="5">
        <v>20</v>
      </c>
      <c r="C287" s="9" t="s">
        <v>320</v>
      </c>
      <c r="D287" s="9" t="s">
        <v>46</v>
      </c>
      <c r="E287" s="5">
        <v>13.5</v>
      </c>
      <c r="F287" s="7">
        <f>LOOKUP(E287,{0,1.5,2.3,3.1,3.9,4.7,5.5,6.8,8.1,9.4,10.7,12,13.3,14.6,15.9,17.2,18.5,20.2,21.9,23.6,25.3},{0,10,20,30,40,50,60,62,64,66,68,70,72,74,76,78,80,85,90,95,100})</f>
        <v>72</v>
      </c>
      <c r="G287" s="5">
        <v>175</v>
      </c>
      <c r="H287" s="7">
        <f>LOOKUP(G287,{0,125,130,135,140,145,150,153,156,159,162,165,168,171,174,177,180,187,194,200,206},{0,10,20,30,40,50,60,62,64,66,68,70,72,74,76,78,80,85,90,95,100})</f>
        <v>76</v>
      </c>
      <c r="I287" s="5">
        <v>39</v>
      </c>
      <c r="J287" s="7">
        <f>LOOKUP(I287,{0,15,17,19,21,23,25,27,29,31,33,35,37,39,41,43,45,48,51,53,55},{0,10,20,30,40,50,60,62,64,66,68,70,72,74,76,78,80,85,90,95,100})</f>
        <v>74</v>
      </c>
      <c r="K287" s="5"/>
      <c r="L287" s="5"/>
      <c r="M287" s="5">
        <f t="shared" si="129"/>
        <v>74</v>
      </c>
      <c r="N287" s="5">
        <v>8.3</v>
      </c>
      <c r="O287" s="10">
        <f t="shared" si="130"/>
        <v>9.7</v>
      </c>
      <c r="P287" s="7">
        <f>LOOKUP(O287,{0,6.6,6.8,7,7.2,7.4,7.6,7.8,8,8.2,8.4,8.6,8.8,9,9.2,9.4,9.6,9.9,10.2,10.3,10.4},{0,10,20,30,40,50,60,62,64,66,68,70,72,74,76,78,80,85,90,95,100})</f>
        <v>80</v>
      </c>
      <c r="Q287" s="5">
        <v>4.35</v>
      </c>
      <c r="R287" s="10">
        <f t="shared" si="131"/>
        <v>5.65</v>
      </c>
      <c r="S287" s="7">
        <f>LOOKUP(R287,{0,4.74,4.84,4.94,5.44,5.54,5.64,5.69,5.74,5.79,5.84,5.89,5.94,5.99,6.44,6.49,6.54,6.61,6.68,6.74,6.8},{0,10,20,30,40,50,60,62,64,66,68,70,72,74,76,78,80,85,90,95,100})</f>
        <v>60</v>
      </c>
      <c r="T287" s="5"/>
      <c r="U287" s="5"/>
      <c r="V287" s="5">
        <f t="shared" si="132"/>
        <v>60</v>
      </c>
      <c r="W287" s="5"/>
      <c r="X287" s="13">
        <f t="shared" si="133"/>
        <v>50.2</v>
      </c>
      <c r="Y287" s="13">
        <f t="shared" si="134"/>
        <v>71.7142857142857</v>
      </c>
    </row>
    <row r="288" ht="15.6" hidden="1" outlineLevel="2" spans="1:25">
      <c r="A288" s="5">
        <v>307</v>
      </c>
      <c r="B288" s="5">
        <v>21</v>
      </c>
      <c r="C288" s="9" t="s">
        <v>321</v>
      </c>
      <c r="D288" s="9" t="s">
        <v>46</v>
      </c>
      <c r="E288" s="5">
        <v>12.5</v>
      </c>
      <c r="F288" s="7">
        <f>LOOKUP(E288,{0,1.5,2.3,3.1,3.9,4.7,5.5,6.8,8.1,9.4,10.7,12,13.3,14.6,15.9,17.2,18.5,20.2,21.9,23.6,25.3},{0,10,20,30,40,50,60,62,64,66,68,70,72,74,76,78,80,85,90,95,100})</f>
        <v>70</v>
      </c>
      <c r="G288" s="5">
        <v>168</v>
      </c>
      <c r="H288" s="7">
        <f>LOOKUP(G288,{0,125,130,135,140,145,150,153,156,159,162,165,168,171,174,177,180,187,194,200,206},{0,10,20,30,40,50,60,62,64,66,68,70,72,74,76,78,80,85,90,95,100})</f>
        <v>72</v>
      </c>
      <c r="I288" s="5">
        <v>45</v>
      </c>
      <c r="J288" s="7">
        <f>LOOKUP(I288,{0,15,17,19,21,23,25,27,29,31,33,35,37,39,41,43,45,48,51,53,55},{0,10,20,30,40,50,60,62,64,66,68,70,72,74,76,78,80,85,90,95,100})</f>
        <v>80</v>
      </c>
      <c r="K288" s="5"/>
      <c r="L288" s="5"/>
      <c r="M288" s="5">
        <f t="shared" si="129"/>
        <v>80</v>
      </c>
      <c r="N288" s="5">
        <v>9</v>
      </c>
      <c r="O288" s="10">
        <f t="shared" si="130"/>
        <v>9</v>
      </c>
      <c r="P288" s="7">
        <f>LOOKUP(O288,{0,6.6,6.8,7,7.2,7.4,7.6,7.8,8,8.2,8.4,8.6,8.8,9,9.2,9.4,9.6,9.9,10.2,10.3,10.4},{0,10,20,30,40,50,60,62,64,66,68,70,72,74,76,78,80,85,90,95,100})</f>
        <v>74</v>
      </c>
      <c r="Q288" s="5">
        <v>4.35</v>
      </c>
      <c r="R288" s="10">
        <f t="shared" si="131"/>
        <v>5.65</v>
      </c>
      <c r="S288" s="7">
        <f>LOOKUP(R288,{0,4.74,4.84,4.94,5.44,5.54,5.64,5.69,5.74,5.79,5.84,5.89,5.94,5.99,6.44,6.49,6.54,6.61,6.68,6.74,6.8},{0,10,20,30,40,50,60,62,64,66,68,70,72,74,76,78,80,85,90,95,100})</f>
        <v>60</v>
      </c>
      <c r="T288" s="5"/>
      <c r="U288" s="5"/>
      <c r="V288" s="5">
        <f t="shared" si="132"/>
        <v>60</v>
      </c>
      <c r="W288" s="5"/>
      <c r="X288" s="13">
        <f t="shared" si="133"/>
        <v>49</v>
      </c>
      <c r="Y288" s="13">
        <f t="shared" si="134"/>
        <v>70</v>
      </c>
    </row>
    <row r="289" ht="15.6" hidden="1" outlineLevel="2" spans="1:25">
      <c r="A289" s="5">
        <v>307</v>
      </c>
      <c r="B289" s="5">
        <v>22</v>
      </c>
      <c r="C289" s="9" t="s">
        <v>322</v>
      </c>
      <c r="D289" s="9" t="s">
        <v>46</v>
      </c>
      <c r="E289" s="5">
        <v>23</v>
      </c>
      <c r="F289" s="7">
        <f>LOOKUP(E289,{0,1.5,2.3,3.1,3.9,4.7,5.5,6.8,8.1,9.4,10.7,12,13.3,14.6,15.9,17.2,18.5,20.2,21.9,23.6,25.3},{0,10,20,30,40,50,60,62,64,66,68,70,72,74,76,78,80,85,90,95,100})</f>
        <v>90</v>
      </c>
      <c r="G289" s="5">
        <v>205</v>
      </c>
      <c r="H289" s="7">
        <f>LOOKUP(G289,{0,125,130,135,140,145,150,153,156,159,162,165,168,171,174,177,180,187,194,200,206},{0,10,20,30,40,50,60,62,64,66,68,70,72,74,76,78,80,85,90,95,100})</f>
        <v>95</v>
      </c>
      <c r="I289" s="5">
        <v>47</v>
      </c>
      <c r="J289" s="7">
        <f>LOOKUP(I289,{0,15,17,19,21,23,25,27,29,31,33,35,37,39,41,43,45,48,51,53,55},{0,10,20,30,40,50,60,62,64,66,68,70,72,74,76,78,80,85,90,95,100})</f>
        <v>80</v>
      </c>
      <c r="K289" s="5"/>
      <c r="L289" s="5"/>
      <c r="M289" s="5">
        <f t="shared" si="129"/>
        <v>80</v>
      </c>
      <c r="N289" s="5">
        <v>8.2</v>
      </c>
      <c r="O289" s="10">
        <f t="shared" si="130"/>
        <v>9.8</v>
      </c>
      <c r="P289" s="7">
        <f>LOOKUP(O289,{0,6.6,6.8,7,7.2,7.4,7.6,7.8,8,8.2,8.4,8.6,8.8,9,9.2,9.4,9.6,9.9,10.2,10.3,10.4},{0,10,20,30,40,50,60,62,64,66,68,70,72,74,76,78,80,85,90,95,100})</f>
        <v>80</v>
      </c>
      <c r="Q289" s="5">
        <v>5.08</v>
      </c>
      <c r="R289" s="10">
        <f t="shared" si="131"/>
        <v>4.92</v>
      </c>
      <c r="S289" s="7">
        <f>LOOKUP(R289,{0,4.74,4.84,4.94,5.44,5.54,5.64,5.69,5.74,5.79,5.84,5.89,5.94,5.99,6.44,6.49,6.54,6.61,6.68,6.74,6.8},{0,10,20,30,40,50,60,62,64,66,68,70,72,74,76,78,80,85,90,95,100})</f>
        <v>20</v>
      </c>
      <c r="T289" s="5"/>
      <c r="U289" s="5"/>
      <c r="V289" s="5">
        <f t="shared" si="132"/>
        <v>20</v>
      </c>
      <c r="W289" s="5"/>
      <c r="X289" s="13">
        <f t="shared" si="133"/>
        <v>46.5</v>
      </c>
      <c r="Y289" s="13">
        <f t="shared" si="134"/>
        <v>66.4285714285714</v>
      </c>
    </row>
    <row r="290" ht="15.6" hidden="1" outlineLevel="2" spans="1:25">
      <c r="A290" s="5">
        <v>307</v>
      </c>
      <c r="B290" s="5">
        <v>23</v>
      </c>
      <c r="C290" s="9" t="s">
        <v>323</v>
      </c>
      <c r="D290" s="9" t="s">
        <v>46</v>
      </c>
      <c r="E290" s="5">
        <v>32.5</v>
      </c>
      <c r="F290" s="7">
        <f>LOOKUP(E290,{0,1.5,2.3,3.1,3.9,4.7,5.5,6.8,8.1,9.4,10.7,12,13.3,14.6,15.9,17.2,18.5,20.2,21.9,23.6,25.3},{0,10,20,30,40,50,60,62,64,66,68,70,72,74,76,78,80,85,90,95,100})</f>
        <v>100</v>
      </c>
      <c r="G290" s="5">
        <v>159</v>
      </c>
      <c r="H290" s="7">
        <f>LOOKUP(G290,{0,125,130,135,140,145,150,153,156,159,162,165,168,171,174,177,180,187,194,200,206},{0,10,20,30,40,50,60,62,64,66,68,70,72,74,76,78,80,85,90,95,100})</f>
        <v>66</v>
      </c>
      <c r="I290" s="5">
        <v>42</v>
      </c>
      <c r="J290" s="7">
        <f>LOOKUP(I290,{0,15,17,19,21,23,25,27,29,31,33,35,37,39,41,43,45,48,51,53,55},{0,10,20,30,40,50,60,62,64,66,68,70,72,74,76,78,80,85,90,95,100})</f>
        <v>76</v>
      </c>
      <c r="K290" s="5"/>
      <c r="L290" s="5"/>
      <c r="M290" s="5">
        <f t="shared" si="129"/>
        <v>76</v>
      </c>
      <c r="N290" s="5">
        <v>9.4</v>
      </c>
      <c r="O290" s="10">
        <f t="shared" si="130"/>
        <v>8.6</v>
      </c>
      <c r="P290" s="7">
        <f>LOOKUP(O290,{0,6.6,6.8,7,7.2,7.4,7.6,7.8,8,8.2,8.4,8.6,8.8,9,9.2,9.4,9.6,9.9,10.2,10.3,10.4},{0,10,20,30,40,50,60,62,64,66,68,70,72,74,76,78,80,85,90,95,100})</f>
        <v>70</v>
      </c>
      <c r="Q290" s="5">
        <v>3.55</v>
      </c>
      <c r="R290" s="10">
        <f t="shared" si="131"/>
        <v>6.45</v>
      </c>
      <c r="S290" s="7">
        <f>LOOKUP(R290,{0,4.74,4.84,4.94,5.44,5.54,5.64,5.69,5.74,5.79,5.84,5.89,5.94,5.99,6.44,6.49,6.54,6.61,6.68,6.74,6.8},{0,10,20,30,40,50,60,62,64,66,68,70,72,74,76,78,80,85,90,95,100})</f>
        <v>76</v>
      </c>
      <c r="T290" s="5"/>
      <c r="U290" s="5"/>
      <c r="V290" s="5">
        <f t="shared" si="132"/>
        <v>76</v>
      </c>
      <c r="W290" s="5"/>
      <c r="X290" s="13">
        <f t="shared" si="133"/>
        <v>53.4</v>
      </c>
      <c r="Y290" s="13">
        <f t="shared" si="134"/>
        <v>76.2857142857143</v>
      </c>
    </row>
    <row r="291" ht="15.6" hidden="1" outlineLevel="2" spans="1:25">
      <c r="A291" s="5">
        <v>307</v>
      </c>
      <c r="B291" s="5">
        <v>24</v>
      </c>
      <c r="C291" s="9" t="s">
        <v>324</v>
      </c>
      <c r="D291" s="9" t="s">
        <v>46</v>
      </c>
      <c r="E291" s="5">
        <v>17</v>
      </c>
      <c r="F291" s="7">
        <f>LOOKUP(E291,{0,1.5,2.3,3.1,3.9,4.7,5.5,6.8,8.1,9.4,10.7,12,13.3,14.6,15.9,17.2,18.5,20.2,21.9,23.6,25.3},{0,10,20,30,40,50,60,62,64,66,68,70,72,74,76,78,80,85,90,95,100})</f>
        <v>76</v>
      </c>
      <c r="G291" s="5">
        <v>175</v>
      </c>
      <c r="H291" s="7">
        <f>LOOKUP(G291,{0,125,130,135,140,145,150,153,156,159,162,165,168,171,174,177,180,187,194,200,206},{0,10,20,30,40,50,60,62,64,66,68,70,72,74,76,78,80,85,90,95,100})</f>
        <v>76</v>
      </c>
      <c r="I291" s="5">
        <v>39</v>
      </c>
      <c r="J291" s="7">
        <f>LOOKUP(I291,{0,15,17,19,21,23,25,27,29,31,33,35,37,39,41,43,45,48,51,53,55},{0,10,20,30,40,50,60,62,64,66,68,70,72,74,76,78,80,85,90,95,100})</f>
        <v>74</v>
      </c>
      <c r="K291" s="5"/>
      <c r="L291" s="5"/>
      <c r="M291" s="5">
        <f t="shared" si="129"/>
        <v>74</v>
      </c>
      <c r="N291" s="5">
        <v>8.7</v>
      </c>
      <c r="O291" s="10">
        <f t="shared" si="130"/>
        <v>9.3</v>
      </c>
      <c r="P291" s="7">
        <f>LOOKUP(O291,{0,6.6,6.8,7,7.2,7.4,7.6,7.8,8,8.2,8.4,8.6,8.8,9,9.2,9.4,9.6,9.9,10.2,10.3,10.4},{0,10,20,30,40,50,60,62,64,66,68,70,72,74,76,78,80,85,90,95,100})</f>
        <v>76</v>
      </c>
      <c r="Q291" s="5">
        <v>5.26</v>
      </c>
      <c r="R291" s="10">
        <f t="shared" si="131"/>
        <v>4.74</v>
      </c>
      <c r="S291" s="7">
        <f>LOOKUP(R291,{0,4.74,4.84,4.94,5.44,5.54,5.64,5.69,5.74,5.79,5.84,5.89,5.94,5.99,6.44,6.49,6.54,6.61,6.68,6.74,6.8},{0,10,20,30,40,50,60,62,64,66,68,70,72,74,76,78,80,85,90,95,100})</f>
        <v>10</v>
      </c>
      <c r="T291" s="5"/>
      <c r="U291" s="5"/>
      <c r="V291" s="5">
        <f t="shared" si="132"/>
        <v>10</v>
      </c>
      <c r="W291" s="5"/>
      <c r="X291" s="13">
        <f t="shared" si="133"/>
        <v>39.8</v>
      </c>
      <c r="Y291" s="13">
        <f t="shared" si="134"/>
        <v>56.8571428571429</v>
      </c>
    </row>
    <row r="292" hidden="1" outlineLevel="2" spans="1:25">
      <c r="A292" s="5">
        <v>307</v>
      </c>
      <c r="B292" s="5">
        <v>25</v>
      </c>
      <c r="C292" s="9" t="s">
        <v>325</v>
      </c>
      <c r="D292" s="9" t="s">
        <v>46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>
        <v>50</v>
      </c>
      <c r="X292" s="13"/>
      <c r="Y292" s="13">
        <v>50</v>
      </c>
    </row>
    <row r="293" ht="15.6" hidden="1" outlineLevel="2" spans="1:25">
      <c r="A293" s="5">
        <v>307</v>
      </c>
      <c r="B293" s="5">
        <v>26</v>
      </c>
      <c r="C293" s="9" t="s">
        <v>326</v>
      </c>
      <c r="D293" s="9" t="s">
        <v>46</v>
      </c>
      <c r="E293" s="5">
        <v>8.5</v>
      </c>
      <c r="F293" s="7">
        <f>LOOKUP(E293,{0,1.5,2.3,3.1,3.9,4.7,5.5,6.8,8.1,9.4,10.7,12,13.3,14.6,15.9,17.2,18.5,20.2,21.9,23.6,25.3},{0,10,20,30,40,50,60,62,64,66,68,70,72,74,76,78,80,85,90,95,100})</f>
        <v>64</v>
      </c>
      <c r="G293" s="5">
        <v>165</v>
      </c>
      <c r="H293" s="7">
        <f>LOOKUP(G293,{0,125,130,135,140,145,150,153,156,159,162,165,168,171,174,177,180,187,194,200,206},{0,10,20,30,40,50,60,62,64,66,68,70,72,74,76,78,80,85,90,95,100})</f>
        <v>70</v>
      </c>
      <c r="I293" s="5">
        <v>47</v>
      </c>
      <c r="J293" s="7">
        <f>LOOKUP(I293,{0,15,17,19,21,23,25,27,29,31,33,35,37,39,41,43,45,48,51,53,55},{0,10,20,30,40,50,60,62,64,66,68,70,72,74,76,78,80,85,90,95,100})</f>
        <v>80</v>
      </c>
      <c r="K293" s="5"/>
      <c r="L293" s="5"/>
      <c r="M293" s="5">
        <f t="shared" ref="M293:M297" si="135">J293+L293</f>
        <v>80</v>
      </c>
      <c r="N293" s="5">
        <v>9.5</v>
      </c>
      <c r="O293" s="10">
        <f t="shared" ref="O293:O297" si="136">18-N293</f>
        <v>8.5</v>
      </c>
      <c r="P293" s="7">
        <f>LOOKUP(O293,{0,6.6,6.8,7,7.2,7.4,7.6,7.8,8,8.2,8.4,8.6,8.8,9,9.2,9.4,9.6,9.9,10.2,10.3,10.4},{0,10,20,30,40,50,60,62,64,66,68,70,72,74,76,78,80,85,90,95,100})</f>
        <v>68</v>
      </c>
      <c r="Q293" s="5">
        <v>4.05</v>
      </c>
      <c r="R293" s="10">
        <f t="shared" ref="R293:R297" si="137">10-Q293</f>
        <v>5.95</v>
      </c>
      <c r="S293" s="7">
        <f>LOOKUP(R293,{0,4.74,4.84,4.94,5.44,5.54,5.64,5.69,5.74,5.79,5.84,5.89,5.94,5.99,6.44,6.49,6.54,6.61,6.68,6.74,6.8},{0,10,20,30,40,50,60,62,64,66,68,70,72,74,76,78,80,85,90,95,100})</f>
        <v>72</v>
      </c>
      <c r="T293" s="5"/>
      <c r="U293" s="5"/>
      <c r="V293" s="5">
        <f t="shared" ref="V293:V297" si="138">S293+U293</f>
        <v>72</v>
      </c>
      <c r="W293" s="5"/>
      <c r="X293" s="13">
        <f t="shared" ref="X293:X297" si="139">F293*0.1+H293*0.1+J293*0.1+P293*0.2+S293*0.2</f>
        <v>49.4</v>
      </c>
      <c r="Y293" s="13">
        <f t="shared" ref="Y293:Y297" si="140">X293/0.7+L293+U293</f>
        <v>70.5714285714286</v>
      </c>
    </row>
    <row r="294" hidden="1" outlineLevel="2" spans="1:25">
      <c r="A294" s="5">
        <v>307</v>
      </c>
      <c r="B294" s="5">
        <v>27</v>
      </c>
      <c r="C294" s="9" t="s">
        <v>327</v>
      </c>
      <c r="D294" s="9" t="s">
        <v>46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>
        <v>50</v>
      </c>
      <c r="X294" s="13"/>
      <c r="Y294" s="13">
        <v>50</v>
      </c>
    </row>
    <row r="295" ht="15.6" hidden="1" outlineLevel="2" spans="1:25">
      <c r="A295" s="5">
        <v>307</v>
      </c>
      <c r="B295" s="5">
        <v>28</v>
      </c>
      <c r="C295" s="8" t="s">
        <v>329</v>
      </c>
      <c r="D295" s="9" t="s">
        <v>46</v>
      </c>
      <c r="E295" s="5">
        <v>19</v>
      </c>
      <c r="F295" s="7">
        <f>LOOKUP(E295,{0,1.5,2.3,3.1,3.9,4.7,5.5,6.8,8.1,9.4,10.7,12,13.3,14.6,15.9,17.2,18.5,20.2,21.9,23.6,25.3},{0,10,20,30,40,50,60,62,64,66,68,70,72,74,76,78,80,85,90,95,100})</f>
        <v>80</v>
      </c>
      <c r="G295" s="5">
        <v>172</v>
      </c>
      <c r="H295" s="7">
        <f>LOOKUP(G295,{0,125,130,135,140,145,150,153,156,159,162,165,168,171,174,177,180,187,194,200,206},{0,10,20,30,40,50,60,62,64,66,68,70,72,74,76,78,80,85,90,95,100})</f>
        <v>74</v>
      </c>
      <c r="I295" s="5">
        <v>40</v>
      </c>
      <c r="J295" s="7">
        <f>LOOKUP(I295,{0,15,17,19,21,23,25,27,29,31,33,35,37,39,41,43,45,48,51,53,55},{0,10,20,30,40,50,60,62,64,66,68,70,72,74,76,78,80,85,90,95,100})</f>
        <v>74</v>
      </c>
      <c r="K295" s="5"/>
      <c r="L295" s="5"/>
      <c r="M295" s="5">
        <f t="shared" si="135"/>
        <v>74</v>
      </c>
      <c r="N295" s="5">
        <v>8.6</v>
      </c>
      <c r="O295" s="10">
        <f t="shared" si="136"/>
        <v>9.4</v>
      </c>
      <c r="P295" s="7">
        <f>LOOKUP(O295,{0,6.6,6.8,7,7.2,7.4,7.6,7.8,8,8.2,8.4,8.6,8.8,9,9.2,9.4,9.6,9.9,10.2,10.3,10.4},{0,10,20,30,40,50,60,62,64,66,68,70,72,74,76,78,80,85,90,95,100})</f>
        <v>78</v>
      </c>
      <c r="Q295" s="5">
        <v>5.06</v>
      </c>
      <c r="R295" s="10">
        <f t="shared" si="137"/>
        <v>4.94</v>
      </c>
      <c r="S295" s="7">
        <f>LOOKUP(R295,{0,4.74,4.84,4.94,5.44,5.54,5.64,5.69,5.74,5.79,5.84,5.89,5.94,5.99,6.44,6.49,6.54,6.61,6.68,6.74,6.8},{0,10,20,30,40,50,60,62,64,66,68,70,72,74,76,78,80,85,90,95,100})</f>
        <v>30</v>
      </c>
      <c r="T295" s="5"/>
      <c r="U295" s="5"/>
      <c r="V295" s="5">
        <f t="shared" si="138"/>
        <v>30</v>
      </c>
      <c r="W295" s="5"/>
      <c r="X295" s="13">
        <f t="shared" si="139"/>
        <v>44.4</v>
      </c>
      <c r="Y295" s="13">
        <f t="shared" si="140"/>
        <v>63.4285714285714</v>
      </c>
    </row>
    <row r="296" ht="15.6" hidden="1" outlineLevel="2" spans="1:25">
      <c r="A296" s="5">
        <v>307</v>
      </c>
      <c r="B296" s="5">
        <v>29</v>
      </c>
      <c r="C296" s="9" t="s">
        <v>330</v>
      </c>
      <c r="D296" s="9" t="s">
        <v>46</v>
      </c>
      <c r="E296" s="5">
        <v>12.2</v>
      </c>
      <c r="F296" s="7">
        <f>LOOKUP(E296,{0,1.5,2.3,3.1,3.9,4.7,5.5,6.8,8.1,9.4,10.7,12,13.3,14.6,15.9,17.2,18.5,20.2,21.9,23.6,25.3},{0,10,20,30,40,50,60,62,64,66,68,70,72,74,76,78,80,85,90,95,100})</f>
        <v>70</v>
      </c>
      <c r="G296" s="5">
        <v>160</v>
      </c>
      <c r="H296" s="7">
        <f>LOOKUP(G296,{0,125,130,135,140,145,150,153,156,159,162,165,168,171,174,177,180,187,194,200,206},{0,10,20,30,40,50,60,62,64,66,68,70,72,74,76,78,80,85,90,95,100})</f>
        <v>66</v>
      </c>
      <c r="I296" s="5">
        <v>42</v>
      </c>
      <c r="J296" s="7">
        <f>LOOKUP(I296,{0,15,17,19,21,23,25,27,29,31,33,35,37,39,41,43,45,48,51,53,55},{0,10,20,30,40,50,60,62,64,66,68,70,72,74,76,78,80,85,90,95,100})</f>
        <v>76</v>
      </c>
      <c r="K296" s="5"/>
      <c r="L296" s="5"/>
      <c r="M296" s="5">
        <f t="shared" si="135"/>
        <v>76</v>
      </c>
      <c r="N296" s="5">
        <v>10.1</v>
      </c>
      <c r="O296" s="10">
        <f t="shared" si="136"/>
        <v>7.9</v>
      </c>
      <c r="P296" s="7">
        <f>LOOKUP(O296,{0,6.6,6.8,7,7.2,7.4,7.6,7.8,8,8.2,8.4,8.6,8.8,9,9.2,9.4,9.6,9.9,10.2,10.3,10.4},{0,10,20,30,40,50,60,62,64,66,68,70,72,74,76,78,80,85,90,95,100})</f>
        <v>62</v>
      </c>
      <c r="Q296" s="5">
        <v>4.37</v>
      </c>
      <c r="R296" s="10">
        <f t="shared" si="137"/>
        <v>5.63</v>
      </c>
      <c r="S296" s="7">
        <f>LOOKUP(R296,{0,4.74,4.84,4.94,5.44,5.54,5.64,5.69,5.74,5.79,5.84,5.89,5.94,5.99,6.44,6.49,6.54,6.61,6.68,6.74,6.8},{0,10,20,30,40,50,60,62,64,66,68,70,72,74,76,78,80,85,90,95,100})</f>
        <v>50</v>
      </c>
      <c r="T296" s="5"/>
      <c r="U296" s="5"/>
      <c r="V296" s="5">
        <f t="shared" si="138"/>
        <v>50</v>
      </c>
      <c r="W296" s="5"/>
      <c r="X296" s="13">
        <f t="shared" si="139"/>
        <v>43.6</v>
      </c>
      <c r="Y296" s="13">
        <f t="shared" si="140"/>
        <v>62.2857142857143</v>
      </c>
    </row>
    <row r="297" ht="15.6" hidden="1" outlineLevel="2" spans="1:25">
      <c r="A297" s="5">
        <v>307</v>
      </c>
      <c r="B297" s="5">
        <v>30</v>
      </c>
      <c r="C297" s="9" t="s">
        <v>331</v>
      </c>
      <c r="D297" s="9" t="s">
        <v>46</v>
      </c>
      <c r="E297" s="5">
        <v>14</v>
      </c>
      <c r="F297" s="7">
        <f>LOOKUP(E297,{0,1.5,2.3,3.1,3.9,4.7,5.5,6.8,8.1,9.4,10.7,12,13.3,14.6,15.9,17.2,18.5,20.2,21.9,23.6,25.3},{0,10,20,30,40,50,60,62,64,66,68,70,72,74,76,78,80,85,90,95,100})</f>
        <v>72</v>
      </c>
      <c r="G297" s="5">
        <v>150</v>
      </c>
      <c r="H297" s="7">
        <f>LOOKUP(G297,{0,125,130,135,140,145,150,153,156,159,162,165,168,171,174,177,180,187,194,200,206},{0,10,20,30,40,50,60,62,64,66,68,70,72,74,76,78,80,85,90,95,100})</f>
        <v>60</v>
      </c>
      <c r="I297" s="5">
        <v>45</v>
      </c>
      <c r="J297" s="7">
        <f>LOOKUP(I297,{0,15,17,19,21,23,25,27,29,31,33,35,37,39,41,43,45,48,51,53,55},{0,10,20,30,40,50,60,62,64,66,68,70,72,74,76,78,80,85,90,95,100})</f>
        <v>80</v>
      </c>
      <c r="K297" s="5"/>
      <c r="L297" s="5"/>
      <c r="M297" s="5">
        <f t="shared" si="135"/>
        <v>80</v>
      </c>
      <c r="N297" s="5">
        <v>9.9</v>
      </c>
      <c r="O297" s="10">
        <f t="shared" si="136"/>
        <v>8.1</v>
      </c>
      <c r="P297" s="7">
        <f>LOOKUP(O297,{0,6.6,6.8,7,7.2,7.4,7.6,7.8,8,8.2,8.4,8.6,8.8,9,9.2,9.4,9.6,9.9,10.2,10.3,10.4},{0,10,20,30,40,50,60,62,64,66,68,70,72,74,76,78,80,85,90,95,100})</f>
        <v>64</v>
      </c>
      <c r="Q297" s="5">
        <v>4.53</v>
      </c>
      <c r="R297" s="10">
        <f t="shared" si="137"/>
        <v>5.47</v>
      </c>
      <c r="S297" s="7">
        <f>LOOKUP(R297,{0,4.74,4.84,4.94,5.44,5.54,5.64,5.69,5.74,5.79,5.84,5.89,5.94,5.99,6.44,6.49,6.54,6.61,6.68,6.74,6.8},{0,10,20,30,40,50,60,62,64,66,68,70,72,74,76,78,80,85,90,95,100})</f>
        <v>40</v>
      </c>
      <c r="T297" s="5"/>
      <c r="U297" s="5"/>
      <c r="V297" s="5">
        <f t="shared" si="138"/>
        <v>40</v>
      </c>
      <c r="W297" s="5"/>
      <c r="X297" s="13">
        <f t="shared" si="139"/>
        <v>42</v>
      </c>
      <c r="Y297" s="13">
        <f t="shared" si="140"/>
        <v>60</v>
      </c>
    </row>
    <row r="298" hidden="1" outlineLevel="2" spans="1:25">
      <c r="A298" s="5">
        <v>307</v>
      </c>
      <c r="B298" s="5">
        <v>31</v>
      </c>
      <c r="C298" s="9" t="s">
        <v>332</v>
      </c>
      <c r="D298" s="9" t="s">
        <v>46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>
        <v>50</v>
      </c>
      <c r="X298" s="13"/>
      <c r="Y298" s="13">
        <v>50</v>
      </c>
    </row>
    <row r="299" ht="15.6" hidden="1" outlineLevel="2" spans="1:25">
      <c r="A299" s="5">
        <v>307</v>
      </c>
      <c r="B299" s="5">
        <v>32</v>
      </c>
      <c r="C299" s="9" t="s">
        <v>333</v>
      </c>
      <c r="D299" s="9" t="s">
        <v>46</v>
      </c>
      <c r="E299" s="5">
        <v>13.2</v>
      </c>
      <c r="F299" s="7">
        <f>LOOKUP(E299,{0,1.5,2.3,3.1,3.9,4.7,5.5,6.8,8.1,9.4,10.7,12,13.3,14.6,15.9,17.2,18.5,20.2,21.9,23.6,25.3},{0,10,20,30,40,50,60,62,64,66,68,70,72,74,76,78,80,85,90,95,100})</f>
        <v>70</v>
      </c>
      <c r="G299" s="5">
        <v>175</v>
      </c>
      <c r="H299" s="7">
        <f>LOOKUP(G299,{0,125,130,135,140,145,150,153,156,159,162,165,168,171,174,177,180,187,194,200,206},{0,10,20,30,40,50,60,62,64,66,68,70,72,74,76,78,80,85,90,95,100})</f>
        <v>76</v>
      </c>
      <c r="I299" s="5">
        <v>50</v>
      </c>
      <c r="J299" s="7">
        <f>LOOKUP(I299,{0,15,17,19,21,23,25,27,29,31,33,35,37,39,41,43,45,48,51,53,55},{0,10,20,30,40,50,60,62,64,66,68,70,72,74,76,78,80,85,90,95,100})</f>
        <v>85</v>
      </c>
      <c r="K299" s="5"/>
      <c r="L299" s="5"/>
      <c r="M299" s="5">
        <f t="shared" ref="M299:M302" si="141">J299+L299</f>
        <v>85</v>
      </c>
      <c r="N299" s="5">
        <v>8.9</v>
      </c>
      <c r="O299" s="10">
        <f t="shared" ref="O299:O302" si="142">18-N299</f>
        <v>9.1</v>
      </c>
      <c r="P299" s="7">
        <f>LOOKUP(O299,{0,6.6,6.8,7,7.2,7.4,7.6,7.8,8,8.2,8.4,8.6,8.8,9,9.2,9.4,9.6,9.9,10.2,10.3,10.4},{0,10,20,30,40,50,60,62,64,66,68,70,72,74,76,78,80,85,90,95,100})</f>
        <v>74</v>
      </c>
      <c r="Q299" s="5">
        <v>4.25</v>
      </c>
      <c r="R299" s="10">
        <f t="shared" ref="R299:R302" si="143">10-Q299</f>
        <v>5.75</v>
      </c>
      <c r="S299" s="7">
        <f>LOOKUP(R299,{0,4.74,4.84,4.94,5.44,5.54,5.64,5.69,5.74,5.79,5.84,5.89,5.94,5.99,6.44,6.49,6.54,6.61,6.68,6.74,6.8},{0,10,20,30,40,50,60,62,64,66,68,70,72,74,76,78,80,85,90,95,100})</f>
        <v>64</v>
      </c>
      <c r="T299" s="5"/>
      <c r="U299" s="5"/>
      <c r="V299" s="5">
        <f t="shared" ref="V299:V302" si="144">S299+U299</f>
        <v>64</v>
      </c>
      <c r="W299" s="5"/>
      <c r="X299" s="13">
        <f t="shared" ref="X299:X316" si="145">F299*0.1+H299*0.1+J299*0.1+P299*0.2+S299*0.2</f>
        <v>50.7</v>
      </c>
      <c r="Y299" s="13">
        <f t="shared" ref="Y299:Y302" si="146">X299/0.7+L299+U299</f>
        <v>72.4285714285714</v>
      </c>
    </row>
    <row r="300" ht="15.6" hidden="1" outlineLevel="2" spans="1:25">
      <c r="A300" s="5">
        <v>307</v>
      </c>
      <c r="B300" s="5">
        <v>33</v>
      </c>
      <c r="C300" s="9" t="s">
        <v>334</v>
      </c>
      <c r="D300" s="9" t="s">
        <v>46</v>
      </c>
      <c r="E300" s="5">
        <v>8.6</v>
      </c>
      <c r="F300" s="7">
        <f>LOOKUP(E300,{0,1.5,2.3,3.1,3.9,4.7,5.5,6.8,8.1,9.4,10.7,12,13.3,14.6,15.9,17.2,18.5,20.2,21.9,23.6,25.3},{0,10,20,30,40,50,60,62,64,66,68,70,72,74,76,78,80,85,90,95,100})</f>
        <v>64</v>
      </c>
      <c r="G300" s="5">
        <v>130</v>
      </c>
      <c r="H300" s="7">
        <f>LOOKUP(G300,{0,125,130,135,140,145,150,153,156,159,162,165,168,171,174,177,180,187,194,200,206},{0,10,20,30,40,50,60,62,64,66,68,70,72,74,76,78,80,85,90,95,100})</f>
        <v>20</v>
      </c>
      <c r="I300" s="5">
        <v>26</v>
      </c>
      <c r="J300" s="7">
        <f>LOOKUP(I300,{0,15,17,19,21,23,25,27,29,31,33,35,37,39,41,43,45,48,51,53,55},{0,10,20,30,40,50,60,62,64,66,68,70,72,74,76,78,80,85,90,95,100})</f>
        <v>60</v>
      </c>
      <c r="K300" s="5"/>
      <c r="L300" s="5"/>
      <c r="M300" s="5">
        <f t="shared" si="141"/>
        <v>60</v>
      </c>
      <c r="N300" s="5">
        <v>13.2</v>
      </c>
      <c r="O300" s="10">
        <f t="shared" si="142"/>
        <v>4.8</v>
      </c>
      <c r="P300" s="7">
        <f>LOOKUP(O300,{0,6.6,6.8,7,7.2,7.4,7.6,7.8,8,8.2,8.4,8.6,8.8,9,9.2,9.4,9.6,9.9,10.2,10.3,10.4},{0,10,20,30,40,50,60,62,64,66,68,70,72,74,76,78,80,85,90,95,100})</f>
        <v>0</v>
      </c>
      <c r="Q300" s="5">
        <v>7.31</v>
      </c>
      <c r="R300" s="10">
        <f t="shared" si="143"/>
        <v>2.69</v>
      </c>
      <c r="S300" s="7">
        <f>LOOKUP(R300,{0,4.74,4.84,4.94,5.44,5.54,5.64,5.69,5.74,5.79,5.84,5.89,5.94,5.99,6.44,6.49,6.54,6.61,6.68,6.74,6.8},{0,10,20,30,40,50,60,62,64,66,68,70,72,74,76,78,80,85,90,95,100})</f>
        <v>0</v>
      </c>
      <c r="T300" s="5"/>
      <c r="U300" s="5"/>
      <c r="V300" s="5">
        <f t="shared" si="144"/>
        <v>0</v>
      </c>
      <c r="W300" s="5"/>
      <c r="X300" s="13">
        <f t="shared" si="145"/>
        <v>14.4</v>
      </c>
      <c r="Y300" s="13">
        <f t="shared" si="146"/>
        <v>20.5714285714286</v>
      </c>
    </row>
    <row r="301" ht="15.6" hidden="1" outlineLevel="2" spans="1:25">
      <c r="A301" s="5">
        <v>307</v>
      </c>
      <c r="B301" s="5">
        <v>34</v>
      </c>
      <c r="C301" s="9" t="s">
        <v>335</v>
      </c>
      <c r="D301" s="9" t="s">
        <v>46</v>
      </c>
      <c r="E301" s="5">
        <v>30</v>
      </c>
      <c r="F301" s="7">
        <f>LOOKUP(E301,{0,1.5,2.3,3.1,3.9,4.7,5.5,6.8,8.1,9.4,10.7,12,13.3,14.6,15.9,17.2,18.5,20.2,21.9,23.6,25.3},{0,10,20,30,40,50,60,62,64,66,68,70,72,74,76,78,80,85,90,95,100})</f>
        <v>100</v>
      </c>
      <c r="G301" s="5">
        <v>192</v>
      </c>
      <c r="H301" s="7">
        <f>LOOKUP(G301,{0,125,130,135,140,145,150,153,156,159,162,165,168,171,174,177,180,187,194,200,206},{0,10,20,30,40,50,60,62,64,66,68,70,72,74,76,78,80,85,90,95,100})</f>
        <v>85</v>
      </c>
      <c r="I301" s="5">
        <v>42</v>
      </c>
      <c r="J301" s="7">
        <f>LOOKUP(I301,{0,15,17,19,21,23,25,27,29,31,33,35,37,39,41,43,45,48,51,53,55},{0,10,20,30,40,50,60,62,64,66,68,70,72,74,76,78,80,85,90,95,100})</f>
        <v>76</v>
      </c>
      <c r="K301" s="5"/>
      <c r="L301" s="5"/>
      <c r="M301" s="5">
        <f t="shared" si="141"/>
        <v>76</v>
      </c>
      <c r="N301" s="5">
        <v>8.9</v>
      </c>
      <c r="O301" s="10">
        <f t="shared" si="142"/>
        <v>9.1</v>
      </c>
      <c r="P301" s="7">
        <f>LOOKUP(O301,{0,6.6,6.8,7,7.2,7.4,7.6,7.8,8,8.2,8.4,8.6,8.8,9,9.2,9.4,9.6,9.9,10.2,10.3,10.4},{0,10,20,30,40,50,60,62,64,66,68,70,72,74,76,78,80,85,90,95,100})</f>
        <v>74</v>
      </c>
      <c r="Q301" s="5">
        <v>5.07</v>
      </c>
      <c r="R301" s="10">
        <f t="shared" si="143"/>
        <v>4.93</v>
      </c>
      <c r="S301" s="7">
        <f>LOOKUP(R301,{0,4.74,4.84,4.94,5.44,5.54,5.64,5.69,5.74,5.79,5.84,5.89,5.94,5.99,6.44,6.49,6.54,6.61,6.68,6.74,6.8},{0,10,20,30,40,50,60,62,64,66,68,70,72,74,76,78,80,85,90,95,100})</f>
        <v>20</v>
      </c>
      <c r="T301" s="5"/>
      <c r="U301" s="5"/>
      <c r="V301" s="5">
        <f t="shared" si="144"/>
        <v>20</v>
      </c>
      <c r="W301" s="5"/>
      <c r="X301" s="13">
        <f t="shared" si="145"/>
        <v>44.9</v>
      </c>
      <c r="Y301" s="13">
        <f t="shared" si="146"/>
        <v>64.1428571428572</v>
      </c>
    </row>
    <row r="302" ht="15.6" hidden="1" outlineLevel="2" spans="1:25">
      <c r="A302" s="5">
        <v>307</v>
      </c>
      <c r="B302" s="5">
        <v>35</v>
      </c>
      <c r="C302" s="9" t="s">
        <v>336</v>
      </c>
      <c r="D302" s="9" t="s">
        <v>46</v>
      </c>
      <c r="E302" s="5">
        <v>5.5</v>
      </c>
      <c r="F302" s="7">
        <f>LOOKUP(E302,{0,1.5,2.3,3.1,3.9,4.7,5.5,6.8,8.1,9.4,10.7,12,13.3,14.6,15.9,17.2,18.5,20.2,21.9,23.6,25.3},{0,10,20,30,40,50,60,62,64,66,68,70,72,74,76,78,80,85,90,95,100})</f>
        <v>60</v>
      </c>
      <c r="G302" s="5">
        <v>160</v>
      </c>
      <c r="H302" s="7">
        <f>LOOKUP(G302,{0,125,130,135,140,145,150,153,156,159,162,165,168,171,174,177,180,187,194,200,206},{0,10,20,30,40,50,60,62,64,66,68,70,72,74,76,78,80,85,90,95,100})</f>
        <v>66</v>
      </c>
      <c r="I302" s="5">
        <v>51</v>
      </c>
      <c r="J302" s="7">
        <f>LOOKUP(I302,{0,15,17,19,21,23,25,27,29,31,33,35,37,39,41,43,45,48,51,53,55},{0,10,20,30,40,50,60,62,64,66,68,70,72,74,76,78,80,85,90,95,100})</f>
        <v>90</v>
      </c>
      <c r="K302" s="5"/>
      <c r="L302" s="5"/>
      <c r="M302" s="5">
        <f t="shared" si="141"/>
        <v>90</v>
      </c>
      <c r="N302" s="5">
        <v>9</v>
      </c>
      <c r="O302" s="10">
        <f t="shared" si="142"/>
        <v>9</v>
      </c>
      <c r="P302" s="7">
        <f>LOOKUP(O302,{0,6.6,6.8,7,7.2,7.4,7.6,7.8,8,8.2,8.4,8.6,8.8,9,9.2,9.4,9.6,9.9,10.2,10.3,10.4},{0,10,20,30,40,50,60,62,64,66,68,70,72,74,76,78,80,85,90,95,100})</f>
        <v>74</v>
      </c>
      <c r="Q302" s="5">
        <v>3.52</v>
      </c>
      <c r="R302" s="10">
        <f t="shared" si="143"/>
        <v>6.48</v>
      </c>
      <c r="S302" s="7">
        <f>LOOKUP(R302,{0,4.74,4.84,4.94,5.44,5.54,5.64,5.69,5.74,5.79,5.84,5.89,5.94,5.99,6.44,6.49,6.54,6.61,6.68,6.74,6.8},{0,10,20,30,40,50,60,62,64,66,68,70,72,74,76,78,80,85,90,95,100})</f>
        <v>76</v>
      </c>
      <c r="T302" s="5"/>
      <c r="U302" s="5"/>
      <c r="V302" s="5">
        <f t="shared" si="144"/>
        <v>76</v>
      </c>
      <c r="W302" s="5"/>
      <c r="X302" s="13">
        <f t="shared" si="145"/>
        <v>51.6</v>
      </c>
      <c r="Y302" s="13">
        <f t="shared" si="146"/>
        <v>73.7142857142857</v>
      </c>
    </row>
    <row r="303" ht="15.6" hidden="1" outlineLevel="2" spans="1:25">
      <c r="A303" s="5">
        <v>307</v>
      </c>
      <c r="B303" s="5">
        <v>36</v>
      </c>
      <c r="C303" s="9" t="s">
        <v>337</v>
      </c>
      <c r="D303" s="9" t="s">
        <v>46</v>
      </c>
      <c r="E303" s="5" t="s">
        <v>77</v>
      </c>
      <c r="F303" s="7"/>
      <c r="G303" s="5">
        <v>225</v>
      </c>
      <c r="H303" s="7">
        <f>LOOKUP(G303,{0,125,130,135,140,145,150,153,156,159,162,165,168,171,174,177,180,187,194,200,206},{0,10,20,30,40,50,60,62,64,66,68,70,72,74,76,78,80,85,90,95,100})</f>
        <v>100</v>
      </c>
      <c r="I303" s="5" t="s">
        <v>77</v>
      </c>
      <c r="J303" s="7"/>
      <c r="K303" s="5"/>
      <c r="L303" s="5"/>
      <c r="M303" s="5"/>
      <c r="N303" s="5" t="s">
        <v>77</v>
      </c>
      <c r="O303" s="5"/>
      <c r="P303" s="5"/>
      <c r="Q303" s="5" t="s">
        <v>77</v>
      </c>
      <c r="R303" s="5"/>
      <c r="S303" s="5"/>
      <c r="T303" s="5"/>
      <c r="U303" s="5"/>
      <c r="V303" s="5"/>
      <c r="W303" s="14">
        <v>50</v>
      </c>
      <c r="X303" s="13">
        <f t="shared" si="145"/>
        <v>10</v>
      </c>
      <c r="Y303" s="13">
        <v>50</v>
      </c>
    </row>
    <row r="304" ht="15.6" hidden="1" outlineLevel="2" spans="1:25">
      <c r="A304" s="5">
        <v>307</v>
      </c>
      <c r="B304" s="5">
        <v>37</v>
      </c>
      <c r="C304" s="9" t="s">
        <v>338</v>
      </c>
      <c r="D304" s="9" t="s">
        <v>46</v>
      </c>
      <c r="E304" s="5">
        <v>16.4</v>
      </c>
      <c r="F304" s="7">
        <f>LOOKUP(E304,{0,1.5,2.3,3.1,3.9,4.7,5.5,6.8,8.1,9.4,10.7,12,13.3,14.6,15.9,17.2,18.5,20.2,21.9,23.6,25.3},{0,10,20,30,40,50,60,62,64,66,68,70,72,74,76,78,80,85,90,95,100})</f>
        <v>76</v>
      </c>
      <c r="G304" s="5">
        <v>150</v>
      </c>
      <c r="H304" s="7">
        <f>LOOKUP(G304,{0,125,130,135,140,145,150,153,156,159,162,165,168,171,174,177,180,187,194,200,206},{0,10,20,30,40,50,60,62,64,66,68,70,72,74,76,78,80,85,90,95,100})</f>
        <v>60</v>
      </c>
      <c r="I304" s="5">
        <v>36</v>
      </c>
      <c r="J304" s="7">
        <f>LOOKUP(I304,{0,15,17,19,21,23,25,27,29,31,33,35,37,39,41,43,45,48,51,53,55},{0,10,20,30,40,50,60,62,64,66,68,70,72,74,76,78,80,85,90,95,100})</f>
        <v>70</v>
      </c>
      <c r="K304" s="5"/>
      <c r="L304" s="5"/>
      <c r="M304" s="5">
        <f t="shared" ref="M304:M313" si="147">J304+L304</f>
        <v>70</v>
      </c>
      <c r="N304" s="5">
        <v>8.5</v>
      </c>
      <c r="O304" s="10">
        <f t="shared" ref="O304:O308" si="148">18-N304</f>
        <v>9.5</v>
      </c>
      <c r="P304" s="7">
        <f>LOOKUP(O304,{0,6.6,6.8,7,7.2,7.4,7.6,7.8,8,8.2,8.4,8.6,8.8,9,9.2,9.4,9.6,9.9,10.2,10.3,10.4},{0,10,20,30,40,50,60,62,64,66,68,70,72,74,76,78,80,85,90,95,100})</f>
        <v>78</v>
      </c>
      <c r="Q304" s="5">
        <v>3.54</v>
      </c>
      <c r="R304" s="10">
        <f t="shared" ref="R304:R308" si="149">10-Q304</f>
        <v>6.46</v>
      </c>
      <c r="S304" s="7">
        <f>LOOKUP(R304,{0,4.74,4.84,4.94,5.44,5.54,5.64,5.69,5.74,5.79,5.84,5.89,5.94,5.99,6.44,6.49,6.54,6.61,6.68,6.74,6.8},{0,10,20,30,40,50,60,62,64,66,68,70,72,74,76,78,80,85,90,95,100})</f>
        <v>76</v>
      </c>
      <c r="T304" s="5"/>
      <c r="U304" s="5"/>
      <c r="V304" s="5">
        <f t="shared" ref="V304:V308" si="150">S304+U304</f>
        <v>76</v>
      </c>
      <c r="W304" s="5"/>
      <c r="X304" s="13">
        <f t="shared" si="145"/>
        <v>51.4</v>
      </c>
      <c r="Y304" s="13">
        <f t="shared" ref="Y304:Y308" si="151">X304/0.7+L304+U304</f>
        <v>73.4285714285714</v>
      </c>
    </row>
    <row r="305" ht="15.6" hidden="1" outlineLevel="2" spans="1:25">
      <c r="A305" s="5">
        <v>307</v>
      </c>
      <c r="B305" s="5">
        <v>38</v>
      </c>
      <c r="C305" s="8" t="s">
        <v>340</v>
      </c>
      <c r="D305" s="9" t="s">
        <v>46</v>
      </c>
      <c r="E305" s="5">
        <v>18.5</v>
      </c>
      <c r="F305" s="7">
        <f>LOOKUP(E305,{0,1.5,2.3,3.1,3.9,4.7,5.5,6.8,8.1,9.4,10.7,12,13.3,14.6,15.9,17.2,18.5,20.2,21.9,23.6,25.3},{0,10,20,30,40,50,60,62,64,66,68,70,72,74,76,78,80,85,90,95,100})</f>
        <v>80</v>
      </c>
      <c r="G305" s="5">
        <v>170</v>
      </c>
      <c r="H305" s="7">
        <f>LOOKUP(G305,{0,125,130,135,140,145,150,153,156,159,162,165,168,171,174,177,180,187,194,200,206},{0,10,20,30,40,50,60,62,64,66,68,70,72,74,76,78,80,85,90,95,100})</f>
        <v>72</v>
      </c>
      <c r="I305" s="5">
        <v>28</v>
      </c>
      <c r="J305" s="7">
        <f>LOOKUP(I305,{0,15,17,19,21,23,25,27,29,31,33,35,37,39,41,43,45,48,51,53,55},{0,10,20,30,40,50,60,62,64,66,68,70,72,74,76,78,80,85,90,95,100})</f>
        <v>62</v>
      </c>
      <c r="K305" s="5"/>
      <c r="L305" s="5"/>
      <c r="M305" s="5">
        <f t="shared" si="147"/>
        <v>62</v>
      </c>
      <c r="N305" s="5">
        <v>9.5</v>
      </c>
      <c r="O305" s="10">
        <f t="shared" si="148"/>
        <v>8.5</v>
      </c>
      <c r="P305" s="7">
        <f>LOOKUP(O305,{0,6.6,6.8,7,7.2,7.4,7.6,7.8,8,8.2,8.4,8.6,8.8,9,9.2,9.4,9.6,9.9,10.2,10.3,10.4},{0,10,20,30,40,50,60,62,64,66,68,70,72,74,76,78,80,85,90,95,100})</f>
        <v>68</v>
      </c>
      <c r="Q305" s="5">
        <v>4.51</v>
      </c>
      <c r="R305" s="10">
        <f t="shared" si="149"/>
        <v>5.49</v>
      </c>
      <c r="S305" s="7">
        <f>LOOKUP(R305,{0,4.74,4.84,4.94,5.44,5.54,5.64,5.69,5.74,5.79,5.84,5.89,5.94,5.99,6.44,6.49,6.54,6.61,6.68,6.74,6.8},{0,10,20,30,40,50,60,62,64,66,68,70,72,74,76,78,80,85,90,95,100})</f>
        <v>40</v>
      </c>
      <c r="T305" s="5"/>
      <c r="U305" s="5"/>
      <c r="V305" s="5">
        <f t="shared" si="150"/>
        <v>40</v>
      </c>
      <c r="W305" s="5"/>
      <c r="X305" s="13">
        <f t="shared" si="145"/>
        <v>43</v>
      </c>
      <c r="Y305" s="13">
        <f t="shared" si="151"/>
        <v>61.4285714285714</v>
      </c>
    </row>
    <row r="306" ht="15.6" hidden="1" outlineLevel="2" spans="1:25">
      <c r="A306" s="5">
        <v>307</v>
      </c>
      <c r="B306" s="5">
        <v>39</v>
      </c>
      <c r="C306" s="9" t="s">
        <v>341</v>
      </c>
      <c r="D306" s="9" t="s">
        <v>46</v>
      </c>
      <c r="E306" s="5">
        <v>19.5</v>
      </c>
      <c r="F306" s="7">
        <f>LOOKUP(E306,{0,1.5,2.3,3.1,3.9,4.7,5.5,6.8,8.1,9.4,10.7,12,13.3,14.6,15.9,17.2,18.5,20.2,21.9,23.6,25.3},{0,10,20,30,40,50,60,62,64,66,68,70,72,74,76,78,80,85,90,95,100})</f>
        <v>80</v>
      </c>
      <c r="G306" s="5">
        <v>185</v>
      </c>
      <c r="H306" s="7">
        <f>LOOKUP(G306,{0,125,130,135,140,145,150,153,156,159,162,165,168,171,174,177,180,187,194,200,206},{0,10,20,30,40,50,60,62,64,66,68,70,72,74,76,78,80,85,90,95,100})</f>
        <v>80</v>
      </c>
      <c r="I306" s="5">
        <v>53</v>
      </c>
      <c r="J306" s="7">
        <f>LOOKUP(I306,{0,15,17,19,21,23,25,27,29,31,33,35,37,39,41,43,45,48,51,53,55},{0,10,20,30,40,50,60,62,64,66,68,70,72,74,76,78,80,85,90,95,100})</f>
        <v>95</v>
      </c>
      <c r="K306" s="5"/>
      <c r="L306" s="5"/>
      <c r="M306" s="5">
        <f t="shared" si="147"/>
        <v>95</v>
      </c>
      <c r="N306" s="5">
        <v>8.8</v>
      </c>
      <c r="O306" s="10">
        <f t="shared" si="148"/>
        <v>9.2</v>
      </c>
      <c r="P306" s="7">
        <f>LOOKUP(O306,{0,6.6,6.8,7,7.2,7.4,7.6,7.8,8,8.2,8.4,8.6,8.8,9,9.2,9.4,9.6,9.9,10.2,10.3,10.4},{0,10,20,30,40,50,60,62,64,66,68,70,72,74,76,78,80,85,90,95,100})</f>
        <v>76</v>
      </c>
      <c r="Q306" s="5">
        <v>4.23</v>
      </c>
      <c r="R306" s="10">
        <f t="shared" si="149"/>
        <v>5.77</v>
      </c>
      <c r="S306" s="7">
        <f>LOOKUP(R306,{0,4.74,4.84,4.94,5.44,5.54,5.64,5.69,5.74,5.79,5.84,5.89,5.94,5.99,6.44,6.49,6.54,6.61,6.68,6.74,6.8},{0,10,20,30,40,50,60,62,64,66,68,70,72,74,76,78,80,85,90,95,100})</f>
        <v>64</v>
      </c>
      <c r="T306" s="5"/>
      <c r="U306" s="5"/>
      <c r="V306" s="5">
        <f t="shared" si="150"/>
        <v>64</v>
      </c>
      <c r="W306" s="5"/>
      <c r="X306" s="13">
        <f t="shared" si="145"/>
        <v>53.5</v>
      </c>
      <c r="Y306" s="13">
        <f t="shared" si="151"/>
        <v>76.4285714285714</v>
      </c>
    </row>
    <row r="307" ht="15.6" hidden="1" outlineLevel="2" spans="1:25">
      <c r="A307" s="5">
        <v>307</v>
      </c>
      <c r="B307" s="5">
        <v>40</v>
      </c>
      <c r="C307" s="9" t="s">
        <v>342</v>
      </c>
      <c r="D307" s="9" t="s">
        <v>46</v>
      </c>
      <c r="E307" s="5">
        <v>16.5</v>
      </c>
      <c r="F307" s="7">
        <f>LOOKUP(E307,{0,1.5,2.3,3.1,3.9,4.7,5.5,6.8,8.1,9.4,10.7,12,13.3,14.6,15.9,17.2,18.5,20.2,21.9,23.6,25.3},{0,10,20,30,40,50,60,62,64,66,68,70,72,74,76,78,80,85,90,95,100})</f>
        <v>76</v>
      </c>
      <c r="G307" s="5">
        <v>165</v>
      </c>
      <c r="H307" s="7">
        <f>LOOKUP(G307,{0,125,130,135,140,145,150,153,156,159,162,165,168,171,174,177,180,187,194,200,206},{0,10,20,30,40,50,60,62,64,66,68,70,72,74,76,78,80,85,90,95,100})</f>
        <v>70</v>
      </c>
      <c r="I307" s="5">
        <v>41</v>
      </c>
      <c r="J307" s="7">
        <f>LOOKUP(I307,{0,15,17,19,21,23,25,27,29,31,33,35,37,39,41,43,45,48,51,53,55},{0,10,20,30,40,50,60,62,64,66,68,70,72,74,76,78,80,85,90,95,100})</f>
        <v>76</v>
      </c>
      <c r="K307" s="5"/>
      <c r="L307" s="5"/>
      <c r="M307" s="5">
        <f t="shared" si="147"/>
        <v>76</v>
      </c>
      <c r="N307" s="5">
        <v>10.7</v>
      </c>
      <c r="O307" s="10">
        <f t="shared" si="148"/>
        <v>7.3</v>
      </c>
      <c r="P307" s="7">
        <f>LOOKUP(O307,{0,6.6,6.8,7,7.2,7.4,7.6,7.8,8,8.2,8.4,8.6,8.8,9,9.2,9.4,9.6,9.9,10.2,10.3,10.4},{0,10,20,30,40,50,60,62,64,66,68,70,72,74,76,78,80,85,90,95,100})</f>
        <v>40</v>
      </c>
      <c r="Q307" s="5">
        <v>4.06</v>
      </c>
      <c r="R307" s="10">
        <f t="shared" si="149"/>
        <v>5.94</v>
      </c>
      <c r="S307" s="7">
        <f>LOOKUP(R307,{0,4.74,4.84,4.94,5.44,5.54,5.64,5.69,5.74,5.79,5.84,5.89,5.94,5.99,6.44,6.49,6.54,6.61,6.68,6.74,6.8},{0,10,20,30,40,50,60,62,64,66,68,70,72,74,76,78,80,85,90,95,100})</f>
        <v>72</v>
      </c>
      <c r="T307" s="5"/>
      <c r="U307" s="5"/>
      <c r="V307" s="5">
        <f t="shared" si="150"/>
        <v>72</v>
      </c>
      <c r="W307" s="5"/>
      <c r="X307" s="13">
        <f t="shared" si="145"/>
        <v>44.6</v>
      </c>
      <c r="Y307" s="13">
        <f t="shared" si="151"/>
        <v>63.7142857142857</v>
      </c>
    </row>
    <row r="308" ht="15.6" hidden="1" outlineLevel="2" spans="1:25">
      <c r="A308" s="5">
        <v>307</v>
      </c>
      <c r="B308" s="5">
        <v>41</v>
      </c>
      <c r="C308" s="9" t="s">
        <v>343</v>
      </c>
      <c r="D308" s="9" t="s">
        <v>46</v>
      </c>
      <c r="E308" s="5">
        <v>3</v>
      </c>
      <c r="F308" s="7">
        <f>LOOKUP(E308,{0,1.5,2.3,3.1,3.9,4.7,5.5,6.8,8.1,9.4,10.7,12,13.3,14.6,15.9,17.2,18.5,20.2,21.9,23.6,25.3},{0,10,20,30,40,50,60,62,64,66,68,70,72,74,76,78,80,85,90,95,100})</f>
        <v>20</v>
      </c>
      <c r="G308" s="5">
        <v>150</v>
      </c>
      <c r="H308" s="7">
        <f>LOOKUP(G308,{0,125,130,135,140,145,150,153,156,159,162,165,168,171,174,177,180,187,194,200,206},{0,10,20,30,40,50,60,62,64,66,68,70,72,74,76,78,80,85,90,95,100})</f>
        <v>60</v>
      </c>
      <c r="I308" s="5">
        <v>25</v>
      </c>
      <c r="J308" s="7">
        <f>LOOKUP(I308,{0,15,17,19,21,23,25,27,29,31,33,35,37,39,41,43,45,48,51,53,55},{0,10,20,30,40,50,60,62,64,66,68,70,72,74,76,78,80,85,90,95,100})</f>
        <v>60</v>
      </c>
      <c r="K308" s="5"/>
      <c r="L308" s="5"/>
      <c r="M308" s="5">
        <f t="shared" si="147"/>
        <v>60</v>
      </c>
      <c r="N308" s="5">
        <v>12.6</v>
      </c>
      <c r="O308" s="10">
        <f t="shared" si="148"/>
        <v>5.4</v>
      </c>
      <c r="P308" s="7">
        <f>LOOKUP(O308,{0,6.6,6.8,7,7.2,7.4,7.6,7.8,8,8.2,8.4,8.6,8.8,9,9.2,9.4,9.6,9.9,10.2,10.3,10.4},{0,10,20,30,40,50,60,62,64,66,68,70,72,74,76,78,80,85,90,95,100})</f>
        <v>0</v>
      </c>
      <c r="Q308" s="5">
        <v>5.13</v>
      </c>
      <c r="R308" s="10">
        <f t="shared" si="149"/>
        <v>4.87</v>
      </c>
      <c r="S308" s="7">
        <f>LOOKUP(R308,{0,4.74,4.84,4.94,5.44,5.54,5.64,5.69,5.74,5.79,5.84,5.89,5.94,5.99,6.44,6.49,6.54,6.61,6.68,6.74,6.8},{0,10,20,30,40,50,60,62,64,66,68,70,72,74,76,78,80,85,90,95,100})</f>
        <v>20</v>
      </c>
      <c r="T308" s="5"/>
      <c r="U308" s="5"/>
      <c r="V308" s="5">
        <f t="shared" si="150"/>
        <v>20</v>
      </c>
      <c r="W308" s="5"/>
      <c r="X308" s="13">
        <f t="shared" si="145"/>
        <v>18</v>
      </c>
      <c r="Y308" s="13">
        <f t="shared" si="151"/>
        <v>25.7142857142857</v>
      </c>
    </row>
    <row r="309" ht="15.6" hidden="1" outlineLevel="2" spans="1:25">
      <c r="A309" s="5">
        <v>307</v>
      </c>
      <c r="B309" s="5">
        <v>42</v>
      </c>
      <c r="C309" s="9" t="s">
        <v>344</v>
      </c>
      <c r="D309" s="9" t="s">
        <v>46</v>
      </c>
      <c r="E309" s="5">
        <v>25</v>
      </c>
      <c r="F309" s="7">
        <f>LOOKUP(E309,{0,1.5,2.3,3.1,3.9,4.7,5.5,6.8,8.1,9.4,10.7,12,13.3,14.6,15.9,17.2,18.5,20.2,21.9,23.6,25.3},{0,10,20,30,40,50,60,62,64,66,68,70,72,74,76,78,80,85,90,95,100})</f>
        <v>95</v>
      </c>
      <c r="G309" s="5" t="s">
        <v>77</v>
      </c>
      <c r="H309" s="7"/>
      <c r="I309" s="5">
        <v>53</v>
      </c>
      <c r="J309" s="7">
        <f>LOOKUP(I309,{0,15,17,19,21,23,25,27,29,31,33,35,37,39,41,43,45,48,51,53,55},{0,10,20,30,40,50,60,62,64,66,68,70,72,74,76,78,80,85,90,95,100})</f>
        <v>95</v>
      </c>
      <c r="K309" s="5"/>
      <c r="L309" s="5"/>
      <c r="M309" s="5">
        <f t="shared" si="147"/>
        <v>95</v>
      </c>
      <c r="N309" s="5" t="s">
        <v>77</v>
      </c>
      <c r="O309" s="5"/>
      <c r="P309" s="5"/>
      <c r="Q309" s="5" t="s">
        <v>77</v>
      </c>
      <c r="R309" s="5"/>
      <c r="S309" s="5"/>
      <c r="T309" s="5"/>
      <c r="U309" s="5"/>
      <c r="V309" s="5"/>
      <c r="W309" s="14">
        <v>50</v>
      </c>
      <c r="X309" s="13">
        <f t="shared" si="145"/>
        <v>19</v>
      </c>
      <c r="Y309" s="13">
        <v>50</v>
      </c>
    </row>
    <row r="310" ht="15.6" hidden="1" outlineLevel="2" spans="1:25">
      <c r="A310" s="5">
        <v>307</v>
      </c>
      <c r="B310" s="5">
        <v>43</v>
      </c>
      <c r="C310" s="9" t="s">
        <v>345</v>
      </c>
      <c r="D310" s="9" t="s">
        <v>46</v>
      </c>
      <c r="E310" s="5">
        <v>11</v>
      </c>
      <c r="F310" s="7">
        <f>LOOKUP(E310,{0,1.5,2.3,3.1,3.9,4.7,5.5,6.8,8.1,9.4,10.7,12,13.3,14.6,15.9,17.2,18.5,20.2,21.9,23.6,25.3},{0,10,20,30,40,50,60,62,64,66,68,70,72,74,76,78,80,85,90,95,100})</f>
        <v>68</v>
      </c>
      <c r="G310" s="5">
        <v>180</v>
      </c>
      <c r="H310" s="7">
        <f>LOOKUP(G310,{0,125,130,135,140,145,150,153,156,159,162,165,168,171,174,177,180,187,194,200,206},{0,10,20,30,40,50,60,62,64,66,68,70,72,74,76,78,80,85,90,95,100})</f>
        <v>80</v>
      </c>
      <c r="I310" s="5">
        <v>46</v>
      </c>
      <c r="J310" s="7">
        <f>LOOKUP(I310,{0,15,17,19,21,23,25,27,29,31,33,35,37,39,41,43,45,48,51,53,55},{0,10,20,30,40,50,60,62,64,66,68,70,72,74,76,78,80,85,90,95,100})</f>
        <v>80</v>
      </c>
      <c r="K310" s="5"/>
      <c r="L310" s="5"/>
      <c r="M310" s="5">
        <f t="shared" si="147"/>
        <v>80</v>
      </c>
      <c r="N310" s="5">
        <v>8.7</v>
      </c>
      <c r="O310" s="10">
        <f t="shared" ref="O310:O313" si="152">18-N310</f>
        <v>9.3</v>
      </c>
      <c r="P310" s="7">
        <f>LOOKUP(O310,{0,6.6,6.8,7,7.2,7.4,7.6,7.8,8,8.2,8.4,8.6,8.8,9,9.2,9.4,9.6,9.9,10.2,10.3,10.4},{0,10,20,30,40,50,60,62,64,66,68,70,72,74,76,78,80,85,90,95,100})</f>
        <v>76</v>
      </c>
      <c r="Q310" s="5">
        <v>4.05</v>
      </c>
      <c r="R310" s="10">
        <f t="shared" ref="R310:R316" si="153">10-Q310</f>
        <v>5.95</v>
      </c>
      <c r="S310" s="7">
        <f>LOOKUP(R310,{0,4.74,4.84,4.94,5.44,5.54,5.64,5.69,5.74,5.79,5.84,5.89,5.94,5.99,6.44,6.49,6.54,6.61,6.68,6.74,6.8},{0,10,20,30,40,50,60,62,64,66,68,70,72,74,76,78,80,85,90,95,100})</f>
        <v>72</v>
      </c>
      <c r="T310" s="5"/>
      <c r="U310" s="5"/>
      <c r="V310" s="5">
        <f t="shared" ref="V310:V316" si="154">S310+U310</f>
        <v>72</v>
      </c>
      <c r="W310" s="5"/>
      <c r="X310" s="13">
        <f t="shared" si="145"/>
        <v>52.4</v>
      </c>
      <c r="Y310" s="13">
        <f t="shared" ref="Y310:Y313" si="155">X310/0.7+L310+U310</f>
        <v>74.8571428571429</v>
      </c>
    </row>
    <row r="311" ht="15.6" hidden="1" outlineLevel="2" spans="1:25">
      <c r="A311" s="5">
        <v>307</v>
      </c>
      <c r="B311" s="5">
        <v>44</v>
      </c>
      <c r="C311" s="9" t="s">
        <v>346</v>
      </c>
      <c r="D311" s="9" t="s">
        <v>46</v>
      </c>
      <c r="E311" s="5">
        <v>12.5</v>
      </c>
      <c r="F311" s="7">
        <f>LOOKUP(E311,{0,1.5,2.3,3.1,3.9,4.7,5.5,6.8,8.1,9.4,10.7,12,13.3,14.6,15.9,17.2,18.5,20.2,21.9,23.6,25.3},{0,10,20,30,40,50,60,62,64,66,68,70,72,74,76,78,80,85,90,95,100})</f>
        <v>70</v>
      </c>
      <c r="G311" s="5">
        <v>165</v>
      </c>
      <c r="H311" s="7">
        <f>LOOKUP(G311,{0,125,130,135,140,145,150,153,156,159,162,165,168,171,174,177,180,187,194,200,206},{0,10,20,30,40,50,60,62,64,66,68,70,72,74,76,78,80,85,90,95,100})</f>
        <v>70</v>
      </c>
      <c r="I311" s="5">
        <v>38</v>
      </c>
      <c r="J311" s="7">
        <f>LOOKUP(I311,{0,15,17,19,21,23,25,27,29,31,33,35,37,39,41,43,45,48,51,53,55},{0,10,20,30,40,50,60,62,64,66,68,70,72,74,76,78,80,85,90,95,100})</f>
        <v>72</v>
      </c>
      <c r="K311" s="5"/>
      <c r="L311" s="5"/>
      <c r="M311" s="5">
        <f t="shared" si="147"/>
        <v>72</v>
      </c>
      <c r="N311" s="5">
        <v>9.6</v>
      </c>
      <c r="O311" s="10">
        <f t="shared" si="152"/>
        <v>8.4</v>
      </c>
      <c r="P311" s="7">
        <f>LOOKUP(O311,{0,6.6,6.8,7,7.2,7.4,7.6,7.8,8,8.2,8.4,8.6,8.8,9,9.2,9.4,9.6,9.9,10.2,10.3,10.4},{0,10,20,30,40,50,60,62,64,66,68,70,72,74,76,78,80,85,90,95,100})</f>
        <v>68</v>
      </c>
      <c r="Q311" s="5">
        <v>4.47</v>
      </c>
      <c r="R311" s="10">
        <f t="shared" si="153"/>
        <v>5.53</v>
      </c>
      <c r="S311" s="7">
        <f>LOOKUP(R311,{0,4.74,4.84,4.94,5.44,5.54,5.64,5.69,5.74,5.79,5.84,5.89,5.94,5.99,6.44,6.49,6.54,6.61,6.68,6.74,6.8},{0,10,20,30,40,50,60,62,64,66,68,70,72,74,76,78,80,85,90,95,100})</f>
        <v>40</v>
      </c>
      <c r="T311" s="5"/>
      <c r="U311" s="5"/>
      <c r="V311" s="5">
        <f t="shared" si="154"/>
        <v>40</v>
      </c>
      <c r="W311" s="5"/>
      <c r="X311" s="13">
        <f t="shared" si="145"/>
        <v>42.8</v>
      </c>
      <c r="Y311" s="13">
        <f t="shared" si="155"/>
        <v>61.1428571428571</v>
      </c>
    </row>
    <row r="312" ht="15.6" hidden="1" outlineLevel="2" spans="1:25">
      <c r="A312" s="5">
        <v>307</v>
      </c>
      <c r="B312" s="5">
        <v>45</v>
      </c>
      <c r="C312" s="9" t="s">
        <v>347</v>
      </c>
      <c r="D312" s="9" t="s">
        <v>46</v>
      </c>
      <c r="E312" s="5">
        <v>7</v>
      </c>
      <c r="F312" s="7">
        <f>LOOKUP(E312,{0,1.5,2.3,3.1,3.9,4.7,5.5,6.8,8.1,9.4,10.7,12,13.3,14.6,15.9,17.2,18.5,20.2,21.9,23.6,25.3},{0,10,20,30,40,50,60,62,64,66,68,70,72,74,76,78,80,85,90,95,100})</f>
        <v>62</v>
      </c>
      <c r="G312" s="5">
        <v>195</v>
      </c>
      <c r="H312" s="7">
        <f>LOOKUP(G312,{0,125,130,135,140,145,150,153,156,159,162,165,168,171,174,177,180,187,194,200,206},{0,10,20,30,40,50,60,62,64,66,68,70,72,74,76,78,80,85,90,95,100})</f>
        <v>90</v>
      </c>
      <c r="I312" s="5">
        <v>30</v>
      </c>
      <c r="J312" s="7">
        <f>LOOKUP(I312,{0,15,17,19,21,23,25,27,29,31,33,35,37,39,41,43,45,48,51,53,55},{0,10,20,30,40,50,60,62,64,66,68,70,72,74,76,78,80,85,90,95,100})</f>
        <v>64</v>
      </c>
      <c r="K312" s="5"/>
      <c r="L312" s="5"/>
      <c r="M312" s="5">
        <f t="shared" si="147"/>
        <v>64</v>
      </c>
      <c r="N312" s="5">
        <v>7.8</v>
      </c>
      <c r="O312" s="10">
        <f t="shared" si="152"/>
        <v>10.2</v>
      </c>
      <c r="P312" s="7">
        <f>LOOKUP(O312,{0,6.6,6.8,7,7.2,7.4,7.6,7.8,8,8.2,8.4,8.6,8.8,9,9.2,9.4,9.6,9.9,10.2,10.3,10.4},{0,10,20,30,40,50,60,62,64,66,68,70,72,74,76,78,80,85,90,95,100})</f>
        <v>90</v>
      </c>
      <c r="Q312" s="5">
        <v>5.19</v>
      </c>
      <c r="R312" s="10">
        <f t="shared" si="153"/>
        <v>4.81</v>
      </c>
      <c r="S312" s="7">
        <f>LOOKUP(R312,{0,4.74,4.84,4.94,5.44,5.54,5.64,5.69,5.74,5.79,5.84,5.89,5.94,5.99,6.44,6.49,6.54,6.61,6.68,6.74,6.8},{0,10,20,30,40,50,60,62,64,66,68,70,72,74,76,78,80,85,90,95,100})</f>
        <v>10</v>
      </c>
      <c r="T312" s="5"/>
      <c r="U312" s="5"/>
      <c r="V312" s="5">
        <f t="shared" si="154"/>
        <v>10</v>
      </c>
      <c r="W312" s="5"/>
      <c r="X312" s="13">
        <f t="shared" si="145"/>
        <v>41.6</v>
      </c>
      <c r="Y312" s="13">
        <f t="shared" si="155"/>
        <v>59.4285714285714</v>
      </c>
    </row>
    <row r="313" ht="15.6" hidden="1" outlineLevel="2" spans="1:25">
      <c r="A313" s="5">
        <v>307</v>
      </c>
      <c r="B313" s="5">
        <v>46</v>
      </c>
      <c r="C313" s="9" t="s">
        <v>348</v>
      </c>
      <c r="D313" s="9" t="s">
        <v>46</v>
      </c>
      <c r="E313" s="5">
        <v>32</v>
      </c>
      <c r="F313" s="7">
        <f>LOOKUP(E313,{0,1.5,2.3,3.1,3.9,4.7,5.5,6.8,8.1,9.4,10.7,12,13.3,14.6,15.9,17.2,18.5,20.2,21.9,23.6,25.3},{0,10,20,30,40,50,60,62,64,66,68,70,72,74,76,78,80,85,90,95,100})</f>
        <v>100</v>
      </c>
      <c r="G313" s="5">
        <v>180</v>
      </c>
      <c r="H313" s="7">
        <f>LOOKUP(G313,{0,125,130,135,140,145,150,153,156,159,162,165,168,171,174,177,180,187,194,200,206},{0,10,20,30,40,50,60,62,64,66,68,70,72,74,76,78,80,85,90,95,100})</f>
        <v>80</v>
      </c>
      <c r="I313" s="5">
        <v>38</v>
      </c>
      <c r="J313" s="7">
        <f>LOOKUP(I313,{0,15,17,19,21,23,25,27,29,31,33,35,37,39,41,43,45,48,51,53,55},{0,10,20,30,40,50,60,62,64,66,68,70,72,74,76,78,80,85,90,95,100})</f>
        <v>72</v>
      </c>
      <c r="K313" s="5"/>
      <c r="L313" s="5"/>
      <c r="M313" s="5">
        <f t="shared" si="147"/>
        <v>72</v>
      </c>
      <c r="N313" s="5">
        <v>8.7</v>
      </c>
      <c r="O313" s="10">
        <f t="shared" si="152"/>
        <v>9.3</v>
      </c>
      <c r="P313" s="7">
        <f>LOOKUP(O313,{0,6.6,6.8,7,7.2,7.4,7.6,7.8,8,8.2,8.4,8.6,8.8,9,9.2,9.4,9.6,9.9,10.2,10.3,10.4},{0,10,20,30,40,50,60,62,64,66,68,70,72,74,76,78,80,85,90,95,100})</f>
        <v>76</v>
      </c>
      <c r="Q313" s="5">
        <v>5.14</v>
      </c>
      <c r="R313" s="10">
        <f t="shared" si="153"/>
        <v>4.86</v>
      </c>
      <c r="S313" s="7">
        <f>LOOKUP(R313,{0,4.74,4.84,4.94,5.44,5.54,5.64,5.69,5.74,5.79,5.84,5.89,5.94,5.99,6.44,6.49,6.54,6.61,6.68,6.74,6.8},{0,10,20,30,40,50,60,62,64,66,68,70,72,74,76,78,80,85,90,95,100})</f>
        <v>20</v>
      </c>
      <c r="T313" s="5"/>
      <c r="U313" s="5"/>
      <c r="V313" s="5">
        <f t="shared" si="154"/>
        <v>20</v>
      </c>
      <c r="W313" s="5"/>
      <c r="X313" s="13">
        <f t="shared" si="145"/>
        <v>44.4</v>
      </c>
      <c r="Y313" s="13">
        <f t="shared" si="155"/>
        <v>63.4285714285714</v>
      </c>
    </row>
    <row r="314" ht="15.6" hidden="1" outlineLevel="2" spans="1:25">
      <c r="A314" s="5">
        <v>307</v>
      </c>
      <c r="B314" s="5">
        <v>47</v>
      </c>
      <c r="C314" s="9" t="s">
        <v>349</v>
      </c>
      <c r="D314" s="9" t="s">
        <v>46</v>
      </c>
      <c r="E314" s="5">
        <v>0</v>
      </c>
      <c r="F314" s="7">
        <f>LOOKUP(E314,{0,1.5,2.3,3.1,3.9,4.7,5.5,6.8,8.1,9.4,10.7,12,13.3,14.6,15.9,17.2,18.5,20.2,21.9,23.6,25.3},{0,10,20,30,40,50,60,62,64,66,68,70,72,74,76,78,80,85,90,95,100})</f>
        <v>0</v>
      </c>
      <c r="G314" s="5">
        <v>170</v>
      </c>
      <c r="H314" s="7">
        <f>LOOKUP(G314,{0,125,130,135,140,145,150,153,156,159,162,165,168,171,174,177,180,187,194,200,206},{0,10,20,30,40,50,60,62,64,66,68,70,72,74,76,78,80,85,90,95,100})</f>
        <v>72</v>
      </c>
      <c r="I314" s="5" t="s">
        <v>77</v>
      </c>
      <c r="J314" s="7"/>
      <c r="K314" s="5"/>
      <c r="L314" s="5"/>
      <c r="M314" s="5"/>
      <c r="N314" s="5" t="s">
        <v>77</v>
      </c>
      <c r="O314" s="5"/>
      <c r="P314" s="5"/>
      <c r="Q314" s="5">
        <v>7.32</v>
      </c>
      <c r="R314" s="10">
        <f t="shared" si="153"/>
        <v>2.68</v>
      </c>
      <c r="S314" s="7">
        <f>LOOKUP(R314,{0,4.74,4.84,4.94,5.44,5.54,5.64,5.69,5.74,5.79,5.84,5.89,5.94,5.99,6.44,6.49,6.54,6.61,6.68,6.74,6.8},{0,10,20,30,40,50,60,62,64,66,68,70,72,74,76,78,80,85,90,95,100})</f>
        <v>0</v>
      </c>
      <c r="T314" s="5"/>
      <c r="U314" s="5"/>
      <c r="V314" s="5">
        <f t="shared" si="154"/>
        <v>0</v>
      </c>
      <c r="W314" s="14">
        <v>50</v>
      </c>
      <c r="X314" s="13">
        <f t="shared" si="145"/>
        <v>7.2</v>
      </c>
      <c r="Y314" s="13">
        <v>50</v>
      </c>
    </row>
    <row r="315" ht="15.6" hidden="1" outlineLevel="2" spans="1:25">
      <c r="A315" s="5">
        <v>307</v>
      </c>
      <c r="B315" s="5">
        <v>48</v>
      </c>
      <c r="C315" s="9" t="s">
        <v>350</v>
      </c>
      <c r="D315" s="9" t="s">
        <v>46</v>
      </c>
      <c r="E315" s="5">
        <v>14.5</v>
      </c>
      <c r="F315" s="7">
        <f>LOOKUP(E315,{0,1.5,2.3,3.1,3.9,4.7,5.5,6.8,8.1,9.4,10.7,12,13.3,14.6,15.9,17.2,18.5,20.2,21.9,23.6,25.3},{0,10,20,30,40,50,60,62,64,66,68,70,72,74,76,78,80,85,90,95,100})</f>
        <v>72</v>
      </c>
      <c r="G315" s="5">
        <v>130</v>
      </c>
      <c r="H315" s="7">
        <f>LOOKUP(G315,{0,125,130,135,140,145,150,153,156,159,162,165,168,171,174,177,180,187,194,200,206},{0,10,20,30,40,50,60,62,64,66,68,70,72,74,76,78,80,85,90,95,100})</f>
        <v>20</v>
      </c>
      <c r="I315" s="5">
        <v>29</v>
      </c>
      <c r="J315" s="7">
        <f>LOOKUP(I315,{0,15,17,19,21,23,25,27,29,31,33,35,37,39,41,43,45,48,51,53,55},{0,10,20,30,40,50,60,62,64,66,68,70,72,74,76,78,80,85,90,95,100})</f>
        <v>64</v>
      </c>
      <c r="K315" s="5"/>
      <c r="L315" s="5"/>
      <c r="M315" s="5">
        <f>J315+L315</f>
        <v>64</v>
      </c>
      <c r="N315" s="5">
        <v>10.6</v>
      </c>
      <c r="O315" s="10">
        <f>18-N315</f>
        <v>7.4</v>
      </c>
      <c r="P315" s="7">
        <f>LOOKUP(O315,{0,6.6,6.8,7,7.2,7.4,7.6,7.8,8,8.2,8.4,8.6,8.8,9,9.2,9.4,9.6,9.9,10.2,10.3,10.4},{0,10,20,30,40,50,60,62,64,66,68,70,72,74,76,78,80,85,90,95,100})</f>
        <v>50</v>
      </c>
      <c r="Q315" s="5">
        <v>6</v>
      </c>
      <c r="R315" s="10">
        <f t="shared" si="153"/>
        <v>4</v>
      </c>
      <c r="S315" s="7">
        <f>LOOKUP(R315,{0,4.74,4.84,4.94,5.44,5.54,5.64,5.69,5.74,5.79,5.84,5.89,5.94,5.99,6.44,6.49,6.54,6.61,6.68,6.74,6.8},{0,10,20,30,40,50,60,62,64,66,68,70,72,74,76,78,80,85,90,95,100})</f>
        <v>0</v>
      </c>
      <c r="T315" s="5"/>
      <c r="U315" s="5"/>
      <c r="V315" s="5">
        <f t="shared" si="154"/>
        <v>0</v>
      </c>
      <c r="W315" s="5"/>
      <c r="X315" s="13">
        <f t="shared" si="145"/>
        <v>25.6</v>
      </c>
      <c r="Y315" s="13">
        <f>X315/0.7+L315+U315</f>
        <v>36.5714285714286</v>
      </c>
    </row>
    <row r="316" ht="15.6" outlineLevel="1" collapsed="1" spans="1:25">
      <c r="A316" s="6" t="s">
        <v>858</v>
      </c>
      <c r="B316" s="5"/>
      <c r="C316" s="9"/>
      <c r="D316" s="9"/>
      <c r="E316" s="5"/>
      <c r="F316" s="7">
        <f>SUBTOTAL(1,F268:F315)</f>
        <v>67.3023255813954</v>
      </c>
      <c r="G316" s="5"/>
      <c r="H316" s="7">
        <f>SUBTOTAL(1,H268:H315)</f>
        <v>71.8604651162791</v>
      </c>
      <c r="I316" s="5"/>
      <c r="J316" s="7">
        <f>SUBTOTAL(1,J268:J315)</f>
        <v>60.8809523809524</v>
      </c>
      <c r="K316" s="5"/>
      <c r="L316" s="5"/>
      <c r="M316" s="5">
        <f>SUBTOTAL(1,M268:M315)</f>
        <v>60.9761904761905</v>
      </c>
      <c r="N316" s="5"/>
      <c r="O316" s="10"/>
      <c r="P316" s="7">
        <f>SUBTOTAL(1,P268:P315)</f>
        <v>73.4634146341463</v>
      </c>
      <c r="Q316" s="5"/>
      <c r="R316" s="10"/>
      <c r="S316" s="7">
        <f>SUBTOTAL(1,S268:S315)</f>
        <v>51.9523809523809</v>
      </c>
      <c r="T316" s="5"/>
      <c r="U316" s="5"/>
      <c r="V316" s="5">
        <f>SUBTOTAL(1,V268:V315)</f>
        <v>52</v>
      </c>
      <c r="W316" s="5"/>
      <c r="X316" s="13">
        <f>SUBTOTAL(1,X268:X315)</f>
        <v>43.0204545454546</v>
      </c>
      <c r="Y316" s="13">
        <f>SUBTOTAL(1,Y268:Y315)</f>
        <v>62.6755952380953</v>
      </c>
    </row>
    <row r="317" ht="15.6" hidden="1" outlineLevel="2" spans="1:25">
      <c r="A317" s="5">
        <v>308</v>
      </c>
      <c r="B317" s="5">
        <v>1</v>
      </c>
      <c r="C317" s="8" t="s">
        <v>352</v>
      </c>
      <c r="D317" s="9" t="s">
        <v>12</v>
      </c>
      <c r="E317" s="5">
        <v>21.5</v>
      </c>
      <c r="F317" s="7">
        <f>LOOKUP(E317,{0,-1.8,-0.8,0.2,1.2,2.2,3.2,4.6,6,7.4,8.8,10.2,11.6,13,14.4,15.8,17.2,19.1,21,22.8,24.6},{0,10,20,30,40,50,60,62,64,66,68,70,72,74,76,78,80,85,90,95,100})</f>
        <v>90</v>
      </c>
      <c r="G317" s="5">
        <v>215</v>
      </c>
      <c r="H317" s="7">
        <f>LOOKUP(G317,{0,180,185,190,195,200,205,209,213,217,221,225,229,233,237,241,245,253,260,265,270},{0,10,20,30,40,50,60,62,64,66,68,70,72,74,76,78,80,85,90,95,100})</f>
        <v>64</v>
      </c>
      <c r="I317" s="5">
        <v>0</v>
      </c>
      <c r="J317" s="7">
        <f>LOOKUP(I317,{0,4,5,6,7,8,9,10,11,12,13,14,15,16,17,18},{0,10,20,30,40,50,60,64,68,72,76,80,85,90,95,100})</f>
        <v>0</v>
      </c>
      <c r="K317" s="5"/>
      <c r="L317" s="5"/>
      <c r="M317" s="5">
        <f>J317+L317</f>
        <v>0</v>
      </c>
      <c r="N317" s="5">
        <v>7.3</v>
      </c>
      <c r="O317" s="10">
        <f>18-N317</f>
        <v>10.7</v>
      </c>
      <c r="P317" s="7">
        <f>LOOKUP(O317,{0,7.8,8,8.2,8.4,8.6,8.8,9,9.2,9.4,9.6,9.8,10,10.2,10.4,10.6,10.8,10.9,11,11.1,11.2},{0,10,20,30,40,50,60,62,64,66,68,70,72,74,76,78,80,85,90,95,100})</f>
        <v>78</v>
      </c>
      <c r="Q317" s="5">
        <v>6</v>
      </c>
      <c r="R317" s="10">
        <f>10-Q317</f>
        <v>4</v>
      </c>
      <c r="S317" s="7">
        <f>LOOKUP(R317,{0,3.85,4.45,4.65,4.85,5.45,5.65,5.7,5.75,5.8,5.85,5.9,5.95,6,6.45,6.5,6.55,6.63,6.7,6.75,6.8},{0,10,20,30,40,50,60,62,64,66,68,70,72,74,76,78,80,85,90,95,100})</f>
        <v>10</v>
      </c>
      <c r="T317" s="5"/>
      <c r="U317" s="5"/>
      <c r="V317" s="5">
        <f>S317+U317</f>
        <v>10</v>
      </c>
      <c r="W317" s="5"/>
      <c r="X317" s="13">
        <f>F317*0.1+H317*0.1+J317*0.1+P317*0.2+S317*0.2</f>
        <v>33</v>
      </c>
      <c r="Y317" s="13">
        <f>X317/0.7+L317+U317</f>
        <v>47.1428571428571</v>
      </c>
    </row>
    <row r="318" ht="15.6" hidden="1" outlineLevel="2" spans="1:25">
      <c r="A318" s="5">
        <v>308</v>
      </c>
      <c r="B318" s="5">
        <v>2</v>
      </c>
      <c r="C318" s="9" t="s">
        <v>353</v>
      </c>
      <c r="D318" s="9" t="s">
        <v>12</v>
      </c>
      <c r="E318" s="5"/>
      <c r="F318" s="7"/>
      <c r="G318" s="5"/>
      <c r="H318" s="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>
        <v>50</v>
      </c>
      <c r="X318" s="18"/>
      <c r="Y318" s="13">
        <v>50</v>
      </c>
    </row>
    <row r="319" ht="15.6" hidden="1" outlineLevel="2" spans="1:25">
      <c r="A319" s="5">
        <v>308</v>
      </c>
      <c r="B319" s="5">
        <v>3</v>
      </c>
      <c r="C319" s="9" t="s">
        <v>354</v>
      </c>
      <c r="D319" s="9" t="s">
        <v>12</v>
      </c>
      <c r="E319" s="5">
        <v>13.8</v>
      </c>
      <c r="F319" s="7">
        <f>LOOKUP(E319,{0,-1.8,-0.8,0.2,1.2,2.2,3.2,4.6,6,7.4,8.8,10.2,11.6,13,14.4,15.8,17.2,19.1,21,22.8,24.6},{0,10,20,30,40,50,60,62,64,66,68,70,72,74,76,78,80,85,90,95,100})</f>
        <v>74</v>
      </c>
      <c r="G319" s="5">
        <v>220</v>
      </c>
      <c r="H319" s="7">
        <f>LOOKUP(G319,{0,180,185,190,195,200,205,209,213,217,221,225,229,233,237,241,245,253,260,265,270},{0,10,20,30,40,50,60,62,64,66,68,70,72,74,76,78,80,85,90,95,100})</f>
        <v>66</v>
      </c>
      <c r="I319" s="5">
        <v>5</v>
      </c>
      <c r="J319" s="7">
        <f>LOOKUP(I319,{0,4,5,6,7,8,9,10,11,12,13,14,15,16,17,18},{0,10,20,30,40,50,60,64,68,72,76,80,85,90,95,100})</f>
        <v>20</v>
      </c>
      <c r="K319" s="5"/>
      <c r="L319" s="5"/>
      <c r="M319" s="5">
        <f>J319+L319</f>
        <v>20</v>
      </c>
      <c r="N319" s="5">
        <v>7.7</v>
      </c>
      <c r="O319" s="10">
        <f>18-N319</f>
        <v>10.3</v>
      </c>
      <c r="P319" s="7">
        <f>LOOKUP(O319,{0,7.8,8,8.2,8.4,8.6,8.8,9,9.2,9.4,9.6,9.8,10,10.2,10.4,10.6,10.8,10.9,11,11.1,11.2},{0,10,20,30,40,50,60,62,64,66,68,70,72,74,76,78,80,85,90,95,100})</f>
        <v>74</v>
      </c>
      <c r="Q319" s="5">
        <v>4.49</v>
      </c>
      <c r="R319" s="10">
        <f t="shared" ref="R319:R323" si="156">10-Q319</f>
        <v>5.51</v>
      </c>
      <c r="S319" s="7">
        <f>LOOKUP(R319,{0,3.85,4.45,4.65,4.85,5.45,5.65,5.7,5.75,5.8,5.85,5.9,5.95,6,6.45,6.5,6.55,6.63,6.7,6.75,6.8},{0,10,20,30,40,50,60,62,64,66,68,70,72,74,76,78,80,85,90,95,100})</f>
        <v>50</v>
      </c>
      <c r="T319" s="5"/>
      <c r="U319" s="5"/>
      <c r="V319" s="5">
        <f t="shared" ref="V319:V323" si="157">S319+U319</f>
        <v>50</v>
      </c>
      <c r="W319" s="5"/>
      <c r="X319" s="13">
        <f t="shared" ref="X319:X323" si="158">F319*0.1+H319*0.1+J319*0.1+P319*0.2+S319*0.2</f>
        <v>40.8</v>
      </c>
      <c r="Y319" s="13">
        <f>X319/0.7+L319+U319</f>
        <v>58.2857142857143</v>
      </c>
    </row>
    <row r="320" ht="15.6" hidden="1" outlineLevel="2" spans="1:25">
      <c r="A320" s="5">
        <v>308</v>
      </c>
      <c r="B320" s="5">
        <v>4</v>
      </c>
      <c r="C320" s="9" t="s">
        <v>355</v>
      </c>
      <c r="D320" s="9" t="s">
        <v>12</v>
      </c>
      <c r="E320" s="5">
        <v>17</v>
      </c>
      <c r="F320" s="7">
        <f>LOOKUP(E320,{0,-1.8,-0.8,0.2,1.2,2.2,3.2,4.6,6,7.4,8.8,10.2,11.6,13,14.4,15.8,17.2,19.1,21,22.8,24.6},{0,10,20,30,40,50,60,62,64,66,68,70,72,74,76,78,80,85,90,95,100})</f>
        <v>78</v>
      </c>
      <c r="G320" s="5">
        <v>245</v>
      </c>
      <c r="H320" s="7">
        <f>LOOKUP(G320,{0,180,185,190,195,200,205,209,213,217,221,225,229,233,237,241,245,253,260,265,270},{0,10,20,30,40,50,60,62,64,66,68,70,72,74,76,78,80,85,90,95,100})</f>
        <v>80</v>
      </c>
      <c r="I320" s="5">
        <v>2</v>
      </c>
      <c r="J320" s="7">
        <f>LOOKUP(I320,{0,4,5,6,7,8,9,10,11,12,13,14,15,16,17,18},{0,10,20,30,40,50,60,64,68,72,76,80,85,90,95,100})</f>
        <v>0</v>
      </c>
      <c r="K320" s="5"/>
      <c r="L320" s="5"/>
      <c r="M320" s="5">
        <f>J320+L320</f>
        <v>0</v>
      </c>
      <c r="N320" s="5">
        <v>6.9</v>
      </c>
      <c r="O320" s="10">
        <f>18-N320</f>
        <v>11.1</v>
      </c>
      <c r="P320" s="7">
        <f>LOOKUP(O320,{0,7.8,8,8.2,8.4,8.6,8.8,9,9.2,9.4,9.6,9.8,10,10.2,10.4,10.6,10.8,10.9,11,11.1,11.2},{0,10,20,30,40,50,60,62,64,66,68,70,72,74,76,78,80,85,90,95,100})</f>
        <v>95</v>
      </c>
      <c r="Q320" s="5">
        <v>4.49</v>
      </c>
      <c r="R320" s="10">
        <f t="shared" si="156"/>
        <v>5.51</v>
      </c>
      <c r="S320" s="7">
        <f>LOOKUP(R320,{0,3.85,4.45,4.65,4.85,5.45,5.65,5.7,5.75,5.8,5.85,5.9,5.95,6,6.45,6.5,6.55,6.63,6.7,6.75,6.8},{0,10,20,30,40,50,60,62,64,66,68,70,72,74,76,78,80,85,90,95,100})</f>
        <v>50</v>
      </c>
      <c r="T320" s="5"/>
      <c r="U320" s="5"/>
      <c r="V320" s="5">
        <f t="shared" si="157"/>
        <v>50</v>
      </c>
      <c r="W320" s="5"/>
      <c r="X320" s="13">
        <f t="shared" si="158"/>
        <v>44.8</v>
      </c>
      <c r="Y320" s="13">
        <f>X320/0.7+L320+U320</f>
        <v>64</v>
      </c>
    </row>
    <row r="321" ht="15.6" hidden="1" outlineLevel="2" spans="1:25">
      <c r="A321" s="5">
        <v>308</v>
      </c>
      <c r="B321" s="5">
        <v>5</v>
      </c>
      <c r="C321" s="9" t="s">
        <v>356</v>
      </c>
      <c r="D321" s="9" t="s">
        <v>12</v>
      </c>
      <c r="E321" s="5"/>
      <c r="F321" s="7"/>
      <c r="G321" s="5"/>
      <c r="H321" s="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>
        <v>50</v>
      </c>
      <c r="X321" s="13"/>
      <c r="Y321" s="13">
        <v>50</v>
      </c>
    </row>
    <row r="322" ht="15.6" hidden="1" outlineLevel="2" spans="1:25">
      <c r="A322" s="5">
        <v>308</v>
      </c>
      <c r="B322" s="5">
        <v>6</v>
      </c>
      <c r="C322" s="9" t="s">
        <v>357</v>
      </c>
      <c r="D322" s="9" t="s">
        <v>12</v>
      </c>
      <c r="E322" s="5">
        <v>17</v>
      </c>
      <c r="F322" s="7">
        <f>LOOKUP(E322,{0,-1.8,-0.8,0.2,1.2,2.2,3.2,4.6,6,7.4,8.8,10.2,11.6,13,14.4,15.8,17.2,19.1,21,22.8,24.6},{0,10,20,30,40,50,60,62,64,66,68,70,72,74,76,78,80,85,90,95,100})</f>
        <v>78</v>
      </c>
      <c r="G322" s="5">
        <v>250</v>
      </c>
      <c r="H322" s="7">
        <f>LOOKUP(G322,{0,180,185,190,195,200,205,209,213,217,221,225,229,233,237,241,245,253,260,265,270},{0,10,20,30,40,50,60,62,64,66,68,70,72,74,76,78,80,85,90,95,100})</f>
        <v>80</v>
      </c>
      <c r="I322" s="5">
        <v>21</v>
      </c>
      <c r="J322" s="7">
        <f>LOOKUP(I322,{0,4,5,6,7,8,9,10,11,12,13,14,15,16,17,18},{0,10,20,30,40,50,60,64,68,72,76,80,85,90,95,100})</f>
        <v>100</v>
      </c>
      <c r="K322" s="5">
        <f>I322-18</f>
        <v>3</v>
      </c>
      <c r="L322" s="7">
        <f>LOOKUP(K322,{0,1,2,3,4,5,6,7,8,9,10},{0,1,2,3,4,5,6,7,8,9,10})</f>
        <v>3</v>
      </c>
      <c r="M322" s="5">
        <f t="shared" ref="M322:M332" si="159">J322+L322</f>
        <v>103</v>
      </c>
      <c r="N322" s="5">
        <v>6.9</v>
      </c>
      <c r="O322" s="10">
        <f t="shared" ref="O322:O332" si="160">18-N322</f>
        <v>11.1</v>
      </c>
      <c r="P322" s="7">
        <f>LOOKUP(O322,{0,7.8,8,8.2,8.4,8.6,8.8,9,9.2,9.4,9.6,9.8,10,10.2,10.4,10.6,10.8,10.9,11,11.1,11.2},{0,10,20,30,40,50,60,62,64,66,68,70,72,74,76,78,80,85,90,95,100})</f>
        <v>95</v>
      </c>
      <c r="Q322" s="5">
        <v>3.29</v>
      </c>
      <c r="R322" s="10">
        <f t="shared" si="156"/>
        <v>6.71</v>
      </c>
      <c r="S322" s="7">
        <f>LOOKUP(R322,{0,3.85,4.45,4.65,4.85,5.45,5.65,5.7,5.75,5.8,5.85,5.9,5.95,6,6.45,6.5,6.55,6.63,6.7,6.75,6.8},{0,10,20,30,40,50,60,62,64,66,68,70,72,74,76,78,80,85,90,95,100})</f>
        <v>90</v>
      </c>
      <c r="T322" s="5"/>
      <c r="U322" s="5"/>
      <c r="V322" s="5">
        <f t="shared" si="157"/>
        <v>90</v>
      </c>
      <c r="W322" s="5"/>
      <c r="X322" s="13">
        <f t="shared" si="158"/>
        <v>62.8</v>
      </c>
      <c r="Y322" s="13">
        <f t="shared" ref="Y322:Y332" si="161">X322/0.7+L322+U322</f>
        <v>92.7142857142857</v>
      </c>
    </row>
    <row r="323" ht="15.6" hidden="1" outlineLevel="2" spans="1:25">
      <c r="A323" s="5">
        <v>308</v>
      </c>
      <c r="B323" s="5">
        <v>7</v>
      </c>
      <c r="C323" s="9" t="s">
        <v>358</v>
      </c>
      <c r="D323" s="9" t="s">
        <v>12</v>
      </c>
      <c r="E323" s="5">
        <v>5.8</v>
      </c>
      <c r="F323" s="7">
        <f>LOOKUP(E323,{0,-1.8,-0.8,0.2,1.2,2.2,3.2,4.6,6,7.4,8.8,10.2,11.6,13,14.4,15.8,17.2,19.1,21,22.8,24.6},{0,10,20,30,40,50,60,62,64,66,68,70,72,74,76,78,80,85,90,95,100})</f>
        <v>62</v>
      </c>
      <c r="G323" s="5">
        <v>193</v>
      </c>
      <c r="H323" s="7">
        <f>LOOKUP(G323,{0,180,185,190,195,200,205,209,213,217,221,225,229,233,237,241,245,253,260,265,270},{0,10,20,30,40,50,60,62,64,66,68,70,72,74,76,78,80,85,90,95,100})</f>
        <v>30</v>
      </c>
      <c r="I323" s="5">
        <v>1</v>
      </c>
      <c r="J323" s="7">
        <f>LOOKUP(I323,{0,4,5,6,7,8,9,10,11,12,13,14,15,16,17,18},{0,10,20,30,40,50,60,64,68,72,76,80,85,90,95,100})</f>
        <v>0</v>
      </c>
      <c r="K323" s="5"/>
      <c r="L323" s="5"/>
      <c r="M323" s="5">
        <f t="shared" si="159"/>
        <v>0</v>
      </c>
      <c r="N323" s="5">
        <v>7.9</v>
      </c>
      <c r="O323" s="10">
        <f t="shared" si="160"/>
        <v>10.1</v>
      </c>
      <c r="P323" s="7">
        <f>LOOKUP(O323,{0,7.8,8,8.2,8.4,8.6,8.8,9,9.2,9.4,9.6,9.8,10,10.2,10.4,10.6,10.8,10.9,11,11.1,11.2},{0,10,20,30,40,50,60,62,64,66,68,70,72,74,76,78,80,85,90,95,100})</f>
        <v>72</v>
      </c>
      <c r="Q323" s="5">
        <v>4.49</v>
      </c>
      <c r="R323" s="10">
        <f t="shared" si="156"/>
        <v>5.51</v>
      </c>
      <c r="S323" s="7">
        <f>LOOKUP(R323,{0,3.85,4.45,4.65,4.85,5.45,5.65,5.7,5.75,5.8,5.85,5.9,5.95,6,6.45,6.5,6.55,6.63,6.7,6.75,6.8},{0,10,20,30,40,50,60,62,64,66,68,70,72,74,76,78,80,85,90,95,100})</f>
        <v>50</v>
      </c>
      <c r="T323" s="5"/>
      <c r="U323" s="5"/>
      <c r="V323" s="5">
        <f t="shared" si="157"/>
        <v>50</v>
      </c>
      <c r="W323" s="5"/>
      <c r="X323" s="13">
        <f t="shared" si="158"/>
        <v>33.6</v>
      </c>
      <c r="Y323" s="13">
        <f t="shared" si="161"/>
        <v>48</v>
      </c>
    </row>
    <row r="324" ht="15.6" hidden="1" outlineLevel="2" spans="1:25">
      <c r="A324" s="5">
        <v>308</v>
      </c>
      <c r="B324" s="5">
        <v>8</v>
      </c>
      <c r="C324" s="9" t="s">
        <v>359</v>
      </c>
      <c r="D324" s="9" t="s">
        <v>12</v>
      </c>
      <c r="E324" s="5"/>
      <c r="F324" s="7"/>
      <c r="G324" s="5"/>
      <c r="H324" s="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>
        <v>50</v>
      </c>
      <c r="X324" s="13"/>
      <c r="Y324" s="13">
        <v>50</v>
      </c>
    </row>
    <row r="325" ht="15.6" hidden="1" outlineLevel="2" spans="1:25">
      <c r="A325" s="5">
        <v>308</v>
      </c>
      <c r="B325" s="5">
        <v>9</v>
      </c>
      <c r="C325" s="9" t="s">
        <v>360</v>
      </c>
      <c r="D325" s="9" t="s">
        <v>12</v>
      </c>
      <c r="E325" s="5">
        <v>15</v>
      </c>
      <c r="F325" s="7">
        <f>LOOKUP(E325,{0,-1.8,-0.8,0.2,1.2,2.2,3.2,4.6,6,7.4,8.8,10.2,11.6,13,14.4,15.8,17.2,19.1,21,22.8,24.6},{0,10,20,30,40,50,60,62,64,66,68,70,72,74,76,78,80,85,90,95,100})</f>
        <v>76</v>
      </c>
      <c r="G325" s="5">
        <v>200</v>
      </c>
      <c r="H325" s="7">
        <f>LOOKUP(G325,{0,180,185,190,195,200,205,209,213,217,221,225,229,233,237,241,245,253,260,265,270},{0,10,20,30,40,50,60,62,64,66,68,70,72,74,76,78,80,85,90,95,100})</f>
        <v>50</v>
      </c>
      <c r="I325" s="5">
        <v>7</v>
      </c>
      <c r="J325" s="7">
        <f>LOOKUP(I325,{0,4,5,6,7,8,9,10,11,12,13,14,15,16,17,18},{0,10,20,30,40,50,60,64,68,72,76,80,85,90,95,100})</f>
        <v>40</v>
      </c>
      <c r="K325" s="5"/>
      <c r="L325" s="5"/>
      <c r="M325" s="5">
        <f t="shared" si="159"/>
        <v>40</v>
      </c>
      <c r="N325" s="5">
        <v>7.6</v>
      </c>
      <c r="O325" s="10">
        <f t="shared" si="160"/>
        <v>10.4</v>
      </c>
      <c r="P325" s="7">
        <f>LOOKUP(O325,{0,7.8,8,8.2,8.4,8.6,8.8,9,9.2,9.4,9.6,9.8,10,10.2,10.4,10.6,10.8,10.9,11,11.1,11.2},{0,10,20,30,40,50,60,62,64,66,68,70,72,74,76,78,80,85,90,95,100})</f>
        <v>76</v>
      </c>
      <c r="Q325" s="5">
        <v>3.45</v>
      </c>
      <c r="R325" s="10">
        <f t="shared" ref="R325:R332" si="162">10-Q325</f>
        <v>6.55</v>
      </c>
      <c r="S325" s="7">
        <f>LOOKUP(R325,{0,3.85,4.45,4.65,4.85,5.45,5.65,5.7,5.75,5.8,5.85,5.9,5.95,6,6.45,6.5,6.55,6.63,6.7,6.75,6.8},{0,10,20,30,40,50,60,62,64,66,68,70,72,74,76,78,80,85,90,95,100})</f>
        <v>80</v>
      </c>
      <c r="T325" s="5"/>
      <c r="U325" s="5"/>
      <c r="V325" s="5">
        <f t="shared" ref="V325:V332" si="163">S325+U325</f>
        <v>80</v>
      </c>
      <c r="W325" s="5"/>
      <c r="X325" s="13">
        <f t="shared" ref="X325:X332" si="164">F325*0.1+H325*0.1+J325*0.1+P325*0.2+S325*0.2</f>
        <v>47.8</v>
      </c>
      <c r="Y325" s="13">
        <f t="shared" si="161"/>
        <v>68.2857142857143</v>
      </c>
    </row>
    <row r="326" ht="15.6" hidden="1" outlineLevel="2" spans="1:25">
      <c r="A326" s="5">
        <v>308</v>
      </c>
      <c r="B326" s="5">
        <v>10</v>
      </c>
      <c r="C326" s="9" t="s">
        <v>361</v>
      </c>
      <c r="D326" s="9" t="s">
        <v>12</v>
      </c>
      <c r="E326" s="5">
        <v>11</v>
      </c>
      <c r="F326" s="7">
        <f>LOOKUP(E326,{0,-1.8,-0.8,0.2,1.2,2.2,3.2,4.6,6,7.4,8.8,10.2,11.6,13,14.4,15.8,17.2,19.1,21,22.8,24.6},{0,10,20,30,40,50,60,62,64,66,68,70,72,74,76,78,80,85,90,95,100})</f>
        <v>70</v>
      </c>
      <c r="G326" s="5">
        <v>225</v>
      </c>
      <c r="H326" s="7">
        <f>LOOKUP(G326,{0,180,185,190,195,200,205,209,213,217,221,225,229,233,237,241,245,253,260,265,270},{0,10,20,30,40,50,60,62,64,66,68,70,72,74,76,78,80,85,90,95,100})</f>
        <v>70</v>
      </c>
      <c r="I326" s="5">
        <v>3</v>
      </c>
      <c r="J326" s="7">
        <f>LOOKUP(I326,{0,4,5,6,7,8,9,10,11,12,13,14,15,16,17,18},{0,10,20,30,40,50,60,64,68,72,76,80,85,90,95,100})</f>
        <v>0</v>
      </c>
      <c r="K326" s="5"/>
      <c r="L326" s="5"/>
      <c r="M326" s="5">
        <f t="shared" si="159"/>
        <v>0</v>
      </c>
      <c r="N326" s="5">
        <v>7.6</v>
      </c>
      <c r="O326" s="10">
        <f t="shared" si="160"/>
        <v>10.4</v>
      </c>
      <c r="P326" s="7">
        <f>LOOKUP(O326,{0,7.8,8,8.2,8.4,8.6,8.8,9,9.2,9.4,9.6,9.8,10,10.2,10.4,10.6,10.8,10.9,11,11.1,11.2},{0,10,20,30,40,50,60,62,64,66,68,70,72,74,76,78,80,85,90,95,100})</f>
        <v>76</v>
      </c>
      <c r="Q326" s="5">
        <v>5.2</v>
      </c>
      <c r="R326" s="10">
        <f t="shared" si="162"/>
        <v>4.8</v>
      </c>
      <c r="S326" s="7">
        <f>LOOKUP(R326,{0,3.85,4.45,4.65,4.85,5.45,5.65,5.7,5.75,5.8,5.85,5.9,5.95,6,6.45,6.5,6.55,6.63,6.7,6.75,6.8},{0,10,20,30,40,50,60,62,64,66,68,70,72,74,76,78,80,85,90,95,100})</f>
        <v>30</v>
      </c>
      <c r="T326" s="5"/>
      <c r="U326" s="5"/>
      <c r="V326" s="5">
        <f t="shared" si="163"/>
        <v>30</v>
      </c>
      <c r="W326" s="5"/>
      <c r="X326" s="13">
        <f t="shared" si="164"/>
        <v>35.2</v>
      </c>
      <c r="Y326" s="13">
        <f t="shared" si="161"/>
        <v>50.2857142857143</v>
      </c>
    </row>
    <row r="327" ht="15.6" hidden="1" outlineLevel="2" spans="1:25">
      <c r="A327" s="5">
        <v>308</v>
      </c>
      <c r="B327" s="5">
        <v>11</v>
      </c>
      <c r="C327" s="8" t="s">
        <v>363</v>
      </c>
      <c r="D327" s="9" t="s">
        <v>12</v>
      </c>
      <c r="E327" s="5">
        <v>6</v>
      </c>
      <c r="F327" s="7">
        <f>LOOKUP(E327,{0,-1.8,-0.8,0.2,1.2,2.2,3.2,4.6,6,7.4,8.8,10.2,11.6,13,14.4,15.8,17.2,19.1,21,22.8,24.6},{0,10,20,30,40,50,60,62,64,66,68,70,72,74,76,78,80,85,90,95,100})</f>
        <v>64</v>
      </c>
      <c r="G327" s="5">
        <v>240</v>
      </c>
      <c r="H327" s="7">
        <f>LOOKUP(G327,{0,180,185,190,195,200,205,209,213,217,221,225,229,233,237,241,245,253,260,265,270},{0,10,20,30,40,50,60,62,64,66,68,70,72,74,76,78,80,85,90,95,100})</f>
        <v>76</v>
      </c>
      <c r="I327" s="5">
        <v>15</v>
      </c>
      <c r="J327" s="7">
        <f>LOOKUP(I327,{0,4,5,6,7,8,9,10,11,12,13,14,15,16,17,18},{0,10,20,30,40,50,60,64,68,72,76,80,85,90,95,100})</f>
        <v>85</v>
      </c>
      <c r="K327" s="5"/>
      <c r="L327" s="5"/>
      <c r="M327" s="5">
        <f t="shared" si="159"/>
        <v>85</v>
      </c>
      <c r="N327" s="5">
        <v>7.2</v>
      </c>
      <c r="O327" s="10">
        <f t="shared" si="160"/>
        <v>10.8</v>
      </c>
      <c r="P327" s="7">
        <f>LOOKUP(O327,{0,7.8,8,8.2,8.4,8.6,8.8,9,9.2,9.4,9.6,9.8,10,10.2,10.4,10.6,10.8,10.9,11,11.1,11.2},{0,10,20,30,40,50,60,62,64,66,68,70,72,74,76,78,80,85,90,95,100})</f>
        <v>80</v>
      </c>
      <c r="Q327" s="5">
        <v>3.35</v>
      </c>
      <c r="R327" s="10">
        <f t="shared" si="162"/>
        <v>6.65</v>
      </c>
      <c r="S327" s="7">
        <f>LOOKUP(R327,{0,3.85,4.45,4.65,4.85,5.45,5.65,5.7,5.75,5.8,5.85,5.9,5.95,6,6.45,6.5,6.55,6.63,6.7,6.75,6.8},{0,10,20,30,40,50,60,62,64,66,68,70,72,74,76,78,80,85,90,95,100})</f>
        <v>85</v>
      </c>
      <c r="T327" s="5"/>
      <c r="U327" s="5"/>
      <c r="V327" s="5">
        <f t="shared" si="163"/>
        <v>85</v>
      </c>
      <c r="W327" s="5"/>
      <c r="X327" s="13">
        <f t="shared" si="164"/>
        <v>55.5</v>
      </c>
      <c r="Y327" s="13">
        <f t="shared" si="161"/>
        <v>79.2857142857143</v>
      </c>
    </row>
    <row r="328" ht="15.6" hidden="1" outlineLevel="2" spans="1:25">
      <c r="A328" s="5">
        <v>308</v>
      </c>
      <c r="B328" s="5">
        <v>12</v>
      </c>
      <c r="C328" s="9" t="s">
        <v>364</v>
      </c>
      <c r="D328" s="9" t="s">
        <v>12</v>
      </c>
      <c r="E328" s="5">
        <v>10</v>
      </c>
      <c r="F328" s="7">
        <f>LOOKUP(E328,{0,-1.8,-0.8,0.2,1.2,2.2,3.2,4.6,6,7.4,8.8,10.2,11.6,13,14.4,15.8,17.2,19.1,21,22.8,24.6},{0,10,20,30,40,50,60,62,64,66,68,70,72,74,76,78,80,85,90,95,100})</f>
        <v>68</v>
      </c>
      <c r="G328" s="5">
        <v>220</v>
      </c>
      <c r="H328" s="7">
        <f>LOOKUP(G328,{0,180,185,190,195,200,205,209,213,217,221,225,229,233,237,241,245,253,260,265,270},{0,10,20,30,40,50,60,62,64,66,68,70,72,74,76,78,80,85,90,95,100})</f>
        <v>66</v>
      </c>
      <c r="I328" s="5">
        <v>8</v>
      </c>
      <c r="J328" s="7">
        <f>LOOKUP(I328,{0,4,5,6,7,8,9,10,11,12,13,14,15,16,17,18},{0,10,20,30,40,50,60,64,68,72,76,80,85,90,95,100})</f>
        <v>50</v>
      </c>
      <c r="K328" s="5"/>
      <c r="L328" s="5"/>
      <c r="M328" s="5">
        <f t="shared" si="159"/>
        <v>50</v>
      </c>
      <c r="N328" s="5">
        <v>7.3</v>
      </c>
      <c r="O328" s="10">
        <f t="shared" si="160"/>
        <v>10.7</v>
      </c>
      <c r="P328" s="7">
        <f>LOOKUP(O328,{0,7.8,8,8.2,8.4,8.6,8.8,9,9.2,9.4,9.6,9.8,10,10.2,10.4,10.6,10.8,10.9,11,11.1,11.2},{0,10,20,30,40,50,60,62,64,66,68,70,72,74,76,78,80,85,90,95,100})</f>
        <v>78</v>
      </c>
      <c r="Q328" s="5">
        <v>4.49</v>
      </c>
      <c r="R328" s="10">
        <f t="shared" si="162"/>
        <v>5.51</v>
      </c>
      <c r="S328" s="7">
        <f>LOOKUP(R328,{0,3.85,4.45,4.65,4.85,5.45,5.65,5.7,5.75,5.8,5.85,5.9,5.95,6,6.45,6.5,6.55,6.63,6.7,6.75,6.8},{0,10,20,30,40,50,60,62,64,66,68,70,72,74,76,78,80,85,90,95,100})</f>
        <v>50</v>
      </c>
      <c r="T328" s="5"/>
      <c r="U328" s="5"/>
      <c r="V328" s="5">
        <f t="shared" si="163"/>
        <v>50</v>
      </c>
      <c r="W328" s="5"/>
      <c r="X328" s="13">
        <f t="shared" si="164"/>
        <v>44</v>
      </c>
      <c r="Y328" s="13">
        <f t="shared" si="161"/>
        <v>62.8571428571429</v>
      </c>
    </row>
    <row r="329" ht="15.6" hidden="1" outlineLevel="2" spans="1:25">
      <c r="A329" s="5">
        <v>308</v>
      </c>
      <c r="B329" s="5">
        <v>13</v>
      </c>
      <c r="C329" s="9" t="s">
        <v>365</v>
      </c>
      <c r="D329" s="9" t="s">
        <v>12</v>
      </c>
      <c r="E329" s="5">
        <v>6</v>
      </c>
      <c r="F329" s="7">
        <f>LOOKUP(E329,{0,-1.8,-0.8,0.2,1.2,2.2,3.2,4.6,6,7.4,8.8,10.2,11.6,13,14.4,15.8,17.2,19.1,21,22.8,24.6},{0,10,20,30,40,50,60,62,64,66,68,70,72,74,76,78,80,85,90,95,100})</f>
        <v>64</v>
      </c>
      <c r="G329" s="5">
        <v>220</v>
      </c>
      <c r="H329" s="7">
        <f>LOOKUP(G329,{0,180,185,190,195,200,205,209,213,217,221,225,229,233,237,241,245,253,260,265,270},{0,10,20,30,40,50,60,62,64,66,68,70,72,74,76,78,80,85,90,95,100})</f>
        <v>66</v>
      </c>
      <c r="I329" s="5">
        <v>1</v>
      </c>
      <c r="J329" s="7">
        <f>LOOKUP(I329,{0,4,5,6,7,8,9,10,11,12,13,14,15,16,17,18},{0,10,20,30,40,50,60,64,68,72,76,80,85,90,95,100})</f>
        <v>0</v>
      </c>
      <c r="K329" s="5"/>
      <c r="L329" s="5"/>
      <c r="M329" s="5">
        <f t="shared" si="159"/>
        <v>0</v>
      </c>
      <c r="N329" s="5">
        <v>7.3</v>
      </c>
      <c r="O329" s="10">
        <f t="shared" si="160"/>
        <v>10.7</v>
      </c>
      <c r="P329" s="7">
        <f>LOOKUP(O329,{0,7.8,8,8.2,8.4,8.6,8.8,9,9.2,9.4,9.6,9.8,10,10.2,10.4,10.6,10.8,10.9,11,11.1,11.2},{0,10,20,30,40,50,60,62,64,66,68,70,72,74,76,78,80,85,90,95,100})</f>
        <v>78</v>
      </c>
      <c r="Q329" s="5">
        <v>3.35</v>
      </c>
      <c r="R329" s="10">
        <f t="shared" si="162"/>
        <v>6.65</v>
      </c>
      <c r="S329" s="7">
        <f>LOOKUP(R329,{0,3.85,4.45,4.65,4.85,5.45,5.65,5.7,5.75,5.8,5.85,5.9,5.95,6,6.45,6.5,6.55,6.63,6.7,6.75,6.8},{0,10,20,30,40,50,60,62,64,66,68,70,72,74,76,78,80,85,90,95,100})</f>
        <v>85</v>
      </c>
      <c r="T329" s="5"/>
      <c r="U329" s="5"/>
      <c r="V329" s="5">
        <f t="shared" si="163"/>
        <v>85</v>
      </c>
      <c r="W329" s="5"/>
      <c r="X329" s="13">
        <f t="shared" si="164"/>
        <v>45.6</v>
      </c>
      <c r="Y329" s="13">
        <f t="shared" si="161"/>
        <v>65.1428571428572</v>
      </c>
    </row>
    <row r="330" ht="15.6" hidden="1" outlineLevel="2" spans="1:25">
      <c r="A330" s="5">
        <v>308</v>
      </c>
      <c r="B330" s="5">
        <v>14</v>
      </c>
      <c r="C330" s="9" t="s">
        <v>366</v>
      </c>
      <c r="D330" s="9" t="s">
        <v>12</v>
      </c>
      <c r="E330" s="5">
        <v>13.5</v>
      </c>
      <c r="F330" s="7">
        <f>LOOKUP(E330,{0,-1.8,-0.8,0.2,1.2,2.2,3.2,4.6,6,7.4,8.8,10.2,11.6,13,14.4,15.8,17.2,19.1,21,22.8,24.6},{0,10,20,30,40,50,60,62,64,66,68,70,72,74,76,78,80,85,90,95,100})</f>
        <v>74</v>
      </c>
      <c r="G330" s="5">
        <v>235</v>
      </c>
      <c r="H330" s="7">
        <f>LOOKUP(G330,{0,180,185,190,195,200,205,209,213,217,221,225,229,233,237,241,245,253,260,265,270},{0,10,20,30,40,50,60,62,64,66,68,70,72,74,76,78,80,85,90,95,100})</f>
        <v>74</v>
      </c>
      <c r="I330" s="5">
        <v>4</v>
      </c>
      <c r="J330" s="7">
        <f>LOOKUP(I330,{0,4,5,6,7,8,9,10,11,12,13,14,15,16,17,18},{0,10,20,30,40,50,60,64,68,72,76,80,85,90,95,100})</f>
        <v>10</v>
      </c>
      <c r="K330" s="5"/>
      <c r="L330" s="5"/>
      <c r="M330" s="5">
        <f t="shared" si="159"/>
        <v>10</v>
      </c>
      <c r="N330" s="5">
        <v>7</v>
      </c>
      <c r="O330" s="10">
        <f t="shared" si="160"/>
        <v>11</v>
      </c>
      <c r="P330" s="7">
        <f>LOOKUP(O330,{0,7.8,8,8.2,8.4,8.6,8.8,9,9.2,9.4,9.6,9.8,10,10.2,10.4,10.6,10.8,10.9,11,11.1,11.2},{0,10,20,30,40,50,60,62,64,66,68,70,72,74,76,78,80,85,90,95,100})</f>
        <v>90</v>
      </c>
      <c r="Q330" s="5">
        <v>4.49</v>
      </c>
      <c r="R330" s="10">
        <f t="shared" si="162"/>
        <v>5.51</v>
      </c>
      <c r="S330" s="7">
        <f>LOOKUP(R330,{0,3.85,4.45,4.65,4.85,5.45,5.65,5.7,5.75,5.8,5.85,5.9,5.95,6,6.45,6.5,6.55,6.63,6.7,6.75,6.8},{0,10,20,30,40,50,60,62,64,66,68,70,72,74,76,78,80,85,90,95,100})</f>
        <v>50</v>
      </c>
      <c r="T330" s="5"/>
      <c r="U330" s="5"/>
      <c r="V330" s="5">
        <f t="shared" si="163"/>
        <v>50</v>
      </c>
      <c r="W330" s="5"/>
      <c r="X330" s="13">
        <f t="shared" si="164"/>
        <v>43.8</v>
      </c>
      <c r="Y330" s="13">
        <f t="shared" si="161"/>
        <v>62.5714285714286</v>
      </c>
    </row>
    <row r="331" ht="15.6" hidden="1" outlineLevel="2" spans="1:25">
      <c r="A331" s="5">
        <v>308</v>
      </c>
      <c r="B331" s="5">
        <v>15</v>
      </c>
      <c r="C331" s="9" t="s">
        <v>367</v>
      </c>
      <c r="D331" s="9" t="s">
        <v>12</v>
      </c>
      <c r="E331" s="5">
        <v>21</v>
      </c>
      <c r="F331" s="7">
        <f>LOOKUP(E331,{0,-1.8,-0.8,0.2,1.2,2.2,3.2,4.6,6,7.4,8.8,10.2,11.6,13,14.4,15.8,17.2,19.1,21,22.8,24.6},{0,10,20,30,40,50,60,62,64,66,68,70,72,74,76,78,80,85,90,95,100})</f>
        <v>90</v>
      </c>
      <c r="G331" s="5">
        <v>220</v>
      </c>
      <c r="H331" s="7">
        <f>LOOKUP(G331,{0,180,185,190,195,200,205,209,213,217,221,225,229,233,237,241,245,253,260,265,270},{0,10,20,30,40,50,60,62,64,66,68,70,72,74,76,78,80,85,90,95,100})</f>
        <v>66</v>
      </c>
      <c r="I331" s="5">
        <v>8</v>
      </c>
      <c r="J331" s="7">
        <f>LOOKUP(I331,{0,4,5,6,7,8,9,10,11,12,13,14,15,16,17,18},{0,10,20,30,40,50,60,64,68,72,76,80,85,90,95,100})</f>
        <v>50</v>
      </c>
      <c r="K331" s="5"/>
      <c r="L331" s="5"/>
      <c r="M331" s="5">
        <f t="shared" si="159"/>
        <v>50</v>
      </c>
      <c r="N331" s="5">
        <v>7.1</v>
      </c>
      <c r="O331" s="10">
        <f t="shared" si="160"/>
        <v>10.9</v>
      </c>
      <c r="P331" s="7">
        <f>LOOKUP(O331,{0,7.8,8,8.2,8.4,8.6,8.8,9,9.2,9.4,9.6,9.8,10,10.2,10.4,10.6,10.8,10.9,11,11.1,11.2},{0,10,20,30,40,50,60,62,64,66,68,70,72,74,76,78,80,85,90,95,100})</f>
        <v>85</v>
      </c>
      <c r="Q331" s="5">
        <v>3.4</v>
      </c>
      <c r="R331" s="10">
        <f t="shared" si="162"/>
        <v>6.6</v>
      </c>
      <c r="S331" s="7">
        <f>LOOKUP(R331,{0,3.85,4.45,4.65,4.85,5.45,5.65,5.7,5.75,5.8,5.85,5.9,5.95,6,6.45,6.5,6.55,6.63,6.7,6.75,6.8},{0,10,20,30,40,50,60,62,64,66,68,70,72,74,76,78,80,85,90,95,100})</f>
        <v>80</v>
      </c>
      <c r="T331" s="5"/>
      <c r="U331" s="5"/>
      <c r="V331" s="5">
        <f t="shared" si="163"/>
        <v>80</v>
      </c>
      <c r="W331" s="5"/>
      <c r="X331" s="13">
        <f t="shared" si="164"/>
        <v>53.6</v>
      </c>
      <c r="Y331" s="13">
        <f t="shared" si="161"/>
        <v>76.5714285714286</v>
      </c>
    </row>
    <row r="332" ht="15.6" hidden="1" outlineLevel="2" spans="1:25">
      <c r="A332" s="5">
        <v>308</v>
      </c>
      <c r="B332" s="5">
        <v>16</v>
      </c>
      <c r="C332" s="9" t="s">
        <v>368</v>
      </c>
      <c r="D332" s="9" t="s">
        <v>12</v>
      </c>
      <c r="E332" s="5">
        <v>17.7</v>
      </c>
      <c r="F332" s="7">
        <f>LOOKUP(E332,{0,-1.8,-0.8,0.2,1.2,2.2,3.2,4.6,6,7.4,8.8,10.2,11.6,13,14.4,15.8,17.2,19.1,21,22.8,24.6},{0,10,20,30,40,50,60,62,64,66,68,70,72,74,76,78,80,85,90,95,100})</f>
        <v>80</v>
      </c>
      <c r="G332" s="5">
        <v>205</v>
      </c>
      <c r="H332" s="7">
        <f>LOOKUP(G332,{0,180,185,190,195,200,205,209,213,217,221,225,229,233,237,241,245,253,260,265,270},{0,10,20,30,40,50,60,62,64,66,68,70,72,74,76,78,80,85,90,95,100})</f>
        <v>60</v>
      </c>
      <c r="I332" s="5">
        <v>3</v>
      </c>
      <c r="J332" s="7">
        <f>LOOKUP(I332,{0,4,5,6,7,8,9,10,11,12,13,14,15,16,17,18},{0,10,20,30,40,50,60,64,68,72,76,80,85,90,95,100})</f>
        <v>0</v>
      </c>
      <c r="K332" s="5"/>
      <c r="L332" s="5"/>
      <c r="M332" s="5">
        <f t="shared" si="159"/>
        <v>0</v>
      </c>
      <c r="N332" s="5">
        <v>8</v>
      </c>
      <c r="O332" s="10">
        <f t="shared" si="160"/>
        <v>10</v>
      </c>
      <c r="P332" s="7">
        <f>LOOKUP(O332,{0,7.8,8,8.2,8.4,8.6,8.8,9,9.2,9.4,9.6,9.8,10,10.2,10.4,10.6,10.8,10.9,11,11.1,11.2},{0,10,20,30,40,50,60,62,64,66,68,70,72,74,76,78,80,85,90,95,100})</f>
        <v>72</v>
      </c>
      <c r="Q332" s="5">
        <v>4.49</v>
      </c>
      <c r="R332" s="10">
        <f t="shared" si="162"/>
        <v>5.51</v>
      </c>
      <c r="S332" s="7">
        <f>LOOKUP(R332,{0,3.85,4.45,4.65,4.85,5.45,5.65,5.7,5.75,5.8,5.85,5.9,5.95,6,6.45,6.5,6.55,6.63,6.7,6.75,6.8},{0,10,20,30,40,50,60,62,64,66,68,70,72,74,76,78,80,85,90,95,100})</f>
        <v>50</v>
      </c>
      <c r="T332" s="5"/>
      <c r="U332" s="5"/>
      <c r="V332" s="5">
        <f t="shared" si="163"/>
        <v>50</v>
      </c>
      <c r="W332" s="5"/>
      <c r="X332" s="13">
        <f t="shared" si="164"/>
        <v>38.4</v>
      </c>
      <c r="Y332" s="13">
        <f t="shared" si="161"/>
        <v>54.8571428571429</v>
      </c>
    </row>
    <row r="333" ht="15.6" hidden="1" outlineLevel="2" spans="1:25">
      <c r="A333" s="5">
        <v>308</v>
      </c>
      <c r="B333" s="5">
        <v>17</v>
      </c>
      <c r="C333" s="9" t="s">
        <v>369</v>
      </c>
      <c r="D333" s="9" t="s">
        <v>12</v>
      </c>
      <c r="E333" s="5"/>
      <c r="F333" s="7"/>
      <c r="G333" s="5"/>
      <c r="H333" s="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>
        <v>50</v>
      </c>
      <c r="X333" s="13"/>
      <c r="Y333" s="13">
        <v>50</v>
      </c>
    </row>
    <row r="334" ht="15.6" hidden="1" outlineLevel="2" spans="1:25">
      <c r="A334" s="5">
        <v>308</v>
      </c>
      <c r="B334" s="5">
        <v>18</v>
      </c>
      <c r="C334" s="9" t="s">
        <v>370</v>
      </c>
      <c r="D334" s="9" t="s">
        <v>12</v>
      </c>
      <c r="E334" s="5">
        <v>13.5</v>
      </c>
      <c r="F334" s="7">
        <f>LOOKUP(E334,{0,-1.8,-0.8,0.2,1.2,2.2,3.2,4.6,6,7.4,8.8,10.2,11.6,13,14.4,15.8,17.2,19.1,21,22.8,24.6},{0,10,20,30,40,50,60,62,64,66,68,70,72,74,76,78,80,85,90,95,100})</f>
        <v>74</v>
      </c>
      <c r="G334" s="5">
        <v>195</v>
      </c>
      <c r="H334" s="7">
        <f>LOOKUP(G334,{0,180,185,190,195,200,205,209,213,217,221,225,229,233,237,241,245,253,260,265,270},{0,10,20,30,40,50,60,62,64,66,68,70,72,74,76,78,80,85,90,95,100})</f>
        <v>40</v>
      </c>
      <c r="I334" s="5">
        <v>12</v>
      </c>
      <c r="J334" s="7">
        <f>LOOKUP(I334,{0,4,5,6,7,8,9,10,11,12,13,14,15,16,17,18},{0,10,20,30,40,50,60,64,68,72,76,80,85,90,95,100})</f>
        <v>72</v>
      </c>
      <c r="K334" s="5"/>
      <c r="L334" s="5"/>
      <c r="M334" s="5">
        <f t="shared" ref="M334:M341" si="165">J334+L334</f>
        <v>72</v>
      </c>
      <c r="N334" s="5">
        <v>8.1</v>
      </c>
      <c r="O334" s="10">
        <f t="shared" ref="O334:O341" si="166">18-N334</f>
        <v>9.9</v>
      </c>
      <c r="P334" s="7">
        <f>LOOKUP(O334,{0,7.8,8,8.2,8.4,8.6,8.8,9,9.2,9.4,9.6,9.8,10,10.2,10.4,10.6,10.8,10.9,11,11.1,11.2},{0,10,20,30,40,50,60,62,64,66,68,70,72,74,76,78,80,85,90,95,100})</f>
        <v>70</v>
      </c>
      <c r="Q334" s="5">
        <v>4.49</v>
      </c>
      <c r="R334" s="10">
        <f t="shared" ref="R334:R341" si="167">10-Q334</f>
        <v>5.51</v>
      </c>
      <c r="S334" s="7">
        <f>LOOKUP(R334,{0,3.85,4.45,4.65,4.85,5.45,5.65,5.7,5.75,5.8,5.85,5.9,5.95,6,6.45,6.5,6.55,6.63,6.7,6.75,6.8},{0,10,20,30,40,50,60,62,64,66,68,70,72,74,76,78,80,85,90,95,100})</f>
        <v>50</v>
      </c>
      <c r="T334" s="5"/>
      <c r="U334" s="5"/>
      <c r="V334" s="5">
        <f t="shared" ref="V334:V341" si="168">S334+U334</f>
        <v>50</v>
      </c>
      <c r="W334" s="5"/>
      <c r="X334" s="13">
        <f t="shared" ref="X334:X361" si="169">F334*0.1+H334*0.1+J334*0.1+P334*0.2+S334*0.2</f>
        <v>42.6</v>
      </c>
      <c r="Y334" s="13">
        <f t="shared" ref="Y334:Y341" si="170">X334/0.7+L334+U334</f>
        <v>60.8571428571429</v>
      </c>
    </row>
    <row r="335" ht="15.6" hidden="1" outlineLevel="2" spans="1:25">
      <c r="A335" s="5">
        <v>308</v>
      </c>
      <c r="B335" s="5">
        <v>19</v>
      </c>
      <c r="C335" s="9" t="s">
        <v>371</v>
      </c>
      <c r="D335" s="9" t="s">
        <v>12</v>
      </c>
      <c r="E335" s="5">
        <v>9</v>
      </c>
      <c r="F335" s="7">
        <f>LOOKUP(E335,{0,-1.8,-0.8,0.2,1.2,2.2,3.2,4.6,6,7.4,8.8,10.2,11.6,13,14.4,15.8,17.2,19.1,21,22.8,24.6},{0,10,20,30,40,50,60,62,64,66,68,70,72,74,76,78,80,85,90,95,100})</f>
        <v>68</v>
      </c>
      <c r="G335" s="5">
        <v>240</v>
      </c>
      <c r="H335" s="7">
        <f>LOOKUP(G335,{0,180,185,190,195,200,205,209,213,217,221,225,229,233,237,241,245,253,260,265,270},{0,10,20,30,40,50,60,62,64,66,68,70,72,74,76,78,80,85,90,95,100})</f>
        <v>76</v>
      </c>
      <c r="I335" s="5">
        <v>13</v>
      </c>
      <c r="J335" s="7">
        <f>LOOKUP(I335,{0,4,5,6,7,8,9,10,11,12,13,14,15,16,17,18},{0,10,20,30,40,50,60,64,68,72,76,80,85,90,95,100})</f>
        <v>76</v>
      </c>
      <c r="K335" s="5"/>
      <c r="L335" s="5"/>
      <c r="M335" s="5">
        <f t="shared" si="165"/>
        <v>76</v>
      </c>
      <c r="N335" s="5">
        <v>7.6</v>
      </c>
      <c r="O335" s="10">
        <f t="shared" si="166"/>
        <v>10.4</v>
      </c>
      <c r="P335" s="7">
        <f>LOOKUP(O335,{0,7.8,8,8.2,8.4,8.6,8.8,9,9.2,9.4,9.6,9.8,10,10.2,10.4,10.6,10.8,10.9,11,11.1,11.2},{0,10,20,30,40,50,60,62,64,66,68,70,72,74,76,78,80,85,90,95,100})</f>
        <v>76</v>
      </c>
      <c r="Q335" s="5">
        <v>4.49</v>
      </c>
      <c r="R335" s="10">
        <f t="shared" si="167"/>
        <v>5.51</v>
      </c>
      <c r="S335" s="7">
        <f>LOOKUP(R335,{0,3.85,4.45,4.65,4.85,5.45,5.65,5.7,5.75,5.8,5.85,5.9,5.95,6,6.45,6.5,6.55,6.63,6.7,6.75,6.8},{0,10,20,30,40,50,60,62,64,66,68,70,72,74,76,78,80,85,90,95,100})</f>
        <v>50</v>
      </c>
      <c r="T335" s="5"/>
      <c r="U335" s="5"/>
      <c r="V335" s="5">
        <f t="shared" si="168"/>
        <v>50</v>
      </c>
      <c r="W335" s="5"/>
      <c r="X335" s="13">
        <f t="shared" si="169"/>
        <v>47.2</v>
      </c>
      <c r="Y335" s="13">
        <f t="shared" si="170"/>
        <v>67.4285714285714</v>
      </c>
    </row>
    <row r="336" ht="15.6" hidden="1" outlineLevel="2" spans="1:25">
      <c r="A336" s="5">
        <v>308</v>
      </c>
      <c r="B336" s="5">
        <v>20</v>
      </c>
      <c r="C336" s="9" t="s">
        <v>372</v>
      </c>
      <c r="D336" s="9" t="s">
        <v>12</v>
      </c>
      <c r="E336" s="5">
        <v>11.5</v>
      </c>
      <c r="F336" s="7">
        <f>LOOKUP(E336,{0,-1.8,-0.8,0.2,1.2,2.2,3.2,4.6,6,7.4,8.8,10.2,11.6,13,14.4,15.8,17.2,19.1,21,22.8,24.6},{0,10,20,30,40,50,60,62,64,66,68,70,72,74,76,78,80,85,90,95,100})</f>
        <v>70</v>
      </c>
      <c r="G336" s="5">
        <v>205</v>
      </c>
      <c r="H336" s="7">
        <f>LOOKUP(G336,{0,180,185,190,195,200,205,209,213,217,221,225,229,233,237,241,245,253,260,265,270},{0,10,20,30,40,50,60,62,64,66,68,70,72,74,76,78,80,85,90,95,100})</f>
        <v>60</v>
      </c>
      <c r="I336" s="5">
        <v>3</v>
      </c>
      <c r="J336" s="7">
        <f>LOOKUP(I336,{0,4,5,6,7,8,9,10,11,12,13,14,15,16,17,18},{0,10,20,30,40,50,60,64,68,72,76,80,85,90,95,100})</f>
        <v>0</v>
      </c>
      <c r="K336" s="5"/>
      <c r="L336" s="5"/>
      <c r="M336" s="5">
        <f t="shared" si="165"/>
        <v>0</v>
      </c>
      <c r="N336" s="5">
        <v>8</v>
      </c>
      <c r="O336" s="10">
        <f t="shared" si="166"/>
        <v>10</v>
      </c>
      <c r="P336" s="7">
        <f>LOOKUP(O336,{0,7.8,8,8.2,8.4,8.6,8.8,9,9.2,9.4,9.6,9.8,10,10.2,10.4,10.6,10.8,10.9,11,11.1,11.2},{0,10,20,30,40,50,60,62,64,66,68,70,72,74,76,78,80,85,90,95,100})</f>
        <v>72</v>
      </c>
      <c r="Q336" s="5">
        <v>4.53</v>
      </c>
      <c r="R336" s="10">
        <f t="shared" si="167"/>
        <v>5.47</v>
      </c>
      <c r="S336" s="7">
        <f>LOOKUP(R336,{0,3.85,4.45,4.65,4.85,5.45,5.65,5.7,5.75,5.8,5.85,5.9,5.95,6,6.45,6.5,6.55,6.63,6.7,6.75,6.8},{0,10,20,30,40,50,60,62,64,66,68,70,72,74,76,78,80,85,90,95,100})</f>
        <v>50</v>
      </c>
      <c r="T336" s="5"/>
      <c r="U336" s="5"/>
      <c r="V336" s="5">
        <f t="shared" si="168"/>
        <v>50</v>
      </c>
      <c r="W336" s="5"/>
      <c r="X336" s="13">
        <f t="shared" si="169"/>
        <v>37.4</v>
      </c>
      <c r="Y336" s="13">
        <f t="shared" si="170"/>
        <v>53.4285714285714</v>
      </c>
    </row>
    <row r="337" ht="15.6" hidden="1" outlineLevel="2" spans="1:25">
      <c r="A337" s="5">
        <v>308</v>
      </c>
      <c r="B337" s="5">
        <v>21</v>
      </c>
      <c r="C337" s="8" t="s">
        <v>374</v>
      </c>
      <c r="D337" s="9" t="s">
        <v>46</v>
      </c>
      <c r="E337" s="5">
        <v>19</v>
      </c>
      <c r="F337" s="7">
        <f>LOOKUP(E337,{0,1.5,2.3,3.1,3.9,4.7,5.5,6.8,8.1,9.4,10.7,12,13.3,14.6,15.9,17.2,18.5,20.2,21.9,23.6,25.3},{0,10,20,30,40,50,60,62,64,66,68,70,72,74,76,78,80,85,90,95,100})</f>
        <v>80</v>
      </c>
      <c r="G337" s="5">
        <v>205</v>
      </c>
      <c r="H337" s="7">
        <f>LOOKUP(G337,{0,125,130,135,140,145,150,153,156,159,162,165,168,171,174,177,180,187,194,200,206},{0,10,20,30,40,50,60,62,64,66,68,70,72,74,76,78,80,85,90,95,100})</f>
        <v>95</v>
      </c>
      <c r="I337" s="5">
        <v>38</v>
      </c>
      <c r="J337" s="7">
        <f>LOOKUP(I337,{0,15,17,19,21,23,25,27,29,31,33,35,37,39,41,43,45,48,51,53,55},{0,10,20,30,40,50,60,62,64,66,68,70,72,74,76,78,80,85,90,95,100})</f>
        <v>72</v>
      </c>
      <c r="K337" s="5"/>
      <c r="L337" s="5"/>
      <c r="M337" s="5">
        <f t="shared" si="165"/>
        <v>72</v>
      </c>
      <c r="N337" s="5">
        <v>8.3</v>
      </c>
      <c r="O337" s="10">
        <f t="shared" si="166"/>
        <v>9.7</v>
      </c>
      <c r="P337" s="7">
        <f>LOOKUP(O337,{0,6.6,6.8,7,7.2,7.4,7.6,7.8,8,8.2,8.4,8.6,8.8,9,9.2,9.4,9.6,9.9,10.2,10.3,10.4},{0,10,20,30,40,50,60,62,64,66,68,70,72,74,76,78,80,85,90,95,100})</f>
        <v>80</v>
      </c>
      <c r="Q337" s="5">
        <v>3.43</v>
      </c>
      <c r="R337" s="10">
        <f t="shared" si="167"/>
        <v>6.57</v>
      </c>
      <c r="S337" s="7">
        <f>LOOKUP(R337,{0,4.74,4.84,4.94,5.44,5.54,5.64,5.69,5.74,5.79,5.84,5.89,5.94,5.99,6.44,6.49,6.54,6.61,6.68,6.74,6.8},{0,10,20,30,40,50,60,62,64,66,68,70,72,74,76,78,80,85,90,95,100})</f>
        <v>80</v>
      </c>
      <c r="T337" s="5"/>
      <c r="U337" s="5"/>
      <c r="V337" s="5">
        <f t="shared" si="168"/>
        <v>80</v>
      </c>
      <c r="W337" s="5"/>
      <c r="X337" s="13">
        <f t="shared" si="169"/>
        <v>56.7</v>
      </c>
      <c r="Y337" s="13">
        <f t="shared" si="170"/>
        <v>81</v>
      </c>
    </row>
    <row r="338" ht="15.6" hidden="1" outlineLevel="2" spans="1:25">
      <c r="A338" s="5">
        <v>308</v>
      </c>
      <c r="B338" s="5">
        <v>22</v>
      </c>
      <c r="C338" s="9" t="s">
        <v>375</v>
      </c>
      <c r="D338" s="9" t="s">
        <v>46</v>
      </c>
      <c r="E338" s="5">
        <v>6</v>
      </c>
      <c r="F338" s="7">
        <f>LOOKUP(E338,{0,1.5,2.3,3.1,3.9,4.7,5.5,6.8,8.1,9.4,10.7,12,13.3,14.6,15.9,17.2,18.5,20.2,21.9,23.6,25.3},{0,10,20,30,40,50,60,62,64,66,68,70,72,74,76,78,80,85,90,95,100})</f>
        <v>60</v>
      </c>
      <c r="G338" s="5">
        <v>150</v>
      </c>
      <c r="H338" s="7">
        <f>LOOKUP(G338,{0,125,130,135,140,145,150,153,156,159,162,165,168,171,174,177,180,187,194,200,206},{0,10,20,30,40,50,60,62,64,66,68,70,72,74,76,78,80,85,90,95,100})</f>
        <v>60</v>
      </c>
      <c r="I338" s="5">
        <v>45</v>
      </c>
      <c r="J338" s="7">
        <f>LOOKUP(I338,{0,15,17,19,21,23,25,27,29,31,33,35,37,39,41,43,45,48,51,53,55},{0,10,20,30,40,50,60,62,64,66,68,70,72,74,76,78,80,85,90,95,100})</f>
        <v>80</v>
      </c>
      <c r="K338" s="5"/>
      <c r="L338" s="5"/>
      <c r="M338" s="5">
        <f t="shared" si="165"/>
        <v>80</v>
      </c>
      <c r="N338" s="5">
        <v>9.4</v>
      </c>
      <c r="O338" s="10">
        <f t="shared" si="166"/>
        <v>8.6</v>
      </c>
      <c r="P338" s="7">
        <f>LOOKUP(O338,{0,6.6,6.8,7,7.2,7.4,7.6,7.8,8,8.2,8.4,8.6,8.8,9,9.2,9.4,9.6,9.9,10.2,10.3,10.4},{0,10,20,30,40,50,60,62,64,66,68,70,72,74,76,78,80,85,90,95,100})</f>
        <v>70</v>
      </c>
      <c r="Q338" s="5">
        <v>4.55</v>
      </c>
      <c r="R338" s="10">
        <f t="shared" si="167"/>
        <v>5.45</v>
      </c>
      <c r="S338" s="7">
        <f>LOOKUP(R338,{0,4.74,4.84,4.94,5.44,5.54,5.64,5.69,5.74,5.79,5.84,5.89,5.94,5.99,6.44,6.49,6.54,6.61,6.68,6.74,6.8},{0,10,20,30,40,50,60,62,64,66,68,70,72,74,76,78,80,85,90,95,100})</f>
        <v>40</v>
      </c>
      <c r="T338" s="5"/>
      <c r="U338" s="5"/>
      <c r="V338" s="5">
        <f t="shared" si="168"/>
        <v>40</v>
      </c>
      <c r="W338" s="5"/>
      <c r="X338" s="13">
        <f t="shared" si="169"/>
        <v>42</v>
      </c>
      <c r="Y338" s="13">
        <f t="shared" si="170"/>
        <v>60</v>
      </c>
    </row>
    <row r="339" ht="15.6" hidden="1" outlineLevel="2" spans="1:25">
      <c r="A339" s="5">
        <v>308</v>
      </c>
      <c r="B339" s="5">
        <v>23</v>
      </c>
      <c r="C339" s="9" t="s">
        <v>376</v>
      </c>
      <c r="D339" s="9" t="s">
        <v>46</v>
      </c>
      <c r="E339" s="5">
        <v>15.5</v>
      </c>
      <c r="F339" s="7">
        <f>LOOKUP(E339,{0,1.5,2.3,3.1,3.9,4.7,5.5,6.8,8.1,9.4,10.7,12,13.3,14.6,15.9,17.2,18.5,20.2,21.9,23.6,25.3},{0,10,20,30,40,50,60,62,64,66,68,70,72,74,76,78,80,85,90,95,100})</f>
        <v>74</v>
      </c>
      <c r="G339" s="5">
        <v>200</v>
      </c>
      <c r="H339" s="7">
        <f>LOOKUP(G339,{0,125,130,135,140,145,150,153,156,159,162,165,168,171,174,177,180,187,194,200,206},{0,10,20,30,40,50,60,62,64,66,68,70,72,74,76,78,80,85,90,95,100})</f>
        <v>95</v>
      </c>
      <c r="I339" s="5">
        <v>46</v>
      </c>
      <c r="J339" s="7">
        <f>LOOKUP(I339,{0,15,17,19,21,23,25,27,29,31,33,35,37,39,41,43,45,48,51,53,55},{0,10,20,30,40,50,60,62,64,66,68,70,72,74,76,78,80,85,90,95,100})</f>
        <v>80</v>
      </c>
      <c r="K339" s="5"/>
      <c r="L339" s="5"/>
      <c r="M339" s="5">
        <f t="shared" si="165"/>
        <v>80</v>
      </c>
      <c r="N339" s="5">
        <v>8.7</v>
      </c>
      <c r="O339" s="10">
        <f t="shared" si="166"/>
        <v>9.3</v>
      </c>
      <c r="P339" s="7">
        <f>LOOKUP(O339,{0,6.6,6.8,7,7.2,7.4,7.6,7.8,8,8.2,8.4,8.6,8.8,9,9.2,9.4,9.6,9.9,10.2,10.3,10.4},{0,10,20,30,40,50,60,62,64,66,68,70,72,74,76,78,80,85,90,95,100})</f>
        <v>76</v>
      </c>
      <c r="Q339" s="5">
        <v>4.08</v>
      </c>
      <c r="R339" s="10">
        <f t="shared" si="167"/>
        <v>5.92</v>
      </c>
      <c r="S339" s="7">
        <f>LOOKUP(R339,{0,4.74,4.84,4.94,5.44,5.54,5.64,5.69,5.74,5.79,5.84,5.89,5.94,5.99,6.44,6.49,6.54,6.61,6.68,6.74,6.8},{0,10,20,30,40,50,60,62,64,66,68,70,72,74,76,78,80,85,90,95,100})</f>
        <v>70</v>
      </c>
      <c r="T339" s="5"/>
      <c r="U339" s="5"/>
      <c r="V339" s="5">
        <f t="shared" si="168"/>
        <v>70</v>
      </c>
      <c r="W339" s="5"/>
      <c r="X339" s="13">
        <f t="shared" si="169"/>
        <v>54.1</v>
      </c>
      <c r="Y339" s="13">
        <f t="shared" si="170"/>
        <v>77.2857142857143</v>
      </c>
    </row>
    <row r="340" ht="15.6" hidden="1" outlineLevel="2" spans="1:25">
      <c r="A340" s="5">
        <v>308</v>
      </c>
      <c r="B340" s="5">
        <v>24</v>
      </c>
      <c r="C340" s="9" t="s">
        <v>377</v>
      </c>
      <c r="D340" s="9" t="s">
        <v>46</v>
      </c>
      <c r="E340" s="5">
        <v>16.5</v>
      </c>
      <c r="F340" s="7">
        <f>LOOKUP(E340,{0,1.5,2.3,3.1,3.9,4.7,5.5,6.8,8.1,9.4,10.7,12,13.3,14.6,15.9,17.2,18.5,20.2,21.9,23.6,25.3},{0,10,20,30,40,50,60,62,64,66,68,70,72,74,76,78,80,85,90,95,100})</f>
        <v>76</v>
      </c>
      <c r="G340" s="5">
        <v>155</v>
      </c>
      <c r="H340" s="7">
        <f>LOOKUP(G340,{0,125,130,135,140,145,150,153,156,159,162,165,168,171,174,177,180,187,194,200,206},{0,10,20,30,40,50,60,62,64,66,68,70,72,74,76,78,80,85,90,95,100})</f>
        <v>62</v>
      </c>
      <c r="I340" s="5">
        <v>45</v>
      </c>
      <c r="J340" s="7">
        <f>LOOKUP(I340,{0,15,17,19,21,23,25,27,29,31,33,35,37,39,41,43,45,48,51,53,55},{0,10,20,30,40,50,60,62,64,66,68,70,72,74,76,78,80,85,90,95,100})</f>
        <v>80</v>
      </c>
      <c r="K340" s="5"/>
      <c r="L340" s="5"/>
      <c r="M340" s="5">
        <f t="shared" si="165"/>
        <v>80</v>
      </c>
      <c r="N340" s="5">
        <v>10</v>
      </c>
      <c r="O340" s="10">
        <f t="shared" si="166"/>
        <v>8</v>
      </c>
      <c r="P340" s="7">
        <f>LOOKUP(O340,{0,6.6,6.8,7,7.2,7.4,7.6,7.8,8,8.2,8.4,8.6,8.8,9,9.2,9.4,9.6,9.9,10.2,10.3,10.4},{0,10,20,30,40,50,60,62,64,66,68,70,72,74,76,78,80,85,90,95,100})</f>
        <v>64</v>
      </c>
      <c r="Q340" s="5">
        <v>4.57</v>
      </c>
      <c r="R340" s="10">
        <f t="shared" si="167"/>
        <v>5.43</v>
      </c>
      <c r="S340" s="7">
        <f>LOOKUP(R340,{0,4.74,4.84,4.94,5.44,5.54,5.64,5.69,5.74,5.79,5.84,5.89,5.94,5.99,6.44,6.49,6.54,6.61,6.68,6.74,6.8},{0,10,20,30,40,50,60,62,64,66,68,70,72,74,76,78,80,85,90,95,100})</f>
        <v>30</v>
      </c>
      <c r="T340" s="5"/>
      <c r="U340" s="5"/>
      <c r="V340" s="5">
        <f t="shared" si="168"/>
        <v>30</v>
      </c>
      <c r="W340" s="5"/>
      <c r="X340" s="13">
        <f t="shared" si="169"/>
        <v>40.6</v>
      </c>
      <c r="Y340" s="13">
        <f t="shared" si="170"/>
        <v>58</v>
      </c>
    </row>
    <row r="341" ht="15.6" hidden="1" outlineLevel="2" spans="1:25">
      <c r="A341" s="5">
        <v>308</v>
      </c>
      <c r="B341" s="5">
        <v>25</v>
      </c>
      <c r="C341" s="9" t="s">
        <v>378</v>
      </c>
      <c r="D341" s="9" t="s">
        <v>46</v>
      </c>
      <c r="E341" s="5">
        <v>28</v>
      </c>
      <c r="F341" s="7">
        <f>LOOKUP(E341,{0,1.5,2.3,3.1,3.9,4.7,5.5,6.8,8.1,9.4,10.7,12,13.3,14.6,15.9,17.2,18.5,20.2,21.9,23.6,25.3},{0,10,20,30,40,50,60,62,64,66,68,70,72,74,76,78,80,85,90,95,100})</f>
        <v>100</v>
      </c>
      <c r="G341" s="5">
        <v>190</v>
      </c>
      <c r="H341" s="7">
        <f>LOOKUP(G341,{0,125,130,135,140,145,150,153,156,159,162,165,168,171,174,177,180,187,194,200,206},{0,10,20,30,40,50,60,62,64,66,68,70,72,74,76,78,80,85,90,95,100})</f>
        <v>85</v>
      </c>
      <c r="I341" s="5">
        <v>45</v>
      </c>
      <c r="J341" s="7">
        <f>LOOKUP(I341,{0,15,17,19,21,23,25,27,29,31,33,35,37,39,41,43,45,48,51,53,55},{0,10,20,30,40,50,60,62,64,66,68,70,72,74,76,78,80,85,90,95,100})</f>
        <v>80</v>
      </c>
      <c r="K341" s="5"/>
      <c r="L341" s="5"/>
      <c r="M341" s="5">
        <f t="shared" si="165"/>
        <v>80</v>
      </c>
      <c r="N341" s="5">
        <v>9.1</v>
      </c>
      <c r="O341" s="10">
        <f t="shared" si="166"/>
        <v>8.9</v>
      </c>
      <c r="P341" s="7">
        <f>LOOKUP(O341,{0,6.6,6.8,7,7.2,7.4,7.6,7.8,8,8.2,8.4,8.6,8.8,9,9.2,9.4,9.6,9.9,10.2,10.3,10.4},{0,10,20,30,40,50,60,62,64,66,68,70,72,74,76,78,80,85,90,95,100})</f>
        <v>72</v>
      </c>
      <c r="Q341" s="5">
        <v>5.16</v>
      </c>
      <c r="R341" s="10">
        <f t="shared" si="167"/>
        <v>4.84</v>
      </c>
      <c r="S341" s="7">
        <f>LOOKUP(R341,{0,4.74,4.84,4.94,5.44,5.54,5.64,5.69,5.74,5.79,5.84,5.89,5.94,5.99,6.44,6.49,6.54,6.61,6.68,6.74,6.8},{0,10,20,30,40,50,60,62,64,66,68,70,72,74,76,78,80,85,90,95,100})</f>
        <v>20</v>
      </c>
      <c r="T341" s="5"/>
      <c r="U341" s="5"/>
      <c r="V341" s="5">
        <f t="shared" si="168"/>
        <v>20</v>
      </c>
      <c r="W341" s="5"/>
      <c r="X341" s="13">
        <f t="shared" si="169"/>
        <v>44.9</v>
      </c>
      <c r="Y341" s="13">
        <f t="shared" si="170"/>
        <v>64.1428571428571</v>
      </c>
    </row>
    <row r="342" ht="15.6" hidden="1" outlineLevel="2" spans="1:25">
      <c r="A342" s="5">
        <v>308</v>
      </c>
      <c r="B342" s="5">
        <v>26</v>
      </c>
      <c r="C342" s="9" t="s">
        <v>379</v>
      </c>
      <c r="D342" s="9" t="s">
        <v>46</v>
      </c>
      <c r="E342" s="5">
        <v>18</v>
      </c>
      <c r="F342" s="7">
        <f>LOOKUP(E342,{0,1.5,2.3,3.1,3.9,4.7,5.5,6.8,8.1,9.4,10.7,12,13.3,14.6,15.9,17.2,18.5,20.2,21.9,23.6,25.3},{0,10,20,30,40,50,60,62,64,66,68,70,72,74,76,78,80,85,90,95,100})</f>
        <v>78</v>
      </c>
      <c r="G342" s="5">
        <v>172</v>
      </c>
      <c r="H342" s="7">
        <f>LOOKUP(G342,{0,125,130,135,140,145,150,153,156,159,162,165,168,171,174,177,180,187,194,200,206},{0,10,20,30,40,50,60,62,64,66,68,70,72,74,76,78,80,85,90,95,100})</f>
        <v>74</v>
      </c>
      <c r="I342" s="5" t="s">
        <v>77</v>
      </c>
      <c r="J342" s="7"/>
      <c r="K342" s="5"/>
      <c r="L342" s="5"/>
      <c r="M342" s="5"/>
      <c r="N342" s="5" t="s">
        <v>77</v>
      </c>
      <c r="O342" s="5"/>
      <c r="P342" s="5"/>
      <c r="Q342" s="5" t="s">
        <v>77</v>
      </c>
      <c r="R342" s="5"/>
      <c r="S342" s="5"/>
      <c r="T342" s="5"/>
      <c r="U342" s="5"/>
      <c r="V342" s="5"/>
      <c r="W342" s="14">
        <v>50</v>
      </c>
      <c r="X342" s="13">
        <f t="shared" si="169"/>
        <v>15.2</v>
      </c>
      <c r="Y342" s="13">
        <v>50</v>
      </c>
    </row>
    <row r="343" ht="15.6" hidden="1" outlineLevel="2" spans="1:25">
      <c r="A343" s="5">
        <v>308</v>
      </c>
      <c r="B343" s="5">
        <v>27</v>
      </c>
      <c r="C343" s="9" t="s">
        <v>380</v>
      </c>
      <c r="D343" s="9" t="s">
        <v>46</v>
      </c>
      <c r="E343" s="5">
        <v>23</v>
      </c>
      <c r="F343" s="7">
        <f>LOOKUP(E343,{0,1.5,2.3,3.1,3.9,4.7,5.5,6.8,8.1,9.4,10.7,12,13.3,14.6,15.9,17.2,18.5,20.2,21.9,23.6,25.3},{0,10,20,30,40,50,60,62,64,66,68,70,72,74,76,78,80,85,90,95,100})</f>
        <v>90</v>
      </c>
      <c r="G343" s="5">
        <v>227</v>
      </c>
      <c r="H343" s="7">
        <f>LOOKUP(G343,{0,125,130,135,140,145,150,153,156,159,162,165,168,171,174,177,180,187,194,200,206},{0,10,20,30,40,50,60,62,64,66,68,70,72,74,76,78,80,85,90,95,100})</f>
        <v>100</v>
      </c>
      <c r="I343" s="5">
        <v>56</v>
      </c>
      <c r="J343" s="7">
        <f>LOOKUP(I343,{0,15,17,19,21,23,25,27,29,31,33,35,37,39,41,43,45,48,51,53,55},{0,10,20,30,40,50,60,62,64,66,68,70,72,74,76,78,80,85,90,95,100})</f>
        <v>100</v>
      </c>
      <c r="K343" s="11">
        <f>I343-55</f>
        <v>1</v>
      </c>
      <c r="L343" s="7">
        <f>LOOKUP(K343,{0,2,4,6,7,8,9,10,11,12,13},{0,1,2,3,4,5,6,7,8,9,10})</f>
        <v>0</v>
      </c>
      <c r="M343" s="5">
        <f t="shared" ref="M343:M355" si="171">J343+L343</f>
        <v>100</v>
      </c>
      <c r="N343" s="5">
        <v>7.4</v>
      </c>
      <c r="O343" s="10">
        <f t="shared" ref="O343:O355" si="172">18-N343</f>
        <v>10.6</v>
      </c>
      <c r="P343" s="7">
        <f>LOOKUP(O343,{0,6.6,6.8,7,7.2,7.4,7.6,7.8,8,8.2,8.4,8.6,8.8,9,9.2,9.4,9.6,9.9,10.2,10.3,10.4},{0,10,20,30,40,50,60,62,64,66,68,70,72,74,76,78,80,85,90,95,100})</f>
        <v>100</v>
      </c>
      <c r="Q343" s="5">
        <v>3.27</v>
      </c>
      <c r="R343" s="10">
        <f t="shared" ref="R343:R355" si="173">10-Q343</f>
        <v>6.73</v>
      </c>
      <c r="S343" s="7">
        <f>LOOKUP(R343,{0,4.74,4.84,4.94,5.44,5.54,5.64,5.69,5.74,5.79,5.84,5.89,5.94,5.99,6.44,6.49,6.54,6.61,6.68,6.74,6.8},{0,10,20,30,40,50,60,62,64,66,68,70,72,74,76,78,80,85,90,95,100})</f>
        <v>90</v>
      </c>
      <c r="T343" s="5"/>
      <c r="U343" s="5"/>
      <c r="V343" s="5">
        <f t="shared" ref="V343:V355" si="174">S343+U343</f>
        <v>90</v>
      </c>
      <c r="W343" s="5"/>
      <c r="X343" s="13">
        <f t="shared" si="169"/>
        <v>67</v>
      </c>
      <c r="Y343" s="13">
        <f t="shared" ref="Y343:Y355" si="175">X343/0.7+L343+U343</f>
        <v>95.7142857142857</v>
      </c>
    </row>
    <row r="344" ht="15.6" hidden="1" outlineLevel="2" spans="1:25">
      <c r="A344" s="5">
        <v>308</v>
      </c>
      <c r="B344" s="5">
        <v>28</v>
      </c>
      <c r="C344" s="9" t="s">
        <v>381</v>
      </c>
      <c r="D344" s="9" t="s">
        <v>46</v>
      </c>
      <c r="E344" s="5">
        <v>17</v>
      </c>
      <c r="F344" s="7">
        <f>LOOKUP(E344,{0,1.5,2.3,3.1,3.9,4.7,5.5,6.8,8.1,9.4,10.7,12,13.3,14.6,15.9,17.2,18.5,20.2,21.9,23.6,25.3},{0,10,20,30,40,50,60,62,64,66,68,70,72,74,76,78,80,85,90,95,100})</f>
        <v>76</v>
      </c>
      <c r="G344" s="5">
        <v>175</v>
      </c>
      <c r="H344" s="7">
        <f>LOOKUP(G344,{0,125,130,135,140,145,150,153,156,159,162,165,168,171,174,177,180,187,194,200,206},{0,10,20,30,40,50,60,62,64,66,68,70,72,74,76,78,80,85,90,95,100})</f>
        <v>76</v>
      </c>
      <c r="I344" s="5">
        <v>45</v>
      </c>
      <c r="J344" s="7">
        <f>LOOKUP(I344,{0,15,17,19,21,23,25,27,29,31,33,35,37,39,41,43,45,48,51,53,55},{0,10,20,30,40,50,60,62,64,66,68,70,72,74,76,78,80,85,90,95,100})</f>
        <v>80</v>
      </c>
      <c r="K344" s="5"/>
      <c r="L344" s="5"/>
      <c r="M344" s="5">
        <f t="shared" si="171"/>
        <v>80</v>
      </c>
      <c r="N344" s="5">
        <v>8.8</v>
      </c>
      <c r="O344" s="10">
        <f t="shared" si="172"/>
        <v>9.2</v>
      </c>
      <c r="P344" s="7">
        <f>LOOKUP(O344,{0,6.6,6.8,7,7.2,7.4,7.6,7.8,8,8.2,8.4,8.6,8.8,9,9.2,9.4,9.6,9.9,10.2,10.3,10.4},{0,10,20,30,40,50,60,62,64,66,68,70,72,74,76,78,80,85,90,95,100})</f>
        <v>76</v>
      </c>
      <c r="Q344" s="5">
        <v>4.54</v>
      </c>
      <c r="R344" s="10">
        <f t="shared" si="173"/>
        <v>5.46</v>
      </c>
      <c r="S344" s="7">
        <f>LOOKUP(R344,{0,4.74,4.84,4.94,5.44,5.54,5.64,5.69,5.74,5.79,5.84,5.89,5.94,5.99,6.44,6.49,6.54,6.61,6.68,6.74,6.8},{0,10,20,30,40,50,60,62,64,66,68,70,72,74,76,78,80,85,90,95,100})</f>
        <v>40</v>
      </c>
      <c r="T344" s="5"/>
      <c r="U344" s="5"/>
      <c r="V344" s="5">
        <f t="shared" si="174"/>
        <v>40</v>
      </c>
      <c r="W344" s="5"/>
      <c r="X344" s="13">
        <f t="shared" si="169"/>
        <v>46.4</v>
      </c>
      <c r="Y344" s="13">
        <f t="shared" si="175"/>
        <v>66.2857142857143</v>
      </c>
    </row>
    <row r="345" ht="15.6" hidden="1" outlineLevel="2" spans="1:25">
      <c r="A345" s="5">
        <v>308</v>
      </c>
      <c r="B345" s="5">
        <v>29</v>
      </c>
      <c r="C345" s="9" t="s">
        <v>382</v>
      </c>
      <c r="D345" s="9" t="s">
        <v>46</v>
      </c>
      <c r="E345" s="5">
        <v>19.5</v>
      </c>
      <c r="F345" s="7">
        <f>LOOKUP(E345,{0,1.5,2.3,3.1,3.9,4.7,5.5,6.8,8.1,9.4,10.7,12,13.3,14.6,15.9,17.2,18.5,20.2,21.9,23.6,25.3},{0,10,20,30,40,50,60,62,64,66,68,70,72,74,76,78,80,85,90,95,100})</f>
        <v>80</v>
      </c>
      <c r="G345" s="5">
        <v>150</v>
      </c>
      <c r="H345" s="7">
        <f>LOOKUP(G345,{0,125,130,135,140,145,150,153,156,159,162,165,168,171,174,177,180,187,194,200,206},{0,10,20,30,40,50,60,62,64,66,68,70,72,74,76,78,80,85,90,95,100})</f>
        <v>60</v>
      </c>
      <c r="I345" s="5">
        <v>41</v>
      </c>
      <c r="J345" s="7">
        <f>LOOKUP(I345,{0,15,17,19,21,23,25,27,29,31,33,35,37,39,41,43,45,48,51,53,55},{0,10,20,30,40,50,60,62,64,66,68,70,72,74,76,78,80,85,90,95,100})</f>
        <v>76</v>
      </c>
      <c r="K345" s="5"/>
      <c r="L345" s="5"/>
      <c r="M345" s="5">
        <f t="shared" si="171"/>
        <v>76</v>
      </c>
      <c r="N345" s="5">
        <v>9.3</v>
      </c>
      <c r="O345" s="10">
        <f t="shared" si="172"/>
        <v>8.7</v>
      </c>
      <c r="P345" s="7">
        <f>LOOKUP(O345,{0,6.6,6.8,7,7.2,7.4,7.6,7.8,8,8.2,8.4,8.6,8.8,9,9.2,9.4,9.6,9.9,10.2,10.3,10.4},{0,10,20,30,40,50,60,62,64,66,68,70,72,74,76,78,80,85,90,95,100})</f>
        <v>70</v>
      </c>
      <c r="Q345" s="5">
        <v>5.27</v>
      </c>
      <c r="R345" s="10">
        <f t="shared" si="173"/>
        <v>4.73</v>
      </c>
      <c r="S345" s="7">
        <f>LOOKUP(R345,{0,4.74,4.84,4.94,5.44,5.54,5.64,5.69,5.74,5.79,5.84,5.89,5.94,5.99,6.44,6.49,6.54,6.61,6.68,6.74,6.8},{0,10,20,30,40,50,60,62,64,66,68,70,72,74,76,78,80,85,90,95,100})</f>
        <v>0</v>
      </c>
      <c r="T345" s="5"/>
      <c r="U345" s="5"/>
      <c r="V345" s="5">
        <f t="shared" si="174"/>
        <v>0</v>
      </c>
      <c r="W345" s="5"/>
      <c r="X345" s="13">
        <f t="shared" si="169"/>
        <v>35.6</v>
      </c>
      <c r="Y345" s="13">
        <f t="shared" si="175"/>
        <v>50.8571428571429</v>
      </c>
    </row>
    <row r="346" ht="15.6" hidden="1" outlineLevel="2" spans="1:25">
      <c r="A346" s="5">
        <v>308</v>
      </c>
      <c r="B346" s="5">
        <v>30</v>
      </c>
      <c r="C346" s="9" t="s">
        <v>383</v>
      </c>
      <c r="D346" s="9" t="s">
        <v>46</v>
      </c>
      <c r="E346" s="5">
        <v>22</v>
      </c>
      <c r="F346" s="7">
        <f>LOOKUP(E346,{0,1.5,2.3,3.1,3.9,4.7,5.5,6.8,8.1,9.4,10.7,12,13.3,14.6,15.9,17.2,18.5,20.2,21.9,23.6,25.3},{0,10,20,30,40,50,60,62,64,66,68,70,72,74,76,78,80,85,90,95,100})</f>
        <v>90</v>
      </c>
      <c r="G346" s="5">
        <v>150</v>
      </c>
      <c r="H346" s="7">
        <f>LOOKUP(G346,{0,125,130,135,140,145,150,153,156,159,162,165,168,171,174,177,180,187,194,200,206},{0,10,20,30,40,50,60,62,64,66,68,70,72,74,76,78,80,85,90,95,100})</f>
        <v>60</v>
      </c>
      <c r="I346" s="5">
        <v>37</v>
      </c>
      <c r="J346" s="7">
        <f>LOOKUP(I346,{0,15,17,19,21,23,25,27,29,31,33,35,37,39,41,43,45,48,51,53,55},{0,10,20,30,40,50,60,62,64,66,68,70,72,74,76,78,80,85,90,95,100})</f>
        <v>72</v>
      </c>
      <c r="K346" s="5"/>
      <c r="L346" s="5"/>
      <c r="M346" s="5">
        <f t="shared" si="171"/>
        <v>72</v>
      </c>
      <c r="N346" s="5">
        <v>9.1</v>
      </c>
      <c r="O346" s="10">
        <f t="shared" si="172"/>
        <v>8.9</v>
      </c>
      <c r="P346" s="7">
        <f>LOOKUP(O346,{0,6.6,6.8,7,7.2,7.4,7.6,7.8,8,8.2,8.4,8.6,8.8,9,9.2,9.4,9.6,9.9,10.2,10.3,10.4},{0,10,20,30,40,50,60,62,64,66,68,70,72,74,76,78,80,85,90,95,100})</f>
        <v>72</v>
      </c>
      <c r="Q346" s="5">
        <v>3.49</v>
      </c>
      <c r="R346" s="10">
        <f t="shared" si="173"/>
        <v>6.51</v>
      </c>
      <c r="S346" s="7">
        <f>LOOKUP(R346,{0,4.74,4.84,4.94,5.44,5.54,5.64,5.69,5.74,5.79,5.84,5.89,5.94,5.99,6.44,6.49,6.54,6.61,6.68,6.74,6.8},{0,10,20,30,40,50,60,62,64,66,68,70,72,74,76,78,80,85,90,95,100})</f>
        <v>78</v>
      </c>
      <c r="T346" s="5"/>
      <c r="U346" s="5"/>
      <c r="V346" s="5">
        <f t="shared" si="174"/>
        <v>78</v>
      </c>
      <c r="W346" s="5"/>
      <c r="X346" s="13">
        <f t="shared" si="169"/>
        <v>52.2</v>
      </c>
      <c r="Y346" s="13">
        <f t="shared" si="175"/>
        <v>74.5714285714286</v>
      </c>
    </row>
    <row r="347" ht="15.6" hidden="1" outlineLevel="2" spans="1:25">
      <c r="A347" s="5">
        <v>308</v>
      </c>
      <c r="B347" s="5">
        <v>31</v>
      </c>
      <c r="C347" s="8" t="s">
        <v>385</v>
      </c>
      <c r="D347" s="9" t="s">
        <v>46</v>
      </c>
      <c r="E347" s="5">
        <v>24</v>
      </c>
      <c r="F347" s="7">
        <f>LOOKUP(E347,{0,1.5,2.3,3.1,3.9,4.7,5.5,6.8,8.1,9.4,10.7,12,13.3,14.6,15.9,17.2,18.5,20.2,21.9,23.6,25.3},{0,10,20,30,40,50,60,62,64,66,68,70,72,74,76,78,80,85,90,95,100})</f>
        <v>95</v>
      </c>
      <c r="G347" s="5">
        <v>188</v>
      </c>
      <c r="H347" s="7">
        <f>LOOKUP(G347,{0,125,130,135,140,145,150,153,156,159,162,165,168,171,174,177,180,187,194,200,206},{0,10,20,30,40,50,60,62,64,66,68,70,72,74,76,78,80,85,90,95,100})</f>
        <v>85</v>
      </c>
      <c r="I347" s="5">
        <v>46</v>
      </c>
      <c r="J347" s="7">
        <f>LOOKUP(I347,{0,15,17,19,21,23,25,27,29,31,33,35,37,39,41,43,45,48,51,53,55},{0,10,20,30,40,50,60,62,64,66,68,70,72,74,76,78,80,85,90,95,100})</f>
        <v>80</v>
      </c>
      <c r="K347" s="5"/>
      <c r="L347" s="5"/>
      <c r="M347" s="5">
        <f t="shared" si="171"/>
        <v>80</v>
      </c>
      <c r="N347" s="5">
        <v>8.9</v>
      </c>
      <c r="O347" s="10">
        <f t="shared" si="172"/>
        <v>9.1</v>
      </c>
      <c r="P347" s="7">
        <f>LOOKUP(O347,{0,6.6,6.8,7,7.2,7.4,7.6,7.8,8,8.2,8.4,8.6,8.8,9,9.2,9.4,9.6,9.9,10.2,10.3,10.4},{0,10,20,30,40,50,60,62,64,66,68,70,72,74,76,78,80,85,90,95,100})</f>
        <v>74</v>
      </c>
      <c r="Q347" s="5">
        <v>5.16</v>
      </c>
      <c r="R347" s="10">
        <f t="shared" si="173"/>
        <v>4.84</v>
      </c>
      <c r="S347" s="7">
        <f>LOOKUP(R347,{0,4.74,4.84,4.94,5.44,5.54,5.64,5.69,5.74,5.79,5.84,5.89,5.94,5.99,6.44,6.49,6.54,6.61,6.68,6.74,6.8},{0,10,20,30,40,50,60,62,64,66,68,70,72,74,76,78,80,85,90,95,100})</f>
        <v>20</v>
      </c>
      <c r="T347" s="5"/>
      <c r="U347" s="5"/>
      <c r="V347" s="5">
        <f t="shared" si="174"/>
        <v>20</v>
      </c>
      <c r="W347" s="5"/>
      <c r="X347" s="13">
        <f t="shared" si="169"/>
        <v>44.8</v>
      </c>
      <c r="Y347" s="13">
        <f t="shared" si="175"/>
        <v>64</v>
      </c>
    </row>
    <row r="348" ht="15.6" hidden="1" outlineLevel="2" spans="1:25">
      <c r="A348" s="5">
        <v>308</v>
      </c>
      <c r="B348" s="5">
        <v>32</v>
      </c>
      <c r="C348" s="9" t="s">
        <v>386</v>
      </c>
      <c r="D348" s="9" t="s">
        <v>46</v>
      </c>
      <c r="E348" s="5">
        <v>10</v>
      </c>
      <c r="F348" s="7">
        <f>LOOKUP(E348,{0,1.5,2.3,3.1,3.9,4.7,5.5,6.8,8.1,9.4,10.7,12,13.3,14.6,15.9,17.2,18.5,20.2,21.9,23.6,25.3},{0,10,20,30,40,50,60,62,64,66,68,70,72,74,76,78,80,85,90,95,100})</f>
        <v>66</v>
      </c>
      <c r="G348" s="5">
        <v>135</v>
      </c>
      <c r="H348" s="7">
        <f>LOOKUP(G348,{0,125,130,135,140,145,150,153,156,159,162,165,168,171,174,177,180,187,194,200,206},{0,10,20,30,40,50,60,62,64,66,68,70,72,74,76,78,80,85,90,95,100})</f>
        <v>30</v>
      </c>
      <c r="I348" s="5">
        <v>47</v>
      </c>
      <c r="J348" s="7">
        <f>LOOKUP(I348,{0,15,17,19,21,23,25,27,29,31,33,35,37,39,41,43,45,48,51,53,55},{0,10,20,30,40,50,60,62,64,66,68,70,72,74,76,78,80,85,90,95,100})</f>
        <v>80</v>
      </c>
      <c r="K348" s="5"/>
      <c r="L348" s="5"/>
      <c r="M348" s="5">
        <f t="shared" si="171"/>
        <v>80</v>
      </c>
      <c r="N348" s="5">
        <v>10.3</v>
      </c>
      <c r="O348" s="10">
        <f t="shared" si="172"/>
        <v>7.7</v>
      </c>
      <c r="P348" s="7">
        <f>LOOKUP(O348,{0,6.6,6.8,7,7.2,7.4,7.6,7.8,8,8.2,8.4,8.6,8.8,9,9.2,9.4,9.6,9.9,10.2,10.3,10.4},{0,10,20,30,40,50,60,62,64,66,68,70,72,74,76,78,80,85,90,95,100})</f>
        <v>60</v>
      </c>
      <c r="Q348" s="5">
        <v>5.24</v>
      </c>
      <c r="R348" s="10">
        <f t="shared" si="173"/>
        <v>4.76</v>
      </c>
      <c r="S348" s="7">
        <f>LOOKUP(R348,{0,4.74,4.84,4.94,5.44,5.54,5.64,5.69,5.74,5.79,5.84,5.89,5.94,5.99,6.44,6.49,6.54,6.61,6.68,6.74,6.8},{0,10,20,30,40,50,60,62,64,66,68,70,72,74,76,78,80,85,90,95,100})</f>
        <v>10</v>
      </c>
      <c r="T348" s="5"/>
      <c r="U348" s="5"/>
      <c r="V348" s="5">
        <f t="shared" si="174"/>
        <v>10</v>
      </c>
      <c r="W348" s="5"/>
      <c r="X348" s="13">
        <f t="shared" si="169"/>
        <v>31.6</v>
      </c>
      <c r="Y348" s="13">
        <f t="shared" si="175"/>
        <v>45.1428571428571</v>
      </c>
    </row>
    <row r="349" ht="15.6" hidden="1" outlineLevel="2" spans="1:25">
      <c r="A349" s="5">
        <v>308</v>
      </c>
      <c r="B349" s="5">
        <v>33</v>
      </c>
      <c r="C349" s="9" t="s">
        <v>387</v>
      </c>
      <c r="D349" s="9" t="s">
        <v>46</v>
      </c>
      <c r="E349" s="5">
        <v>17</v>
      </c>
      <c r="F349" s="7">
        <f>LOOKUP(E349,{0,1.5,2.3,3.1,3.9,4.7,5.5,6.8,8.1,9.4,10.7,12,13.3,14.6,15.9,17.2,18.5,20.2,21.9,23.6,25.3},{0,10,20,30,40,50,60,62,64,66,68,70,72,74,76,78,80,85,90,95,100})</f>
        <v>76</v>
      </c>
      <c r="G349" s="5">
        <v>150</v>
      </c>
      <c r="H349" s="7">
        <f>LOOKUP(G349,{0,125,130,135,140,145,150,153,156,159,162,165,168,171,174,177,180,187,194,200,206},{0,10,20,30,40,50,60,62,64,66,68,70,72,74,76,78,80,85,90,95,100})</f>
        <v>60</v>
      </c>
      <c r="I349" s="5">
        <v>36</v>
      </c>
      <c r="J349" s="7">
        <f>LOOKUP(I349,{0,15,17,19,21,23,25,27,29,31,33,35,37,39,41,43,45,48,51,53,55},{0,10,20,30,40,50,60,62,64,66,68,70,72,74,76,78,80,85,90,95,100})</f>
        <v>70</v>
      </c>
      <c r="K349" s="5"/>
      <c r="L349" s="5"/>
      <c r="M349" s="5">
        <f t="shared" si="171"/>
        <v>70</v>
      </c>
      <c r="N349" s="5">
        <v>10</v>
      </c>
      <c r="O349" s="10">
        <f t="shared" si="172"/>
        <v>8</v>
      </c>
      <c r="P349" s="7">
        <f>LOOKUP(O349,{0,6.6,6.8,7,7.2,7.4,7.6,7.8,8,8.2,8.4,8.6,8.8,9,9.2,9.4,9.6,9.9,10.2,10.3,10.4},{0,10,20,30,40,50,60,62,64,66,68,70,72,74,76,78,80,85,90,95,100})</f>
        <v>64</v>
      </c>
      <c r="Q349" s="5">
        <v>4.58</v>
      </c>
      <c r="R349" s="10">
        <f t="shared" si="173"/>
        <v>5.42</v>
      </c>
      <c r="S349" s="7">
        <f>LOOKUP(R349,{0,4.74,4.84,4.94,5.44,5.54,5.64,5.69,5.74,5.79,5.84,5.89,5.94,5.99,6.44,6.49,6.54,6.61,6.68,6.74,6.8},{0,10,20,30,40,50,60,62,64,66,68,70,72,74,76,78,80,85,90,95,100})</f>
        <v>30</v>
      </c>
      <c r="T349" s="5"/>
      <c r="U349" s="5"/>
      <c r="V349" s="5">
        <f t="shared" si="174"/>
        <v>30</v>
      </c>
      <c r="W349" s="5"/>
      <c r="X349" s="13">
        <f t="shared" si="169"/>
        <v>39.4</v>
      </c>
      <c r="Y349" s="13">
        <f t="shared" si="175"/>
        <v>56.2857142857143</v>
      </c>
    </row>
    <row r="350" ht="15.6" hidden="1" outlineLevel="2" spans="1:25">
      <c r="A350" s="5">
        <v>308</v>
      </c>
      <c r="B350" s="5">
        <v>34</v>
      </c>
      <c r="C350" s="9" t="s">
        <v>388</v>
      </c>
      <c r="D350" s="9" t="s">
        <v>46</v>
      </c>
      <c r="E350" s="5">
        <v>7.5</v>
      </c>
      <c r="F350" s="7">
        <f>LOOKUP(E350,{0,1.5,2.3,3.1,3.9,4.7,5.5,6.8,8.1,9.4,10.7,12,13.3,14.6,15.9,17.2,18.5,20.2,21.9,23.6,25.3},{0,10,20,30,40,50,60,62,64,66,68,70,72,74,76,78,80,85,90,95,100})</f>
        <v>62</v>
      </c>
      <c r="G350" s="5">
        <v>172</v>
      </c>
      <c r="H350" s="7">
        <f>LOOKUP(G350,{0,125,130,135,140,145,150,153,156,159,162,165,168,171,174,177,180,187,194,200,206},{0,10,20,30,40,50,60,62,64,66,68,70,72,74,76,78,80,85,90,95,100})</f>
        <v>74</v>
      </c>
      <c r="I350" s="5">
        <v>55</v>
      </c>
      <c r="J350" s="7">
        <f>LOOKUP(I350,{0,15,17,19,21,23,25,27,29,31,33,35,37,39,41,43,45,48,51,53,55},{0,10,20,30,40,50,60,62,64,66,68,70,72,74,76,78,80,85,90,95,100})</f>
        <v>100</v>
      </c>
      <c r="K350" s="5"/>
      <c r="L350" s="5"/>
      <c r="M350" s="5">
        <f t="shared" si="171"/>
        <v>100</v>
      </c>
      <c r="N350" s="5">
        <v>9.5</v>
      </c>
      <c r="O350" s="10">
        <f t="shared" si="172"/>
        <v>8.5</v>
      </c>
      <c r="P350" s="7">
        <f>LOOKUP(O350,{0,6.6,6.8,7,7.2,7.4,7.6,7.8,8,8.2,8.4,8.6,8.8,9,9.2,9.4,9.6,9.9,10.2,10.3,10.4},{0,10,20,30,40,50,60,62,64,66,68,70,72,74,76,78,80,85,90,95,100})</f>
        <v>68</v>
      </c>
      <c r="Q350" s="5">
        <v>4.27</v>
      </c>
      <c r="R350" s="10">
        <f t="shared" si="173"/>
        <v>5.73</v>
      </c>
      <c r="S350" s="7">
        <f>LOOKUP(R350,{0,4.74,4.84,4.94,5.44,5.54,5.64,5.69,5.74,5.79,5.84,5.89,5.94,5.99,6.44,6.49,6.54,6.61,6.68,6.74,6.8},{0,10,20,30,40,50,60,62,64,66,68,70,72,74,76,78,80,85,90,95,100})</f>
        <v>62</v>
      </c>
      <c r="T350" s="5"/>
      <c r="U350" s="5"/>
      <c r="V350" s="5">
        <f t="shared" si="174"/>
        <v>62</v>
      </c>
      <c r="W350" s="5"/>
      <c r="X350" s="13">
        <f t="shared" si="169"/>
        <v>49.6</v>
      </c>
      <c r="Y350" s="13">
        <f t="shared" si="175"/>
        <v>70.8571428571429</v>
      </c>
    </row>
    <row r="351" ht="15.6" hidden="1" outlineLevel="2" spans="1:25">
      <c r="A351" s="5">
        <v>308</v>
      </c>
      <c r="B351" s="5">
        <v>35</v>
      </c>
      <c r="C351" s="9" t="s">
        <v>389</v>
      </c>
      <c r="D351" s="9" t="s">
        <v>46</v>
      </c>
      <c r="E351" s="5">
        <v>18</v>
      </c>
      <c r="F351" s="7">
        <f>LOOKUP(E351,{0,1.5,2.3,3.1,3.9,4.7,5.5,6.8,8.1,9.4,10.7,12,13.3,14.6,15.9,17.2,18.5,20.2,21.9,23.6,25.3},{0,10,20,30,40,50,60,62,64,66,68,70,72,74,76,78,80,85,90,95,100})</f>
        <v>78</v>
      </c>
      <c r="G351" s="5">
        <v>152</v>
      </c>
      <c r="H351" s="7">
        <f>LOOKUP(G351,{0,125,130,135,140,145,150,153,156,159,162,165,168,171,174,177,180,187,194,200,206},{0,10,20,30,40,50,60,62,64,66,68,70,72,74,76,78,80,85,90,95,100})</f>
        <v>60</v>
      </c>
      <c r="I351" s="5">
        <v>45</v>
      </c>
      <c r="J351" s="7">
        <f>LOOKUP(I351,{0,15,17,19,21,23,25,27,29,31,33,35,37,39,41,43,45,48,51,53,55},{0,10,20,30,40,50,60,62,64,66,68,70,72,74,76,78,80,85,90,95,100})</f>
        <v>80</v>
      </c>
      <c r="K351" s="5"/>
      <c r="L351" s="5"/>
      <c r="M351" s="5">
        <f t="shared" si="171"/>
        <v>80</v>
      </c>
      <c r="N351" s="5">
        <v>9.2</v>
      </c>
      <c r="O351" s="10">
        <f t="shared" si="172"/>
        <v>8.8</v>
      </c>
      <c r="P351" s="7">
        <f>LOOKUP(O351,{0,6.6,6.8,7,7.2,7.4,7.6,7.8,8,8.2,8.4,8.6,8.8,9,9.2,9.4,9.6,9.9,10.2,10.3,10.4},{0,10,20,30,40,50,60,62,64,66,68,70,72,74,76,78,80,85,90,95,100})</f>
        <v>72</v>
      </c>
      <c r="Q351" s="5">
        <v>4.1</v>
      </c>
      <c r="R351" s="10">
        <f t="shared" si="173"/>
        <v>5.9</v>
      </c>
      <c r="S351" s="7">
        <f>LOOKUP(R351,{0,4.74,4.84,4.94,5.44,5.54,5.64,5.69,5.74,5.79,5.84,5.89,5.94,5.99,6.44,6.49,6.54,6.61,6.68,6.74,6.8},{0,10,20,30,40,50,60,62,64,66,68,70,72,74,76,78,80,85,90,95,100})</f>
        <v>70</v>
      </c>
      <c r="T351" s="5"/>
      <c r="U351" s="5"/>
      <c r="V351" s="5">
        <f t="shared" si="174"/>
        <v>70</v>
      </c>
      <c r="W351" s="5"/>
      <c r="X351" s="13">
        <f t="shared" si="169"/>
        <v>50.2</v>
      </c>
      <c r="Y351" s="13">
        <f t="shared" si="175"/>
        <v>71.7142857142857</v>
      </c>
    </row>
    <row r="352" ht="15.6" hidden="1" outlineLevel="2" spans="1:25">
      <c r="A352" s="5">
        <v>308</v>
      </c>
      <c r="B352" s="5">
        <v>36</v>
      </c>
      <c r="C352" s="9" t="s">
        <v>390</v>
      </c>
      <c r="D352" s="9" t="s">
        <v>46</v>
      </c>
      <c r="E352" s="5">
        <v>24</v>
      </c>
      <c r="F352" s="7">
        <f>LOOKUP(E352,{0,1.5,2.3,3.1,3.9,4.7,5.5,6.8,8.1,9.4,10.7,12,13.3,14.6,15.9,17.2,18.5,20.2,21.9,23.6,25.3},{0,10,20,30,40,50,60,62,64,66,68,70,72,74,76,78,80,85,90,95,100})</f>
        <v>95</v>
      </c>
      <c r="G352" s="5">
        <v>174</v>
      </c>
      <c r="H352" s="7">
        <f>LOOKUP(G352,{0,125,130,135,140,145,150,153,156,159,162,165,168,171,174,177,180,187,194,200,206},{0,10,20,30,40,50,60,62,64,66,68,70,72,74,76,78,80,85,90,95,100})</f>
        <v>76</v>
      </c>
      <c r="I352" s="5">
        <v>42</v>
      </c>
      <c r="J352" s="7">
        <f>LOOKUP(I352,{0,15,17,19,21,23,25,27,29,31,33,35,37,39,41,43,45,48,51,53,55},{0,10,20,30,40,50,60,62,64,66,68,70,72,74,76,78,80,85,90,95,100})</f>
        <v>76</v>
      </c>
      <c r="K352" s="5"/>
      <c r="L352" s="5"/>
      <c r="M352" s="5">
        <f t="shared" si="171"/>
        <v>76</v>
      </c>
      <c r="N352" s="5">
        <v>9.4</v>
      </c>
      <c r="O352" s="10">
        <f t="shared" si="172"/>
        <v>8.6</v>
      </c>
      <c r="P352" s="7">
        <f>LOOKUP(O352,{0,6.6,6.8,7,7.2,7.4,7.6,7.8,8,8.2,8.4,8.6,8.8,9,9.2,9.4,9.6,9.9,10.2,10.3,10.4},{0,10,20,30,40,50,60,62,64,66,68,70,72,74,76,78,80,85,90,95,100})</f>
        <v>70</v>
      </c>
      <c r="Q352" s="5">
        <v>4.56</v>
      </c>
      <c r="R352" s="10">
        <f t="shared" si="173"/>
        <v>5.44</v>
      </c>
      <c r="S352" s="7">
        <f>LOOKUP(R352,{0,4.74,4.84,4.94,5.44,5.54,5.64,5.69,5.74,5.79,5.84,5.89,5.94,5.99,6.44,6.49,6.54,6.61,6.68,6.74,6.8},{0,10,20,30,40,50,60,62,64,66,68,70,72,74,76,78,80,85,90,95,100})</f>
        <v>40</v>
      </c>
      <c r="T352" s="5"/>
      <c r="U352" s="5"/>
      <c r="V352" s="5">
        <f t="shared" si="174"/>
        <v>40</v>
      </c>
      <c r="W352" s="5"/>
      <c r="X352" s="13">
        <f t="shared" si="169"/>
        <v>46.7</v>
      </c>
      <c r="Y352" s="13">
        <f t="shared" si="175"/>
        <v>66.7142857142857</v>
      </c>
    </row>
    <row r="353" ht="15.6" hidden="1" outlineLevel="2" spans="1:25">
      <c r="A353" s="5">
        <v>308</v>
      </c>
      <c r="B353" s="5">
        <v>37</v>
      </c>
      <c r="C353" s="9" t="s">
        <v>391</v>
      </c>
      <c r="D353" s="9" t="s">
        <v>46</v>
      </c>
      <c r="E353" s="5">
        <v>11</v>
      </c>
      <c r="F353" s="7">
        <f>LOOKUP(E353,{0,1.5,2.3,3.1,3.9,4.7,5.5,6.8,8.1,9.4,10.7,12,13.3,14.6,15.9,17.2,18.5,20.2,21.9,23.6,25.3},{0,10,20,30,40,50,60,62,64,66,68,70,72,74,76,78,80,85,90,95,100})</f>
        <v>68</v>
      </c>
      <c r="G353" s="5">
        <v>156</v>
      </c>
      <c r="H353" s="7">
        <f>LOOKUP(G353,{0,125,130,135,140,145,150,153,156,159,162,165,168,171,174,177,180,187,194,200,206},{0,10,20,30,40,50,60,62,64,66,68,70,72,74,76,78,80,85,90,95,100})</f>
        <v>64</v>
      </c>
      <c r="I353" s="5">
        <v>31</v>
      </c>
      <c r="J353" s="7">
        <f>LOOKUP(I353,{0,15,17,19,21,23,25,27,29,31,33,35,37,39,41,43,45,48,51,53,55},{0,10,20,30,40,50,60,62,64,66,68,70,72,74,76,78,80,85,90,95,100})</f>
        <v>66</v>
      </c>
      <c r="K353" s="5"/>
      <c r="L353" s="5"/>
      <c r="M353" s="5">
        <f t="shared" si="171"/>
        <v>66</v>
      </c>
      <c r="N353" s="5">
        <v>9.6</v>
      </c>
      <c r="O353" s="10">
        <f t="shared" si="172"/>
        <v>8.4</v>
      </c>
      <c r="P353" s="7">
        <f>LOOKUP(O353,{0,6.6,6.8,7,7.2,7.4,7.6,7.8,8,8.2,8.4,8.6,8.8,9,9.2,9.4,9.6,9.9,10.2,10.3,10.4},{0,10,20,30,40,50,60,62,64,66,68,70,72,74,76,78,80,85,90,95,100})</f>
        <v>68</v>
      </c>
      <c r="Q353" s="5">
        <v>5.01</v>
      </c>
      <c r="R353" s="10">
        <f t="shared" si="173"/>
        <v>4.99</v>
      </c>
      <c r="S353" s="7">
        <f>LOOKUP(R353,{0,4.74,4.84,4.94,5.44,5.54,5.64,5.69,5.74,5.79,5.84,5.89,5.94,5.99,6.44,6.49,6.54,6.61,6.68,6.74,6.8},{0,10,20,30,40,50,60,62,64,66,68,70,72,74,76,78,80,85,90,95,100})</f>
        <v>30</v>
      </c>
      <c r="T353" s="5"/>
      <c r="U353" s="5"/>
      <c r="V353" s="5">
        <f t="shared" si="174"/>
        <v>30</v>
      </c>
      <c r="W353" s="5"/>
      <c r="X353" s="13">
        <f t="shared" si="169"/>
        <v>39.4</v>
      </c>
      <c r="Y353" s="13">
        <f t="shared" si="175"/>
        <v>56.2857142857143</v>
      </c>
    </row>
    <row r="354" ht="15.6" hidden="1" outlineLevel="2" spans="1:25">
      <c r="A354" s="5">
        <v>308</v>
      </c>
      <c r="B354" s="5">
        <v>38</v>
      </c>
      <c r="C354" s="9" t="s">
        <v>392</v>
      </c>
      <c r="D354" s="9" t="s">
        <v>46</v>
      </c>
      <c r="E354" s="5">
        <v>16</v>
      </c>
      <c r="F354" s="7">
        <f>LOOKUP(E354,{0,1.5,2.3,3.1,3.9,4.7,5.5,6.8,8.1,9.4,10.7,12,13.3,14.6,15.9,17.2,18.5,20.2,21.9,23.6,25.3},{0,10,20,30,40,50,60,62,64,66,68,70,72,74,76,78,80,85,90,95,100})</f>
        <v>76</v>
      </c>
      <c r="G354" s="5">
        <v>155</v>
      </c>
      <c r="H354" s="7">
        <f>LOOKUP(G354,{0,125,130,135,140,145,150,153,156,159,162,165,168,171,174,177,180,187,194,200,206},{0,10,20,30,40,50,60,62,64,66,68,70,72,74,76,78,80,85,90,95,100})</f>
        <v>62</v>
      </c>
      <c r="I354" s="5">
        <v>37</v>
      </c>
      <c r="J354" s="7">
        <f>LOOKUP(I354,{0,15,17,19,21,23,25,27,29,31,33,35,37,39,41,43,45,48,51,53,55},{0,10,20,30,40,50,60,62,64,66,68,70,72,74,76,78,80,85,90,95,100})</f>
        <v>72</v>
      </c>
      <c r="K354" s="5"/>
      <c r="L354" s="5"/>
      <c r="M354" s="5">
        <f t="shared" si="171"/>
        <v>72</v>
      </c>
      <c r="N354" s="5">
        <v>10.5</v>
      </c>
      <c r="O354" s="10">
        <f t="shared" si="172"/>
        <v>7.5</v>
      </c>
      <c r="P354" s="7">
        <f>LOOKUP(O354,{0,6.6,6.8,7,7.2,7.4,7.6,7.8,8,8.2,8.4,8.6,8.8,9,9.2,9.4,9.6,9.9,10.2,10.3,10.4},{0,10,20,30,40,50,60,62,64,66,68,70,72,74,76,78,80,85,90,95,100})</f>
        <v>50</v>
      </c>
      <c r="Q354" s="5">
        <v>4.29</v>
      </c>
      <c r="R354" s="10">
        <f t="shared" si="173"/>
        <v>5.71</v>
      </c>
      <c r="S354" s="7">
        <f>LOOKUP(R354,{0,4.74,4.84,4.94,5.44,5.54,5.64,5.69,5.74,5.79,5.84,5.89,5.94,5.99,6.44,6.49,6.54,6.61,6.68,6.74,6.8},{0,10,20,30,40,50,60,62,64,66,68,70,72,74,76,78,80,85,90,95,100})</f>
        <v>62</v>
      </c>
      <c r="T354" s="5"/>
      <c r="U354" s="5"/>
      <c r="V354" s="5">
        <f t="shared" si="174"/>
        <v>62</v>
      </c>
      <c r="W354" s="5"/>
      <c r="X354" s="13">
        <f t="shared" si="169"/>
        <v>43.4</v>
      </c>
      <c r="Y354" s="13">
        <f t="shared" si="175"/>
        <v>62</v>
      </c>
    </row>
    <row r="355" ht="15.6" hidden="1" outlineLevel="2" spans="1:25">
      <c r="A355" s="5">
        <v>308</v>
      </c>
      <c r="B355" s="5">
        <v>39</v>
      </c>
      <c r="C355" s="9" t="s">
        <v>393</v>
      </c>
      <c r="D355" s="9" t="s">
        <v>46</v>
      </c>
      <c r="E355" s="5">
        <v>20</v>
      </c>
      <c r="F355" s="7">
        <f>LOOKUP(E355,{0,1.5,2.3,3.1,3.9,4.7,5.5,6.8,8.1,9.4,10.7,12,13.3,14.6,15.9,17.2,18.5,20.2,21.9,23.6,25.3},{0,10,20,30,40,50,60,62,64,66,68,70,72,74,76,78,80,85,90,95,100})</f>
        <v>80</v>
      </c>
      <c r="G355" s="5">
        <v>196</v>
      </c>
      <c r="H355" s="7">
        <f>LOOKUP(G355,{0,125,130,135,140,145,150,153,156,159,162,165,168,171,174,177,180,187,194,200,206},{0,10,20,30,40,50,60,62,64,66,68,70,72,74,76,78,80,85,90,95,100})</f>
        <v>90</v>
      </c>
      <c r="I355" s="5">
        <v>49</v>
      </c>
      <c r="J355" s="7">
        <f>LOOKUP(I355,{0,15,17,19,21,23,25,27,29,31,33,35,37,39,41,43,45,48,51,53,55},{0,10,20,30,40,50,60,62,64,66,68,70,72,74,76,78,80,85,90,95,100})</f>
        <v>85</v>
      </c>
      <c r="K355" s="5"/>
      <c r="L355" s="5"/>
      <c r="M355" s="5">
        <f t="shared" si="171"/>
        <v>85</v>
      </c>
      <c r="N355" s="5">
        <v>8</v>
      </c>
      <c r="O355" s="10">
        <f t="shared" si="172"/>
        <v>10</v>
      </c>
      <c r="P355" s="7">
        <f>LOOKUP(O355,{0,6.6,6.8,7,7.2,7.4,7.6,7.8,8,8.2,8.4,8.6,8.8,9,9.2,9.4,9.6,9.9,10.2,10.3,10.4},{0,10,20,30,40,50,60,62,64,66,68,70,72,74,76,78,80,85,90,95,100})</f>
        <v>85</v>
      </c>
      <c r="Q355" s="5">
        <v>3.31</v>
      </c>
      <c r="R355" s="10">
        <f t="shared" si="173"/>
        <v>6.69</v>
      </c>
      <c r="S355" s="7">
        <f>LOOKUP(R355,{0,4.74,4.84,4.94,5.44,5.54,5.64,5.69,5.74,5.79,5.84,5.89,5.94,5.99,6.44,6.49,6.54,6.61,6.68,6.74,6.8},{0,10,20,30,40,50,60,62,64,66,68,70,72,74,76,78,80,85,90,95,100})</f>
        <v>90</v>
      </c>
      <c r="T355" s="5"/>
      <c r="U355" s="5"/>
      <c r="V355" s="5">
        <f t="shared" si="174"/>
        <v>90</v>
      </c>
      <c r="W355" s="5"/>
      <c r="X355" s="13">
        <f t="shared" si="169"/>
        <v>60.5</v>
      </c>
      <c r="Y355" s="13">
        <f t="shared" si="175"/>
        <v>86.4285714285714</v>
      </c>
    </row>
    <row r="356" ht="15.6" hidden="1" outlineLevel="2" spans="1:25">
      <c r="A356" s="5">
        <v>308</v>
      </c>
      <c r="B356" s="5">
        <v>40</v>
      </c>
      <c r="C356" s="8" t="s">
        <v>395</v>
      </c>
      <c r="D356" s="9" t="s">
        <v>46</v>
      </c>
      <c r="E356" s="5">
        <v>12.7</v>
      </c>
      <c r="F356" s="7">
        <f>LOOKUP(E356,{0,1.5,2.3,3.1,3.9,4.7,5.5,6.8,8.1,9.4,10.7,12,13.3,14.6,15.9,17.2,18.5,20.2,21.9,23.6,25.3},{0,10,20,30,40,50,60,62,64,66,68,70,72,74,76,78,80,85,90,95,100})</f>
        <v>70</v>
      </c>
      <c r="G356" s="5">
        <v>162</v>
      </c>
      <c r="H356" s="7">
        <f>LOOKUP(G356,{0,125,130,135,140,145,150,153,156,159,162,165,168,171,174,177,180,187,194,200,206},{0,10,20,30,40,50,60,62,64,66,68,70,72,74,76,78,80,85,90,95,100})</f>
        <v>68</v>
      </c>
      <c r="I356" s="5" t="s">
        <v>77</v>
      </c>
      <c r="J356" s="7"/>
      <c r="K356" s="5"/>
      <c r="L356" s="5"/>
      <c r="M356" s="5"/>
      <c r="N356" s="5" t="s">
        <v>77</v>
      </c>
      <c r="O356" s="5"/>
      <c r="P356" s="5"/>
      <c r="Q356" s="5" t="s">
        <v>77</v>
      </c>
      <c r="R356" s="5"/>
      <c r="S356" s="5"/>
      <c r="T356" s="5"/>
      <c r="U356" s="5"/>
      <c r="V356" s="5"/>
      <c r="W356" s="14">
        <v>50</v>
      </c>
      <c r="X356" s="13">
        <f t="shared" si="169"/>
        <v>13.8</v>
      </c>
      <c r="Y356" s="13">
        <v>50</v>
      </c>
    </row>
    <row r="357" ht="15.6" hidden="1" outlineLevel="2" spans="1:25">
      <c r="A357" s="5">
        <v>308</v>
      </c>
      <c r="B357" s="5">
        <v>41</v>
      </c>
      <c r="C357" s="9" t="s">
        <v>396</v>
      </c>
      <c r="D357" s="9" t="s">
        <v>46</v>
      </c>
      <c r="E357" s="5">
        <v>12.3</v>
      </c>
      <c r="F357" s="7">
        <f>LOOKUP(E357,{0,1.5,2.3,3.1,3.9,4.7,5.5,6.8,8.1,9.4,10.7,12,13.3,14.6,15.9,17.2,18.5,20.2,21.9,23.6,25.3},{0,10,20,30,40,50,60,62,64,66,68,70,72,74,76,78,80,85,90,95,100})</f>
        <v>70</v>
      </c>
      <c r="G357" s="5">
        <v>177</v>
      </c>
      <c r="H357" s="7">
        <f>LOOKUP(G357,{0,125,130,135,140,145,150,153,156,159,162,165,168,171,174,177,180,187,194,200,206},{0,10,20,30,40,50,60,62,64,66,68,70,72,74,76,78,80,85,90,95,100})</f>
        <v>78</v>
      </c>
      <c r="I357" s="5">
        <v>46</v>
      </c>
      <c r="J357" s="7">
        <f>LOOKUP(I357,{0,15,17,19,21,23,25,27,29,31,33,35,37,39,41,43,45,48,51,53,55},{0,10,20,30,40,50,60,62,64,66,68,70,72,74,76,78,80,85,90,95,100})</f>
        <v>80</v>
      </c>
      <c r="K357" s="5"/>
      <c r="L357" s="5"/>
      <c r="M357" s="5">
        <f t="shared" ref="M357:M361" si="176">J357+L357</f>
        <v>80</v>
      </c>
      <c r="N357" s="5">
        <v>9.4</v>
      </c>
      <c r="O357" s="10">
        <f t="shared" ref="O357:O361" si="177">18-N357</f>
        <v>8.6</v>
      </c>
      <c r="P357" s="7">
        <f>LOOKUP(O357,{0,6.6,6.8,7,7.2,7.4,7.6,7.8,8,8.2,8.4,8.6,8.8,9,9.2,9.4,9.6,9.9,10.2,10.3,10.4},{0,10,20,30,40,50,60,62,64,66,68,70,72,74,76,78,80,85,90,95,100})</f>
        <v>70</v>
      </c>
      <c r="Q357" s="5">
        <v>4.533</v>
      </c>
      <c r="R357" s="10">
        <f t="shared" ref="R357:R361" si="178">10-Q357</f>
        <v>5.467</v>
      </c>
      <c r="S357" s="7">
        <f>LOOKUP(R357,{0,4.74,4.84,4.94,5.44,5.54,5.64,5.69,5.74,5.79,5.84,5.89,5.94,5.99,6.44,6.49,6.54,6.61,6.68,6.74,6.8},{0,10,20,30,40,50,60,62,64,66,68,70,72,74,76,78,80,85,90,95,100})</f>
        <v>40</v>
      </c>
      <c r="T357" s="5"/>
      <c r="U357" s="5"/>
      <c r="V357" s="5">
        <f t="shared" ref="V357:V361" si="179">S357+U357</f>
        <v>40</v>
      </c>
      <c r="W357" s="5"/>
      <c r="X357" s="13">
        <f t="shared" si="169"/>
        <v>44.8</v>
      </c>
      <c r="Y357" s="13">
        <f t="shared" ref="Y357:Y361" si="180">X357/0.7+L357+U357</f>
        <v>64</v>
      </c>
    </row>
    <row r="358" ht="15.6" hidden="1" outlineLevel="2" spans="1:25">
      <c r="A358" s="5">
        <v>308</v>
      </c>
      <c r="B358" s="5">
        <v>42</v>
      </c>
      <c r="C358" s="9" t="s">
        <v>397</v>
      </c>
      <c r="D358" s="9" t="s">
        <v>46</v>
      </c>
      <c r="E358" s="5">
        <v>22.8</v>
      </c>
      <c r="F358" s="7">
        <f>LOOKUP(E358,{0,1.5,2.3,3.1,3.9,4.7,5.5,6.8,8.1,9.4,10.7,12,13.3,14.6,15.9,17.2,18.5,20.2,21.9,23.6,25.3},{0,10,20,30,40,50,60,62,64,66,68,70,72,74,76,78,80,85,90,95,100})</f>
        <v>90</v>
      </c>
      <c r="G358" s="5">
        <v>164</v>
      </c>
      <c r="H358" s="7">
        <f>LOOKUP(G358,{0,125,130,135,140,145,150,153,156,159,162,165,168,171,174,177,180,187,194,200,206},{0,10,20,30,40,50,60,62,64,66,68,70,72,74,76,78,80,85,90,95,100})</f>
        <v>68</v>
      </c>
      <c r="I358" s="5">
        <v>52</v>
      </c>
      <c r="J358" s="7">
        <f>LOOKUP(I358,{0,15,17,19,21,23,25,27,29,31,33,35,37,39,41,43,45,48,51,53,55},{0,10,20,30,40,50,60,62,64,66,68,70,72,74,76,78,80,85,90,95,100})</f>
        <v>90</v>
      </c>
      <c r="K358" s="5"/>
      <c r="L358" s="5"/>
      <c r="M358" s="5">
        <f t="shared" si="176"/>
        <v>90</v>
      </c>
      <c r="N358" s="5">
        <v>8.9</v>
      </c>
      <c r="O358" s="10">
        <f t="shared" si="177"/>
        <v>9.1</v>
      </c>
      <c r="P358" s="7">
        <f>LOOKUP(O358,{0,6.6,6.8,7,7.2,7.4,7.6,7.8,8,8.2,8.4,8.6,8.8,9,9.2,9.4,9.6,9.9,10.2,10.3,10.4},{0,10,20,30,40,50,60,62,64,66,68,70,72,74,76,78,80,85,90,95,100})</f>
        <v>74</v>
      </c>
      <c r="Q358" s="5">
        <v>4.54</v>
      </c>
      <c r="R358" s="10">
        <f t="shared" si="178"/>
        <v>5.46</v>
      </c>
      <c r="S358" s="7">
        <f>LOOKUP(R358,{0,4.74,4.84,4.94,5.44,5.54,5.64,5.69,5.74,5.79,5.84,5.89,5.94,5.99,6.44,6.49,6.54,6.61,6.68,6.74,6.8},{0,10,20,30,40,50,60,62,64,66,68,70,72,74,76,78,80,85,90,95,100})</f>
        <v>40</v>
      </c>
      <c r="T358" s="5"/>
      <c r="U358" s="5"/>
      <c r="V358" s="5">
        <f t="shared" si="179"/>
        <v>40</v>
      </c>
      <c r="W358" s="5"/>
      <c r="X358" s="13">
        <f t="shared" si="169"/>
        <v>47.6</v>
      </c>
      <c r="Y358" s="13">
        <f t="shared" si="180"/>
        <v>68</v>
      </c>
    </row>
    <row r="359" ht="15.6" hidden="1" outlineLevel="2" spans="1:25">
      <c r="A359" s="5">
        <v>308</v>
      </c>
      <c r="B359" s="5">
        <v>43</v>
      </c>
      <c r="C359" s="9" t="s">
        <v>398</v>
      </c>
      <c r="D359" s="9" t="s">
        <v>46</v>
      </c>
      <c r="E359" s="5">
        <v>15.7</v>
      </c>
      <c r="F359" s="7">
        <f>LOOKUP(E359,{0,1.5,2.3,3.1,3.9,4.7,5.5,6.8,8.1,9.4,10.7,12,13.3,14.6,15.9,17.2,18.5,20.2,21.9,23.6,25.3},{0,10,20,30,40,50,60,62,64,66,68,70,72,74,76,78,80,85,90,95,100})</f>
        <v>74</v>
      </c>
      <c r="G359" s="5">
        <v>143</v>
      </c>
      <c r="H359" s="7">
        <f>LOOKUP(G359,{0,125,130,135,140,145,150,153,156,159,162,165,168,171,174,177,180,187,194,200,206},{0,10,20,30,40,50,60,62,64,66,68,70,72,74,76,78,80,85,90,95,100})</f>
        <v>40</v>
      </c>
      <c r="I359" s="5">
        <v>48</v>
      </c>
      <c r="J359" s="7">
        <f>LOOKUP(I359,{0,15,17,19,21,23,25,27,29,31,33,35,37,39,41,43,45,48,51,53,55},{0,10,20,30,40,50,60,62,64,66,68,70,72,74,76,78,80,85,90,95,100})</f>
        <v>85</v>
      </c>
      <c r="K359" s="5"/>
      <c r="L359" s="5"/>
      <c r="M359" s="5">
        <f t="shared" si="176"/>
        <v>85</v>
      </c>
      <c r="N359" s="5">
        <v>10.1</v>
      </c>
      <c r="O359" s="10">
        <f t="shared" si="177"/>
        <v>7.9</v>
      </c>
      <c r="P359" s="7">
        <f>LOOKUP(O359,{0,6.6,6.8,7,7.2,7.4,7.6,7.8,8,8.2,8.4,8.6,8.8,9,9.2,9.4,9.6,9.9,10.2,10.3,10.4},{0,10,20,30,40,50,60,62,64,66,68,70,72,74,76,78,80,85,90,95,100})</f>
        <v>62</v>
      </c>
      <c r="Q359" s="5">
        <v>4.3</v>
      </c>
      <c r="R359" s="10">
        <f t="shared" si="178"/>
        <v>5.7</v>
      </c>
      <c r="S359" s="7">
        <f>LOOKUP(R359,{0,4.74,4.84,4.94,5.44,5.54,5.64,5.69,5.74,5.79,5.84,5.89,5.94,5.99,6.44,6.49,6.54,6.61,6.68,6.74,6.8},{0,10,20,30,40,50,60,62,64,66,68,70,72,74,76,78,80,85,90,95,100})</f>
        <v>62</v>
      </c>
      <c r="T359" s="5"/>
      <c r="U359" s="5"/>
      <c r="V359" s="5">
        <f t="shared" si="179"/>
        <v>62</v>
      </c>
      <c r="W359" s="5"/>
      <c r="X359" s="13">
        <f t="shared" si="169"/>
        <v>44.7</v>
      </c>
      <c r="Y359" s="13">
        <f t="shared" si="180"/>
        <v>63.8571428571429</v>
      </c>
    </row>
    <row r="360" ht="15.6" hidden="1" outlineLevel="2" spans="1:25">
      <c r="A360" s="5">
        <v>308</v>
      </c>
      <c r="B360" s="5">
        <v>44</v>
      </c>
      <c r="C360" s="9" t="s">
        <v>399</v>
      </c>
      <c r="D360" s="9" t="s">
        <v>46</v>
      </c>
      <c r="E360" s="5">
        <v>21.7</v>
      </c>
      <c r="F360" s="7">
        <f>LOOKUP(E360,{0,1.5,2.3,3.1,3.9,4.7,5.5,6.8,8.1,9.4,10.7,12,13.3,14.6,15.9,17.2,18.5,20.2,21.9,23.6,25.3},{0,10,20,30,40,50,60,62,64,66,68,70,72,74,76,78,80,85,90,95,100})</f>
        <v>85</v>
      </c>
      <c r="G360" s="5">
        <v>162</v>
      </c>
      <c r="H360" s="7">
        <f>LOOKUP(G360,{0,125,130,135,140,145,150,153,156,159,162,165,168,171,174,177,180,187,194,200,206},{0,10,20,30,40,50,60,62,64,66,68,70,72,74,76,78,80,85,90,95,100})</f>
        <v>68</v>
      </c>
      <c r="I360" s="5">
        <v>58</v>
      </c>
      <c r="J360" s="7">
        <f>LOOKUP(I360,{0,15,17,19,21,23,25,27,29,31,33,35,37,39,41,43,45,48,51,53,55},{0,10,20,30,40,50,60,62,64,66,68,70,72,74,76,78,80,85,90,95,100})</f>
        <v>100</v>
      </c>
      <c r="K360" s="11">
        <f>I360-55</f>
        <v>3</v>
      </c>
      <c r="L360" s="7">
        <f>LOOKUP(K360,{0,2,4,6,7,8,9,10,11,12,13},{0,1,2,3,4,5,6,7,8,9,10})</f>
        <v>1</v>
      </c>
      <c r="M360" s="5">
        <f t="shared" si="176"/>
        <v>101</v>
      </c>
      <c r="N360" s="5">
        <v>9.6</v>
      </c>
      <c r="O360" s="10">
        <f t="shared" si="177"/>
        <v>8.4</v>
      </c>
      <c r="P360" s="7">
        <f>LOOKUP(O360,{0,6.6,6.8,7,7.2,7.4,7.6,7.8,8,8.2,8.4,8.6,8.8,9,9.2,9.4,9.6,9.9,10.2,10.3,10.4},{0,10,20,30,40,50,60,62,64,66,68,70,72,74,76,78,80,85,90,95,100})</f>
        <v>68</v>
      </c>
      <c r="Q360" s="5">
        <v>4.57</v>
      </c>
      <c r="R360" s="10">
        <f t="shared" si="178"/>
        <v>5.43</v>
      </c>
      <c r="S360" s="7">
        <f>LOOKUP(R360,{0,4.74,4.84,4.94,5.44,5.54,5.64,5.69,5.74,5.79,5.84,5.89,5.94,5.99,6.44,6.49,6.54,6.61,6.68,6.74,6.8},{0,10,20,30,40,50,60,62,64,66,68,70,72,74,76,78,80,85,90,95,100})</f>
        <v>30</v>
      </c>
      <c r="T360" s="5"/>
      <c r="U360" s="5"/>
      <c r="V360" s="5">
        <f t="shared" si="179"/>
        <v>30</v>
      </c>
      <c r="W360" s="5"/>
      <c r="X360" s="13">
        <f t="shared" si="169"/>
        <v>44.9</v>
      </c>
      <c r="Y360" s="13">
        <f t="shared" si="180"/>
        <v>65.1428571428572</v>
      </c>
    </row>
    <row r="361" ht="15.6" hidden="1" outlineLevel="2" spans="1:25">
      <c r="A361" s="5">
        <v>308</v>
      </c>
      <c r="B361" s="5">
        <v>45</v>
      </c>
      <c r="C361" s="9" t="s">
        <v>400</v>
      </c>
      <c r="D361" s="9" t="s">
        <v>46</v>
      </c>
      <c r="E361" s="5">
        <v>12</v>
      </c>
      <c r="F361" s="7">
        <f>LOOKUP(E361,{0,1.5,2.3,3.1,3.9,4.7,5.5,6.8,8.1,9.4,10.7,12,13.3,14.6,15.9,17.2,18.5,20.2,21.9,23.6,25.3},{0,10,20,30,40,50,60,62,64,66,68,70,72,74,76,78,80,85,90,95,100})</f>
        <v>70</v>
      </c>
      <c r="G361" s="5">
        <v>168</v>
      </c>
      <c r="H361" s="7">
        <f>LOOKUP(G361,{0,125,130,135,140,145,150,153,156,159,162,165,168,171,174,177,180,187,194,200,206},{0,10,20,30,40,50,60,62,64,66,68,70,72,74,76,78,80,85,90,95,100})</f>
        <v>72</v>
      </c>
      <c r="I361" s="5">
        <v>50</v>
      </c>
      <c r="J361" s="7">
        <f>LOOKUP(I361,{0,15,17,19,21,23,25,27,29,31,33,35,37,39,41,43,45,48,51,53,55},{0,10,20,30,40,50,60,62,64,66,68,70,72,74,76,78,80,85,90,95,100})</f>
        <v>85</v>
      </c>
      <c r="K361" s="5"/>
      <c r="L361" s="5"/>
      <c r="M361" s="5">
        <f t="shared" si="176"/>
        <v>85</v>
      </c>
      <c r="N361" s="5">
        <v>9.4</v>
      </c>
      <c r="O361" s="10">
        <f t="shared" si="177"/>
        <v>8.6</v>
      </c>
      <c r="P361" s="7">
        <f>LOOKUP(O361,{0,6.6,6.8,7,7.2,7.4,7.6,7.8,8,8.2,8.4,8.6,8.8,9,9.2,9.4,9.6,9.9,10.2,10.3,10.4},{0,10,20,30,40,50,60,62,64,66,68,70,72,74,76,78,80,85,90,95,100})</f>
        <v>70</v>
      </c>
      <c r="Q361" s="5">
        <v>4.56</v>
      </c>
      <c r="R361" s="10">
        <f t="shared" si="178"/>
        <v>5.44</v>
      </c>
      <c r="S361" s="7">
        <f>LOOKUP(R361,{0,4.74,4.84,4.94,5.44,5.54,5.64,5.69,5.74,5.79,5.84,5.89,5.94,5.99,6.44,6.49,6.54,6.61,6.68,6.74,6.8},{0,10,20,30,40,50,60,62,64,66,68,70,72,74,76,78,80,85,90,95,100})</f>
        <v>40</v>
      </c>
      <c r="T361" s="5"/>
      <c r="U361" s="5"/>
      <c r="V361" s="5">
        <f t="shared" si="179"/>
        <v>40</v>
      </c>
      <c r="W361" s="5"/>
      <c r="X361" s="13">
        <f t="shared" si="169"/>
        <v>44.7</v>
      </c>
      <c r="Y361" s="13">
        <f t="shared" si="180"/>
        <v>63.8571428571429</v>
      </c>
    </row>
    <row r="362" hidden="1" outlineLevel="2" spans="1:25">
      <c r="A362" s="5">
        <v>308</v>
      </c>
      <c r="B362" s="5">
        <v>46</v>
      </c>
      <c r="C362" s="9" t="s">
        <v>401</v>
      </c>
      <c r="D362" s="9" t="s">
        <v>46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>
        <v>50</v>
      </c>
      <c r="X362" s="13"/>
      <c r="Y362" s="13">
        <v>50</v>
      </c>
    </row>
    <row r="363" ht="15.6" hidden="1" outlineLevel="2" spans="1:25">
      <c r="A363" s="5">
        <v>308</v>
      </c>
      <c r="B363" s="5">
        <v>47</v>
      </c>
      <c r="C363" s="9" t="s">
        <v>402</v>
      </c>
      <c r="D363" s="9" t="s">
        <v>46</v>
      </c>
      <c r="E363" s="5">
        <v>13</v>
      </c>
      <c r="F363" s="7">
        <f>LOOKUP(E363,{0,1.5,2.3,3.1,3.9,4.7,5.5,6.8,8.1,9.4,10.7,12,13.3,14.6,15.9,17.2,18.5,20.2,21.9,23.6,25.3},{0,10,20,30,40,50,60,62,64,66,68,70,72,74,76,78,80,85,90,95,100})</f>
        <v>70</v>
      </c>
      <c r="G363" s="5">
        <v>220</v>
      </c>
      <c r="H363" s="7">
        <f>LOOKUP(G363,{0,125,130,135,140,145,150,153,156,159,162,165,168,171,174,177,180,187,194,200,206},{0,10,20,30,40,50,60,62,64,66,68,70,72,74,76,78,80,85,90,95,100})</f>
        <v>100</v>
      </c>
      <c r="I363" s="5">
        <v>43</v>
      </c>
      <c r="J363" s="7">
        <f>LOOKUP(I363,{0,15,17,19,21,23,25,27,29,31,33,35,37,39,41,43,45,48,51,53,55},{0,10,20,30,40,50,60,62,64,66,68,70,72,74,76,78,80,85,90,95,100})</f>
        <v>78</v>
      </c>
      <c r="K363" s="5"/>
      <c r="L363" s="5"/>
      <c r="M363" s="5">
        <f>J363+L363</f>
        <v>78</v>
      </c>
      <c r="N363" s="5">
        <v>8</v>
      </c>
      <c r="O363" s="10">
        <f>18-N363</f>
        <v>10</v>
      </c>
      <c r="P363" s="7">
        <f>LOOKUP(O363,{0,6.6,6.8,7,7.2,7.4,7.6,7.8,8,8.2,8.4,8.6,8.8,9,9.2,9.4,9.6,9.9,10.2,10.3,10.4},{0,10,20,30,40,50,60,62,64,66,68,70,72,74,76,78,80,85,90,95,100})</f>
        <v>85</v>
      </c>
      <c r="Q363" s="5">
        <v>4.57</v>
      </c>
      <c r="R363" s="10">
        <f>10-Q363</f>
        <v>5.43</v>
      </c>
      <c r="S363" s="7">
        <f>LOOKUP(R363,{0,4.74,4.84,4.94,5.44,5.54,5.64,5.69,5.74,5.79,5.84,5.89,5.94,5.99,6.44,6.49,6.54,6.61,6.68,6.74,6.8},{0,10,20,30,40,50,60,62,64,66,68,70,72,74,76,78,80,85,90,95,100})</f>
        <v>30</v>
      </c>
      <c r="T363" s="5"/>
      <c r="U363" s="5"/>
      <c r="V363" s="5">
        <f>S363+U363</f>
        <v>30</v>
      </c>
      <c r="W363" s="5"/>
      <c r="X363" s="13">
        <f>F363*0.1+H363*0.1+J363*0.1+P363*0.2+S363*0.2</f>
        <v>47.8</v>
      </c>
      <c r="Y363" s="13">
        <f>X363/0.7+L363+U363</f>
        <v>68.2857142857143</v>
      </c>
    </row>
    <row r="364" ht="15.6" hidden="1" outlineLevel="2" spans="1:25">
      <c r="A364" s="5">
        <v>308</v>
      </c>
      <c r="B364" s="5">
        <v>48</v>
      </c>
      <c r="C364" s="9" t="s">
        <v>403</v>
      </c>
      <c r="D364" s="9" t="s">
        <v>46</v>
      </c>
      <c r="E364" s="5">
        <v>10.2</v>
      </c>
      <c r="F364" s="7">
        <f>LOOKUP(E364,{0,1.5,2.3,3.1,3.9,4.7,5.5,6.8,8.1,9.4,10.7,12,13.3,14.6,15.9,17.2,18.5,20.2,21.9,23.6,25.3},{0,10,20,30,40,50,60,62,64,66,68,70,72,74,76,78,80,85,90,95,100})</f>
        <v>66</v>
      </c>
      <c r="G364" s="5">
        <v>147</v>
      </c>
      <c r="H364" s="7">
        <f>LOOKUP(G364,{0,125,130,135,140,145,150,153,156,159,162,165,168,171,174,177,180,187,194,200,206},{0,10,20,30,40,50,60,62,64,66,68,70,72,74,76,78,80,85,90,95,100})</f>
        <v>50</v>
      </c>
      <c r="I364" s="5">
        <v>44</v>
      </c>
      <c r="J364" s="7">
        <f>LOOKUP(I364,{0,15,17,19,21,23,25,27,29,31,33,35,37,39,41,43,45,48,51,53,55},{0,10,20,30,40,50,60,62,64,66,68,70,72,74,76,78,80,85,90,95,100})</f>
        <v>78</v>
      </c>
      <c r="K364" s="5"/>
      <c r="L364" s="5"/>
      <c r="M364" s="5">
        <f>J364+L364</f>
        <v>78</v>
      </c>
      <c r="N364" s="5">
        <v>9.8</v>
      </c>
      <c r="O364" s="10">
        <f>18-N364</f>
        <v>8.2</v>
      </c>
      <c r="P364" s="7">
        <f>LOOKUP(O364,{0,6.6,6.8,7,7.2,7.4,7.6,7.8,8,8.2,8.4,8.6,8.8,9,9.2,9.4,9.6,9.9,10.2,10.3,10.4},{0,10,20,30,40,50,60,62,64,66,68,70,72,74,76,78,80,85,90,95,100})</f>
        <v>66</v>
      </c>
      <c r="Q364" s="5">
        <v>4.19</v>
      </c>
      <c r="R364" s="10">
        <f>10-Q364</f>
        <v>5.81</v>
      </c>
      <c r="S364" s="7">
        <f>LOOKUP(R364,{0,4.74,4.84,4.94,5.44,5.54,5.64,5.69,5.74,5.79,5.84,5.89,5.94,5.99,6.44,6.49,6.54,6.61,6.68,6.74,6.8},{0,10,20,30,40,50,60,62,64,66,68,70,72,74,76,78,80,85,90,95,100})</f>
        <v>66</v>
      </c>
      <c r="T364" s="5"/>
      <c r="U364" s="5"/>
      <c r="V364" s="5">
        <f>S364+U364</f>
        <v>66</v>
      </c>
      <c r="W364" s="5"/>
      <c r="X364" s="13">
        <f>F364*0.1+H364*0.1+J364*0.1+P364*0.2+S364*0.2</f>
        <v>45.8</v>
      </c>
      <c r="Y364" s="13">
        <f>X364/0.7+L364+U364</f>
        <v>65.4285714285714</v>
      </c>
    </row>
    <row r="365" ht="15.6" outlineLevel="1" collapsed="1" spans="1:25">
      <c r="A365" s="6" t="s">
        <v>859</v>
      </c>
      <c r="B365" s="5"/>
      <c r="C365" s="9"/>
      <c r="D365" s="9"/>
      <c r="E365" s="5"/>
      <c r="F365" s="7">
        <f>SUBTOTAL(1,F317:F364)</f>
        <v>76.1627906976744</v>
      </c>
      <c r="G365" s="5"/>
      <c r="H365" s="7">
        <f>SUBTOTAL(1,H317:H364)</f>
        <v>68.2790697674419</v>
      </c>
      <c r="I365" s="5"/>
      <c r="J365" s="7">
        <f>SUBTOTAL(1,J317:J364)</f>
        <v>61.6585365853659</v>
      </c>
      <c r="K365" s="5"/>
      <c r="L365" s="5"/>
      <c r="M365" s="5">
        <f>SUBTOTAL(1,M317:M364)</f>
        <v>61.7560975609756</v>
      </c>
      <c r="N365" s="5"/>
      <c r="O365" s="10"/>
      <c r="P365" s="7">
        <f>SUBTOTAL(1,P317:P364)</f>
        <v>74.4634146341463</v>
      </c>
      <c r="Q365" s="5"/>
      <c r="R365" s="10"/>
      <c r="S365" s="7">
        <f>SUBTOTAL(1,S317:S364)</f>
        <v>50.7317073170732</v>
      </c>
      <c r="T365" s="5"/>
      <c r="U365" s="5"/>
      <c r="V365" s="5">
        <f>SUBTOTAL(1,V317:V364)</f>
        <v>50.7317073170732</v>
      </c>
      <c r="W365" s="5"/>
      <c r="X365" s="13">
        <f>SUBTOTAL(1,X317:X364)</f>
        <v>44.1976744186047</v>
      </c>
      <c r="Y365" s="13">
        <f>SUBTOTAL(1,Y317:Y364)</f>
        <v>63.0744047619048</v>
      </c>
    </row>
    <row r="366" ht="15.6" hidden="1" outlineLevel="2" spans="1:25">
      <c r="A366" s="5">
        <v>309</v>
      </c>
      <c r="B366" s="5">
        <v>1</v>
      </c>
      <c r="C366" s="8" t="s">
        <v>405</v>
      </c>
      <c r="D366" s="9" t="s">
        <v>12</v>
      </c>
      <c r="E366" s="5"/>
      <c r="F366" s="7"/>
      <c r="G366" s="5"/>
      <c r="H366" s="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>
        <v>50</v>
      </c>
      <c r="X366" s="13"/>
      <c r="Y366" s="13">
        <v>50</v>
      </c>
    </row>
    <row r="367" ht="15.6" hidden="1" outlineLevel="2" spans="1:25">
      <c r="A367" s="5">
        <v>309</v>
      </c>
      <c r="B367" s="5">
        <v>2</v>
      </c>
      <c r="C367" s="9" t="s">
        <v>406</v>
      </c>
      <c r="D367" s="9" t="s">
        <v>12</v>
      </c>
      <c r="E367" s="5">
        <v>9.5</v>
      </c>
      <c r="F367" s="7">
        <f>LOOKUP(E367,{0,-1.8,-0.8,0.2,1.2,2.2,3.2,4.6,6,7.4,8.8,10.2,11.6,13,14.4,15.8,17.2,19.1,21,22.8,24.6},{0,10,20,30,40,50,60,62,64,66,68,70,72,74,76,78,80,85,90,95,100})</f>
        <v>68</v>
      </c>
      <c r="G367" s="5">
        <v>248</v>
      </c>
      <c r="H367" s="7">
        <f>LOOKUP(G367,{0,180,185,190,195,200,205,209,213,217,221,225,229,233,237,241,245,253,260,265,270},{0,10,20,30,40,50,60,62,64,66,68,70,72,74,76,78,80,85,90,95,100})</f>
        <v>80</v>
      </c>
      <c r="I367" s="5">
        <v>13</v>
      </c>
      <c r="J367" s="7">
        <f>LOOKUP(I367,{0,4,5,6,7,8,9,10,11,12,13,14,15,16,17,18},{0,10,20,30,40,50,60,64,68,72,76,80,85,90,95,100})</f>
        <v>76</v>
      </c>
      <c r="K367" s="5"/>
      <c r="L367" s="5"/>
      <c r="M367" s="5">
        <f t="shared" ref="M366:M389" si="181">J367+L367</f>
        <v>76</v>
      </c>
      <c r="N367" s="5">
        <v>7</v>
      </c>
      <c r="O367" s="10">
        <f t="shared" ref="O366:O389" si="182">18-N367</f>
        <v>11</v>
      </c>
      <c r="P367" s="7">
        <f>LOOKUP(O367,{0,7.8,8,8.2,8.4,8.6,8.8,9,9.2,9.4,9.6,9.8,10,10.2,10.4,10.6,10.8,10.9,11,11.1,11.2},{0,10,20,30,40,50,60,62,64,66,68,70,72,74,76,78,80,85,90,95,100})</f>
        <v>90</v>
      </c>
      <c r="Q367" s="5">
        <v>5.39</v>
      </c>
      <c r="R367" s="10">
        <f t="shared" ref="R366:R389" si="183">10-Q367</f>
        <v>4.61</v>
      </c>
      <c r="S367" s="7">
        <f>LOOKUP(R367,{0,3.85,4.45,4.65,4.85,5.45,5.65,5.7,5.75,5.8,5.85,5.9,5.95,6,6.45,6.5,6.55,6.63,6.7,6.75,6.8},{0,10,20,30,40,50,60,62,64,66,68,70,72,74,76,78,80,85,90,95,100})</f>
        <v>20</v>
      </c>
      <c r="T367" s="5"/>
      <c r="U367" s="5"/>
      <c r="V367" s="5">
        <f t="shared" ref="V366:V389" si="184">S367+U367</f>
        <v>20</v>
      </c>
      <c r="W367" s="5"/>
      <c r="X367" s="13">
        <f t="shared" ref="X366:X389" si="185">F367*0.1+H367*0.1+J367*0.1+P367*0.2+S367*0.2</f>
        <v>44.4</v>
      </c>
      <c r="Y367" s="13">
        <f t="shared" ref="Y366:Y389" si="186">X367/0.7+L367+U367</f>
        <v>63.4285714285714</v>
      </c>
    </row>
    <row r="368" ht="15.6" hidden="1" outlineLevel="2" spans="1:25">
      <c r="A368" s="5">
        <v>309</v>
      </c>
      <c r="B368" s="5">
        <v>3</v>
      </c>
      <c r="C368" s="9" t="s">
        <v>407</v>
      </c>
      <c r="D368" s="9" t="s">
        <v>12</v>
      </c>
      <c r="E368" s="5">
        <v>13</v>
      </c>
      <c r="F368" s="7">
        <f>LOOKUP(E368,{0,-1.8,-0.8,0.2,1.2,2.2,3.2,4.6,6,7.4,8.8,10.2,11.6,13,14.4,15.8,17.2,19.1,21,22.8,24.6},{0,10,20,30,40,50,60,62,64,66,68,70,72,74,76,78,80,85,90,95,100})</f>
        <v>74</v>
      </c>
      <c r="G368" s="5">
        <v>207</v>
      </c>
      <c r="H368" s="7">
        <f>LOOKUP(G368,{0,180,185,190,195,200,205,209,213,217,221,225,229,233,237,241,245,253,260,265,270},{0,10,20,30,40,50,60,62,64,66,68,70,72,74,76,78,80,85,90,95,100})</f>
        <v>60</v>
      </c>
      <c r="I368" s="5">
        <v>3</v>
      </c>
      <c r="J368" s="7">
        <f>LOOKUP(I368,{0,4,5,6,7,8,9,10,11,12,13,14,15,16,17,18},{0,10,20,30,40,50,60,64,68,72,76,80,85,90,95,100})</f>
        <v>0</v>
      </c>
      <c r="K368" s="5"/>
      <c r="L368" s="5"/>
      <c r="M368" s="5">
        <f t="shared" si="181"/>
        <v>0</v>
      </c>
      <c r="N368" s="5">
        <v>7.6</v>
      </c>
      <c r="O368" s="10">
        <f t="shared" si="182"/>
        <v>10.4</v>
      </c>
      <c r="P368" s="7">
        <f>LOOKUP(O368,{0,7.8,8,8.2,8.4,8.6,8.8,9,9.2,9.4,9.6,9.8,10,10.2,10.4,10.6,10.8,10.9,11,11.1,11.2},{0,10,20,30,40,50,60,62,64,66,68,70,72,74,76,78,80,85,90,95,100})</f>
        <v>76</v>
      </c>
      <c r="Q368" s="5">
        <v>5.39</v>
      </c>
      <c r="R368" s="10">
        <f t="shared" si="183"/>
        <v>4.61</v>
      </c>
      <c r="S368" s="7">
        <f>LOOKUP(R368,{0,3.85,4.45,4.65,4.85,5.45,5.65,5.7,5.75,5.8,5.85,5.9,5.95,6,6.45,6.5,6.55,6.63,6.7,6.75,6.8},{0,10,20,30,40,50,60,62,64,66,68,70,72,74,76,78,80,85,90,95,100})</f>
        <v>20</v>
      </c>
      <c r="T368" s="5"/>
      <c r="U368" s="5"/>
      <c r="V368" s="5">
        <f t="shared" si="184"/>
        <v>20</v>
      </c>
      <c r="W368" s="5"/>
      <c r="X368" s="13">
        <f t="shared" si="185"/>
        <v>32.6</v>
      </c>
      <c r="Y368" s="13">
        <f t="shared" si="186"/>
        <v>46.5714285714286</v>
      </c>
    </row>
    <row r="369" ht="15.6" hidden="1" outlineLevel="2" spans="1:25">
      <c r="A369" s="5">
        <v>309</v>
      </c>
      <c r="B369" s="5">
        <v>4</v>
      </c>
      <c r="C369" s="9" t="s">
        <v>408</v>
      </c>
      <c r="D369" s="9" t="s">
        <v>12</v>
      </c>
      <c r="E369" s="5">
        <v>16.5</v>
      </c>
      <c r="F369" s="7">
        <f>LOOKUP(E369,{0,-1.8,-0.8,0.2,1.2,2.2,3.2,4.6,6,7.4,8.8,10.2,11.6,13,14.4,15.8,17.2,19.1,21,22.8,24.6},{0,10,20,30,40,50,60,62,64,66,68,70,72,74,76,78,80,85,90,95,100})</f>
        <v>78</v>
      </c>
      <c r="G369" s="5">
        <v>260</v>
      </c>
      <c r="H369" s="7">
        <f>LOOKUP(G369,{0,180,185,190,195,200,205,209,213,217,221,225,229,233,237,241,245,253,260,265,270},{0,10,20,30,40,50,60,62,64,66,68,70,72,74,76,78,80,85,90,95,100})</f>
        <v>90</v>
      </c>
      <c r="I369" s="5">
        <v>9</v>
      </c>
      <c r="J369" s="7">
        <f>LOOKUP(I369,{0,4,5,6,7,8,9,10,11,12,13,14,15,16,17,18},{0,10,20,30,40,50,60,64,68,72,76,80,85,90,95,100})</f>
        <v>60</v>
      </c>
      <c r="K369" s="5"/>
      <c r="L369" s="5"/>
      <c r="M369" s="5">
        <f t="shared" si="181"/>
        <v>60</v>
      </c>
      <c r="N369" s="5">
        <v>7.1</v>
      </c>
      <c r="O369" s="10">
        <f t="shared" si="182"/>
        <v>10.9</v>
      </c>
      <c r="P369" s="7">
        <f>LOOKUP(O369,{0,7.8,8,8.2,8.4,8.6,8.8,9,9.2,9.4,9.6,9.8,10,10.2,10.4,10.6,10.8,10.9,11,11.1,11.2},{0,10,20,30,40,50,60,62,64,66,68,70,72,74,76,78,80,85,90,95,100})</f>
        <v>85</v>
      </c>
      <c r="Q369" s="5">
        <v>5.39</v>
      </c>
      <c r="R369" s="10">
        <f t="shared" si="183"/>
        <v>4.61</v>
      </c>
      <c r="S369" s="7">
        <f>LOOKUP(R369,{0,3.85,4.45,4.65,4.85,5.45,5.65,5.7,5.75,5.8,5.85,5.9,5.95,6,6.45,6.5,6.55,6.63,6.7,6.75,6.8},{0,10,20,30,40,50,60,62,64,66,68,70,72,74,76,78,80,85,90,95,100})</f>
        <v>20</v>
      </c>
      <c r="T369" s="5"/>
      <c r="U369" s="5"/>
      <c r="V369" s="5">
        <f t="shared" si="184"/>
        <v>20</v>
      </c>
      <c r="W369" s="5"/>
      <c r="X369" s="13">
        <f t="shared" si="185"/>
        <v>43.8</v>
      </c>
      <c r="Y369" s="13">
        <f t="shared" si="186"/>
        <v>62.5714285714286</v>
      </c>
    </row>
    <row r="370" ht="15.6" hidden="1" outlineLevel="2" spans="1:25">
      <c r="A370" s="5">
        <v>309</v>
      </c>
      <c r="B370" s="5">
        <v>5</v>
      </c>
      <c r="C370" s="9" t="s">
        <v>409</v>
      </c>
      <c r="D370" s="9" t="s">
        <v>12</v>
      </c>
      <c r="E370" s="5">
        <v>19.5</v>
      </c>
      <c r="F370" s="7">
        <f>LOOKUP(E370,{0,-1.8,-0.8,0.2,1.2,2.2,3.2,4.6,6,7.4,8.8,10.2,11.6,13,14.4,15.8,17.2,19.1,21,22.8,24.6},{0,10,20,30,40,50,60,62,64,66,68,70,72,74,76,78,80,85,90,95,100})</f>
        <v>85</v>
      </c>
      <c r="G370" s="5">
        <v>270</v>
      </c>
      <c r="H370" s="7">
        <f>LOOKUP(G370,{0,180,185,190,195,200,205,209,213,217,221,225,229,233,237,241,245,253,260,265,270},{0,10,20,30,40,50,60,62,64,66,68,70,72,74,76,78,80,85,90,95,100})</f>
        <v>100</v>
      </c>
      <c r="I370" s="5">
        <v>31</v>
      </c>
      <c r="J370" s="7">
        <f>LOOKUP(I370,{0,4,5,6,7,8,9,10,11,12,13,14,15,16,17,18},{0,10,20,30,40,50,60,64,68,72,76,80,85,90,95,100})</f>
        <v>100</v>
      </c>
      <c r="K370" s="5">
        <f>I370-18</f>
        <v>13</v>
      </c>
      <c r="L370" s="7">
        <f>LOOKUP(K370,{0,1,2,3,4,5,6,7,8,9,10},{0,1,2,3,4,5,6,7,8,9,10})</f>
        <v>10</v>
      </c>
      <c r="M370" s="5">
        <f t="shared" si="181"/>
        <v>110</v>
      </c>
      <c r="N370" s="5">
        <v>6.9</v>
      </c>
      <c r="O370" s="10">
        <f t="shared" si="182"/>
        <v>11.1</v>
      </c>
      <c r="P370" s="7">
        <f>LOOKUP(O370,{0,7.8,8,8.2,8.4,8.6,8.8,9,9.2,9.4,9.6,9.8,10,10.2,10.4,10.6,10.8,10.9,11,11.1,11.2},{0,10,20,30,40,50,60,62,64,66,68,70,72,74,76,78,80,85,90,95,100})</f>
        <v>95</v>
      </c>
      <c r="Q370" s="5">
        <v>3.32</v>
      </c>
      <c r="R370" s="10">
        <f t="shared" si="183"/>
        <v>6.68</v>
      </c>
      <c r="S370" s="7">
        <f>LOOKUP(R370,{0,3.85,4.45,4.65,4.85,5.45,5.65,5.7,5.75,5.8,5.85,5.9,5.95,6,6.45,6.5,6.55,6.63,6.7,6.75,6.8},{0,10,20,30,40,50,60,62,64,66,68,70,72,74,76,78,80,85,90,95,100})</f>
        <v>85</v>
      </c>
      <c r="T370" s="5"/>
      <c r="U370" s="5"/>
      <c r="V370" s="5">
        <f t="shared" si="184"/>
        <v>85</v>
      </c>
      <c r="W370" s="5"/>
      <c r="X370" s="13">
        <f t="shared" si="185"/>
        <v>64.5</v>
      </c>
      <c r="Y370" s="13">
        <f t="shared" si="186"/>
        <v>102.142857142857</v>
      </c>
    </row>
    <row r="371" ht="15.6" hidden="1" outlineLevel="2" spans="1:25">
      <c r="A371" s="5">
        <v>309</v>
      </c>
      <c r="B371" s="5">
        <v>6</v>
      </c>
      <c r="C371" s="9" t="s">
        <v>410</v>
      </c>
      <c r="D371" s="9" t="s">
        <v>12</v>
      </c>
      <c r="E371" s="5">
        <v>18</v>
      </c>
      <c r="F371" s="7">
        <f>LOOKUP(E371,{0,-1.8,-0.8,0.2,1.2,2.2,3.2,4.6,6,7.4,8.8,10.2,11.6,13,14.4,15.8,17.2,19.1,21,22.8,24.6},{0,10,20,30,40,50,60,62,64,66,68,70,72,74,76,78,80,85,90,95,100})</f>
        <v>80</v>
      </c>
      <c r="G371" s="5">
        <v>210</v>
      </c>
      <c r="H371" s="7">
        <f>LOOKUP(G371,{0,180,185,190,195,200,205,209,213,217,221,225,229,233,237,241,245,253,260,265,270},{0,10,20,30,40,50,60,62,64,66,68,70,72,74,76,78,80,85,90,95,100})</f>
        <v>62</v>
      </c>
      <c r="I371" s="5">
        <v>3</v>
      </c>
      <c r="J371" s="7">
        <f>LOOKUP(I371,{0,4,5,6,7,8,9,10,11,12,13,14,15,16,17,18},{0,10,20,30,40,50,60,64,68,72,76,80,85,90,95,100})</f>
        <v>0</v>
      </c>
      <c r="K371" s="5"/>
      <c r="L371" s="5"/>
      <c r="M371" s="5">
        <f t="shared" si="181"/>
        <v>0</v>
      </c>
      <c r="N371" s="5">
        <v>7.5</v>
      </c>
      <c r="O371" s="10">
        <f t="shared" si="182"/>
        <v>10.5</v>
      </c>
      <c r="P371" s="7">
        <f>LOOKUP(O371,{0,7.8,8,8.2,8.4,8.6,8.8,9,9.2,9.4,9.6,9.8,10,10.2,10.4,10.6,10.8,10.9,11,11.1,11.2},{0,10,20,30,40,50,60,62,64,66,68,70,72,74,76,78,80,85,90,95,100})</f>
        <v>76</v>
      </c>
      <c r="Q371" s="5">
        <v>4.01</v>
      </c>
      <c r="R371" s="10">
        <f t="shared" si="183"/>
        <v>5.99</v>
      </c>
      <c r="S371" s="7">
        <f>LOOKUP(R371,{0,3.85,4.45,4.65,4.85,5.45,5.65,5.7,5.75,5.8,5.85,5.9,5.95,6,6.45,6.5,6.55,6.63,6.7,6.75,6.8},{0,10,20,30,40,50,60,62,64,66,68,70,72,74,76,78,80,85,90,95,100})</f>
        <v>72</v>
      </c>
      <c r="T371" s="5"/>
      <c r="U371" s="5"/>
      <c r="V371" s="5">
        <f t="shared" si="184"/>
        <v>72</v>
      </c>
      <c r="W371" s="5"/>
      <c r="X371" s="13">
        <f t="shared" si="185"/>
        <v>43.8</v>
      </c>
      <c r="Y371" s="13">
        <f t="shared" si="186"/>
        <v>62.5714285714286</v>
      </c>
    </row>
    <row r="372" ht="15.6" hidden="1" outlineLevel="2" spans="1:25">
      <c r="A372" s="5">
        <v>309</v>
      </c>
      <c r="B372" s="5">
        <v>7</v>
      </c>
      <c r="C372" s="9" t="s">
        <v>411</v>
      </c>
      <c r="D372" s="9" t="s">
        <v>12</v>
      </c>
      <c r="E372" s="5">
        <v>29</v>
      </c>
      <c r="F372" s="7">
        <f>LOOKUP(E372,{0,-1.8,-0.8,0.2,1.2,2.2,3.2,4.6,6,7.4,8.8,10.2,11.6,13,14.4,15.8,17.2,19.1,21,22.8,24.6},{0,10,20,30,40,50,60,62,64,66,68,70,72,74,76,78,80,85,90,95,100})</f>
        <v>100</v>
      </c>
      <c r="G372" s="5">
        <v>256</v>
      </c>
      <c r="H372" s="7">
        <f>LOOKUP(G372,{0,180,185,190,195,200,205,209,213,217,221,225,229,233,237,241,245,253,260,265,270},{0,10,20,30,40,50,60,62,64,66,68,70,72,74,76,78,80,85,90,95,100})</f>
        <v>85</v>
      </c>
      <c r="I372" s="5">
        <v>2</v>
      </c>
      <c r="J372" s="7">
        <f>LOOKUP(I372,{0,4,5,6,7,8,9,10,11,12,13,14,15,16,17,18},{0,10,20,30,40,50,60,64,68,72,76,80,85,90,95,100})</f>
        <v>0</v>
      </c>
      <c r="K372" s="5"/>
      <c r="L372" s="5"/>
      <c r="M372" s="5">
        <f t="shared" si="181"/>
        <v>0</v>
      </c>
      <c r="N372" s="5">
        <v>6.9</v>
      </c>
      <c r="O372" s="10">
        <f t="shared" si="182"/>
        <v>11.1</v>
      </c>
      <c r="P372" s="7">
        <f>LOOKUP(O372,{0,7.8,8,8.2,8.4,8.6,8.8,9,9.2,9.4,9.6,9.8,10,10.2,10.4,10.6,10.8,10.9,11,11.1,11.2},{0,10,20,30,40,50,60,62,64,66,68,70,72,74,76,78,80,85,90,95,100})</f>
        <v>95</v>
      </c>
      <c r="Q372" s="5">
        <v>5.39</v>
      </c>
      <c r="R372" s="10">
        <f t="shared" si="183"/>
        <v>4.61</v>
      </c>
      <c r="S372" s="7">
        <f>LOOKUP(R372,{0,3.85,4.45,4.65,4.85,5.45,5.65,5.7,5.75,5.8,5.85,5.9,5.95,6,6.45,6.5,6.55,6.63,6.7,6.75,6.8},{0,10,20,30,40,50,60,62,64,66,68,70,72,74,76,78,80,85,90,95,100})</f>
        <v>20</v>
      </c>
      <c r="T372" s="5"/>
      <c r="U372" s="5"/>
      <c r="V372" s="5">
        <f t="shared" si="184"/>
        <v>20</v>
      </c>
      <c r="W372" s="5"/>
      <c r="X372" s="13">
        <f t="shared" si="185"/>
        <v>41.5</v>
      </c>
      <c r="Y372" s="13">
        <f t="shared" si="186"/>
        <v>59.2857142857143</v>
      </c>
    </row>
    <row r="373" ht="15.6" hidden="1" outlineLevel="2" spans="1:25">
      <c r="A373" s="5">
        <v>309</v>
      </c>
      <c r="B373" s="5">
        <v>8</v>
      </c>
      <c r="C373" s="9" t="s">
        <v>412</v>
      </c>
      <c r="D373" s="9" t="s">
        <v>12</v>
      </c>
      <c r="E373" s="5">
        <v>15</v>
      </c>
      <c r="F373" s="7">
        <f>LOOKUP(E373,{0,-1.8,-0.8,0.2,1.2,2.2,3.2,4.6,6,7.4,8.8,10.2,11.6,13,14.4,15.8,17.2,19.1,21,22.8,24.6},{0,10,20,30,40,50,60,62,64,66,68,70,72,74,76,78,80,85,90,95,100})</f>
        <v>76</v>
      </c>
      <c r="G373" s="5">
        <v>214</v>
      </c>
      <c r="H373" s="7">
        <f>LOOKUP(G373,{0,180,185,190,195,200,205,209,213,217,221,225,229,233,237,241,245,253,260,265,270},{0,10,20,30,40,50,60,62,64,66,68,70,72,74,76,78,80,85,90,95,100})</f>
        <v>64</v>
      </c>
      <c r="I373" s="5">
        <v>10</v>
      </c>
      <c r="J373" s="7">
        <f>LOOKUP(I373,{0,4,5,6,7,8,9,10,11,12,13,14,15,16,17,18},{0,10,20,30,40,50,60,64,68,72,76,80,85,90,95,100})</f>
        <v>64</v>
      </c>
      <c r="K373" s="5"/>
      <c r="L373" s="5"/>
      <c r="M373" s="5">
        <f t="shared" si="181"/>
        <v>64</v>
      </c>
      <c r="N373" s="5">
        <v>7</v>
      </c>
      <c r="O373" s="10">
        <f t="shared" si="182"/>
        <v>11</v>
      </c>
      <c r="P373" s="7">
        <f>LOOKUP(O373,{0,7.8,8,8.2,8.4,8.6,8.8,9,9.2,9.4,9.6,9.8,10,10.2,10.4,10.6,10.8,10.9,11,11.1,11.2},{0,10,20,30,40,50,60,62,64,66,68,70,72,74,76,78,80,85,90,95,100})</f>
        <v>90</v>
      </c>
      <c r="Q373" s="5">
        <v>5.39</v>
      </c>
      <c r="R373" s="10">
        <f t="shared" si="183"/>
        <v>4.61</v>
      </c>
      <c r="S373" s="7">
        <f>LOOKUP(R373,{0,3.85,4.45,4.65,4.85,5.45,5.65,5.7,5.75,5.8,5.85,5.9,5.95,6,6.45,6.5,6.55,6.63,6.7,6.75,6.8},{0,10,20,30,40,50,60,62,64,66,68,70,72,74,76,78,80,85,90,95,100})</f>
        <v>20</v>
      </c>
      <c r="T373" s="5"/>
      <c r="U373" s="5"/>
      <c r="V373" s="5">
        <f t="shared" si="184"/>
        <v>20</v>
      </c>
      <c r="W373" s="5"/>
      <c r="X373" s="13">
        <f t="shared" si="185"/>
        <v>42.4</v>
      </c>
      <c r="Y373" s="13">
        <f t="shared" si="186"/>
        <v>60.5714285714286</v>
      </c>
    </row>
    <row r="374" ht="15.6" hidden="1" outlineLevel="2" spans="1:25">
      <c r="A374" s="5">
        <v>309</v>
      </c>
      <c r="B374" s="5">
        <v>9</v>
      </c>
      <c r="C374" s="9" t="s">
        <v>413</v>
      </c>
      <c r="D374" s="9" t="s">
        <v>12</v>
      </c>
      <c r="E374" s="5">
        <v>2.5</v>
      </c>
      <c r="F374" s="7">
        <f>LOOKUP(E374,{0,-1.8,-0.8,0.2,1.2,2.2,3.2,4.6,6,7.4,8.8,10.2,11.6,13,14.4,15.8,17.2,19.1,21,22.8,24.6},{0,10,20,30,40,50,60,62,64,66,68,70,72,74,76,78,80,85,90,95,100})</f>
        <v>50</v>
      </c>
      <c r="G374" s="5">
        <v>190</v>
      </c>
      <c r="H374" s="7">
        <f>LOOKUP(G374,{0,180,185,190,195,200,205,209,213,217,221,225,229,233,237,241,245,253,260,265,270},{0,10,20,30,40,50,60,62,64,66,68,70,72,74,76,78,80,85,90,95,100})</f>
        <v>30</v>
      </c>
      <c r="I374" s="5">
        <v>1</v>
      </c>
      <c r="J374" s="7">
        <f>LOOKUP(I374,{0,4,5,6,7,8,9,10,11,12,13,14,15,16,17,18},{0,10,20,30,40,50,60,64,68,72,76,80,85,90,95,100})</f>
        <v>0</v>
      </c>
      <c r="K374" s="5"/>
      <c r="L374" s="5"/>
      <c r="M374" s="5">
        <f t="shared" si="181"/>
        <v>0</v>
      </c>
      <c r="N374" s="5">
        <v>8.3</v>
      </c>
      <c r="O374" s="10">
        <f t="shared" si="182"/>
        <v>9.7</v>
      </c>
      <c r="P374" s="7">
        <f>LOOKUP(O374,{0,7.8,8,8.2,8.4,8.6,8.8,9,9.2,9.4,9.6,9.8,10,10.2,10.4,10.6,10.8,10.9,11,11.1,11.2},{0,10,20,30,40,50,60,62,64,66,68,70,72,74,76,78,80,85,90,95,100})</f>
        <v>68</v>
      </c>
      <c r="Q374" s="5">
        <v>5.39</v>
      </c>
      <c r="R374" s="10">
        <f t="shared" si="183"/>
        <v>4.61</v>
      </c>
      <c r="S374" s="7">
        <f>LOOKUP(R374,{0,3.85,4.45,4.65,4.85,5.45,5.65,5.7,5.75,5.8,5.85,5.9,5.95,6,6.45,6.5,6.55,6.63,6.7,6.75,6.8},{0,10,20,30,40,50,60,62,64,66,68,70,72,74,76,78,80,85,90,95,100})</f>
        <v>20</v>
      </c>
      <c r="T374" s="5"/>
      <c r="U374" s="5"/>
      <c r="V374" s="5">
        <f t="shared" si="184"/>
        <v>20</v>
      </c>
      <c r="W374" s="5"/>
      <c r="X374" s="13">
        <f t="shared" si="185"/>
        <v>25.6</v>
      </c>
      <c r="Y374" s="13">
        <f t="shared" si="186"/>
        <v>36.5714285714286</v>
      </c>
    </row>
    <row r="375" ht="15.6" hidden="1" outlineLevel="2" spans="1:25">
      <c r="A375" s="5">
        <v>309</v>
      </c>
      <c r="B375" s="5">
        <v>10</v>
      </c>
      <c r="C375" s="9" t="s">
        <v>414</v>
      </c>
      <c r="D375" s="9" t="s">
        <v>12</v>
      </c>
      <c r="E375" s="5">
        <v>10.5</v>
      </c>
      <c r="F375" s="7">
        <f>LOOKUP(E375,{0,-1.8,-0.8,0.2,1.2,2.2,3.2,4.6,6,7.4,8.8,10.2,11.6,13,14.4,15.8,17.2,19.1,21,22.8,24.6},{0,10,20,30,40,50,60,62,64,66,68,70,72,74,76,78,80,85,90,95,100})</f>
        <v>70</v>
      </c>
      <c r="G375" s="5">
        <v>262</v>
      </c>
      <c r="H375" s="7">
        <f>LOOKUP(G375,{0,180,185,190,195,200,205,209,213,217,221,225,229,233,237,241,245,253,260,265,270},{0,10,20,30,40,50,60,62,64,66,68,70,72,74,76,78,80,85,90,95,100})</f>
        <v>90</v>
      </c>
      <c r="I375" s="5">
        <v>10</v>
      </c>
      <c r="J375" s="7">
        <f>LOOKUP(I375,{0,4,5,6,7,8,9,10,11,12,13,14,15,16,17,18},{0,10,20,30,40,50,60,64,68,72,76,80,85,90,95,100})</f>
        <v>64</v>
      </c>
      <c r="K375" s="5"/>
      <c r="L375" s="5"/>
      <c r="M375" s="5">
        <f t="shared" si="181"/>
        <v>64</v>
      </c>
      <c r="N375" s="5">
        <v>7.9</v>
      </c>
      <c r="O375" s="10">
        <f t="shared" si="182"/>
        <v>10.1</v>
      </c>
      <c r="P375" s="7">
        <f>LOOKUP(O375,{0,7.8,8,8.2,8.4,8.6,8.8,9,9.2,9.4,9.6,9.8,10,10.2,10.4,10.6,10.8,10.9,11,11.1,11.2},{0,10,20,30,40,50,60,62,64,66,68,70,72,74,76,78,80,85,90,95,100})</f>
        <v>72</v>
      </c>
      <c r="Q375" s="5">
        <v>5.39</v>
      </c>
      <c r="R375" s="10">
        <f t="shared" si="183"/>
        <v>4.61</v>
      </c>
      <c r="S375" s="7">
        <f>LOOKUP(R375,{0,3.85,4.45,4.65,4.85,5.45,5.65,5.7,5.75,5.8,5.85,5.9,5.95,6,6.45,6.5,6.55,6.63,6.7,6.75,6.8},{0,10,20,30,40,50,60,62,64,66,68,70,72,74,76,78,80,85,90,95,100})</f>
        <v>20</v>
      </c>
      <c r="T375" s="5"/>
      <c r="U375" s="5"/>
      <c r="V375" s="5">
        <f t="shared" si="184"/>
        <v>20</v>
      </c>
      <c r="W375" s="5"/>
      <c r="X375" s="13">
        <f t="shared" si="185"/>
        <v>40.8</v>
      </c>
      <c r="Y375" s="13">
        <f t="shared" si="186"/>
        <v>58.2857142857143</v>
      </c>
    </row>
    <row r="376" ht="15.6" hidden="1" outlineLevel="2" spans="1:25">
      <c r="A376" s="5">
        <v>309</v>
      </c>
      <c r="B376" s="5">
        <v>11</v>
      </c>
      <c r="C376" s="8" t="s">
        <v>416</v>
      </c>
      <c r="D376" s="9" t="s">
        <v>12</v>
      </c>
      <c r="E376" s="5">
        <v>14.5</v>
      </c>
      <c r="F376" s="7">
        <f>LOOKUP(E376,{0,-1.8,-0.8,0.2,1.2,2.2,3.2,4.6,6,7.4,8.8,10.2,11.6,13,14.4,15.8,17.2,19.1,21,22.8,24.6},{0,10,20,30,40,50,60,62,64,66,68,70,72,74,76,78,80,85,90,95,100})</f>
        <v>76</v>
      </c>
      <c r="G376" s="5">
        <v>255</v>
      </c>
      <c r="H376" s="7">
        <f>LOOKUP(G376,{0,180,185,190,195,200,205,209,213,217,221,225,229,233,237,241,245,253,260,265,270},{0,10,20,30,40,50,60,62,64,66,68,70,72,74,76,78,80,85,90,95,100})</f>
        <v>85</v>
      </c>
      <c r="I376" s="5">
        <v>5</v>
      </c>
      <c r="J376" s="7">
        <f>LOOKUP(I376,{0,4,5,6,7,8,9,10,11,12,13,14,15,16,17,18},{0,10,20,30,40,50,60,64,68,72,76,80,85,90,95,100})</f>
        <v>20</v>
      </c>
      <c r="K376" s="5"/>
      <c r="L376" s="5"/>
      <c r="M376" s="5">
        <f t="shared" si="181"/>
        <v>20</v>
      </c>
      <c r="N376" s="5">
        <v>7.2</v>
      </c>
      <c r="O376" s="10">
        <f t="shared" si="182"/>
        <v>10.8</v>
      </c>
      <c r="P376" s="7">
        <f>LOOKUP(O376,{0,7.8,8,8.2,8.4,8.6,8.8,9,9.2,9.4,9.6,9.8,10,10.2,10.4,10.6,10.8,10.9,11,11.1,11.2},{0,10,20,30,40,50,60,62,64,66,68,70,72,74,76,78,80,85,90,95,100})</f>
        <v>80</v>
      </c>
      <c r="Q376" s="5">
        <v>4.25</v>
      </c>
      <c r="R376" s="10">
        <f t="shared" si="183"/>
        <v>5.75</v>
      </c>
      <c r="S376" s="7">
        <f>LOOKUP(R376,{0,3.85,4.45,4.65,4.85,5.45,5.65,5.7,5.75,5.8,5.85,5.9,5.95,6,6.45,6.5,6.55,6.63,6.7,6.75,6.8},{0,10,20,30,40,50,60,62,64,66,68,70,72,74,76,78,80,85,90,95,100})</f>
        <v>64</v>
      </c>
      <c r="T376" s="5"/>
      <c r="U376" s="5"/>
      <c r="V376" s="5">
        <f t="shared" si="184"/>
        <v>64</v>
      </c>
      <c r="W376" s="5"/>
      <c r="X376" s="13">
        <f t="shared" si="185"/>
        <v>46.9</v>
      </c>
      <c r="Y376" s="13">
        <f t="shared" si="186"/>
        <v>67</v>
      </c>
    </row>
    <row r="377" ht="15.6" hidden="1" outlineLevel="2" spans="1:25">
      <c r="A377" s="5">
        <v>309</v>
      </c>
      <c r="B377" s="5">
        <v>12</v>
      </c>
      <c r="C377" s="9" t="s">
        <v>417</v>
      </c>
      <c r="D377" s="9" t="s">
        <v>12</v>
      </c>
      <c r="E377" s="5">
        <v>9.5</v>
      </c>
      <c r="F377" s="7">
        <f>LOOKUP(E377,{0,-1.8,-0.8,0.2,1.2,2.2,3.2,4.6,6,7.4,8.8,10.2,11.6,13,14.4,15.8,17.2,19.1,21,22.8,24.6},{0,10,20,30,40,50,60,62,64,66,68,70,72,74,76,78,80,85,90,95,100})</f>
        <v>68</v>
      </c>
      <c r="G377" s="5">
        <v>235</v>
      </c>
      <c r="H377" s="7">
        <f>LOOKUP(G377,{0,180,185,190,195,200,205,209,213,217,221,225,229,233,237,241,245,253,260,265,270},{0,10,20,30,40,50,60,62,64,66,68,70,72,74,76,78,80,85,90,95,100})</f>
        <v>74</v>
      </c>
      <c r="I377" s="5">
        <v>1</v>
      </c>
      <c r="J377" s="7">
        <f>LOOKUP(I377,{0,4,5,6,7,8,9,10,11,12,13,14,15,16,17,18},{0,10,20,30,40,50,60,64,68,72,76,80,85,90,95,100})</f>
        <v>0</v>
      </c>
      <c r="K377" s="5"/>
      <c r="L377" s="5"/>
      <c r="M377" s="5">
        <f t="shared" si="181"/>
        <v>0</v>
      </c>
      <c r="N377" s="5">
        <v>7.9</v>
      </c>
      <c r="O377" s="10">
        <f t="shared" si="182"/>
        <v>10.1</v>
      </c>
      <c r="P377" s="7">
        <f>LOOKUP(O377,{0,7.8,8,8.2,8.4,8.6,8.8,9,9.2,9.4,9.6,9.8,10,10.2,10.4,10.6,10.8,10.9,11,11.1,11.2},{0,10,20,30,40,50,60,62,64,66,68,70,72,74,76,78,80,85,90,95,100})</f>
        <v>72</v>
      </c>
      <c r="Q377" s="5">
        <v>4.22</v>
      </c>
      <c r="R377" s="10">
        <f t="shared" si="183"/>
        <v>5.78</v>
      </c>
      <c r="S377" s="7">
        <f>LOOKUP(R377,{0,3.85,4.45,4.65,4.85,5.45,5.65,5.7,5.75,5.8,5.85,5.9,5.95,6,6.45,6.5,6.55,6.63,6.7,6.75,6.8},{0,10,20,30,40,50,60,62,64,66,68,70,72,74,76,78,80,85,90,95,100})</f>
        <v>64</v>
      </c>
      <c r="T377" s="5"/>
      <c r="U377" s="5"/>
      <c r="V377" s="5">
        <f t="shared" si="184"/>
        <v>64</v>
      </c>
      <c r="W377" s="5"/>
      <c r="X377" s="13">
        <f t="shared" si="185"/>
        <v>41.4</v>
      </c>
      <c r="Y377" s="13">
        <f t="shared" si="186"/>
        <v>59.1428571428572</v>
      </c>
    </row>
    <row r="378" ht="15.6" hidden="1" outlineLevel="2" spans="1:25">
      <c r="A378" s="5">
        <v>309</v>
      </c>
      <c r="B378" s="5">
        <v>13</v>
      </c>
      <c r="C378" s="9" t="s">
        <v>418</v>
      </c>
      <c r="D378" s="9" t="s">
        <v>12</v>
      </c>
      <c r="E378" s="5">
        <v>12.5</v>
      </c>
      <c r="F378" s="7">
        <f>LOOKUP(E378,{0,-1.8,-0.8,0.2,1.2,2.2,3.2,4.6,6,7.4,8.8,10.2,11.6,13,14.4,15.8,17.2,19.1,21,22.8,24.6},{0,10,20,30,40,50,60,62,64,66,68,70,72,74,76,78,80,85,90,95,100})</f>
        <v>72</v>
      </c>
      <c r="G378" s="5">
        <v>225</v>
      </c>
      <c r="H378" s="7">
        <f>LOOKUP(G378,{0,180,185,190,195,200,205,209,213,217,221,225,229,233,237,241,245,253,260,265,270},{0,10,20,30,40,50,60,62,64,66,68,70,72,74,76,78,80,85,90,95,100})</f>
        <v>70</v>
      </c>
      <c r="I378" s="5">
        <v>11</v>
      </c>
      <c r="J378" s="7">
        <f>LOOKUP(I378,{0,4,5,6,7,8,9,10,11,12,13,14,15,16,17,18},{0,10,20,30,40,50,60,64,68,72,76,80,85,90,95,100})</f>
        <v>68</v>
      </c>
      <c r="K378" s="5"/>
      <c r="L378" s="5"/>
      <c r="M378" s="5">
        <f t="shared" si="181"/>
        <v>68</v>
      </c>
      <c r="N378" s="5">
        <v>7.8</v>
      </c>
      <c r="O378" s="10">
        <f t="shared" si="182"/>
        <v>10.2</v>
      </c>
      <c r="P378" s="7">
        <f>LOOKUP(O378,{0,7.8,8,8.2,8.4,8.6,8.8,9,9.2,9.4,9.6,9.8,10,10.2,10.4,10.6,10.8,10.9,11,11.1,11.2},{0,10,20,30,40,50,60,62,64,66,68,70,72,74,76,78,80,85,90,95,100})</f>
        <v>74</v>
      </c>
      <c r="Q378" s="5">
        <v>3.57</v>
      </c>
      <c r="R378" s="10">
        <f t="shared" si="183"/>
        <v>6.43</v>
      </c>
      <c r="S378" s="7">
        <f>LOOKUP(R378,{0,3.85,4.45,4.65,4.85,5.45,5.65,5.7,5.75,5.8,5.85,5.9,5.95,6,6.45,6.5,6.55,6.63,6.7,6.75,6.8},{0,10,20,30,40,50,60,62,64,66,68,70,72,74,76,78,80,85,90,95,100})</f>
        <v>74</v>
      </c>
      <c r="T378" s="5"/>
      <c r="U378" s="5"/>
      <c r="V378" s="5">
        <f t="shared" si="184"/>
        <v>74</v>
      </c>
      <c r="W378" s="5"/>
      <c r="X378" s="13">
        <f t="shared" si="185"/>
        <v>50.6</v>
      </c>
      <c r="Y378" s="13">
        <f t="shared" si="186"/>
        <v>72.2857142857143</v>
      </c>
    </row>
    <row r="379" ht="15.6" hidden="1" outlineLevel="2" spans="1:25">
      <c r="A379" s="5">
        <v>309</v>
      </c>
      <c r="B379" s="5">
        <v>14</v>
      </c>
      <c r="C379" s="9" t="s">
        <v>419</v>
      </c>
      <c r="D379" s="9" t="s">
        <v>12</v>
      </c>
      <c r="E379" s="5">
        <v>11.2</v>
      </c>
      <c r="F379" s="7">
        <f>LOOKUP(E379,{0,-1.8,-0.8,0.2,1.2,2.2,3.2,4.6,6,7.4,8.8,10.2,11.6,13,14.4,15.8,17.2,19.1,21,22.8,24.6},{0,10,20,30,40,50,60,62,64,66,68,70,72,74,76,78,80,85,90,95,100})</f>
        <v>70</v>
      </c>
      <c r="G379" s="5">
        <v>235</v>
      </c>
      <c r="H379" s="7">
        <f>LOOKUP(G379,{0,180,185,190,195,200,205,209,213,217,221,225,229,233,237,241,245,253,260,265,270},{0,10,20,30,40,50,60,62,64,66,68,70,72,74,76,78,80,85,90,95,100})</f>
        <v>74</v>
      </c>
      <c r="I379" s="5">
        <v>12</v>
      </c>
      <c r="J379" s="7">
        <f>LOOKUP(I379,{0,4,5,6,7,8,9,10,11,12,13,14,15,16,17,18},{0,10,20,30,40,50,60,64,68,72,76,80,85,90,95,100})</f>
        <v>72</v>
      </c>
      <c r="K379" s="5"/>
      <c r="L379" s="5"/>
      <c r="M379" s="5">
        <f t="shared" si="181"/>
        <v>72</v>
      </c>
      <c r="N379" s="5">
        <v>7.1</v>
      </c>
      <c r="O379" s="10">
        <f t="shared" si="182"/>
        <v>10.9</v>
      </c>
      <c r="P379" s="7">
        <f>LOOKUP(O379,{0,7.8,8,8.2,8.4,8.6,8.8,9,9.2,9.4,9.6,9.8,10,10.2,10.4,10.6,10.8,10.9,11,11.1,11.2},{0,10,20,30,40,50,60,62,64,66,68,70,72,74,76,78,80,85,90,95,100})</f>
        <v>85</v>
      </c>
      <c r="Q379" s="5">
        <v>4.1</v>
      </c>
      <c r="R379" s="10">
        <f t="shared" si="183"/>
        <v>5.9</v>
      </c>
      <c r="S379" s="7">
        <f>LOOKUP(R379,{0,3.85,4.45,4.65,4.85,5.45,5.65,5.7,5.75,5.8,5.85,5.9,5.95,6,6.45,6.5,6.55,6.63,6.7,6.75,6.8},{0,10,20,30,40,50,60,62,64,66,68,70,72,74,76,78,80,85,90,95,100})</f>
        <v>70</v>
      </c>
      <c r="T379" s="5"/>
      <c r="U379" s="5"/>
      <c r="V379" s="5">
        <f t="shared" si="184"/>
        <v>70</v>
      </c>
      <c r="W379" s="5"/>
      <c r="X379" s="13">
        <f t="shared" si="185"/>
        <v>52.6</v>
      </c>
      <c r="Y379" s="13">
        <f t="shared" si="186"/>
        <v>75.1428571428572</v>
      </c>
    </row>
    <row r="380" ht="15.6" hidden="1" outlineLevel="2" spans="1:25">
      <c r="A380" s="5">
        <v>309</v>
      </c>
      <c r="B380" s="5">
        <v>15</v>
      </c>
      <c r="C380" s="9" t="s">
        <v>420</v>
      </c>
      <c r="D380" s="9" t="s">
        <v>12</v>
      </c>
      <c r="E380" s="5">
        <v>17</v>
      </c>
      <c r="F380" s="7">
        <f>LOOKUP(E380,{0,-1.8,-0.8,0.2,1.2,2.2,3.2,4.6,6,7.4,8.8,10.2,11.6,13,14.4,15.8,17.2,19.1,21,22.8,24.6},{0,10,20,30,40,50,60,62,64,66,68,70,72,74,76,78,80,85,90,95,100})</f>
        <v>78</v>
      </c>
      <c r="G380" s="5">
        <v>250</v>
      </c>
      <c r="H380" s="7">
        <f>LOOKUP(G380,{0,180,185,190,195,200,205,209,213,217,221,225,229,233,237,241,245,253,260,265,270},{0,10,20,30,40,50,60,62,64,66,68,70,72,74,76,78,80,85,90,95,100})</f>
        <v>80</v>
      </c>
      <c r="I380" s="5">
        <v>10</v>
      </c>
      <c r="J380" s="7">
        <f>LOOKUP(I380,{0,4,5,6,7,8,9,10,11,12,13,14,15,16,17,18},{0,10,20,30,40,50,60,64,68,72,76,80,85,90,95,100})</f>
        <v>64</v>
      </c>
      <c r="K380" s="5"/>
      <c r="L380" s="5"/>
      <c r="M380" s="5">
        <f t="shared" si="181"/>
        <v>64</v>
      </c>
      <c r="N380" s="5">
        <v>6.9</v>
      </c>
      <c r="O380" s="10">
        <f t="shared" si="182"/>
        <v>11.1</v>
      </c>
      <c r="P380" s="7">
        <f>LOOKUP(O380,{0,7.8,8,8.2,8.4,8.6,8.8,9,9.2,9.4,9.6,9.8,10,10.2,10.4,10.6,10.8,10.9,11,11.1,11.2},{0,10,20,30,40,50,60,62,64,66,68,70,72,74,76,78,80,85,90,95,100})</f>
        <v>95</v>
      </c>
      <c r="Q380" s="5">
        <v>4.07</v>
      </c>
      <c r="R380" s="10">
        <f t="shared" si="183"/>
        <v>5.93</v>
      </c>
      <c r="S380" s="7">
        <f>LOOKUP(R380,{0,3.85,4.45,4.65,4.85,5.45,5.65,5.7,5.75,5.8,5.85,5.9,5.95,6,6.45,6.5,6.55,6.63,6.7,6.75,6.8},{0,10,20,30,40,50,60,62,64,66,68,70,72,74,76,78,80,85,90,95,100})</f>
        <v>70</v>
      </c>
      <c r="T380" s="5"/>
      <c r="U380" s="5"/>
      <c r="V380" s="5">
        <f t="shared" si="184"/>
        <v>70</v>
      </c>
      <c r="W380" s="5"/>
      <c r="X380" s="13">
        <f t="shared" si="185"/>
        <v>55.2</v>
      </c>
      <c r="Y380" s="13">
        <f t="shared" si="186"/>
        <v>78.8571428571429</v>
      </c>
    </row>
    <row r="381" ht="15.6" hidden="1" outlineLevel="2" spans="1:25">
      <c r="A381" s="5">
        <v>309</v>
      </c>
      <c r="B381" s="5">
        <v>16</v>
      </c>
      <c r="C381" s="9" t="s">
        <v>421</v>
      </c>
      <c r="D381" s="9" t="s">
        <v>12</v>
      </c>
      <c r="E381" s="5">
        <v>27.5</v>
      </c>
      <c r="F381" s="7">
        <f>LOOKUP(E381,{0,-1.8,-0.8,0.2,1.2,2.2,3.2,4.6,6,7.4,8.8,10.2,11.6,13,14.4,15.8,17.2,19.1,21,22.8,24.6},{0,10,20,30,40,50,60,62,64,66,68,70,72,74,76,78,80,85,90,95,100})</f>
        <v>100</v>
      </c>
      <c r="G381" s="5">
        <v>235</v>
      </c>
      <c r="H381" s="7">
        <f>LOOKUP(G381,{0,180,185,190,195,200,205,209,213,217,221,225,229,233,237,241,245,253,260,265,270},{0,10,20,30,40,50,60,62,64,66,68,70,72,74,76,78,80,85,90,95,100})</f>
        <v>74</v>
      </c>
      <c r="I381" s="5">
        <v>18</v>
      </c>
      <c r="J381" s="7">
        <f>LOOKUP(I381,{0,4,5,6,7,8,9,10,11,12,13,14,15,16,17,18},{0,10,20,30,40,50,60,64,68,72,76,80,85,90,95,100})</f>
        <v>100</v>
      </c>
      <c r="K381" s="5"/>
      <c r="L381" s="5"/>
      <c r="M381" s="5">
        <f t="shared" si="181"/>
        <v>100</v>
      </c>
      <c r="N381" s="5">
        <v>7.3</v>
      </c>
      <c r="O381" s="10">
        <f t="shared" si="182"/>
        <v>10.7</v>
      </c>
      <c r="P381" s="7">
        <f>LOOKUP(O381,{0,7.8,8,8.2,8.4,8.6,8.8,9,9.2,9.4,9.6,9.8,10,10.2,10.4,10.6,10.8,10.9,11,11.1,11.2},{0,10,20,30,40,50,60,62,64,66,68,70,72,74,76,78,80,85,90,95,100})</f>
        <v>78</v>
      </c>
      <c r="Q381" s="5">
        <v>4.15</v>
      </c>
      <c r="R381" s="10">
        <f t="shared" si="183"/>
        <v>5.85</v>
      </c>
      <c r="S381" s="7">
        <f>LOOKUP(R381,{0,3.85,4.45,4.65,4.85,5.45,5.65,5.7,5.75,5.8,5.85,5.9,5.95,6,6.45,6.5,6.55,6.63,6.7,6.75,6.8},{0,10,20,30,40,50,60,62,64,66,68,70,72,74,76,78,80,85,90,95,100})</f>
        <v>68</v>
      </c>
      <c r="T381" s="5"/>
      <c r="U381" s="5"/>
      <c r="V381" s="5">
        <f t="shared" si="184"/>
        <v>68</v>
      </c>
      <c r="W381" s="5"/>
      <c r="X381" s="13">
        <f t="shared" si="185"/>
        <v>56.6</v>
      </c>
      <c r="Y381" s="13">
        <f t="shared" si="186"/>
        <v>80.8571428571429</v>
      </c>
    </row>
    <row r="382" ht="15.6" hidden="1" outlineLevel="2" spans="1:25">
      <c r="A382" s="5">
        <v>309</v>
      </c>
      <c r="B382" s="5">
        <v>17</v>
      </c>
      <c r="C382" s="9" t="s">
        <v>422</v>
      </c>
      <c r="D382" s="9" t="s">
        <v>12</v>
      </c>
      <c r="E382" s="5">
        <v>9.4</v>
      </c>
      <c r="F382" s="7">
        <f>LOOKUP(E382,{0,-1.8,-0.8,0.2,1.2,2.2,3.2,4.6,6,7.4,8.8,10.2,11.6,13,14.4,15.8,17.2,19.1,21,22.8,24.6},{0,10,20,30,40,50,60,62,64,66,68,70,72,74,76,78,80,85,90,95,100})</f>
        <v>68</v>
      </c>
      <c r="G382" s="5">
        <v>225</v>
      </c>
      <c r="H382" s="7">
        <f>LOOKUP(G382,{0,180,185,190,195,200,205,209,213,217,221,225,229,233,237,241,245,253,260,265,270},{0,10,20,30,40,50,60,62,64,66,68,70,72,74,76,78,80,85,90,95,100})</f>
        <v>70</v>
      </c>
      <c r="I382" s="5">
        <v>2</v>
      </c>
      <c r="J382" s="7">
        <f>LOOKUP(I382,{0,4,5,6,7,8,9,10,11,12,13,14,15,16,17,18},{0,10,20,30,40,50,60,64,68,72,76,80,85,90,95,100})</f>
        <v>0</v>
      </c>
      <c r="K382" s="5"/>
      <c r="L382" s="5"/>
      <c r="M382" s="5">
        <f t="shared" si="181"/>
        <v>0</v>
      </c>
      <c r="N382" s="5">
        <v>8.5</v>
      </c>
      <c r="O382" s="10">
        <f t="shared" si="182"/>
        <v>9.5</v>
      </c>
      <c r="P382" s="7">
        <f>LOOKUP(O382,{0,7.8,8,8.2,8.4,8.6,8.8,9,9.2,9.4,9.6,9.8,10,10.2,10.4,10.6,10.8,10.9,11,11.1,11.2},{0,10,20,30,40,50,60,62,64,66,68,70,72,74,76,78,80,85,90,95,100})</f>
        <v>66</v>
      </c>
      <c r="Q382" s="5">
        <v>4.24</v>
      </c>
      <c r="R382" s="10">
        <f t="shared" si="183"/>
        <v>5.76</v>
      </c>
      <c r="S382" s="7">
        <f>LOOKUP(R382,{0,3.85,4.45,4.65,4.85,5.45,5.65,5.7,5.75,5.8,5.85,5.9,5.95,6,6.45,6.5,6.55,6.63,6.7,6.75,6.8},{0,10,20,30,40,50,60,62,64,66,68,70,72,74,76,78,80,85,90,95,100})</f>
        <v>64</v>
      </c>
      <c r="T382" s="5"/>
      <c r="U382" s="5"/>
      <c r="V382" s="5">
        <f t="shared" si="184"/>
        <v>64</v>
      </c>
      <c r="W382" s="5"/>
      <c r="X382" s="13">
        <f t="shared" si="185"/>
        <v>39.8</v>
      </c>
      <c r="Y382" s="13">
        <f t="shared" si="186"/>
        <v>56.8571428571429</v>
      </c>
    </row>
    <row r="383" ht="15.6" hidden="1" outlineLevel="2" spans="1:25">
      <c r="A383" s="5">
        <v>309</v>
      </c>
      <c r="B383" s="5">
        <v>18</v>
      </c>
      <c r="C383" s="9" t="s">
        <v>423</v>
      </c>
      <c r="D383" s="9" t="s">
        <v>12</v>
      </c>
      <c r="E383" s="5">
        <v>16.3</v>
      </c>
      <c r="F383" s="7">
        <f>LOOKUP(E383,{0,-1.8,-0.8,0.2,1.2,2.2,3.2,4.6,6,7.4,8.8,10.2,11.6,13,14.4,15.8,17.2,19.1,21,22.8,24.6},{0,10,20,30,40,50,60,62,64,66,68,70,72,74,76,78,80,85,90,95,100})</f>
        <v>78</v>
      </c>
      <c r="G383" s="5">
        <v>215</v>
      </c>
      <c r="H383" s="7">
        <f>LOOKUP(G383,{0,180,185,190,195,200,205,209,213,217,221,225,229,233,237,241,245,253,260,265,270},{0,10,20,30,40,50,60,62,64,66,68,70,72,74,76,78,80,85,90,95,100})</f>
        <v>64</v>
      </c>
      <c r="I383" s="5">
        <v>5</v>
      </c>
      <c r="J383" s="7">
        <f>LOOKUP(I383,{0,4,5,6,7,8,9,10,11,12,13,14,15,16,17,18},{0,10,20,30,40,50,60,64,68,72,76,80,85,90,95,100})</f>
        <v>20</v>
      </c>
      <c r="K383" s="5"/>
      <c r="L383" s="5"/>
      <c r="M383" s="5">
        <f t="shared" si="181"/>
        <v>20</v>
      </c>
      <c r="N383" s="5">
        <v>7.9</v>
      </c>
      <c r="O383" s="10">
        <f t="shared" si="182"/>
        <v>10.1</v>
      </c>
      <c r="P383" s="7">
        <f>LOOKUP(O383,{0,7.8,8,8.2,8.4,8.6,8.8,9,9.2,9.4,9.6,9.8,10,10.2,10.4,10.6,10.8,10.9,11,11.1,11.2},{0,10,20,30,40,50,60,62,64,66,68,70,72,74,76,78,80,85,90,95,100})</f>
        <v>72</v>
      </c>
      <c r="Q383" s="5">
        <v>4.27</v>
      </c>
      <c r="R383" s="10">
        <f t="shared" si="183"/>
        <v>5.73</v>
      </c>
      <c r="S383" s="7">
        <f>LOOKUP(R383,{0,3.85,4.45,4.65,4.85,5.45,5.65,5.7,5.75,5.8,5.85,5.9,5.95,6,6.45,6.5,6.55,6.63,6.7,6.75,6.8},{0,10,20,30,40,50,60,62,64,66,68,70,72,74,76,78,80,85,90,95,100})</f>
        <v>62</v>
      </c>
      <c r="T383" s="5"/>
      <c r="U383" s="5"/>
      <c r="V383" s="5">
        <f t="shared" si="184"/>
        <v>62</v>
      </c>
      <c r="W383" s="5"/>
      <c r="X383" s="13">
        <f t="shared" si="185"/>
        <v>43</v>
      </c>
      <c r="Y383" s="13">
        <f t="shared" si="186"/>
        <v>61.4285714285714</v>
      </c>
    </row>
    <row r="384" ht="15.6" hidden="1" outlineLevel="2" spans="1:25">
      <c r="A384" s="5">
        <v>309</v>
      </c>
      <c r="B384" s="5">
        <v>19</v>
      </c>
      <c r="C384" s="9" t="s">
        <v>424</v>
      </c>
      <c r="D384" s="9" t="s">
        <v>12</v>
      </c>
      <c r="E384" s="5">
        <v>14</v>
      </c>
      <c r="F384" s="7">
        <f>LOOKUP(E384,{0,-1.8,-0.8,0.2,1.2,2.2,3.2,4.6,6,7.4,8.8,10.2,11.6,13,14.4,15.8,17.2,19.1,21,22.8,24.6},{0,10,20,30,40,50,60,62,64,66,68,70,72,74,76,78,80,85,90,95,100})</f>
        <v>74</v>
      </c>
      <c r="G384" s="5">
        <v>253</v>
      </c>
      <c r="H384" s="7">
        <f>LOOKUP(G384,{0,180,185,190,195,200,205,209,213,217,221,225,229,233,237,241,245,253,260,265,270},{0,10,20,30,40,50,60,62,64,66,68,70,72,74,76,78,80,85,90,95,100})</f>
        <v>85</v>
      </c>
      <c r="I384" s="5">
        <v>18</v>
      </c>
      <c r="J384" s="7">
        <f>LOOKUP(I384,{0,4,5,6,7,8,9,10,11,12,13,14,15,16,17,18},{0,10,20,30,40,50,60,64,68,72,76,80,85,90,95,100})</f>
        <v>100</v>
      </c>
      <c r="K384" s="5"/>
      <c r="L384" s="5"/>
      <c r="M384" s="5">
        <f t="shared" si="181"/>
        <v>100</v>
      </c>
      <c r="N384" s="5">
        <v>7.3</v>
      </c>
      <c r="O384" s="10">
        <f t="shared" si="182"/>
        <v>10.7</v>
      </c>
      <c r="P384" s="7">
        <f>LOOKUP(O384,{0,7.8,8,8.2,8.4,8.6,8.8,9,9.2,9.4,9.6,9.8,10,10.2,10.4,10.6,10.8,10.9,11,11.1,11.2},{0,10,20,30,40,50,60,62,64,66,68,70,72,74,76,78,80,85,90,95,100})</f>
        <v>78</v>
      </c>
      <c r="Q384" s="5">
        <v>3.56</v>
      </c>
      <c r="R384" s="10">
        <f t="shared" si="183"/>
        <v>6.44</v>
      </c>
      <c r="S384" s="7">
        <f>LOOKUP(R384,{0,3.85,4.45,4.65,4.85,5.45,5.65,5.7,5.75,5.8,5.85,5.9,5.95,6,6.45,6.5,6.55,6.63,6.7,6.75,6.8},{0,10,20,30,40,50,60,62,64,66,68,70,72,74,76,78,80,85,90,95,100})</f>
        <v>74</v>
      </c>
      <c r="T384" s="5"/>
      <c r="U384" s="5"/>
      <c r="V384" s="5">
        <f t="shared" si="184"/>
        <v>74</v>
      </c>
      <c r="W384" s="5"/>
      <c r="X384" s="13">
        <f t="shared" si="185"/>
        <v>56.3</v>
      </c>
      <c r="Y384" s="13">
        <f t="shared" si="186"/>
        <v>80.4285714285714</v>
      </c>
    </row>
    <row r="385" ht="15.6" hidden="1" outlineLevel="2" spans="1:25">
      <c r="A385" s="5">
        <v>309</v>
      </c>
      <c r="B385" s="5">
        <v>20</v>
      </c>
      <c r="C385" s="9" t="s">
        <v>425</v>
      </c>
      <c r="D385" s="9" t="s">
        <v>12</v>
      </c>
      <c r="E385" s="5">
        <v>7</v>
      </c>
      <c r="F385" s="7">
        <f>LOOKUP(E385,{0,-1.8,-0.8,0.2,1.2,2.2,3.2,4.6,6,7.4,8.8,10.2,11.6,13,14.4,15.8,17.2,19.1,21,22.8,24.6},{0,10,20,30,40,50,60,62,64,66,68,70,72,74,76,78,80,85,90,95,100})</f>
        <v>64</v>
      </c>
      <c r="G385" s="5">
        <v>215</v>
      </c>
      <c r="H385" s="7">
        <f>LOOKUP(G385,{0,180,185,190,195,200,205,209,213,217,221,225,229,233,237,241,245,253,260,265,270},{0,10,20,30,40,50,60,62,64,66,68,70,72,74,76,78,80,85,90,95,100})</f>
        <v>64</v>
      </c>
      <c r="I385" s="5">
        <v>1</v>
      </c>
      <c r="J385" s="7">
        <f>LOOKUP(I385,{0,4,5,6,7,8,9,10,11,12,13,14,15,16,17,18},{0,10,20,30,40,50,60,64,68,72,76,80,85,90,95,100})</f>
        <v>0</v>
      </c>
      <c r="K385" s="5"/>
      <c r="L385" s="5"/>
      <c r="M385" s="5">
        <f t="shared" si="181"/>
        <v>0</v>
      </c>
      <c r="N385" s="5">
        <v>8.2</v>
      </c>
      <c r="O385" s="10">
        <f t="shared" si="182"/>
        <v>9.8</v>
      </c>
      <c r="P385" s="7">
        <f>LOOKUP(O385,{0,7.8,8,8.2,8.4,8.6,8.8,9,9.2,9.4,9.6,9.8,10,10.2,10.4,10.6,10.8,10.9,11,11.1,11.2},{0,10,20,30,40,50,60,62,64,66,68,70,72,74,76,78,80,85,90,95,100})</f>
        <v>70</v>
      </c>
      <c r="Q385" s="5">
        <v>5.24</v>
      </c>
      <c r="R385" s="10">
        <f t="shared" si="183"/>
        <v>4.76</v>
      </c>
      <c r="S385" s="7">
        <f>LOOKUP(R385,{0,3.85,4.45,4.65,4.85,5.45,5.65,5.7,5.75,5.8,5.85,5.9,5.95,6,6.45,6.5,6.55,6.63,6.7,6.75,6.8},{0,10,20,30,40,50,60,62,64,66,68,70,72,74,76,78,80,85,90,95,100})</f>
        <v>30</v>
      </c>
      <c r="T385" s="5"/>
      <c r="U385" s="5"/>
      <c r="V385" s="5">
        <f t="shared" si="184"/>
        <v>30</v>
      </c>
      <c r="W385" s="5"/>
      <c r="X385" s="13">
        <f t="shared" si="185"/>
        <v>32.8</v>
      </c>
      <c r="Y385" s="13">
        <f t="shared" si="186"/>
        <v>46.8571428571429</v>
      </c>
    </row>
    <row r="386" ht="15.6" hidden="1" outlineLevel="2" spans="1:25">
      <c r="A386" s="5">
        <v>309</v>
      </c>
      <c r="B386" s="5">
        <v>21</v>
      </c>
      <c r="C386" s="8" t="s">
        <v>427</v>
      </c>
      <c r="D386" s="9" t="s">
        <v>12</v>
      </c>
      <c r="E386" s="5">
        <v>1.6</v>
      </c>
      <c r="F386" s="7">
        <f>LOOKUP(E386,{0,-1.8,-0.8,0.2,1.2,2.2,3.2,4.6,6,7.4,8.8,10.2,11.6,13,14.4,15.8,17.2,19.1,21,22.8,24.6},{0,10,20,30,40,50,60,62,64,66,68,70,72,74,76,78,80,85,90,95,100})</f>
        <v>40</v>
      </c>
      <c r="G386" s="5">
        <v>160</v>
      </c>
      <c r="H386" s="7">
        <f>LOOKUP(G386,{0,180,185,190,195,200,205,209,213,217,221,225,229,233,237,241,245,253,260,265,270},{0,10,20,30,40,50,60,62,64,66,68,70,72,74,76,78,80,85,90,95,100})</f>
        <v>0</v>
      </c>
      <c r="I386" s="5">
        <v>0</v>
      </c>
      <c r="J386" s="7">
        <f>LOOKUP(I386,{0,4,5,6,7,8,9,10,11,12,13,14,15,16,17,18},{0,10,20,30,40,50,60,64,68,72,76,80,85,90,95,100})</f>
        <v>0</v>
      </c>
      <c r="K386" s="5"/>
      <c r="L386" s="5"/>
      <c r="M386" s="5">
        <f t="shared" si="181"/>
        <v>0</v>
      </c>
      <c r="N386" s="5">
        <v>7.7</v>
      </c>
      <c r="O386" s="10">
        <f t="shared" si="182"/>
        <v>10.3</v>
      </c>
      <c r="P386" s="7">
        <f>LOOKUP(O386,{0,7.8,8,8.2,8.4,8.6,8.8,9,9.2,9.4,9.6,9.8,10,10.2,10.4,10.6,10.8,10.9,11,11.1,11.2},{0,10,20,30,40,50,60,62,64,66,68,70,72,74,76,78,80,85,90,95,100})</f>
        <v>74</v>
      </c>
      <c r="Q386" s="5">
        <v>5.05</v>
      </c>
      <c r="R386" s="10">
        <f t="shared" si="183"/>
        <v>4.95</v>
      </c>
      <c r="S386" s="7">
        <f>LOOKUP(R386,{0,3.85,4.45,4.65,4.85,5.45,5.65,5.7,5.75,5.8,5.85,5.9,5.95,6,6.45,6.5,6.55,6.63,6.7,6.75,6.8},{0,10,20,30,40,50,60,62,64,66,68,70,72,74,76,78,80,85,90,95,100})</f>
        <v>40</v>
      </c>
      <c r="T386" s="5"/>
      <c r="U386" s="5"/>
      <c r="V386" s="5">
        <f t="shared" si="184"/>
        <v>40</v>
      </c>
      <c r="W386" s="5"/>
      <c r="X386" s="13">
        <f t="shared" si="185"/>
        <v>26.8</v>
      </c>
      <c r="Y386" s="13">
        <f t="shared" si="186"/>
        <v>38.2857142857143</v>
      </c>
    </row>
    <row r="387" ht="15.6" hidden="1" outlineLevel="2" spans="1:25">
      <c r="A387" s="5">
        <v>309</v>
      </c>
      <c r="B387" s="5">
        <v>22</v>
      </c>
      <c r="C387" s="5" t="s">
        <v>428</v>
      </c>
      <c r="D387" s="5" t="s">
        <v>12</v>
      </c>
      <c r="E387" s="5">
        <v>27</v>
      </c>
      <c r="F387" s="7">
        <f>LOOKUP(E387,{0,-1.8,-0.8,0.2,1.2,2.2,3.2,4.6,6,7.4,8.8,10.2,11.6,13,14.4,15.8,17.2,19.1,21,22.8,24.6},{0,10,20,30,40,50,60,62,64,66,68,70,72,74,76,78,80,85,90,95,100})</f>
        <v>100</v>
      </c>
      <c r="G387" s="5">
        <v>241</v>
      </c>
      <c r="H387" s="7">
        <f>LOOKUP(G387,{0,180,185,190,195,200,205,209,213,217,221,225,229,233,237,241,245,253,260,265,270},{0,10,20,30,40,50,60,62,64,66,68,70,72,74,76,78,80,85,90,95,100})</f>
        <v>78</v>
      </c>
      <c r="I387" s="5">
        <v>40</v>
      </c>
      <c r="J387" s="7">
        <f>LOOKUP(I387,{0,4,5,6,7,8,9,10,11,12,13,14,15,16,17,18},{0,10,20,30,40,50,60,64,68,72,76,80,85,90,95,100})</f>
        <v>100</v>
      </c>
      <c r="K387" s="5">
        <f>I387-18</f>
        <v>22</v>
      </c>
      <c r="L387" s="7">
        <f>LOOKUP(K387,{0,1,2,3,4,5,6,7,8,9,10},{0,1,2,3,4,5,6,7,8,9,10})</f>
        <v>10</v>
      </c>
      <c r="M387" s="5">
        <f t="shared" si="181"/>
        <v>110</v>
      </c>
      <c r="N387" s="5">
        <v>7.6</v>
      </c>
      <c r="O387" s="10">
        <f t="shared" si="182"/>
        <v>10.4</v>
      </c>
      <c r="P387" s="7">
        <f>LOOKUP(O387,{0,7.8,8,8.2,8.4,8.6,8.8,9,9.2,9.4,9.6,9.8,10,10.2,10.4,10.6,10.8,10.9,11,11.1,11.2},{0,10,20,30,40,50,60,62,64,66,68,70,72,74,76,78,80,85,90,95,100})</f>
        <v>76</v>
      </c>
      <c r="Q387" s="5">
        <v>4.1</v>
      </c>
      <c r="R387" s="10">
        <f t="shared" si="183"/>
        <v>5.9</v>
      </c>
      <c r="S387" s="7">
        <f>LOOKUP(R387,{0,3.85,4.45,4.65,4.85,5.45,5.65,5.7,5.75,5.8,5.85,5.9,5.95,6,6.45,6.5,6.55,6.63,6.7,6.75,6.8},{0,10,20,30,40,50,60,62,64,66,68,70,72,74,76,78,80,85,90,95,100})</f>
        <v>70</v>
      </c>
      <c r="T387" s="5"/>
      <c r="U387" s="5"/>
      <c r="V387" s="5">
        <f t="shared" si="184"/>
        <v>70</v>
      </c>
      <c r="W387" s="5"/>
      <c r="X387" s="13">
        <f t="shared" si="185"/>
        <v>57</v>
      </c>
      <c r="Y387" s="13">
        <f t="shared" si="186"/>
        <v>91.4285714285714</v>
      </c>
    </row>
    <row r="388" ht="15.6" hidden="1" outlineLevel="2" spans="1:25">
      <c r="A388" s="5">
        <v>309</v>
      </c>
      <c r="B388" s="5">
        <v>23</v>
      </c>
      <c r="C388" s="9" t="s">
        <v>429</v>
      </c>
      <c r="D388" s="9" t="s">
        <v>12</v>
      </c>
      <c r="E388" s="5">
        <v>15.4</v>
      </c>
      <c r="F388" s="7">
        <f>LOOKUP(E388,{0,-1.8,-0.8,0.2,1.2,2.2,3.2,4.6,6,7.4,8.8,10.2,11.6,13,14.4,15.8,17.2,19.1,21,22.8,24.6},{0,10,20,30,40,50,60,62,64,66,68,70,72,74,76,78,80,85,90,95,100})</f>
        <v>76</v>
      </c>
      <c r="G388" s="5">
        <v>226</v>
      </c>
      <c r="H388" s="7">
        <f>LOOKUP(G388,{0,180,185,190,195,200,205,209,213,217,221,225,229,233,237,241,245,253,260,265,270},{0,10,20,30,40,50,60,62,64,66,68,70,72,74,76,78,80,85,90,95,100})</f>
        <v>70</v>
      </c>
      <c r="I388" s="5">
        <v>14</v>
      </c>
      <c r="J388" s="7">
        <f>LOOKUP(I388,{0,4,5,6,7,8,9,10,11,12,13,14,15,16,17,18},{0,10,20,30,40,50,60,64,68,72,76,80,85,90,95,100})</f>
        <v>80</v>
      </c>
      <c r="K388" s="5"/>
      <c r="L388" s="5"/>
      <c r="M388" s="5">
        <f t="shared" si="181"/>
        <v>80</v>
      </c>
      <c r="N388" s="5">
        <v>7.7</v>
      </c>
      <c r="O388" s="10">
        <f t="shared" si="182"/>
        <v>10.3</v>
      </c>
      <c r="P388" s="7">
        <f>LOOKUP(O388,{0,7.8,8,8.2,8.4,8.6,8.8,9,9.2,9.4,9.6,9.8,10,10.2,10.4,10.6,10.8,10.9,11,11.1,11.2},{0,10,20,30,40,50,60,62,64,66,68,70,72,74,76,78,80,85,90,95,100})</f>
        <v>74</v>
      </c>
      <c r="Q388" s="5">
        <v>3.55</v>
      </c>
      <c r="R388" s="10">
        <f t="shared" si="183"/>
        <v>6.45</v>
      </c>
      <c r="S388" s="7">
        <f>LOOKUP(R388,{0,3.85,4.45,4.65,4.85,5.45,5.65,5.7,5.75,5.8,5.85,5.9,5.95,6,6.45,6.5,6.55,6.63,6.7,6.75,6.8},{0,10,20,30,40,50,60,62,64,66,68,70,72,74,76,78,80,85,90,95,100})</f>
        <v>76</v>
      </c>
      <c r="T388" s="5"/>
      <c r="U388" s="5"/>
      <c r="V388" s="5">
        <f t="shared" si="184"/>
        <v>76</v>
      </c>
      <c r="W388" s="5"/>
      <c r="X388" s="13">
        <f t="shared" si="185"/>
        <v>52.6</v>
      </c>
      <c r="Y388" s="13">
        <f t="shared" si="186"/>
        <v>75.1428571428572</v>
      </c>
    </row>
    <row r="389" ht="15.6" hidden="1" outlineLevel="2" spans="1:25">
      <c r="A389" s="5">
        <v>309</v>
      </c>
      <c r="B389" s="5">
        <v>24</v>
      </c>
      <c r="C389" s="9" t="s">
        <v>430</v>
      </c>
      <c r="D389" s="9" t="s">
        <v>12</v>
      </c>
      <c r="E389" s="5">
        <v>11</v>
      </c>
      <c r="F389" s="7">
        <f>LOOKUP(E389,{0,-1.8,-0.8,0.2,1.2,2.2,3.2,4.6,6,7.4,8.8,10.2,11.6,13,14.4,15.8,17.2,19.1,21,22.8,24.6},{0,10,20,30,40,50,60,62,64,66,68,70,72,74,76,78,80,85,90,95,100})</f>
        <v>70</v>
      </c>
      <c r="G389" s="5">
        <v>262</v>
      </c>
      <c r="H389" s="7">
        <f>LOOKUP(G389,{0,180,185,190,195,200,205,209,213,217,221,225,229,233,237,241,245,253,260,265,270},{0,10,20,30,40,50,60,62,64,66,68,70,72,74,76,78,80,85,90,95,100})</f>
        <v>90</v>
      </c>
      <c r="I389" s="5">
        <v>10</v>
      </c>
      <c r="J389" s="7">
        <f>LOOKUP(I389,{0,4,5,6,7,8,9,10,11,12,13,14,15,16,17,18},{0,10,20,30,40,50,60,64,68,72,76,80,85,90,95,100})</f>
        <v>64</v>
      </c>
      <c r="K389" s="5"/>
      <c r="L389" s="5"/>
      <c r="M389" s="5">
        <f t="shared" si="181"/>
        <v>64</v>
      </c>
      <c r="N389" s="5">
        <v>7.6</v>
      </c>
      <c r="O389" s="10">
        <f t="shared" si="182"/>
        <v>10.4</v>
      </c>
      <c r="P389" s="7">
        <f>LOOKUP(O389,{0,7.8,8,8.2,8.4,8.6,8.8,9,9.2,9.4,9.6,9.8,10,10.2,10.4,10.6,10.8,10.9,11,11.1,11.2},{0,10,20,30,40,50,60,62,64,66,68,70,72,74,76,78,80,85,90,95,100})</f>
        <v>76</v>
      </c>
      <c r="Q389" s="5">
        <v>4.36</v>
      </c>
      <c r="R389" s="10">
        <f t="shared" si="183"/>
        <v>5.64</v>
      </c>
      <c r="S389" s="7">
        <f>LOOKUP(R389,{0,3.85,4.45,4.65,4.85,5.45,5.65,5.7,5.75,5.8,5.85,5.9,5.95,6,6.45,6.5,6.55,6.63,6.7,6.75,6.8},{0,10,20,30,40,50,60,62,64,66,68,70,72,74,76,78,80,85,90,95,100})</f>
        <v>50</v>
      </c>
      <c r="T389" s="5"/>
      <c r="U389" s="5"/>
      <c r="V389" s="5">
        <f t="shared" si="184"/>
        <v>50</v>
      </c>
      <c r="W389" s="5"/>
      <c r="X389" s="13">
        <f t="shared" si="185"/>
        <v>47.6</v>
      </c>
      <c r="Y389" s="13">
        <f t="shared" si="186"/>
        <v>68</v>
      </c>
    </row>
    <row r="390" ht="15.6" hidden="1" outlineLevel="2" spans="1:25">
      <c r="A390" s="5">
        <v>309</v>
      </c>
      <c r="B390" s="5">
        <v>25</v>
      </c>
      <c r="C390" s="9" t="s">
        <v>431</v>
      </c>
      <c r="D390" s="9" t="s">
        <v>12</v>
      </c>
      <c r="E390" s="5"/>
      <c r="F390" s="7"/>
      <c r="G390" s="5"/>
      <c r="H390" s="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>
        <v>50</v>
      </c>
      <c r="X390" s="13"/>
      <c r="Y390" s="13">
        <v>50</v>
      </c>
    </row>
    <row r="391" ht="15.6" hidden="1" outlineLevel="2" spans="1:25">
      <c r="A391" s="5">
        <v>309</v>
      </c>
      <c r="B391" s="5">
        <v>26</v>
      </c>
      <c r="C391" s="5" t="s">
        <v>432</v>
      </c>
      <c r="D391" s="5" t="s">
        <v>12</v>
      </c>
      <c r="E391" s="5">
        <v>18.3</v>
      </c>
      <c r="F391" s="7">
        <f>LOOKUP(E391,{0,-1.8,-0.8,0.2,1.2,2.2,3.2,4.6,6,7.4,8.8,10.2,11.6,13,14.4,15.8,17.2,19.1,21,22.8,24.6},{0,10,20,30,40,50,60,62,64,66,68,70,72,74,76,78,80,85,90,95,100})</f>
        <v>80</v>
      </c>
      <c r="G391" s="5">
        <v>232</v>
      </c>
      <c r="H391" s="7">
        <f>LOOKUP(G391,{0,180,185,190,195,200,205,209,213,217,221,225,229,233,237,241,245,253,260,265,270},{0,10,20,30,40,50,60,62,64,66,68,70,72,74,76,78,80,85,90,95,100})</f>
        <v>72</v>
      </c>
      <c r="I391" s="5">
        <v>3</v>
      </c>
      <c r="J391" s="7">
        <f>LOOKUP(I391,{0,4,5,6,7,8,9,10,11,12,13,14,15,16,17,18},{0,10,20,30,40,50,60,64,68,72,76,80,85,90,95,100})</f>
        <v>0</v>
      </c>
      <c r="K391" s="5"/>
      <c r="L391" s="5"/>
      <c r="M391" s="5">
        <f t="shared" ref="M391:M394" si="187">J391+L391</f>
        <v>0</v>
      </c>
      <c r="N391" s="5">
        <v>6.8</v>
      </c>
      <c r="O391" s="10">
        <f t="shared" ref="O391:O394" si="188">18-N391</f>
        <v>11.2</v>
      </c>
      <c r="P391" s="7">
        <f>LOOKUP(O391,{0,7.8,8,8.2,8.4,8.6,8.8,9,9.2,9.4,9.6,9.8,10,10.2,10.4,10.6,10.8,10.9,11,11.1,11.2},{0,10,20,30,40,50,60,62,64,66,68,70,72,74,76,78,80,85,90,95,100})</f>
        <v>100</v>
      </c>
      <c r="Q391" s="5">
        <v>3.52</v>
      </c>
      <c r="R391" s="10">
        <f t="shared" ref="R391:R394" si="189">10-Q391</f>
        <v>6.48</v>
      </c>
      <c r="S391" s="7">
        <f>LOOKUP(R391,{0,3.85,4.45,4.65,4.85,5.45,5.65,5.7,5.75,5.8,5.85,5.9,5.95,6,6.45,6.5,6.55,6.63,6.7,6.75,6.8},{0,10,20,30,40,50,60,62,64,66,68,70,72,74,76,78,80,85,90,95,100})</f>
        <v>76</v>
      </c>
      <c r="T391" s="5"/>
      <c r="U391" s="5"/>
      <c r="V391" s="5">
        <f t="shared" ref="V391:V394" si="190">S391+U391</f>
        <v>76</v>
      </c>
      <c r="W391" s="5"/>
      <c r="X391" s="13">
        <f t="shared" ref="X391:X394" si="191">F391*0.1+H391*0.1+J391*0.1+P391*0.2+S391*0.2</f>
        <v>50.4</v>
      </c>
      <c r="Y391" s="13">
        <f t="shared" ref="Y391:Y394" si="192">X391/0.7+L391+U391</f>
        <v>72</v>
      </c>
    </row>
    <row r="392" ht="15.6" hidden="1" outlineLevel="2" spans="1:25">
      <c r="A392" s="5">
        <v>309</v>
      </c>
      <c r="B392" s="5">
        <v>27</v>
      </c>
      <c r="C392" s="9" t="s">
        <v>433</v>
      </c>
      <c r="D392" s="9" t="s">
        <v>12</v>
      </c>
      <c r="E392" s="5">
        <v>19</v>
      </c>
      <c r="F392" s="7">
        <f>LOOKUP(E392,{0,-1.8,-0.8,0.2,1.2,2.2,3.2,4.6,6,7.4,8.8,10.2,11.6,13,14.4,15.8,17.2,19.1,21,22.8,24.6},{0,10,20,30,40,50,60,62,64,66,68,70,72,74,76,78,80,85,90,95,100})</f>
        <v>80</v>
      </c>
      <c r="G392" s="5">
        <v>262</v>
      </c>
      <c r="H392" s="7">
        <f>LOOKUP(G392,{0,180,185,190,195,200,205,209,213,217,221,225,229,233,237,241,245,253,260,265,270},{0,10,20,30,40,50,60,62,64,66,68,70,72,74,76,78,80,85,90,95,100})</f>
        <v>90</v>
      </c>
      <c r="I392" s="5">
        <v>20</v>
      </c>
      <c r="J392" s="7">
        <f>LOOKUP(I392,{0,4,5,6,7,8,9,10,11,12,13,14,15,16,17,18},{0,10,20,30,40,50,60,64,68,72,76,80,85,90,95,100})</f>
        <v>100</v>
      </c>
      <c r="K392" s="5">
        <f>I392-18</f>
        <v>2</v>
      </c>
      <c r="L392" s="7">
        <f>LOOKUP(K392,{0,1,2,3,4,5,6,7,8,9,10},{0,1,2,3,4,5,6,7,8,9,10})</f>
        <v>2</v>
      </c>
      <c r="M392" s="5">
        <f t="shared" si="187"/>
        <v>102</v>
      </c>
      <c r="N392" s="5">
        <v>7.1</v>
      </c>
      <c r="O392" s="10">
        <f t="shared" si="188"/>
        <v>10.9</v>
      </c>
      <c r="P392" s="7">
        <f>LOOKUP(O392,{0,7.8,8,8.2,8.4,8.6,8.8,9,9.2,9.4,9.6,9.8,10,10.2,10.4,10.6,10.8,10.9,11,11.1,11.2},{0,10,20,30,40,50,60,62,64,66,68,70,72,74,76,78,80,85,90,95,100})</f>
        <v>85</v>
      </c>
      <c r="Q392" s="5">
        <v>3.28</v>
      </c>
      <c r="R392" s="10">
        <f t="shared" si="189"/>
        <v>6.72</v>
      </c>
      <c r="S392" s="7">
        <f>LOOKUP(R392,{0,3.85,4.45,4.65,4.85,5.45,5.65,5.7,5.75,5.8,5.85,5.9,5.95,6,6.45,6.5,6.55,6.63,6.7,6.75,6.8},{0,10,20,30,40,50,60,62,64,66,68,70,72,74,76,78,80,85,90,95,100})</f>
        <v>90</v>
      </c>
      <c r="T392" s="5"/>
      <c r="U392" s="5"/>
      <c r="V392" s="5">
        <f t="shared" si="190"/>
        <v>90</v>
      </c>
      <c r="W392" s="5"/>
      <c r="X392" s="13">
        <f t="shared" si="191"/>
        <v>62</v>
      </c>
      <c r="Y392" s="13">
        <f t="shared" si="192"/>
        <v>90.5714285714286</v>
      </c>
    </row>
    <row r="393" ht="15.6" hidden="1" outlineLevel="2" spans="1:25">
      <c r="A393" s="5">
        <v>309</v>
      </c>
      <c r="B393" s="5">
        <v>28</v>
      </c>
      <c r="C393" s="9" t="s">
        <v>434</v>
      </c>
      <c r="D393" s="9" t="s">
        <v>12</v>
      </c>
      <c r="E393" s="5">
        <v>6.3</v>
      </c>
      <c r="F393" s="7">
        <f>LOOKUP(E393,{0,-1.8,-0.8,0.2,1.2,2.2,3.2,4.6,6,7.4,8.8,10.2,11.6,13,14.4,15.8,17.2,19.1,21,22.8,24.6},{0,10,20,30,40,50,60,62,64,66,68,70,72,74,76,78,80,85,90,95,100})</f>
        <v>64</v>
      </c>
      <c r="G393" s="5">
        <v>211</v>
      </c>
      <c r="H393" s="7">
        <f>LOOKUP(G393,{0,180,185,190,195,200,205,209,213,217,221,225,229,233,237,241,245,253,260,265,270},{0,10,20,30,40,50,60,62,64,66,68,70,72,74,76,78,80,85,90,95,100})</f>
        <v>62</v>
      </c>
      <c r="I393" s="5">
        <v>0</v>
      </c>
      <c r="J393" s="7">
        <f>LOOKUP(I393,{0,4,5,6,7,8,9,10,11,12,13,14,15,16,17,18},{0,10,20,30,40,50,60,64,68,72,76,80,85,90,95,100})</f>
        <v>0</v>
      </c>
      <c r="K393" s="5"/>
      <c r="L393" s="5"/>
      <c r="M393" s="5">
        <f t="shared" si="187"/>
        <v>0</v>
      </c>
      <c r="N393" s="5">
        <v>8</v>
      </c>
      <c r="O393" s="10">
        <f t="shared" si="188"/>
        <v>10</v>
      </c>
      <c r="P393" s="7">
        <f>LOOKUP(O393,{0,7.8,8,8.2,8.4,8.6,8.8,9,9.2,9.4,9.6,9.8,10,10.2,10.4,10.6,10.8,10.9,11,11.1,11.2},{0,10,20,30,40,50,60,62,64,66,68,70,72,74,76,78,80,85,90,95,100})</f>
        <v>72</v>
      </c>
      <c r="Q393" s="5">
        <v>5.05</v>
      </c>
      <c r="R393" s="10">
        <f t="shared" si="189"/>
        <v>4.95</v>
      </c>
      <c r="S393" s="7">
        <f>LOOKUP(R393,{0,3.85,4.45,4.65,4.85,5.45,5.65,5.7,5.75,5.8,5.85,5.9,5.95,6,6.45,6.5,6.55,6.63,6.7,6.75,6.8},{0,10,20,30,40,50,60,62,64,66,68,70,72,74,76,78,80,85,90,95,100})</f>
        <v>40</v>
      </c>
      <c r="T393" s="5"/>
      <c r="U393" s="5"/>
      <c r="V393" s="5">
        <f t="shared" si="190"/>
        <v>40</v>
      </c>
      <c r="W393" s="5"/>
      <c r="X393" s="13">
        <f t="shared" si="191"/>
        <v>35</v>
      </c>
      <c r="Y393" s="13">
        <f t="shared" si="192"/>
        <v>50</v>
      </c>
    </row>
    <row r="394" ht="15.6" hidden="1" outlineLevel="2" spans="1:25">
      <c r="A394" s="5">
        <v>309</v>
      </c>
      <c r="B394" s="5">
        <v>29</v>
      </c>
      <c r="C394" s="9" t="s">
        <v>435</v>
      </c>
      <c r="D394" s="9" t="s">
        <v>12</v>
      </c>
      <c r="E394" s="5">
        <v>0.4</v>
      </c>
      <c r="F394" s="7">
        <f>LOOKUP(E394,{0,-1.8,-0.8,0.2,1.2,2.2,3.2,4.6,6,7.4,8.8,10.2,11.6,13,14.4,15.8,17.2,19.1,21,22.8,24.6},{0,10,20,30,40,50,60,62,64,66,68,70,72,74,76,78,80,85,90,95,100})</f>
        <v>30</v>
      </c>
      <c r="G394" s="5">
        <v>249</v>
      </c>
      <c r="H394" s="7">
        <f>LOOKUP(G394,{0,180,185,190,195,200,205,209,213,217,221,225,229,233,237,241,245,253,260,265,270},{0,10,20,30,40,50,60,62,64,66,68,70,72,74,76,78,80,85,90,95,100})</f>
        <v>80</v>
      </c>
      <c r="I394" s="5">
        <v>4</v>
      </c>
      <c r="J394" s="7">
        <f>LOOKUP(I394,{0,4,5,6,7,8,9,10,11,12,13,14,15,16,17,18},{0,10,20,30,40,50,60,64,68,72,76,80,85,90,95,100})</f>
        <v>10</v>
      </c>
      <c r="K394" s="5"/>
      <c r="L394" s="5"/>
      <c r="M394" s="5">
        <f t="shared" si="187"/>
        <v>10</v>
      </c>
      <c r="N394" s="5">
        <v>7</v>
      </c>
      <c r="O394" s="10">
        <f t="shared" si="188"/>
        <v>11</v>
      </c>
      <c r="P394" s="7">
        <f>LOOKUP(O394,{0,7.8,8,8.2,8.4,8.6,8.8,9,9.2,9.4,9.6,9.8,10,10.2,10.4,10.6,10.8,10.9,11,11.1,11.2},{0,10,20,30,40,50,60,62,64,66,68,70,72,74,76,78,80,85,90,95,100})</f>
        <v>90</v>
      </c>
      <c r="Q394" s="5">
        <v>9.16</v>
      </c>
      <c r="R394" s="10">
        <f t="shared" si="189"/>
        <v>0.84</v>
      </c>
      <c r="S394" s="7">
        <f>LOOKUP(R394,{0,3.85,4.45,4.65,4.85,5.45,5.65,5.7,5.75,5.8,5.85,5.9,5.95,6,6.45,6.5,6.55,6.63,6.7,6.75,6.8},{0,10,20,30,40,50,60,62,64,66,68,70,72,74,76,78,80,85,90,95,100})</f>
        <v>0</v>
      </c>
      <c r="T394" s="5"/>
      <c r="U394" s="5"/>
      <c r="V394" s="5">
        <f t="shared" si="190"/>
        <v>0</v>
      </c>
      <c r="W394" s="5"/>
      <c r="X394" s="13">
        <f t="shared" si="191"/>
        <v>30</v>
      </c>
      <c r="Y394" s="13">
        <f t="shared" si="192"/>
        <v>42.8571428571429</v>
      </c>
    </row>
    <row r="395" ht="15.6" hidden="1" outlineLevel="2" spans="1:25">
      <c r="A395" s="5">
        <v>309</v>
      </c>
      <c r="B395" s="5">
        <v>30</v>
      </c>
      <c r="C395" s="8" t="s">
        <v>437</v>
      </c>
      <c r="D395" s="9" t="s">
        <v>12</v>
      </c>
      <c r="E395" s="5"/>
      <c r="F395" s="7"/>
      <c r="G395" s="5"/>
      <c r="H395" s="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>
        <v>50</v>
      </c>
      <c r="X395" s="13"/>
      <c r="Y395" s="13">
        <v>50</v>
      </c>
    </row>
    <row r="396" ht="15.6" hidden="1" outlineLevel="2" spans="1:25">
      <c r="A396" s="5">
        <v>309</v>
      </c>
      <c r="B396" s="5">
        <v>31</v>
      </c>
      <c r="C396" s="9" t="s">
        <v>438</v>
      </c>
      <c r="D396" s="9" t="s">
        <v>12</v>
      </c>
      <c r="E396" s="5">
        <v>29</v>
      </c>
      <c r="F396" s="7">
        <f>LOOKUP(E396,{0,-1.8,-0.8,0.2,1.2,2.2,3.2,4.6,6,7.4,8.8,10.2,11.6,13,14.4,15.8,17.2,19.1,21,22.8,24.6},{0,10,20,30,40,50,60,62,64,66,68,70,72,74,76,78,80,85,90,95,100})</f>
        <v>100</v>
      </c>
      <c r="G396" s="5">
        <v>240</v>
      </c>
      <c r="H396" s="7">
        <f>LOOKUP(G396,{0,180,185,190,195,200,205,209,213,217,221,225,229,233,237,241,245,253,260,265,270},{0,10,20,30,40,50,60,62,64,66,68,70,72,74,76,78,80,85,90,95,100})</f>
        <v>76</v>
      </c>
      <c r="I396" s="5">
        <v>8</v>
      </c>
      <c r="J396" s="7">
        <f>LOOKUP(I396,{0,4,5,6,7,8,9,10,11,12,13,14,15,16,17,18},{0,10,20,30,40,50,60,64,68,72,76,80,85,90,95,100})</f>
        <v>50</v>
      </c>
      <c r="K396" s="5"/>
      <c r="L396" s="5"/>
      <c r="M396" s="5">
        <f t="shared" ref="M396:M403" si="193">J396+L396</f>
        <v>50</v>
      </c>
      <c r="N396" s="5">
        <v>6.9</v>
      </c>
      <c r="O396" s="10">
        <f t="shared" ref="O396:O403" si="194">18-N396</f>
        <v>11.1</v>
      </c>
      <c r="P396" s="7">
        <f>LOOKUP(O396,{0,7.8,8,8.2,8.4,8.6,8.8,9,9.2,9.4,9.6,9.8,10,10.2,10.4,10.6,10.8,10.9,11,11.1,11.2},{0,10,20,30,40,50,60,62,64,66,68,70,72,74,76,78,80,85,90,95,100})</f>
        <v>95</v>
      </c>
      <c r="Q396" s="5">
        <v>5.39</v>
      </c>
      <c r="R396" s="10">
        <f t="shared" ref="R396:R403" si="195">10-Q396</f>
        <v>4.61</v>
      </c>
      <c r="S396" s="7">
        <f>LOOKUP(R396,{0,3.85,4.45,4.65,4.85,5.45,5.65,5.7,5.75,5.8,5.85,5.9,5.95,6,6.45,6.5,6.55,6.63,6.7,6.75,6.8},{0,10,20,30,40,50,60,62,64,66,68,70,72,74,76,78,80,85,90,95,100})</f>
        <v>20</v>
      </c>
      <c r="T396" s="5"/>
      <c r="U396" s="5"/>
      <c r="V396" s="5">
        <f t="shared" ref="V396:V403" si="196">S396+U396</f>
        <v>20</v>
      </c>
      <c r="W396" s="5"/>
      <c r="X396" s="13">
        <f t="shared" ref="X396:X403" si="197">F396*0.1+H396*0.1+J396*0.1+P396*0.2+S396*0.2</f>
        <v>45.6</v>
      </c>
      <c r="Y396" s="13">
        <f t="shared" ref="Y396:Y403" si="198">X396/0.7+L396+U396</f>
        <v>65.1428571428572</v>
      </c>
    </row>
    <row r="397" ht="15.6" hidden="1" outlineLevel="2" spans="1:25">
      <c r="A397" s="5">
        <v>309</v>
      </c>
      <c r="B397" s="5">
        <v>32</v>
      </c>
      <c r="C397" s="9" t="s">
        <v>439</v>
      </c>
      <c r="D397" s="9" t="s">
        <v>12</v>
      </c>
      <c r="E397" s="5"/>
      <c r="F397" s="7"/>
      <c r="G397" s="5"/>
      <c r="H397" s="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>
        <v>50</v>
      </c>
      <c r="X397" s="13"/>
      <c r="Y397" s="13">
        <v>50</v>
      </c>
    </row>
    <row r="398" ht="15.6" hidden="1" outlineLevel="2" spans="1:25">
      <c r="A398" s="5">
        <v>309</v>
      </c>
      <c r="B398" s="5">
        <v>33</v>
      </c>
      <c r="C398" s="9" t="s">
        <v>440</v>
      </c>
      <c r="D398" s="9" t="s">
        <v>12</v>
      </c>
      <c r="E398" s="5">
        <v>15.5</v>
      </c>
      <c r="F398" s="7">
        <f>LOOKUP(E398,{0,-1.8,-0.8,0.2,1.2,2.2,3.2,4.6,6,7.4,8.8,10.2,11.6,13,14.4,15.8,17.2,19.1,21,22.8,24.6},{0,10,20,30,40,50,60,62,64,66,68,70,72,74,76,78,80,85,90,95,100})</f>
        <v>76</v>
      </c>
      <c r="G398" s="5">
        <v>230</v>
      </c>
      <c r="H398" s="7">
        <f>LOOKUP(G398,{0,180,185,190,195,200,205,209,213,217,221,225,229,233,237,241,245,253,260,265,270},{0,10,20,30,40,50,60,62,64,66,68,70,72,74,76,78,80,85,90,95,100})</f>
        <v>72</v>
      </c>
      <c r="I398" s="5">
        <v>2</v>
      </c>
      <c r="J398" s="7">
        <f>LOOKUP(I398,{0,4,5,6,7,8,9,10,11,12,13,14,15,16,17,18},{0,10,20,30,40,50,60,64,68,72,76,80,85,90,95,100})</f>
        <v>0</v>
      </c>
      <c r="K398" s="5"/>
      <c r="L398" s="5"/>
      <c r="M398" s="5">
        <f t="shared" si="193"/>
        <v>0</v>
      </c>
      <c r="N398" s="5">
        <v>9.1</v>
      </c>
      <c r="O398" s="10">
        <f t="shared" si="194"/>
        <v>8.9</v>
      </c>
      <c r="P398" s="7">
        <f>LOOKUP(O398,{0,7.8,8,8.2,8.4,8.6,8.8,9,9.2,9.4,9.6,9.8,10,10.2,10.4,10.6,10.8,10.9,11,11.1,11.2},{0,10,20,30,40,50,60,62,64,66,68,70,72,74,76,78,80,85,90,95,100})</f>
        <v>60</v>
      </c>
      <c r="Q398" s="5">
        <v>5.39</v>
      </c>
      <c r="R398" s="10">
        <f t="shared" si="195"/>
        <v>4.61</v>
      </c>
      <c r="S398" s="7">
        <f>LOOKUP(R398,{0,3.85,4.45,4.65,4.85,5.45,5.65,5.7,5.75,5.8,5.85,5.9,5.95,6,6.45,6.5,6.55,6.63,6.7,6.75,6.8},{0,10,20,30,40,50,60,62,64,66,68,70,72,74,76,78,80,85,90,95,100})</f>
        <v>20</v>
      </c>
      <c r="T398" s="5"/>
      <c r="U398" s="5"/>
      <c r="V398" s="5">
        <f t="shared" si="196"/>
        <v>20</v>
      </c>
      <c r="W398" s="5"/>
      <c r="X398" s="13">
        <f t="shared" si="197"/>
        <v>30.8</v>
      </c>
      <c r="Y398" s="13">
        <f t="shared" si="198"/>
        <v>44</v>
      </c>
    </row>
    <row r="399" ht="15.6" hidden="1" outlineLevel="2" spans="1:25">
      <c r="A399" s="5">
        <v>309</v>
      </c>
      <c r="B399" s="5">
        <v>34</v>
      </c>
      <c r="C399" s="9" t="s">
        <v>441</v>
      </c>
      <c r="D399" s="9" t="s">
        <v>12</v>
      </c>
      <c r="E399" s="5">
        <v>9.8</v>
      </c>
      <c r="F399" s="7">
        <f>LOOKUP(E399,{0,-1.8,-0.8,0.2,1.2,2.2,3.2,4.6,6,7.4,8.8,10.2,11.6,13,14.4,15.8,17.2,19.1,21,22.8,24.6},{0,10,20,30,40,50,60,62,64,66,68,70,72,74,76,78,80,85,90,95,100})</f>
        <v>68</v>
      </c>
      <c r="G399" s="5">
        <v>250</v>
      </c>
      <c r="H399" s="7">
        <f>LOOKUP(G399,{0,180,185,190,195,200,205,209,213,217,221,225,229,233,237,241,245,253,260,265,270},{0,10,20,30,40,50,60,62,64,66,68,70,72,74,76,78,80,85,90,95,100})</f>
        <v>80</v>
      </c>
      <c r="I399" s="5">
        <v>2</v>
      </c>
      <c r="J399" s="7">
        <f>LOOKUP(I399,{0,4,5,6,7,8,9,10,11,12,13,14,15,16,17,18},{0,10,20,30,40,50,60,64,68,72,76,80,85,90,95,100})</f>
        <v>0</v>
      </c>
      <c r="K399" s="5"/>
      <c r="L399" s="5"/>
      <c r="M399" s="5">
        <f t="shared" si="193"/>
        <v>0</v>
      </c>
      <c r="N399" s="5">
        <v>7.2</v>
      </c>
      <c r="O399" s="10">
        <f t="shared" si="194"/>
        <v>10.8</v>
      </c>
      <c r="P399" s="7">
        <f>LOOKUP(O399,{0,7.8,8,8.2,8.4,8.6,8.8,9,9.2,9.4,9.6,9.8,10,10.2,10.4,10.6,10.8,10.9,11,11.1,11.2},{0,10,20,30,40,50,60,62,64,66,68,70,72,74,76,78,80,85,90,95,100})</f>
        <v>80</v>
      </c>
      <c r="Q399" s="5">
        <v>3.29</v>
      </c>
      <c r="R399" s="10">
        <f t="shared" si="195"/>
        <v>6.71</v>
      </c>
      <c r="S399" s="7">
        <f>LOOKUP(R399,{0,3.85,4.45,4.65,4.85,5.45,5.65,5.7,5.75,5.8,5.85,5.9,5.95,6,6.45,6.5,6.55,6.63,6.7,6.75,6.8},{0,10,20,30,40,50,60,62,64,66,68,70,72,74,76,78,80,85,90,95,100})</f>
        <v>90</v>
      </c>
      <c r="T399" s="5"/>
      <c r="U399" s="5"/>
      <c r="V399" s="5">
        <f t="shared" si="196"/>
        <v>90</v>
      </c>
      <c r="W399" s="5"/>
      <c r="X399" s="13">
        <f t="shared" si="197"/>
        <v>48.8</v>
      </c>
      <c r="Y399" s="13">
        <f t="shared" si="198"/>
        <v>69.7142857142857</v>
      </c>
    </row>
    <row r="400" ht="15.6" hidden="1" outlineLevel="2" spans="1:25">
      <c r="A400" s="5">
        <v>309</v>
      </c>
      <c r="B400" s="5">
        <v>35</v>
      </c>
      <c r="C400" s="9" t="s">
        <v>442</v>
      </c>
      <c r="D400" s="9" t="s">
        <v>12</v>
      </c>
      <c r="E400" s="5">
        <v>2.8</v>
      </c>
      <c r="F400" s="7">
        <f>LOOKUP(E400,{0,-1.8,-0.8,0.2,1.2,2.2,3.2,4.6,6,7.4,8.8,10.2,11.6,13,14.4,15.8,17.2,19.1,21,22.8,24.6},{0,10,20,30,40,50,60,62,64,66,68,70,72,74,76,78,80,85,90,95,100})</f>
        <v>50</v>
      </c>
      <c r="G400" s="5">
        <v>195</v>
      </c>
      <c r="H400" s="7">
        <f>LOOKUP(G400,{0,180,185,190,195,200,205,209,213,217,221,225,229,233,237,241,245,253,260,265,270},{0,10,20,30,40,50,60,62,64,66,68,70,72,74,76,78,80,85,90,95,100})</f>
        <v>40</v>
      </c>
      <c r="I400" s="5">
        <v>6</v>
      </c>
      <c r="J400" s="7">
        <f>LOOKUP(I400,{0,4,5,6,7,8,9,10,11,12,13,14,15,16,17,18},{0,10,20,30,40,50,60,64,68,72,76,80,85,90,95,100})</f>
        <v>30</v>
      </c>
      <c r="K400" s="5"/>
      <c r="L400" s="5"/>
      <c r="M400" s="5">
        <f t="shared" si="193"/>
        <v>30</v>
      </c>
      <c r="N400" s="5">
        <v>8.8</v>
      </c>
      <c r="O400" s="10">
        <f t="shared" si="194"/>
        <v>9.2</v>
      </c>
      <c r="P400" s="7">
        <f>LOOKUP(O400,{0,7.8,8,8.2,8.4,8.6,8.8,9,9.2,9.4,9.6,9.8,10,10.2,10.4,10.6,10.8,10.9,11,11.1,11.2},{0,10,20,30,40,50,60,62,64,66,68,70,72,74,76,78,80,85,90,95,100})</f>
        <v>64</v>
      </c>
      <c r="Q400" s="5">
        <v>5.39</v>
      </c>
      <c r="R400" s="10">
        <f t="shared" si="195"/>
        <v>4.61</v>
      </c>
      <c r="S400" s="7">
        <f>LOOKUP(R400,{0,3.85,4.45,4.65,4.85,5.45,5.65,5.7,5.75,5.8,5.85,5.9,5.95,6,6.45,6.5,6.55,6.63,6.7,6.75,6.8},{0,10,20,30,40,50,60,62,64,66,68,70,72,74,76,78,80,85,90,95,100})</f>
        <v>20</v>
      </c>
      <c r="T400" s="5"/>
      <c r="U400" s="5"/>
      <c r="V400" s="5">
        <f t="shared" si="196"/>
        <v>20</v>
      </c>
      <c r="W400" s="5"/>
      <c r="X400" s="13">
        <f t="shared" si="197"/>
        <v>28.8</v>
      </c>
      <c r="Y400" s="13">
        <f t="shared" si="198"/>
        <v>41.1428571428571</v>
      </c>
    </row>
    <row r="401" ht="15.6" hidden="1" outlineLevel="2" spans="1:25">
      <c r="A401" s="5">
        <v>309</v>
      </c>
      <c r="B401" s="5">
        <v>36</v>
      </c>
      <c r="C401" s="9" t="s">
        <v>443</v>
      </c>
      <c r="D401" s="9" t="s">
        <v>12</v>
      </c>
      <c r="E401" s="5">
        <v>4.4</v>
      </c>
      <c r="F401" s="7">
        <f>LOOKUP(E401,{0,-1.8,-0.8,0.2,1.2,2.2,3.2,4.6,6,7.4,8.8,10.2,11.6,13,14.4,15.8,17.2,19.1,21,22.8,24.6},{0,10,20,30,40,50,60,62,64,66,68,70,72,74,76,78,80,85,90,95,100})</f>
        <v>60</v>
      </c>
      <c r="G401" s="5">
        <v>252</v>
      </c>
      <c r="H401" s="7">
        <f>LOOKUP(G401,{0,180,185,190,195,200,205,209,213,217,221,225,229,233,237,241,245,253,260,265,270},{0,10,20,30,40,50,60,62,64,66,68,70,72,74,76,78,80,85,90,95,100})</f>
        <v>80</v>
      </c>
      <c r="I401" s="5">
        <v>9</v>
      </c>
      <c r="J401" s="7">
        <f>LOOKUP(I401,{0,4,5,6,7,8,9,10,11,12,13,14,15,16,17,18},{0,10,20,30,40,50,60,64,68,72,76,80,85,90,95,100})</f>
        <v>60</v>
      </c>
      <c r="K401" s="5"/>
      <c r="L401" s="5"/>
      <c r="M401" s="5">
        <f t="shared" si="193"/>
        <v>60</v>
      </c>
      <c r="N401" s="5">
        <v>7.8</v>
      </c>
      <c r="O401" s="10">
        <f t="shared" si="194"/>
        <v>10.2</v>
      </c>
      <c r="P401" s="7">
        <f>LOOKUP(O401,{0,7.8,8,8.2,8.4,8.6,8.8,9,9.2,9.4,9.6,9.8,10,10.2,10.4,10.6,10.8,10.9,11,11.1,11.2},{0,10,20,30,40,50,60,62,64,66,68,70,72,74,76,78,80,85,90,95,100})</f>
        <v>74</v>
      </c>
      <c r="Q401" s="5">
        <v>4.21</v>
      </c>
      <c r="R401" s="10">
        <f t="shared" si="195"/>
        <v>5.79</v>
      </c>
      <c r="S401" s="7">
        <f>LOOKUP(R401,{0,3.85,4.45,4.65,4.85,5.45,5.65,5.7,5.75,5.8,5.85,5.9,5.95,6,6.45,6.5,6.55,6.63,6.7,6.75,6.8},{0,10,20,30,40,50,60,62,64,66,68,70,72,74,76,78,80,85,90,95,100})</f>
        <v>64</v>
      </c>
      <c r="T401" s="5"/>
      <c r="U401" s="5"/>
      <c r="V401" s="5">
        <f t="shared" si="196"/>
        <v>64</v>
      </c>
      <c r="W401" s="5"/>
      <c r="X401" s="13">
        <f t="shared" si="197"/>
        <v>47.6</v>
      </c>
      <c r="Y401" s="13">
        <f t="shared" si="198"/>
        <v>68</v>
      </c>
    </row>
    <row r="402" ht="15.6" hidden="1" outlineLevel="2" spans="1:25">
      <c r="A402" s="5">
        <v>309</v>
      </c>
      <c r="B402" s="5">
        <v>37</v>
      </c>
      <c r="C402" s="9" t="s">
        <v>444</v>
      </c>
      <c r="D402" s="9" t="s">
        <v>12</v>
      </c>
      <c r="E402" s="5">
        <v>1</v>
      </c>
      <c r="F402" s="7">
        <f>LOOKUP(E402,{0,-1.8,-0.8,0.2,1.2,2.2,3.2,4.6,6,7.4,8.8,10.2,11.6,13,14.4,15.8,17.2,19.1,21,22.8,24.6},{0,10,20,30,40,50,60,62,64,66,68,70,72,74,76,78,80,85,90,95,100})</f>
        <v>30</v>
      </c>
      <c r="G402" s="5">
        <v>225</v>
      </c>
      <c r="H402" s="7">
        <f>LOOKUP(G402,{0,180,185,190,195,200,205,209,213,217,221,225,229,233,237,241,245,253,260,265,270},{0,10,20,30,40,50,60,62,64,66,68,70,72,74,76,78,80,85,90,95,100})</f>
        <v>70</v>
      </c>
      <c r="I402" s="5">
        <v>8</v>
      </c>
      <c r="J402" s="7">
        <f>LOOKUP(I402,{0,4,5,6,7,8,9,10,11,12,13,14,15,16,17,18},{0,10,20,30,40,50,60,64,68,72,76,80,85,90,95,100})</f>
        <v>50</v>
      </c>
      <c r="K402" s="5"/>
      <c r="L402" s="5"/>
      <c r="M402" s="5">
        <f t="shared" si="193"/>
        <v>50</v>
      </c>
      <c r="N402" s="5">
        <v>9.4</v>
      </c>
      <c r="O402" s="10">
        <f t="shared" si="194"/>
        <v>8.6</v>
      </c>
      <c r="P402" s="7">
        <f>LOOKUP(O402,{0,7.8,8,8.2,8.4,8.6,8.8,9,9.2,9.4,9.6,9.8,10,10.2,10.4,10.6,10.8,10.9,11,11.1,11.2},{0,10,20,30,40,50,60,62,64,66,68,70,72,74,76,78,80,85,90,95,100})</f>
        <v>50</v>
      </c>
      <c r="Q402" s="5">
        <v>5.39</v>
      </c>
      <c r="R402" s="10">
        <f t="shared" si="195"/>
        <v>4.61</v>
      </c>
      <c r="S402" s="7">
        <f>LOOKUP(R402,{0,3.85,4.45,4.65,4.85,5.45,5.65,5.7,5.75,5.8,5.85,5.9,5.95,6,6.45,6.5,6.55,6.63,6.7,6.75,6.8},{0,10,20,30,40,50,60,62,64,66,68,70,72,74,76,78,80,85,90,95,100})</f>
        <v>20</v>
      </c>
      <c r="T402" s="5"/>
      <c r="U402" s="5"/>
      <c r="V402" s="5">
        <f t="shared" si="196"/>
        <v>20</v>
      </c>
      <c r="W402" s="5"/>
      <c r="X402" s="13">
        <f t="shared" si="197"/>
        <v>29</v>
      </c>
      <c r="Y402" s="13">
        <f t="shared" si="198"/>
        <v>41.4285714285714</v>
      </c>
    </row>
    <row r="403" ht="15.6" hidden="1" outlineLevel="2" spans="1:25">
      <c r="A403" s="5">
        <v>309</v>
      </c>
      <c r="B403" s="5">
        <v>38</v>
      </c>
      <c r="C403" s="9" t="s">
        <v>445</v>
      </c>
      <c r="D403" s="9" t="s">
        <v>12</v>
      </c>
      <c r="E403" s="5">
        <v>1</v>
      </c>
      <c r="F403" s="7">
        <f>LOOKUP(E403,{0,-1.8,-0.8,0.2,1.2,2.2,3.2,4.6,6,7.4,8.8,10.2,11.6,13,14.4,15.8,17.2,19.1,21,22.8,24.6},{0,10,20,30,40,50,60,62,64,66,68,70,72,74,76,78,80,85,90,95,100})</f>
        <v>30</v>
      </c>
      <c r="G403" s="5">
        <v>215</v>
      </c>
      <c r="H403" s="7">
        <f>LOOKUP(G403,{0,180,185,190,195,200,205,209,213,217,221,225,229,233,237,241,245,253,260,265,270},{0,10,20,30,40,50,60,62,64,66,68,70,72,74,76,78,80,85,90,95,100})</f>
        <v>64</v>
      </c>
      <c r="I403" s="5">
        <v>1</v>
      </c>
      <c r="J403" s="7">
        <f>LOOKUP(I403,{0,4,5,6,7,8,9,10,11,12,13,14,15,16,17,18},{0,10,20,30,40,50,60,64,68,72,76,80,85,90,95,100})</f>
        <v>0</v>
      </c>
      <c r="K403" s="5"/>
      <c r="L403" s="5"/>
      <c r="M403" s="5">
        <f t="shared" si="193"/>
        <v>0</v>
      </c>
      <c r="N403" s="5">
        <v>8.8</v>
      </c>
      <c r="O403" s="10">
        <f t="shared" si="194"/>
        <v>9.2</v>
      </c>
      <c r="P403" s="7">
        <f>LOOKUP(O403,{0,7.8,8,8.2,8.4,8.6,8.8,9,9.2,9.4,9.6,9.8,10,10.2,10.4,10.6,10.8,10.9,11,11.1,11.2},{0,10,20,30,40,50,60,62,64,66,68,70,72,74,76,78,80,85,90,95,100})</f>
        <v>64</v>
      </c>
      <c r="Q403" s="5">
        <v>5.39</v>
      </c>
      <c r="R403" s="10">
        <f t="shared" si="195"/>
        <v>4.61</v>
      </c>
      <c r="S403" s="7">
        <f>LOOKUP(R403,{0,3.85,4.45,4.65,4.85,5.45,5.65,5.7,5.75,5.8,5.85,5.9,5.95,6,6.45,6.5,6.55,6.63,6.7,6.75,6.8},{0,10,20,30,40,50,60,62,64,66,68,70,72,74,76,78,80,85,90,95,100})</f>
        <v>20</v>
      </c>
      <c r="T403" s="5"/>
      <c r="U403" s="5"/>
      <c r="V403" s="5">
        <f t="shared" si="196"/>
        <v>20</v>
      </c>
      <c r="W403" s="5"/>
      <c r="X403" s="13">
        <f t="shared" si="197"/>
        <v>26.2</v>
      </c>
      <c r="Y403" s="13">
        <f t="shared" si="198"/>
        <v>37.4285714285714</v>
      </c>
    </row>
    <row r="404" hidden="1" outlineLevel="2" spans="1:25">
      <c r="A404" s="5">
        <v>309</v>
      </c>
      <c r="B404" s="5">
        <v>39</v>
      </c>
      <c r="C404" s="8" t="s">
        <v>447</v>
      </c>
      <c r="D404" s="9" t="s">
        <v>46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>
        <v>50</v>
      </c>
      <c r="X404" s="13"/>
      <c r="Y404" s="13">
        <v>50</v>
      </c>
    </row>
    <row r="405" ht="15.6" hidden="1" outlineLevel="2" spans="1:25">
      <c r="A405" s="5">
        <v>309</v>
      </c>
      <c r="B405" s="5">
        <v>40</v>
      </c>
      <c r="C405" s="5" t="s">
        <v>448</v>
      </c>
      <c r="D405" s="5" t="s">
        <v>46</v>
      </c>
      <c r="E405" s="5">
        <v>17</v>
      </c>
      <c r="F405" s="7">
        <f>LOOKUP(E405,{0,1.5,2.3,3.1,3.9,4.7,5.5,6.8,8.1,9.4,10.7,12,13.3,14.6,15.9,17.2,18.5,20.2,21.9,23.6,25.3},{0,10,20,30,40,50,60,62,64,66,68,70,72,74,76,78,80,85,90,95,100})</f>
        <v>76</v>
      </c>
      <c r="G405" s="5">
        <v>190</v>
      </c>
      <c r="H405" s="7">
        <f>LOOKUP(G405,{0,125,130,135,140,145,150,153,156,159,162,165,168,171,174,177,180,187,194,200,206},{0,10,20,30,40,50,60,62,64,66,68,70,72,74,76,78,80,85,90,95,100})</f>
        <v>85</v>
      </c>
      <c r="I405" s="5">
        <v>45</v>
      </c>
      <c r="J405" s="7">
        <f>LOOKUP(I405,{0,15,17,19,21,23,25,27,29,31,33,35,37,39,41,43,45,48,51,53,55},{0,10,20,30,40,50,60,62,64,66,68,70,72,74,76,78,80,85,90,95,100})</f>
        <v>80</v>
      </c>
      <c r="K405" s="5"/>
      <c r="L405" s="5"/>
      <c r="M405" s="5">
        <f t="shared" ref="M405:M410" si="199">J405+L405</f>
        <v>80</v>
      </c>
      <c r="N405" s="5">
        <v>8.9</v>
      </c>
      <c r="O405" s="10">
        <f t="shared" ref="O405:O410" si="200">18-N405</f>
        <v>9.1</v>
      </c>
      <c r="P405" s="7">
        <f>LOOKUP(O405,{0,6.6,6.8,7,7.2,7.4,7.6,7.8,8,8.2,8.4,8.6,8.8,9,9.2,9.4,9.6,9.9,10.2,10.3,10.4},{0,10,20,30,40,50,60,62,64,66,68,70,72,74,76,78,80,85,90,95,100})</f>
        <v>74</v>
      </c>
      <c r="Q405" s="5">
        <v>4.03</v>
      </c>
      <c r="R405" s="10">
        <f t="shared" ref="R405:R410" si="201">10-Q405</f>
        <v>5.97</v>
      </c>
      <c r="S405" s="7">
        <f>LOOKUP(R405,{0,4.74,4.84,4.94,5.44,5.54,5.64,5.69,5.74,5.79,5.84,5.89,5.94,5.99,6.44,6.49,6.54,6.61,6.68,6.74,6.8},{0,10,20,30,40,50,60,62,64,66,68,70,72,74,76,78,80,85,90,95,100})</f>
        <v>72</v>
      </c>
      <c r="T405" s="5"/>
      <c r="U405" s="5"/>
      <c r="V405" s="5">
        <f t="shared" ref="V405:V410" si="202">S405+U405</f>
        <v>72</v>
      </c>
      <c r="W405" s="5"/>
      <c r="X405" s="13">
        <f t="shared" ref="X405:X410" si="203">F405*0.1+H405*0.1+J405*0.1+P405*0.2+S405*0.2</f>
        <v>53.3</v>
      </c>
      <c r="Y405" s="13">
        <f t="shared" ref="Y405:Y410" si="204">X405/0.7+L405+U405</f>
        <v>76.1428571428572</v>
      </c>
    </row>
    <row r="406" ht="15.6" hidden="1" outlineLevel="2" spans="1:25">
      <c r="A406" s="5">
        <v>309</v>
      </c>
      <c r="B406" s="5">
        <v>41</v>
      </c>
      <c r="C406" s="9" t="s">
        <v>449</v>
      </c>
      <c r="D406" s="9" t="s">
        <v>46</v>
      </c>
      <c r="E406" s="5">
        <v>18.2</v>
      </c>
      <c r="F406" s="7">
        <f>LOOKUP(E406,{0,1.5,2.3,3.1,3.9,4.7,5.5,6.8,8.1,9.4,10.7,12,13.3,14.6,15.9,17.2,18.5,20.2,21.9,23.6,25.3},{0,10,20,30,40,50,60,62,64,66,68,70,72,74,76,78,80,85,90,95,100})</f>
        <v>78</v>
      </c>
      <c r="G406" s="5">
        <v>170</v>
      </c>
      <c r="H406" s="7">
        <f>LOOKUP(G406,{0,125,130,135,140,145,150,153,156,159,162,165,168,171,174,177,180,187,194,200,206},{0,10,20,30,40,50,60,62,64,66,68,70,72,74,76,78,80,85,90,95,100})</f>
        <v>72</v>
      </c>
      <c r="I406" s="5">
        <v>42</v>
      </c>
      <c r="J406" s="7">
        <f>LOOKUP(I406,{0,15,17,19,21,23,25,27,29,31,33,35,37,39,41,43,45,48,51,53,55},{0,10,20,30,40,50,60,62,64,66,68,70,72,74,76,78,80,85,90,95,100})</f>
        <v>76</v>
      </c>
      <c r="K406" s="5"/>
      <c r="L406" s="5"/>
      <c r="M406" s="5">
        <f t="shared" si="199"/>
        <v>76</v>
      </c>
      <c r="N406" s="5">
        <v>9.3</v>
      </c>
      <c r="O406" s="10">
        <f t="shared" si="200"/>
        <v>8.7</v>
      </c>
      <c r="P406" s="7">
        <f>LOOKUP(O406,{0,6.6,6.8,7,7.2,7.4,7.6,7.8,8,8.2,8.4,8.6,8.8,9,9.2,9.4,9.6,9.9,10.2,10.3,10.4},{0,10,20,30,40,50,60,62,64,66,68,70,72,74,76,78,80,85,90,95,100})</f>
        <v>70</v>
      </c>
      <c r="Q406" s="5">
        <v>4.1</v>
      </c>
      <c r="R406" s="10">
        <f t="shared" si="201"/>
        <v>5.9</v>
      </c>
      <c r="S406" s="7">
        <f>LOOKUP(R406,{0,4.74,4.84,4.94,5.44,5.54,5.64,5.69,5.74,5.79,5.84,5.89,5.94,5.99,6.44,6.49,6.54,6.61,6.68,6.74,6.8},{0,10,20,30,40,50,60,62,64,66,68,70,72,74,76,78,80,85,90,95,100})</f>
        <v>70</v>
      </c>
      <c r="T406" s="5"/>
      <c r="U406" s="5"/>
      <c r="V406" s="5">
        <f t="shared" si="202"/>
        <v>70</v>
      </c>
      <c r="W406" s="5"/>
      <c r="X406" s="13">
        <f t="shared" si="203"/>
        <v>50.6</v>
      </c>
      <c r="Y406" s="13">
        <f t="shared" si="204"/>
        <v>72.2857142857143</v>
      </c>
    </row>
    <row r="407" ht="15.6" hidden="1" outlineLevel="2" spans="1:25">
      <c r="A407" s="5">
        <v>309</v>
      </c>
      <c r="B407" s="5">
        <v>42</v>
      </c>
      <c r="C407" s="9" t="s">
        <v>450</v>
      </c>
      <c r="D407" s="9" t="s">
        <v>46</v>
      </c>
      <c r="E407" s="5">
        <v>16.7</v>
      </c>
      <c r="F407" s="7">
        <f>LOOKUP(E407,{0,1.5,2.3,3.1,3.9,4.7,5.5,6.8,8.1,9.4,10.7,12,13.3,14.6,15.9,17.2,18.5,20.2,21.9,23.6,25.3},{0,10,20,30,40,50,60,62,64,66,68,70,72,74,76,78,80,85,90,95,100})</f>
        <v>76</v>
      </c>
      <c r="G407" s="5">
        <v>168</v>
      </c>
      <c r="H407" s="7">
        <f>LOOKUP(G407,{0,125,130,135,140,145,150,153,156,159,162,165,168,171,174,177,180,187,194,200,206},{0,10,20,30,40,50,60,62,64,66,68,70,72,74,76,78,80,85,90,95,100})</f>
        <v>72</v>
      </c>
      <c r="I407" s="5">
        <v>49</v>
      </c>
      <c r="J407" s="7">
        <f>LOOKUP(I407,{0,15,17,19,21,23,25,27,29,31,33,35,37,39,41,43,45,48,51,53,55},{0,10,20,30,40,50,60,62,64,66,68,70,72,74,76,78,80,85,90,95,100})</f>
        <v>85</v>
      </c>
      <c r="K407" s="5"/>
      <c r="L407" s="5"/>
      <c r="M407" s="5">
        <f t="shared" si="199"/>
        <v>85</v>
      </c>
      <c r="N407" s="5">
        <v>8.5</v>
      </c>
      <c r="O407" s="10">
        <f t="shared" si="200"/>
        <v>9.5</v>
      </c>
      <c r="P407" s="7">
        <f>LOOKUP(O407,{0,6.6,6.8,7,7.2,7.4,7.6,7.8,8,8.2,8.4,8.6,8.8,9,9.2,9.4,9.6,9.9,10.2,10.3,10.4},{0,10,20,30,40,50,60,62,64,66,68,70,72,74,76,78,80,85,90,95,100})</f>
        <v>78</v>
      </c>
      <c r="Q407" s="5">
        <v>3.46</v>
      </c>
      <c r="R407" s="10">
        <f t="shared" si="201"/>
        <v>6.54</v>
      </c>
      <c r="S407" s="7">
        <f>LOOKUP(R407,{0,4.74,4.84,4.94,5.44,5.54,5.64,5.69,5.74,5.79,5.84,5.89,5.94,5.99,6.44,6.49,6.54,6.61,6.68,6.74,6.8},{0,10,20,30,40,50,60,62,64,66,68,70,72,74,76,78,80,85,90,95,100})</f>
        <v>80</v>
      </c>
      <c r="T407" s="5"/>
      <c r="U407" s="5"/>
      <c r="V407" s="5">
        <f t="shared" si="202"/>
        <v>80</v>
      </c>
      <c r="W407" s="5"/>
      <c r="X407" s="13">
        <f t="shared" si="203"/>
        <v>54.9</v>
      </c>
      <c r="Y407" s="13">
        <f t="shared" si="204"/>
        <v>78.4285714285714</v>
      </c>
    </row>
    <row r="408" ht="15.6" hidden="1" outlineLevel="2" spans="1:25">
      <c r="A408" s="5">
        <v>309</v>
      </c>
      <c r="B408" s="5">
        <v>43</v>
      </c>
      <c r="C408" s="9" t="s">
        <v>451</v>
      </c>
      <c r="D408" s="9" t="s">
        <v>46</v>
      </c>
      <c r="E408" s="5">
        <v>31.6</v>
      </c>
      <c r="F408" s="7">
        <f>LOOKUP(E408,{0,1.5,2.3,3.1,3.9,4.7,5.5,6.8,8.1,9.4,10.7,12,13.3,14.6,15.9,17.2,18.5,20.2,21.9,23.6,25.3},{0,10,20,30,40,50,60,62,64,66,68,70,72,74,76,78,80,85,90,95,100})</f>
        <v>100</v>
      </c>
      <c r="G408" s="5">
        <v>185</v>
      </c>
      <c r="H408" s="7">
        <f>LOOKUP(G408,{0,125,130,135,140,145,150,153,156,159,162,165,168,171,174,177,180,187,194,200,206},{0,10,20,30,40,50,60,62,64,66,68,70,72,74,76,78,80,85,90,95,100})</f>
        <v>80</v>
      </c>
      <c r="I408" s="5">
        <v>36</v>
      </c>
      <c r="J408" s="7">
        <f>LOOKUP(I408,{0,15,17,19,21,23,25,27,29,31,33,35,37,39,41,43,45,48,51,53,55},{0,10,20,30,40,50,60,62,64,66,68,70,72,74,76,78,80,85,90,95,100})</f>
        <v>70</v>
      </c>
      <c r="K408" s="5"/>
      <c r="L408" s="5"/>
      <c r="M408" s="5">
        <f t="shared" si="199"/>
        <v>70</v>
      </c>
      <c r="N408" s="5">
        <v>9.1</v>
      </c>
      <c r="O408" s="10">
        <f t="shared" si="200"/>
        <v>8.9</v>
      </c>
      <c r="P408" s="7">
        <f>LOOKUP(O408,{0,6.6,6.8,7,7.2,7.4,7.6,7.8,8,8.2,8.4,8.6,8.8,9,9.2,9.4,9.6,9.9,10.2,10.3,10.4},{0,10,20,30,40,50,60,62,64,66,68,70,72,74,76,78,80,85,90,95,100})</f>
        <v>72</v>
      </c>
      <c r="Q408" s="5">
        <v>4.01</v>
      </c>
      <c r="R408" s="10">
        <f t="shared" si="201"/>
        <v>5.99</v>
      </c>
      <c r="S408" s="7">
        <f>LOOKUP(R408,{0,4.74,4.84,4.94,5.44,5.54,5.64,5.69,5.74,5.79,5.84,5.89,5.94,5.99,6.44,6.49,6.54,6.61,6.68,6.74,6.8},{0,10,20,30,40,50,60,62,64,66,68,70,72,74,76,78,80,85,90,95,100})</f>
        <v>74</v>
      </c>
      <c r="T408" s="5"/>
      <c r="U408" s="5"/>
      <c r="V408" s="5">
        <f t="shared" si="202"/>
        <v>74</v>
      </c>
      <c r="W408" s="5"/>
      <c r="X408" s="13">
        <f t="shared" si="203"/>
        <v>54.2</v>
      </c>
      <c r="Y408" s="13">
        <f t="shared" si="204"/>
        <v>77.4285714285714</v>
      </c>
    </row>
    <row r="409" ht="15.6" hidden="1" outlineLevel="2" spans="1:25">
      <c r="A409" s="5">
        <v>309</v>
      </c>
      <c r="B409" s="5">
        <v>44</v>
      </c>
      <c r="C409" s="9" t="s">
        <v>452</v>
      </c>
      <c r="D409" s="9" t="s">
        <v>46</v>
      </c>
      <c r="E409" s="5">
        <v>9</v>
      </c>
      <c r="F409" s="7">
        <f>LOOKUP(E409,{0,1.5,2.3,3.1,3.9,4.7,5.5,6.8,8.1,9.4,10.7,12,13.3,14.6,15.9,17.2,18.5,20.2,21.9,23.6,25.3},{0,10,20,30,40,50,60,62,64,66,68,70,72,74,76,78,80,85,90,95,100})</f>
        <v>64</v>
      </c>
      <c r="G409" s="5">
        <v>160</v>
      </c>
      <c r="H409" s="7">
        <f>LOOKUP(G409,{0,125,130,135,140,145,150,153,156,159,162,165,168,171,174,177,180,187,194,200,206},{0,10,20,30,40,50,60,62,64,66,68,70,72,74,76,78,80,85,90,95,100})</f>
        <v>66</v>
      </c>
      <c r="I409" s="5">
        <v>41</v>
      </c>
      <c r="J409" s="7">
        <f>LOOKUP(I409,{0,15,17,19,21,23,25,27,29,31,33,35,37,39,41,43,45,48,51,53,55},{0,10,20,30,40,50,60,62,64,66,68,70,72,74,76,78,80,85,90,95,100})</f>
        <v>76</v>
      </c>
      <c r="K409" s="5"/>
      <c r="L409" s="5"/>
      <c r="M409" s="5">
        <f t="shared" si="199"/>
        <v>76</v>
      </c>
      <c r="N409" s="5">
        <v>8.2</v>
      </c>
      <c r="O409" s="10">
        <f t="shared" si="200"/>
        <v>9.8</v>
      </c>
      <c r="P409" s="7">
        <f>LOOKUP(O409,{0,6.6,6.8,7,7.2,7.4,7.6,7.8,8,8.2,8.4,8.6,8.8,9,9.2,9.4,9.6,9.9,10.2,10.3,10.4},{0,10,20,30,40,50,60,62,64,66,68,70,72,74,76,78,80,85,90,95,100})</f>
        <v>80</v>
      </c>
      <c r="Q409" s="5">
        <v>4.04</v>
      </c>
      <c r="R409" s="10">
        <f t="shared" si="201"/>
        <v>5.96</v>
      </c>
      <c r="S409" s="7">
        <f>LOOKUP(R409,{0,4.74,4.84,4.94,5.44,5.54,5.64,5.69,5.74,5.79,5.84,5.89,5.94,5.99,6.44,6.49,6.54,6.61,6.68,6.74,6.8},{0,10,20,30,40,50,60,62,64,66,68,70,72,74,76,78,80,85,90,95,100})</f>
        <v>72</v>
      </c>
      <c r="T409" s="5"/>
      <c r="U409" s="5"/>
      <c r="V409" s="5">
        <f t="shared" si="202"/>
        <v>72</v>
      </c>
      <c r="W409" s="5"/>
      <c r="X409" s="13">
        <f t="shared" si="203"/>
        <v>51</v>
      </c>
      <c r="Y409" s="13">
        <f t="shared" si="204"/>
        <v>72.8571428571429</v>
      </c>
    </row>
    <row r="410" ht="15.6" hidden="1" outlineLevel="2" spans="1:25">
      <c r="A410" s="5">
        <v>309</v>
      </c>
      <c r="B410" s="5">
        <v>45</v>
      </c>
      <c r="C410" s="9" t="s">
        <v>453</v>
      </c>
      <c r="D410" s="9" t="s">
        <v>46</v>
      </c>
      <c r="E410" s="5">
        <v>1</v>
      </c>
      <c r="F410" s="7">
        <f>LOOKUP(E410,{0,1.5,2.3,3.1,3.9,4.7,5.5,6.8,8.1,9.4,10.7,12,13.3,14.6,15.9,17.2,18.5,20.2,21.9,23.6,25.3},{0,10,20,30,40,50,60,62,64,66,68,70,72,74,76,78,80,85,90,95,100})</f>
        <v>0</v>
      </c>
      <c r="G410" s="5">
        <v>150</v>
      </c>
      <c r="H410" s="7">
        <f>LOOKUP(G410,{0,125,130,135,140,145,150,153,156,159,162,165,168,171,174,177,180,187,194,200,206},{0,10,20,30,40,50,60,62,64,66,68,70,72,74,76,78,80,85,90,95,100})</f>
        <v>60</v>
      </c>
      <c r="I410" s="5">
        <v>31</v>
      </c>
      <c r="J410" s="7">
        <f>LOOKUP(I410,{0,15,17,19,21,23,25,27,29,31,33,35,37,39,41,43,45,48,51,53,55},{0,10,20,30,40,50,60,62,64,66,68,70,72,74,76,78,80,85,90,95,100})</f>
        <v>66</v>
      </c>
      <c r="K410" s="5"/>
      <c r="L410" s="5"/>
      <c r="M410" s="5">
        <f t="shared" si="199"/>
        <v>66</v>
      </c>
      <c r="N410" s="5">
        <v>9.1</v>
      </c>
      <c r="O410" s="10">
        <f t="shared" si="200"/>
        <v>8.9</v>
      </c>
      <c r="P410" s="7">
        <f>LOOKUP(O410,{0,6.6,6.8,7,7.2,7.4,7.6,7.8,8,8.2,8.4,8.6,8.8,9,9.2,9.4,9.6,9.9,10.2,10.3,10.4},{0,10,20,30,40,50,60,62,64,66,68,70,72,74,76,78,80,85,90,95,100})</f>
        <v>72</v>
      </c>
      <c r="Q410" s="5">
        <v>3.15</v>
      </c>
      <c r="R410" s="10">
        <f t="shared" si="201"/>
        <v>6.85</v>
      </c>
      <c r="S410" s="7">
        <f>LOOKUP(R410,{0,4.74,4.84,4.94,5.44,5.54,5.64,5.69,5.74,5.79,5.84,5.89,5.94,5.99,6.44,6.49,6.54,6.61,6.68,6.74,6.8},{0,10,20,30,40,50,60,62,64,66,68,70,72,74,76,78,80,85,90,95,100})</f>
        <v>100</v>
      </c>
      <c r="T410" s="10">
        <f>3.2-Q410</f>
        <v>0.0500000000000003</v>
      </c>
      <c r="U410" s="7">
        <f>LOOKUP(T410,{0,0.05,0.1,0.15,0.2,0.25,0.3,0.35,0.4,0.45,0.5},{0,1,2,3,4,5,6,7,8,9,10})</f>
        <v>1</v>
      </c>
      <c r="V410" s="5">
        <f t="shared" si="202"/>
        <v>101</v>
      </c>
      <c r="W410" s="5"/>
      <c r="X410" s="13">
        <f t="shared" si="203"/>
        <v>47</v>
      </c>
      <c r="Y410" s="13">
        <f t="shared" si="204"/>
        <v>68.1428571428572</v>
      </c>
    </row>
    <row r="411" hidden="1" outlineLevel="2" spans="1:25">
      <c r="A411" s="5">
        <v>309</v>
      </c>
      <c r="B411" s="5">
        <v>46</v>
      </c>
      <c r="C411" s="9" t="s">
        <v>454</v>
      </c>
      <c r="D411" s="9" t="s">
        <v>46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>
        <v>50</v>
      </c>
      <c r="X411" s="13"/>
      <c r="Y411" s="13">
        <v>50</v>
      </c>
    </row>
    <row r="412" ht="15.6" hidden="1" outlineLevel="2" spans="1:25">
      <c r="A412" s="5">
        <v>309</v>
      </c>
      <c r="B412" s="5">
        <v>47</v>
      </c>
      <c r="C412" s="9" t="s">
        <v>335</v>
      </c>
      <c r="D412" s="9" t="s">
        <v>46</v>
      </c>
      <c r="E412" s="5">
        <v>17.5</v>
      </c>
      <c r="F412" s="7">
        <f>LOOKUP(E412,{0,1.5,2.3,3.1,3.9,4.7,5.5,6.8,8.1,9.4,10.7,12,13.3,14.6,15.9,17.2,18.5,20.2,21.9,23.6,25.3},{0,10,20,30,40,50,60,62,64,66,68,70,72,74,76,78,80,85,90,95,100})</f>
        <v>78</v>
      </c>
      <c r="G412" s="5">
        <v>185</v>
      </c>
      <c r="H412" s="7">
        <f>LOOKUP(G412,{0,125,130,135,140,145,150,153,156,159,162,165,168,171,174,177,180,187,194,200,206},{0,10,20,30,40,50,60,62,64,66,68,70,72,74,76,78,80,85,90,95,100})</f>
        <v>80</v>
      </c>
      <c r="I412" s="5">
        <v>47</v>
      </c>
      <c r="J412" s="7">
        <f>LOOKUP(I412,{0,15,17,19,21,23,25,27,29,31,33,35,37,39,41,43,45,48,51,53,55},{0,10,20,30,40,50,60,62,64,66,68,70,72,74,76,78,80,85,90,95,100})</f>
        <v>80</v>
      </c>
      <c r="K412" s="5"/>
      <c r="L412" s="5"/>
      <c r="M412" s="5">
        <f>J412+L412</f>
        <v>80</v>
      </c>
      <c r="N412" s="5">
        <v>8.7</v>
      </c>
      <c r="O412" s="10">
        <f>18-N412</f>
        <v>9.3</v>
      </c>
      <c r="P412" s="7">
        <f>LOOKUP(O412,{0,6.6,6.8,7,7.2,7.4,7.6,7.8,8,8.2,8.4,8.6,8.8,9,9.2,9.4,9.6,9.9,10.2,10.3,10.4},{0,10,20,30,40,50,60,62,64,66,68,70,72,74,76,78,80,85,90,95,100})</f>
        <v>76</v>
      </c>
      <c r="Q412" s="5">
        <v>3.33</v>
      </c>
      <c r="R412" s="10">
        <f>10-Q412</f>
        <v>6.67</v>
      </c>
      <c r="S412" s="7">
        <f>LOOKUP(R412,{0,4.74,4.84,4.94,5.44,5.54,5.64,5.69,5.74,5.79,5.84,5.89,5.94,5.99,6.44,6.49,6.54,6.61,6.68,6.74,6.8},{0,10,20,30,40,50,60,62,64,66,68,70,72,74,76,78,80,85,90,95,100})</f>
        <v>85</v>
      </c>
      <c r="T412" s="5"/>
      <c r="U412" s="5"/>
      <c r="V412" s="5">
        <f>S412+U412</f>
        <v>85</v>
      </c>
      <c r="W412" s="5"/>
      <c r="X412" s="13">
        <f>F412*0.1+H412*0.1+J412*0.1+P412*0.2+S412*0.2</f>
        <v>56</v>
      </c>
      <c r="Y412" s="13">
        <f>X412/0.7+L412+U412</f>
        <v>80</v>
      </c>
    </row>
    <row r="413" hidden="1" outlineLevel="2" spans="1:25">
      <c r="A413" s="5">
        <v>309</v>
      </c>
      <c r="B413" s="5">
        <v>48</v>
      </c>
      <c r="C413" s="9" t="s">
        <v>455</v>
      </c>
      <c r="D413" s="9" t="s">
        <v>46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>
        <v>50</v>
      </c>
      <c r="X413" s="17"/>
      <c r="Y413" s="13">
        <v>50</v>
      </c>
    </row>
    <row r="414" ht="15.6" hidden="1" outlineLevel="2" spans="1:25">
      <c r="A414" s="5">
        <v>309</v>
      </c>
      <c r="B414" s="5">
        <v>49</v>
      </c>
      <c r="C414" s="9" t="s">
        <v>456</v>
      </c>
      <c r="D414" s="9" t="s">
        <v>46</v>
      </c>
      <c r="E414" s="5">
        <v>19</v>
      </c>
      <c r="F414" s="7">
        <f>LOOKUP(E414,{0,1.5,2.3,3.1,3.9,4.7,5.5,6.8,8.1,9.4,10.7,12,13.3,14.6,15.9,17.2,18.5,20.2,21.9,23.6,25.3},{0,10,20,30,40,50,60,62,64,66,68,70,72,74,76,78,80,85,90,95,100})</f>
        <v>80</v>
      </c>
      <c r="G414" s="5">
        <v>190</v>
      </c>
      <c r="H414" s="7">
        <f>LOOKUP(G414,{0,125,130,135,140,145,150,153,156,159,162,165,168,171,174,177,180,187,194,200,206},{0,10,20,30,40,50,60,62,64,66,68,70,72,74,76,78,80,85,90,95,100})</f>
        <v>85</v>
      </c>
      <c r="I414" s="5">
        <v>48</v>
      </c>
      <c r="J414" s="7">
        <f>LOOKUP(I414,{0,15,17,19,21,23,25,27,29,31,33,35,37,39,41,43,45,48,51,53,55},{0,10,20,30,40,50,60,62,64,66,68,70,72,74,76,78,80,85,90,95,100})</f>
        <v>85</v>
      </c>
      <c r="K414" s="5"/>
      <c r="L414" s="5"/>
      <c r="M414" s="5">
        <f>J414+L414</f>
        <v>85</v>
      </c>
      <c r="N414" s="5">
        <v>8.5</v>
      </c>
      <c r="O414" s="10">
        <f>18-N414</f>
        <v>9.5</v>
      </c>
      <c r="P414" s="7">
        <f>LOOKUP(O414,{0,6.6,6.8,7,7.2,7.4,7.6,7.8,8,8.2,8.4,8.6,8.8,9,9.2,9.4,9.6,9.9,10.2,10.3,10.4},{0,10,20,30,40,50,60,62,64,66,68,70,72,74,76,78,80,85,90,95,100})</f>
        <v>78</v>
      </c>
      <c r="Q414" s="5">
        <v>3.28</v>
      </c>
      <c r="R414" s="10">
        <f>10-Q414</f>
        <v>6.72</v>
      </c>
      <c r="S414" s="7">
        <f>LOOKUP(R414,{0,4.74,4.84,4.94,5.44,5.54,5.64,5.69,5.74,5.79,5.84,5.89,5.94,5.99,6.44,6.49,6.54,6.61,6.68,6.74,6.8},{0,10,20,30,40,50,60,62,64,66,68,70,72,74,76,78,80,85,90,95,100})</f>
        <v>90</v>
      </c>
      <c r="T414" s="5"/>
      <c r="U414" s="5"/>
      <c r="V414" s="5">
        <f>S414+U414</f>
        <v>90</v>
      </c>
      <c r="W414" s="5"/>
      <c r="X414" s="13">
        <f>F414*0.1+H414*0.1+J414*0.1+P414*0.2+S414*0.2</f>
        <v>58.6</v>
      </c>
      <c r="Y414" s="13">
        <f>X414/0.7+L414+U414</f>
        <v>83.7142857142857</v>
      </c>
    </row>
    <row r="415" ht="15.6" outlineLevel="1" collapsed="1" spans="1:25">
      <c r="A415" s="6" t="s">
        <v>860</v>
      </c>
      <c r="B415" s="5"/>
      <c r="C415" s="9"/>
      <c r="D415" s="9"/>
      <c r="E415" s="5"/>
      <c r="F415" s="7">
        <f>SUBTOTAL(1,F366:F414)</f>
        <v>69.8809523809524</v>
      </c>
      <c r="G415" s="5"/>
      <c r="H415" s="7">
        <f>SUBTOTAL(1,H366:H414)</f>
        <v>72.0238095238095</v>
      </c>
      <c r="I415" s="5"/>
      <c r="J415" s="7">
        <f>SUBTOTAL(1,J366:J414)</f>
        <v>46.9047619047619</v>
      </c>
      <c r="K415" s="5"/>
      <c r="L415" s="5"/>
      <c r="M415" s="5">
        <f>SUBTOTAL(1,M366:M414)</f>
        <v>47.4285714285714</v>
      </c>
      <c r="N415" s="5"/>
      <c r="O415" s="10"/>
      <c r="P415" s="7">
        <f>SUBTOTAL(1,P366:P414)</f>
        <v>77.4047619047619</v>
      </c>
      <c r="Q415" s="5"/>
      <c r="R415" s="10"/>
      <c r="S415" s="7">
        <f>SUBTOTAL(1,S366:S414)</f>
        <v>54.1904761904762</v>
      </c>
      <c r="T415" s="5"/>
      <c r="U415" s="5"/>
      <c r="V415" s="5">
        <f>SUBTOTAL(1,V366:V414)</f>
        <v>54.2142857142857</v>
      </c>
      <c r="W415" s="5"/>
      <c r="X415" s="13">
        <f>SUBTOTAL(1,X366:X414)</f>
        <v>45.2</v>
      </c>
      <c r="Y415" s="13">
        <f>SUBTOTAL(1,Y366:Y414)</f>
        <v>62.9591836734694</v>
      </c>
    </row>
    <row r="416" ht="15.6" hidden="1" outlineLevel="2" spans="1:25">
      <c r="A416" s="5">
        <v>310</v>
      </c>
      <c r="B416" s="5">
        <v>1</v>
      </c>
      <c r="C416" s="8" t="s">
        <v>458</v>
      </c>
      <c r="D416" s="9" t="s">
        <v>12</v>
      </c>
      <c r="E416" s="5">
        <v>9.5</v>
      </c>
      <c r="F416" s="7">
        <f>LOOKUP(E416,{0,-1.8,-0.8,0.2,1.2,2.2,3.2,4.6,6,7.4,8.8,10.2,11.6,13,14.4,15.8,17.2,19.1,21,22.8,24.6},{0,10,20,30,40,50,60,62,64,66,68,70,72,74,76,78,80,85,90,95,100})</f>
        <v>68</v>
      </c>
      <c r="G416" s="5">
        <v>225</v>
      </c>
      <c r="H416" s="7">
        <f>LOOKUP(G416,{0,180,185,190,195,200,205,209,213,217,221,225,229,233,237,241,245,253,260,265,270},{0,10,20,30,40,50,60,62,64,66,68,70,72,74,76,78,80,85,90,95,100})</f>
        <v>70</v>
      </c>
      <c r="I416" s="5">
        <v>6</v>
      </c>
      <c r="J416" s="7">
        <f>LOOKUP(I416,{0,4,5,6,7,8,9,10,11,12,13,14,15,16,17,18},{0,10,20,30,40,50,60,64,68,72,76,80,85,90,95,100})</f>
        <v>30</v>
      </c>
      <c r="K416" s="5"/>
      <c r="L416" s="5"/>
      <c r="M416" s="5">
        <f t="shared" ref="M416:M421" si="205">J416+L416</f>
        <v>30</v>
      </c>
      <c r="N416" s="5">
        <v>7</v>
      </c>
      <c r="O416" s="10">
        <f t="shared" ref="O416:O421" si="206">18-N416</f>
        <v>11</v>
      </c>
      <c r="P416" s="7">
        <f>LOOKUP(O416,{0,7.8,8,8.2,8.4,8.6,8.8,9,9.2,9.4,9.6,9.8,10,10.2,10.4,10.6,10.8,10.9,11,11.1,11.2},{0,10,20,30,40,50,60,62,64,66,68,70,72,74,76,78,80,85,90,95,100})</f>
        <v>90</v>
      </c>
      <c r="Q416" s="5">
        <v>3.35</v>
      </c>
      <c r="R416" s="10">
        <f t="shared" ref="R416:R421" si="207">10-Q416</f>
        <v>6.65</v>
      </c>
      <c r="S416" s="7">
        <f>LOOKUP(R416,{0,3.85,4.45,4.65,4.85,5.45,5.65,5.7,5.75,5.8,5.85,5.9,5.95,6,6.45,6.5,6.55,6.63,6.7,6.75,6.8},{0,10,20,30,40,50,60,62,64,66,68,70,72,74,76,78,80,85,90,95,100})</f>
        <v>85</v>
      </c>
      <c r="T416" s="5"/>
      <c r="U416" s="5"/>
      <c r="V416" s="5">
        <f t="shared" ref="V416:V421" si="208">S416+U416</f>
        <v>85</v>
      </c>
      <c r="W416" s="5"/>
      <c r="X416" s="13">
        <f t="shared" ref="X416:X421" si="209">F416*0.1+H416*0.1+J416*0.1+P416*0.2+S416*0.2</f>
        <v>51.8</v>
      </c>
      <c r="Y416" s="13">
        <f t="shared" ref="Y416:Y421" si="210">X416/0.7+L416+U416</f>
        <v>74</v>
      </c>
    </row>
    <row r="417" ht="15.6" hidden="1" outlineLevel="2" spans="1:25">
      <c r="A417" s="5">
        <v>310</v>
      </c>
      <c r="B417" s="5">
        <v>2</v>
      </c>
      <c r="C417" s="9" t="s">
        <v>459</v>
      </c>
      <c r="D417" s="9" t="s">
        <v>12</v>
      </c>
      <c r="E417" s="5">
        <v>5.5</v>
      </c>
      <c r="F417" s="7">
        <f>LOOKUP(E417,{0,-1.8,-0.8,0.2,1.2,2.2,3.2,4.6,6,7.4,8.8,10.2,11.6,13,14.4,15.8,17.2,19.1,21,22.8,24.6},{0,10,20,30,40,50,60,62,64,66,68,70,72,74,76,78,80,85,90,95,100})</f>
        <v>62</v>
      </c>
      <c r="G417" s="5">
        <v>225</v>
      </c>
      <c r="H417" s="7">
        <f>LOOKUP(G417,{0,180,185,190,195,200,205,209,213,217,221,225,229,233,237,241,245,253,260,265,270},{0,10,20,30,40,50,60,62,64,66,68,70,72,74,76,78,80,85,90,95,100})</f>
        <v>70</v>
      </c>
      <c r="I417" s="5">
        <v>1</v>
      </c>
      <c r="J417" s="7">
        <f>LOOKUP(I417,{0,4,5,6,7,8,9,10,11,12,13,14,15,16,17,18},{0,10,20,30,40,50,60,64,68,72,76,80,85,90,95,100})</f>
        <v>0</v>
      </c>
      <c r="K417" s="5"/>
      <c r="L417" s="5"/>
      <c r="M417" s="5">
        <f t="shared" si="205"/>
        <v>0</v>
      </c>
      <c r="N417" s="5">
        <v>7.4</v>
      </c>
      <c r="O417" s="10">
        <f t="shared" si="206"/>
        <v>10.6</v>
      </c>
      <c r="P417" s="7">
        <f>LOOKUP(O417,{0,7.8,8,8.2,8.4,8.6,8.8,9,9.2,9.4,9.6,9.8,10,10.2,10.4,10.6,10.8,10.9,11,11.1,11.2},{0,10,20,30,40,50,60,62,64,66,68,70,72,74,76,78,80,85,90,95,100})</f>
        <v>78</v>
      </c>
      <c r="Q417" s="5">
        <v>4.02</v>
      </c>
      <c r="R417" s="10">
        <f t="shared" si="207"/>
        <v>5.98</v>
      </c>
      <c r="S417" s="7">
        <f>LOOKUP(R417,{0,3.85,4.45,4.65,4.85,5.45,5.65,5.7,5.75,5.8,5.85,5.9,5.95,6,6.45,6.5,6.55,6.63,6.7,6.75,6.8},{0,10,20,30,40,50,60,62,64,66,68,70,72,74,76,78,80,85,90,95,100})</f>
        <v>72</v>
      </c>
      <c r="T417" s="5"/>
      <c r="U417" s="5"/>
      <c r="V417" s="5">
        <f t="shared" si="208"/>
        <v>72</v>
      </c>
      <c r="W417" s="5"/>
      <c r="X417" s="13">
        <f t="shared" si="209"/>
        <v>43.2</v>
      </c>
      <c r="Y417" s="13">
        <f t="shared" si="210"/>
        <v>61.7142857142857</v>
      </c>
    </row>
    <row r="418" ht="15.6" hidden="1" outlineLevel="2" spans="1:25">
      <c r="A418" s="5">
        <v>310</v>
      </c>
      <c r="B418" s="5">
        <v>3</v>
      </c>
      <c r="C418" s="9" t="s">
        <v>460</v>
      </c>
      <c r="D418" s="9" t="s">
        <v>12</v>
      </c>
      <c r="E418" s="5">
        <v>7.5</v>
      </c>
      <c r="F418" s="7">
        <f>LOOKUP(E418,{0,-1.8,-0.8,0.2,1.2,2.2,3.2,4.6,6,7.4,8.8,10.2,11.6,13,14.4,15.8,17.2,19.1,21,22.8,24.6},{0,10,20,30,40,50,60,62,64,66,68,70,72,74,76,78,80,85,90,95,100})</f>
        <v>66</v>
      </c>
      <c r="G418" s="5">
        <v>235</v>
      </c>
      <c r="H418" s="7">
        <f>LOOKUP(G418,{0,180,185,190,195,200,205,209,213,217,221,225,229,233,237,241,245,253,260,265,270},{0,10,20,30,40,50,60,62,64,66,68,70,72,74,76,78,80,85,90,95,100})</f>
        <v>74</v>
      </c>
      <c r="I418" s="5">
        <v>1</v>
      </c>
      <c r="J418" s="7">
        <f>LOOKUP(I418,{0,4,5,6,7,8,9,10,11,12,13,14,15,16,17,18},{0,10,20,30,40,50,60,64,68,72,76,80,85,90,95,100})</f>
        <v>0</v>
      </c>
      <c r="K418" s="5"/>
      <c r="L418" s="5"/>
      <c r="M418" s="5">
        <f t="shared" si="205"/>
        <v>0</v>
      </c>
      <c r="N418" s="5">
        <v>7.5</v>
      </c>
      <c r="O418" s="10">
        <f t="shared" si="206"/>
        <v>10.5</v>
      </c>
      <c r="P418" s="7">
        <f>LOOKUP(O418,{0,7.8,8,8.2,8.4,8.6,8.8,9,9.2,9.4,9.6,9.8,10,10.2,10.4,10.6,10.8,10.9,11,11.1,11.2},{0,10,20,30,40,50,60,62,64,66,68,70,72,74,76,78,80,85,90,95,100})</f>
        <v>76</v>
      </c>
      <c r="Q418" s="5">
        <v>4.08</v>
      </c>
      <c r="R418" s="10">
        <f t="shared" si="207"/>
        <v>5.92</v>
      </c>
      <c r="S418" s="7">
        <f>LOOKUP(R418,{0,3.85,4.45,4.65,4.85,5.45,5.65,5.7,5.75,5.8,5.85,5.9,5.95,6,6.45,6.5,6.55,6.63,6.7,6.75,6.8},{0,10,20,30,40,50,60,62,64,66,68,70,72,74,76,78,80,85,90,95,100})</f>
        <v>70</v>
      </c>
      <c r="T418" s="5"/>
      <c r="U418" s="5"/>
      <c r="V418" s="5">
        <f t="shared" si="208"/>
        <v>70</v>
      </c>
      <c r="W418" s="5"/>
      <c r="X418" s="13">
        <f t="shared" si="209"/>
        <v>43.2</v>
      </c>
      <c r="Y418" s="13">
        <f t="shared" si="210"/>
        <v>61.7142857142857</v>
      </c>
    </row>
    <row r="419" ht="15.6" hidden="1" outlineLevel="2" spans="1:25">
      <c r="A419" s="5">
        <v>310</v>
      </c>
      <c r="B419" s="5">
        <v>4</v>
      </c>
      <c r="C419" s="5" t="s">
        <v>461</v>
      </c>
      <c r="D419" s="5" t="s">
        <v>12</v>
      </c>
      <c r="E419" s="5">
        <v>17</v>
      </c>
      <c r="F419" s="7">
        <f>LOOKUP(E419,{0,-1.8,-0.8,0.2,1.2,2.2,3.2,4.6,6,7.4,8.8,10.2,11.6,13,14.4,15.8,17.2,19.1,21,22.8,24.6},{0,10,20,30,40,50,60,62,64,66,68,70,72,74,76,78,80,85,90,95,100})</f>
        <v>78</v>
      </c>
      <c r="G419" s="5">
        <v>250</v>
      </c>
      <c r="H419" s="7">
        <f>LOOKUP(G419,{0,180,185,190,195,200,205,209,213,217,221,225,229,233,237,241,245,253,260,265,270},{0,10,20,30,40,50,60,62,64,66,68,70,72,74,76,78,80,85,90,95,100})</f>
        <v>80</v>
      </c>
      <c r="I419" s="5">
        <v>6</v>
      </c>
      <c r="J419" s="7">
        <f>LOOKUP(I419,{0,4,5,6,7,8,9,10,11,12,13,14,15,16,17,18},{0,10,20,30,40,50,60,64,68,72,76,80,85,90,95,100})</f>
        <v>30</v>
      </c>
      <c r="K419" s="5"/>
      <c r="L419" s="5"/>
      <c r="M419" s="5">
        <f t="shared" si="205"/>
        <v>30</v>
      </c>
      <c r="N419" s="5">
        <v>7.2</v>
      </c>
      <c r="O419" s="10">
        <f t="shared" si="206"/>
        <v>10.8</v>
      </c>
      <c r="P419" s="7">
        <f>LOOKUP(O419,{0,7.8,8,8.2,8.4,8.6,8.8,9,9.2,9.4,9.6,9.8,10,10.2,10.4,10.6,10.8,10.9,11,11.1,11.2},{0,10,20,30,40,50,60,62,64,66,68,70,72,74,76,78,80,85,90,95,100})</f>
        <v>80</v>
      </c>
      <c r="Q419" s="5">
        <v>3.59</v>
      </c>
      <c r="R419" s="10">
        <f t="shared" si="207"/>
        <v>6.41</v>
      </c>
      <c r="S419" s="7">
        <f>LOOKUP(R419,{0,3.85,4.45,4.65,4.85,5.45,5.65,5.7,5.75,5.8,5.85,5.9,5.95,6,6.45,6.5,6.55,6.63,6.7,6.75,6.8},{0,10,20,30,40,50,60,62,64,66,68,70,72,74,76,78,80,85,90,95,100})</f>
        <v>74</v>
      </c>
      <c r="T419" s="5"/>
      <c r="U419" s="5"/>
      <c r="V419" s="5">
        <f t="shared" si="208"/>
        <v>74</v>
      </c>
      <c r="W419" s="5"/>
      <c r="X419" s="13">
        <f t="shared" si="209"/>
        <v>49.6</v>
      </c>
      <c r="Y419" s="13">
        <f t="shared" si="210"/>
        <v>70.8571428571428</v>
      </c>
    </row>
    <row r="420" ht="15.6" hidden="1" outlineLevel="2" spans="1:25">
      <c r="A420" s="5">
        <v>310</v>
      </c>
      <c r="B420" s="5">
        <v>5</v>
      </c>
      <c r="C420" s="9" t="s">
        <v>462</v>
      </c>
      <c r="D420" s="9" t="s">
        <v>12</v>
      </c>
      <c r="E420" s="5">
        <v>5.5</v>
      </c>
      <c r="F420" s="7">
        <f>LOOKUP(E420,{0,-1.8,-0.8,0.2,1.2,2.2,3.2,4.6,6,7.4,8.8,10.2,11.6,13,14.4,15.8,17.2,19.1,21,22.8,24.6},{0,10,20,30,40,50,60,62,64,66,68,70,72,74,76,78,80,85,90,95,100})</f>
        <v>62</v>
      </c>
      <c r="G420" s="5">
        <v>245</v>
      </c>
      <c r="H420" s="7">
        <f>LOOKUP(G420,{0,180,185,190,195,200,205,209,213,217,221,225,229,233,237,241,245,253,260,265,270},{0,10,20,30,40,50,60,62,64,66,68,70,72,74,76,78,80,85,90,95,100})</f>
        <v>80</v>
      </c>
      <c r="I420" s="5">
        <v>9</v>
      </c>
      <c r="J420" s="7">
        <f>LOOKUP(I420,{0,4,5,6,7,8,9,10,11,12,13,14,15,16,17,18},{0,10,20,30,40,50,60,64,68,72,76,80,85,90,95,100})</f>
        <v>60</v>
      </c>
      <c r="K420" s="5"/>
      <c r="L420" s="5"/>
      <c r="M420" s="5">
        <f t="shared" si="205"/>
        <v>60</v>
      </c>
      <c r="N420" s="5">
        <v>7.3</v>
      </c>
      <c r="O420" s="10">
        <f t="shared" si="206"/>
        <v>10.7</v>
      </c>
      <c r="P420" s="7">
        <f>LOOKUP(O420,{0,7.8,8,8.2,8.4,8.6,8.8,9,9.2,9.4,9.6,9.8,10,10.2,10.4,10.6,10.8,10.9,11,11.1,11.2},{0,10,20,30,40,50,60,62,64,66,68,70,72,74,76,78,80,85,90,95,100})</f>
        <v>78</v>
      </c>
      <c r="Q420" s="5">
        <v>5.09</v>
      </c>
      <c r="R420" s="10">
        <f t="shared" si="207"/>
        <v>4.91</v>
      </c>
      <c r="S420" s="7">
        <f>LOOKUP(R420,{0,3.85,4.45,4.65,4.85,5.45,5.65,5.7,5.75,5.8,5.85,5.9,5.95,6,6.45,6.5,6.55,6.63,6.7,6.75,6.8},{0,10,20,30,40,50,60,62,64,66,68,70,72,74,76,78,80,85,90,95,100})</f>
        <v>40</v>
      </c>
      <c r="T420" s="5"/>
      <c r="U420" s="5"/>
      <c r="V420" s="5">
        <f t="shared" si="208"/>
        <v>40</v>
      </c>
      <c r="W420" s="5"/>
      <c r="X420" s="13">
        <f t="shared" si="209"/>
        <v>43.8</v>
      </c>
      <c r="Y420" s="13">
        <f t="shared" si="210"/>
        <v>62.5714285714286</v>
      </c>
    </row>
    <row r="421" ht="15.6" hidden="1" outlineLevel="2" spans="1:25">
      <c r="A421" s="5">
        <v>310</v>
      </c>
      <c r="B421" s="5">
        <v>6</v>
      </c>
      <c r="C421" s="9" t="s">
        <v>463</v>
      </c>
      <c r="D421" s="9" t="s">
        <v>12</v>
      </c>
      <c r="E421" s="5">
        <v>10</v>
      </c>
      <c r="F421" s="7">
        <f>LOOKUP(E421,{0,-1.8,-0.8,0.2,1.2,2.2,3.2,4.6,6,7.4,8.8,10.2,11.6,13,14.4,15.8,17.2,19.1,21,22.8,24.6},{0,10,20,30,40,50,60,62,64,66,68,70,72,74,76,78,80,85,90,95,100})</f>
        <v>68</v>
      </c>
      <c r="G421" s="5">
        <v>225</v>
      </c>
      <c r="H421" s="7">
        <f>LOOKUP(G421,{0,180,185,190,195,200,205,209,213,217,221,225,229,233,237,241,245,253,260,265,270},{0,10,20,30,40,50,60,62,64,66,68,70,72,74,76,78,80,85,90,95,100})</f>
        <v>70</v>
      </c>
      <c r="I421" s="5">
        <v>0</v>
      </c>
      <c r="J421" s="7">
        <f>LOOKUP(I421,{0,4,5,6,7,8,9,10,11,12,13,14,15,16,17,18},{0,10,20,30,40,50,60,64,68,72,76,80,85,90,95,100})</f>
        <v>0</v>
      </c>
      <c r="K421" s="5"/>
      <c r="L421" s="5"/>
      <c r="M421" s="5">
        <f t="shared" si="205"/>
        <v>0</v>
      </c>
      <c r="N421" s="5">
        <v>7.1</v>
      </c>
      <c r="O421" s="10">
        <f t="shared" si="206"/>
        <v>10.9</v>
      </c>
      <c r="P421" s="7">
        <f>LOOKUP(O421,{0,7.8,8,8.2,8.4,8.6,8.8,9,9.2,9.4,9.6,9.8,10,10.2,10.4,10.6,10.8,10.9,11,11.1,11.2},{0,10,20,30,40,50,60,62,64,66,68,70,72,74,76,78,80,85,90,95,100})</f>
        <v>85</v>
      </c>
      <c r="Q421" s="5">
        <v>6.21</v>
      </c>
      <c r="R421" s="10">
        <f t="shared" si="207"/>
        <v>3.79</v>
      </c>
      <c r="S421" s="7">
        <f>LOOKUP(R421,{0,3.85,4.45,4.65,4.85,5.45,5.65,5.7,5.75,5.8,5.85,5.9,5.95,6,6.45,6.5,6.55,6.63,6.7,6.75,6.8},{0,10,20,30,40,50,60,62,64,66,68,70,72,74,76,78,80,85,90,95,100})</f>
        <v>0</v>
      </c>
      <c r="T421" s="5"/>
      <c r="U421" s="5"/>
      <c r="V421" s="5">
        <f t="shared" si="208"/>
        <v>0</v>
      </c>
      <c r="W421" s="5"/>
      <c r="X421" s="13">
        <f t="shared" si="209"/>
        <v>30.8</v>
      </c>
      <c r="Y421" s="13">
        <f t="shared" si="210"/>
        <v>44</v>
      </c>
    </row>
    <row r="422" ht="15.6" hidden="1" outlineLevel="2" spans="1:25">
      <c r="A422" s="5">
        <v>310</v>
      </c>
      <c r="B422" s="5">
        <v>7</v>
      </c>
      <c r="C422" s="5" t="s">
        <v>464</v>
      </c>
      <c r="D422" s="5" t="s">
        <v>12</v>
      </c>
      <c r="E422" s="5"/>
      <c r="F422" s="7"/>
      <c r="G422" s="5"/>
      <c r="H422" s="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>
        <v>50</v>
      </c>
      <c r="X422" s="13"/>
      <c r="Y422" s="13">
        <v>50</v>
      </c>
    </row>
    <row r="423" ht="15.6" hidden="1" outlineLevel="2" spans="1:25">
      <c r="A423" s="5">
        <v>310</v>
      </c>
      <c r="B423" s="5">
        <v>8</v>
      </c>
      <c r="C423" s="9" t="s">
        <v>465</v>
      </c>
      <c r="D423" s="9" t="s">
        <v>12</v>
      </c>
      <c r="E423" s="5">
        <v>5</v>
      </c>
      <c r="F423" s="7">
        <f>LOOKUP(E423,{0,-1.8,-0.8,0.2,1.2,2.2,3.2,4.6,6,7.4,8.8,10.2,11.6,13,14.4,15.8,17.2,19.1,21,22.8,24.6},{0,10,20,30,40,50,60,62,64,66,68,70,72,74,76,78,80,85,90,95,100})</f>
        <v>62</v>
      </c>
      <c r="G423" s="5">
        <v>270</v>
      </c>
      <c r="H423" s="7">
        <f>LOOKUP(G423,{0,180,185,190,195,200,205,209,213,217,221,225,229,233,237,241,245,253,260,265,270},{0,10,20,30,40,50,60,62,64,66,68,70,72,74,76,78,80,85,90,95,100})</f>
        <v>100</v>
      </c>
      <c r="I423" s="5">
        <v>0</v>
      </c>
      <c r="J423" s="7">
        <f>LOOKUP(I423,{0,4,5,6,7,8,9,10,11,12,13,14,15,16,17,18},{0,10,20,30,40,50,60,64,68,72,76,80,85,90,95,100})</f>
        <v>0</v>
      </c>
      <c r="K423" s="5"/>
      <c r="L423" s="5"/>
      <c r="M423" s="5">
        <f t="shared" ref="M423:M447" si="211">J423+L423</f>
        <v>0</v>
      </c>
      <c r="N423" s="5">
        <v>6.9</v>
      </c>
      <c r="O423" s="10">
        <f t="shared" ref="O423:O447" si="212">18-N423</f>
        <v>11.1</v>
      </c>
      <c r="P423" s="7">
        <f>LOOKUP(O423,{0,7.8,8,8.2,8.4,8.6,8.8,9,9.2,9.4,9.6,9.8,10,10.2,10.4,10.6,10.8,10.9,11,11.1,11.2},{0,10,20,30,40,50,60,62,64,66,68,70,72,74,76,78,80,85,90,95,100})</f>
        <v>95</v>
      </c>
      <c r="Q423" s="5">
        <v>4.26</v>
      </c>
      <c r="R423" s="10">
        <f t="shared" ref="R423:R447" si="213">10-Q423</f>
        <v>5.74</v>
      </c>
      <c r="S423" s="7">
        <f>LOOKUP(R423,{0,3.85,4.45,4.65,4.85,5.45,5.65,5.7,5.75,5.8,5.85,5.9,5.95,6,6.45,6.5,6.55,6.63,6.7,6.75,6.8},{0,10,20,30,40,50,60,62,64,66,68,70,72,74,76,78,80,85,90,95,100})</f>
        <v>62</v>
      </c>
      <c r="T423" s="5"/>
      <c r="U423" s="5"/>
      <c r="V423" s="5">
        <f t="shared" ref="V423:V447" si="214">S423+U423</f>
        <v>62</v>
      </c>
      <c r="W423" s="5"/>
      <c r="X423" s="13">
        <f t="shared" ref="X423:X447" si="215">F423*0.1+H423*0.1+J423*0.1+P423*0.2+S423*0.2</f>
        <v>47.6</v>
      </c>
      <c r="Y423" s="13">
        <f t="shared" ref="Y423:Y447" si="216">X423/0.7+L423+U423</f>
        <v>68</v>
      </c>
    </row>
    <row r="424" ht="15.6" hidden="1" outlineLevel="2" spans="1:25">
      <c r="A424" s="5">
        <v>310</v>
      </c>
      <c r="B424" s="5">
        <v>9</v>
      </c>
      <c r="C424" s="9" t="s">
        <v>466</v>
      </c>
      <c r="D424" s="9" t="s">
        <v>12</v>
      </c>
      <c r="E424" s="5">
        <v>16.5</v>
      </c>
      <c r="F424" s="7">
        <f>LOOKUP(E424,{0,-1.8,-0.8,0.2,1.2,2.2,3.2,4.6,6,7.4,8.8,10.2,11.6,13,14.4,15.8,17.2,19.1,21,22.8,24.6},{0,10,20,30,40,50,60,62,64,66,68,70,72,74,76,78,80,85,90,95,100})</f>
        <v>78</v>
      </c>
      <c r="G424" s="5">
        <v>230</v>
      </c>
      <c r="H424" s="7">
        <f>LOOKUP(G424,{0,180,185,190,195,200,205,209,213,217,221,225,229,233,237,241,245,253,260,265,270},{0,10,20,30,40,50,60,62,64,66,68,70,72,74,76,78,80,85,90,95,100})</f>
        <v>72</v>
      </c>
      <c r="I424" s="5">
        <v>2</v>
      </c>
      <c r="J424" s="7">
        <f>LOOKUP(I424,{0,4,5,6,7,8,9,10,11,12,13,14,15,16,17,18},{0,10,20,30,40,50,60,64,68,72,76,80,85,90,95,100})</f>
        <v>0</v>
      </c>
      <c r="K424" s="5"/>
      <c r="L424" s="5"/>
      <c r="M424" s="5">
        <f t="shared" si="211"/>
        <v>0</v>
      </c>
      <c r="N424" s="5">
        <v>7.4</v>
      </c>
      <c r="O424" s="10">
        <f t="shared" si="212"/>
        <v>10.6</v>
      </c>
      <c r="P424" s="7">
        <f>LOOKUP(O424,{0,7.8,8,8.2,8.4,8.6,8.8,9,9.2,9.4,9.6,9.8,10,10.2,10.4,10.6,10.8,10.9,11,11.1,11.2},{0,10,20,30,40,50,60,62,64,66,68,70,72,74,76,78,80,85,90,95,100})</f>
        <v>78</v>
      </c>
      <c r="Q424" s="5">
        <v>4.26</v>
      </c>
      <c r="R424" s="10">
        <f t="shared" si="213"/>
        <v>5.74</v>
      </c>
      <c r="S424" s="7">
        <f>LOOKUP(R424,{0,3.85,4.45,4.65,4.85,5.45,5.65,5.7,5.75,5.8,5.85,5.9,5.95,6,6.45,6.5,6.55,6.63,6.7,6.75,6.8},{0,10,20,30,40,50,60,62,64,66,68,70,72,74,76,78,80,85,90,95,100})</f>
        <v>62</v>
      </c>
      <c r="T424" s="5"/>
      <c r="U424" s="5"/>
      <c r="V424" s="5">
        <f t="shared" si="214"/>
        <v>62</v>
      </c>
      <c r="W424" s="5"/>
      <c r="X424" s="13">
        <f t="shared" si="215"/>
        <v>43</v>
      </c>
      <c r="Y424" s="13">
        <f t="shared" si="216"/>
        <v>61.4285714285714</v>
      </c>
    </row>
    <row r="425" ht="15.6" hidden="1" outlineLevel="2" spans="1:25">
      <c r="A425" s="5">
        <v>310</v>
      </c>
      <c r="B425" s="5">
        <v>10</v>
      </c>
      <c r="C425" s="9" t="s">
        <v>467</v>
      </c>
      <c r="D425" s="9" t="s">
        <v>12</v>
      </c>
      <c r="E425" s="5">
        <v>22</v>
      </c>
      <c r="F425" s="7">
        <f>LOOKUP(E425,{0,-1.8,-0.8,0.2,1.2,2.2,3.2,4.6,6,7.4,8.8,10.2,11.6,13,14.4,15.8,17.2,19.1,21,22.8,24.6},{0,10,20,30,40,50,60,62,64,66,68,70,72,74,76,78,80,85,90,95,100})</f>
        <v>90</v>
      </c>
      <c r="G425" s="5">
        <v>270</v>
      </c>
      <c r="H425" s="7">
        <f>LOOKUP(G425,{0,180,185,190,195,200,205,209,213,217,221,225,229,233,237,241,245,253,260,265,270},{0,10,20,30,40,50,60,62,64,66,68,70,72,74,76,78,80,85,90,95,100})</f>
        <v>100</v>
      </c>
      <c r="I425" s="5">
        <v>30</v>
      </c>
      <c r="J425" s="7">
        <f>LOOKUP(I425,{0,4,5,6,7,8,9,10,11,12,13,14,15,16,17,18},{0,10,20,30,40,50,60,64,68,72,76,80,85,90,95,100})</f>
        <v>100</v>
      </c>
      <c r="K425" s="5">
        <f>I425-18</f>
        <v>12</v>
      </c>
      <c r="L425" s="7">
        <f>LOOKUP(K425,{0,1,2,3,4,5,6,7,8,9,10},{0,1,2,3,4,5,6,7,8,9,10})</f>
        <v>10</v>
      </c>
      <c r="M425" s="5">
        <f t="shared" si="211"/>
        <v>110</v>
      </c>
      <c r="N425" s="5">
        <v>6.8</v>
      </c>
      <c r="O425" s="10">
        <f t="shared" si="212"/>
        <v>11.2</v>
      </c>
      <c r="P425" s="7">
        <f>LOOKUP(O425,{0,7.8,8,8.2,8.4,8.6,8.8,9,9.2,9.4,9.6,9.8,10,10.2,10.4,10.6,10.8,10.9,11,11.1,11.2},{0,10,20,30,40,50,60,62,64,66,68,70,72,74,76,78,80,85,90,95,100})</f>
        <v>100</v>
      </c>
      <c r="Q425" s="5">
        <v>3.22</v>
      </c>
      <c r="R425" s="10">
        <f t="shared" si="213"/>
        <v>6.78</v>
      </c>
      <c r="S425" s="7">
        <f>LOOKUP(R425,{0,3.85,4.45,4.65,4.85,5.45,5.65,5.7,5.75,5.8,5.85,5.9,5.95,6,6.45,6.5,6.55,6.63,6.7,6.75,6.8},{0,10,20,30,40,50,60,62,64,66,68,70,72,74,76,78,80,85,90,95,100})</f>
        <v>95</v>
      </c>
      <c r="T425" s="5"/>
      <c r="U425" s="5"/>
      <c r="V425" s="5">
        <f t="shared" si="214"/>
        <v>95</v>
      </c>
      <c r="W425" s="5"/>
      <c r="X425" s="13">
        <f t="shared" si="215"/>
        <v>68</v>
      </c>
      <c r="Y425" s="13">
        <f t="shared" si="216"/>
        <v>107.142857142857</v>
      </c>
    </row>
    <row r="426" ht="15.6" hidden="1" outlineLevel="2" spans="1:25">
      <c r="A426" s="5">
        <v>310</v>
      </c>
      <c r="B426" s="5">
        <v>11</v>
      </c>
      <c r="C426" s="8" t="s">
        <v>469</v>
      </c>
      <c r="D426" s="9" t="s">
        <v>12</v>
      </c>
      <c r="E426" s="5">
        <v>0</v>
      </c>
      <c r="F426" s="7">
        <f>LOOKUP(E426,{0,-1.8,-0.8,0.2,1.2,2.2,3.2,4.6,6,7.4,8.8,10.2,11.6,13,14.4,15.8,17.2,19.1,21,22.8,24.6},{0,10,20,30,40,50,60,62,64,66,68,70,72,74,76,78,80,85,90,95,100})</f>
        <v>20</v>
      </c>
      <c r="G426" s="5">
        <v>185</v>
      </c>
      <c r="H426" s="7">
        <f>LOOKUP(G426,{0,180,185,190,195,200,205,209,213,217,221,225,229,233,237,241,245,253,260,265,270},{0,10,20,30,40,50,60,62,64,66,68,70,72,74,76,78,80,85,90,95,100})</f>
        <v>20</v>
      </c>
      <c r="I426" s="5">
        <v>1</v>
      </c>
      <c r="J426" s="7">
        <f>LOOKUP(I426,{0,4,5,6,7,8,9,10,11,12,13,14,15,16,17,18},{0,10,20,30,40,50,60,64,68,72,76,80,85,90,95,100})</f>
        <v>0</v>
      </c>
      <c r="K426" s="5"/>
      <c r="L426" s="5"/>
      <c r="M426" s="5">
        <f t="shared" si="211"/>
        <v>0</v>
      </c>
      <c r="N426" s="5">
        <v>8</v>
      </c>
      <c r="O426" s="10">
        <f t="shared" si="212"/>
        <v>10</v>
      </c>
      <c r="P426" s="7">
        <f>LOOKUP(O426,{0,7.8,8,8.2,8.4,8.6,8.8,9,9.2,9.4,9.6,9.8,10,10.2,10.4,10.6,10.8,10.9,11,11.1,11.2},{0,10,20,30,40,50,60,62,64,66,68,70,72,74,76,78,80,85,90,95,100})</f>
        <v>72</v>
      </c>
      <c r="Q426" s="5">
        <v>5.41</v>
      </c>
      <c r="R426" s="10">
        <f t="shared" si="213"/>
        <v>4.59</v>
      </c>
      <c r="S426" s="7">
        <f>LOOKUP(R426,{0,3.85,4.45,4.65,4.85,5.45,5.65,5.7,5.75,5.8,5.85,5.9,5.95,6,6.45,6.5,6.55,6.63,6.7,6.75,6.8},{0,10,20,30,40,50,60,62,64,66,68,70,72,74,76,78,80,85,90,95,100})</f>
        <v>20</v>
      </c>
      <c r="T426" s="5"/>
      <c r="U426" s="5"/>
      <c r="V426" s="5">
        <f t="shared" si="214"/>
        <v>20</v>
      </c>
      <c r="W426" s="5"/>
      <c r="X426" s="13">
        <f t="shared" si="215"/>
        <v>22.4</v>
      </c>
      <c r="Y426" s="13">
        <f t="shared" si="216"/>
        <v>32</v>
      </c>
    </row>
    <row r="427" ht="15.6" hidden="1" outlineLevel="2" spans="1:25">
      <c r="A427" s="5">
        <v>310</v>
      </c>
      <c r="B427" s="5">
        <v>12</v>
      </c>
      <c r="C427" s="9" t="s">
        <v>470</v>
      </c>
      <c r="D427" s="9" t="s">
        <v>12</v>
      </c>
      <c r="E427" s="5">
        <v>14.4</v>
      </c>
      <c r="F427" s="7">
        <f>LOOKUP(E427,{0,-1.8,-0.8,0.2,1.2,2.2,3.2,4.6,6,7.4,8.8,10.2,11.6,13,14.4,15.8,17.2,19.1,21,22.8,24.6},{0,10,20,30,40,50,60,62,64,66,68,70,72,74,76,78,80,85,90,95,100})</f>
        <v>76</v>
      </c>
      <c r="G427" s="5">
        <v>232</v>
      </c>
      <c r="H427" s="7">
        <f>LOOKUP(G427,{0,180,185,190,195,200,205,209,213,217,221,225,229,233,237,241,245,253,260,265,270},{0,10,20,30,40,50,60,62,64,66,68,70,72,74,76,78,80,85,90,95,100})</f>
        <v>72</v>
      </c>
      <c r="I427" s="5">
        <v>2</v>
      </c>
      <c r="J427" s="7">
        <f>LOOKUP(I427,{0,4,5,6,7,8,9,10,11,12,13,14,15,16,17,18},{0,10,20,30,40,50,60,64,68,72,76,80,85,90,95,100})</f>
        <v>0</v>
      </c>
      <c r="K427" s="5"/>
      <c r="L427" s="5"/>
      <c r="M427" s="5">
        <f t="shared" si="211"/>
        <v>0</v>
      </c>
      <c r="N427" s="5">
        <v>7.8</v>
      </c>
      <c r="O427" s="10">
        <f t="shared" si="212"/>
        <v>10.2</v>
      </c>
      <c r="P427" s="7">
        <f>LOOKUP(O427,{0,7.8,8,8.2,8.4,8.6,8.8,9,9.2,9.4,9.6,9.8,10,10.2,10.4,10.6,10.8,10.9,11,11.1,11.2},{0,10,20,30,40,50,60,62,64,66,68,70,72,74,76,78,80,85,90,95,100})</f>
        <v>74</v>
      </c>
      <c r="Q427" s="5">
        <v>6.33</v>
      </c>
      <c r="R427" s="10">
        <f t="shared" si="213"/>
        <v>3.67</v>
      </c>
      <c r="S427" s="7">
        <f>LOOKUP(R427,{0,3.85,4.45,4.65,4.85,5.45,5.65,5.7,5.75,5.8,5.85,5.9,5.95,6,6.45,6.5,6.55,6.63,6.7,6.75,6.8},{0,10,20,30,40,50,60,62,64,66,68,70,72,74,76,78,80,85,90,95,100})</f>
        <v>0</v>
      </c>
      <c r="T427" s="5"/>
      <c r="U427" s="5"/>
      <c r="V427" s="5">
        <f t="shared" si="214"/>
        <v>0</v>
      </c>
      <c r="W427" s="5"/>
      <c r="X427" s="13">
        <f t="shared" si="215"/>
        <v>29.6</v>
      </c>
      <c r="Y427" s="13">
        <f t="shared" si="216"/>
        <v>42.2857142857143</v>
      </c>
    </row>
    <row r="428" ht="15.6" hidden="1" outlineLevel="2" spans="1:25">
      <c r="A428" s="5">
        <v>310</v>
      </c>
      <c r="B428" s="5">
        <v>13</v>
      </c>
      <c r="C428" s="9" t="s">
        <v>471</v>
      </c>
      <c r="D428" s="9" t="s">
        <v>12</v>
      </c>
      <c r="E428" s="5">
        <v>17.5</v>
      </c>
      <c r="F428" s="7">
        <f>LOOKUP(E428,{0,-1.8,-0.8,0.2,1.2,2.2,3.2,4.6,6,7.4,8.8,10.2,11.6,13,14.4,15.8,17.2,19.1,21,22.8,24.6},{0,10,20,30,40,50,60,62,64,66,68,70,72,74,76,78,80,85,90,95,100})</f>
        <v>80</v>
      </c>
      <c r="G428" s="5">
        <v>260</v>
      </c>
      <c r="H428" s="7">
        <f>LOOKUP(G428,{0,180,185,190,195,200,205,209,213,217,221,225,229,233,237,241,245,253,260,265,270},{0,10,20,30,40,50,60,62,64,66,68,70,72,74,76,78,80,85,90,95,100})</f>
        <v>90</v>
      </c>
      <c r="I428" s="5">
        <v>4</v>
      </c>
      <c r="J428" s="7">
        <f>LOOKUP(I428,{0,4,5,6,7,8,9,10,11,12,13,14,15,16,17,18},{0,10,20,30,40,50,60,64,68,72,76,80,85,90,95,100})</f>
        <v>10</v>
      </c>
      <c r="K428" s="5"/>
      <c r="L428" s="5"/>
      <c r="M428" s="5">
        <f t="shared" si="211"/>
        <v>10</v>
      </c>
      <c r="N428" s="5">
        <v>7</v>
      </c>
      <c r="O428" s="10">
        <f t="shared" si="212"/>
        <v>11</v>
      </c>
      <c r="P428" s="7">
        <f>LOOKUP(O428,{0,7.8,8,8.2,8.4,8.6,8.8,9,9.2,9.4,9.6,9.8,10,10.2,10.4,10.6,10.8,10.9,11,11.1,11.2},{0,10,20,30,40,50,60,62,64,66,68,70,72,74,76,78,80,85,90,95,100})</f>
        <v>90</v>
      </c>
      <c r="Q428" s="5">
        <v>3.4</v>
      </c>
      <c r="R428" s="10">
        <f t="shared" si="213"/>
        <v>6.6</v>
      </c>
      <c r="S428" s="7">
        <f>LOOKUP(R428,{0,3.85,4.45,4.65,4.85,5.45,5.65,5.7,5.75,5.8,5.85,5.9,5.95,6,6.45,6.5,6.55,6.63,6.7,6.75,6.8},{0,10,20,30,40,50,60,62,64,66,68,70,72,74,76,78,80,85,90,95,100})</f>
        <v>80</v>
      </c>
      <c r="T428" s="5"/>
      <c r="U428" s="5"/>
      <c r="V428" s="5">
        <f t="shared" si="214"/>
        <v>80</v>
      </c>
      <c r="W428" s="5"/>
      <c r="X428" s="13">
        <f t="shared" si="215"/>
        <v>52</v>
      </c>
      <c r="Y428" s="13">
        <f t="shared" si="216"/>
        <v>74.2857142857143</v>
      </c>
    </row>
    <row r="429" ht="15.6" hidden="1" outlineLevel="2" spans="1:25">
      <c r="A429" s="5">
        <v>310</v>
      </c>
      <c r="B429" s="5">
        <v>14</v>
      </c>
      <c r="C429" s="9" t="s">
        <v>472</v>
      </c>
      <c r="D429" s="9" t="s">
        <v>12</v>
      </c>
      <c r="E429" s="5">
        <v>18</v>
      </c>
      <c r="F429" s="7">
        <f>LOOKUP(E429,{0,-1.8,-0.8,0.2,1.2,2.2,3.2,4.6,6,7.4,8.8,10.2,11.6,13,14.4,15.8,17.2,19.1,21,22.8,24.6},{0,10,20,30,40,50,60,62,64,66,68,70,72,74,76,78,80,85,90,95,100})</f>
        <v>80</v>
      </c>
      <c r="G429" s="5">
        <v>245</v>
      </c>
      <c r="H429" s="7">
        <f>LOOKUP(G429,{0,180,185,190,195,200,205,209,213,217,221,225,229,233,237,241,245,253,260,265,270},{0,10,20,30,40,50,60,62,64,66,68,70,72,74,76,78,80,85,90,95,100})</f>
        <v>80</v>
      </c>
      <c r="I429" s="5">
        <v>18</v>
      </c>
      <c r="J429" s="7">
        <f>LOOKUP(I429,{0,4,5,6,7,8,9,10,11,12,13,14,15,16,17,18},{0,10,20,30,40,50,60,64,68,72,76,80,85,90,95,100})</f>
        <v>100</v>
      </c>
      <c r="K429" s="5"/>
      <c r="L429" s="5"/>
      <c r="M429" s="5">
        <f t="shared" si="211"/>
        <v>100</v>
      </c>
      <c r="N429" s="5">
        <v>7.5</v>
      </c>
      <c r="O429" s="10">
        <f t="shared" si="212"/>
        <v>10.5</v>
      </c>
      <c r="P429" s="7">
        <f>LOOKUP(O429,{0,7.8,8,8.2,8.4,8.6,8.8,9,9.2,9.4,9.6,9.8,10,10.2,10.4,10.6,10.8,10.9,11,11.1,11.2},{0,10,20,30,40,50,60,62,64,66,68,70,72,74,76,78,80,85,90,95,100})</f>
        <v>76</v>
      </c>
      <c r="Q429" s="5">
        <v>3.46</v>
      </c>
      <c r="R429" s="10">
        <f t="shared" si="213"/>
        <v>6.54</v>
      </c>
      <c r="S429" s="7">
        <f>LOOKUP(R429,{0,3.85,4.45,4.65,4.85,5.45,5.65,5.7,5.75,5.8,5.85,5.9,5.95,6,6.45,6.5,6.55,6.63,6.7,6.75,6.8},{0,10,20,30,40,50,60,62,64,66,68,70,72,74,76,78,80,85,90,95,100})</f>
        <v>78</v>
      </c>
      <c r="T429" s="5"/>
      <c r="U429" s="5"/>
      <c r="V429" s="5">
        <f t="shared" si="214"/>
        <v>78</v>
      </c>
      <c r="W429" s="5"/>
      <c r="X429" s="13">
        <f t="shared" si="215"/>
        <v>56.8</v>
      </c>
      <c r="Y429" s="13">
        <f t="shared" si="216"/>
        <v>81.1428571428572</v>
      </c>
    </row>
    <row r="430" ht="15.6" hidden="1" outlineLevel="2" spans="1:25">
      <c r="A430" s="5">
        <v>310</v>
      </c>
      <c r="B430" s="5">
        <v>15</v>
      </c>
      <c r="C430" s="9" t="s">
        <v>473</v>
      </c>
      <c r="D430" s="9" t="s">
        <v>12</v>
      </c>
      <c r="E430" s="5">
        <v>11.6</v>
      </c>
      <c r="F430" s="7">
        <f>LOOKUP(E430,{0,-1.8,-0.8,0.2,1.2,2.2,3.2,4.6,6,7.4,8.8,10.2,11.6,13,14.4,15.8,17.2,19.1,21,22.8,24.6},{0,10,20,30,40,50,60,62,64,66,68,70,72,74,76,78,80,85,90,95,100})</f>
        <v>72</v>
      </c>
      <c r="G430" s="5">
        <v>200</v>
      </c>
      <c r="H430" s="7">
        <f>LOOKUP(G430,{0,180,185,190,195,200,205,209,213,217,221,225,229,233,237,241,245,253,260,265,270},{0,10,20,30,40,50,60,62,64,66,68,70,72,74,76,78,80,85,90,95,100})</f>
        <v>50</v>
      </c>
      <c r="I430" s="5">
        <v>0</v>
      </c>
      <c r="J430" s="7">
        <f>LOOKUP(I430,{0,4,5,6,7,8,9,10,11,12,13,14,15,16,17,18},{0,10,20,30,40,50,60,64,68,72,76,80,85,90,95,100})</f>
        <v>0</v>
      </c>
      <c r="K430" s="5"/>
      <c r="L430" s="5"/>
      <c r="M430" s="5">
        <f t="shared" si="211"/>
        <v>0</v>
      </c>
      <c r="N430" s="5">
        <v>9.5</v>
      </c>
      <c r="O430" s="10">
        <f t="shared" si="212"/>
        <v>8.5</v>
      </c>
      <c r="P430" s="7">
        <f>LOOKUP(O430,{0,7.8,8,8.2,8.4,8.6,8.8,9,9.2,9.4,9.6,9.8,10,10.2,10.4,10.6,10.8,10.9,11,11.1,11.2},{0,10,20,30,40,50,60,62,64,66,68,70,72,74,76,78,80,85,90,95,100})</f>
        <v>40</v>
      </c>
      <c r="Q430" s="5">
        <v>6.33</v>
      </c>
      <c r="R430" s="10">
        <f t="shared" si="213"/>
        <v>3.67</v>
      </c>
      <c r="S430" s="7">
        <f>LOOKUP(R430,{0,3.85,4.45,4.65,4.85,5.45,5.65,5.7,5.75,5.8,5.85,5.9,5.95,6,6.45,6.5,6.55,6.63,6.7,6.75,6.8},{0,10,20,30,40,50,60,62,64,66,68,70,72,74,76,78,80,85,90,95,100})</f>
        <v>0</v>
      </c>
      <c r="T430" s="5"/>
      <c r="U430" s="5"/>
      <c r="V430" s="5">
        <f t="shared" si="214"/>
        <v>0</v>
      </c>
      <c r="W430" s="5"/>
      <c r="X430" s="13">
        <f t="shared" si="215"/>
        <v>20.2</v>
      </c>
      <c r="Y430" s="13">
        <f t="shared" si="216"/>
        <v>28.8571428571429</v>
      </c>
    </row>
    <row r="431" ht="15.6" hidden="1" outlineLevel="2" spans="1:25">
      <c r="A431" s="5">
        <v>310</v>
      </c>
      <c r="B431" s="5">
        <v>16</v>
      </c>
      <c r="C431" s="9" t="s">
        <v>474</v>
      </c>
      <c r="D431" s="9" t="s">
        <v>12</v>
      </c>
      <c r="E431" s="5">
        <v>3.4</v>
      </c>
      <c r="F431" s="7">
        <f>LOOKUP(E431,{0,-1.8,-0.8,0.2,1.2,2.2,3.2,4.6,6,7.4,8.8,10.2,11.6,13,14.4,15.8,17.2,19.1,21,22.8,24.6},{0,10,20,30,40,50,60,62,64,66,68,70,72,74,76,78,80,85,90,95,100})</f>
        <v>60</v>
      </c>
      <c r="G431" s="5">
        <v>202</v>
      </c>
      <c r="H431" s="7">
        <f>LOOKUP(G431,{0,180,185,190,195,200,205,209,213,217,221,225,229,233,237,241,245,253,260,265,270},{0,10,20,30,40,50,60,62,64,66,68,70,72,74,76,78,80,85,90,95,100})</f>
        <v>50</v>
      </c>
      <c r="I431" s="5">
        <v>0</v>
      </c>
      <c r="J431" s="7">
        <f>LOOKUP(I431,{0,4,5,6,7,8,9,10,11,12,13,14,15,16,17,18},{0,10,20,30,40,50,60,64,68,72,76,80,85,90,95,100})</f>
        <v>0</v>
      </c>
      <c r="K431" s="5"/>
      <c r="L431" s="5"/>
      <c r="M431" s="5">
        <f t="shared" si="211"/>
        <v>0</v>
      </c>
      <c r="N431" s="5">
        <v>8.1</v>
      </c>
      <c r="O431" s="10">
        <f t="shared" si="212"/>
        <v>9.9</v>
      </c>
      <c r="P431" s="7">
        <f>LOOKUP(O431,{0,7.8,8,8.2,8.4,8.6,8.8,9,9.2,9.4,9.6,9.8,10,10.2,10.4,10.6,10.8,10.9,11,11.1,11.2},{0,10,20,30,40,50,60,62,64,66,68,70,72,74,76,78,80,85,90,95,100})</f>
        <v>70</v>
      </c>
      <c r="Q431" s="5">
        <v>6.3</v>
      </c>
      <c r="R431" s="10">
        <f t="shared" si="213"/>
        <v>3.7</v>
      </c>
      <c r="S431" s="7">
        <f>LOOKUP(R431,{0,3.85,4.45,4.65,4.85,5.45,5.65,5.7,5.75,5.8,5.85,5.9,5.95,6,6.45,6.5,6.55,6.63,6.7,6.75,6.8},{0,10,20,30,40,50,60,62,64,66,68,70,72,74,76,78,80,85,90,95,100})</f>
        <v>0</v>
      </c>
      <c r="T431" s="5"/>
      <c r="U431" s="5"/>
      <c r="V431" s="5">
        <f t="shared" si="214"/>
        <v>0</v>
      </c>
      <c r="W431" s="5"/>
      <c r="X431" s="13">
        <f t="shared" si="215"/>
        <v>25</v>
      </c>
      <c r="Y431" s="13">
        <f t="shared" si="216"/>
        <v>35.7142857142857</v>
      </c>
    </row>
    <row r="432" ht="15.6" hidden="1" outlineLevel="2" spans="1:25">
      <c r="A432" s="5">
        <v>310</v>
      </c>
      <c r="B432" s="5">
        <v>17</v>
      </c>
      <c r="C432" s="9" t="s">
        <v>475</v>
      </c>
      <c r="D432" s="9" t="s">
        <v>12</v>
      </c>
      <c r="E432" s="5">
        <v>9.4</v>
      </c>
      <c r="F432" s="7">
        <f>LOOKUP(E432,{0,-1.8,-0.8,0.2,1.2,2.2,3.2,4.6,6,7.4,8.8,10.2,11.6,13,14.4,15.8,17.2,19.1,21,22.8,24.6},{0,10,20,30,40,50,60,62,64,66,68,70,72,74,76,78,80,85,90,95,100})</f>
        <v>68</v>
      </c>
      <c r="G432" s="5">
        <v>212</v>
      </c>
      <c r="H432" s="7">
        <f>LOOKUP(G432,{0,180,185,190,195,200,205,209,213,217,221,225,229,233,237,241,245,253,260,265,270},{0,10,20,30,40,50,60,62,64,66,68,70,72,74,76,78,80,85,90,95,100})</f>
        <v>62</v>
      </c>
      <c r="I432" s="5">
        <v>0</v>
      </c>
      <c r="J432" s="7">
        <f>LOOKUP(I432,{0,4,5,6,7,8,9,10,11,12,13,14,15,16,17,18},{0,10,20,30,40,50,60,64,68,72,76,80,85,90,95,100})</f>
        <v>0</v>
      </c>
      <c r="K432" s="5"/>
      <c r="L432" s="5"/>
      <c r="M432" s="5">
        <f t="shared" si="211"/>
        <v>0</v>
      </c>
      <c r="N432" s="5">
        <v>8.4</v>
      </c>
      <c r="O432" s="10">
        <f t="shared" si="212"/>
        <v>9.6</v>
      </c>
      <c r="P432" s="7">
        <f>LOOKUP(O432,{0,7.8,8,8.2,8.4,8.6,8.8,9,9.2,9.4,9.6,9.8,10,10.2,10.4,10.6,10.8,10.9,11,11.1,11.2},{0,10,20,30,40,50,60,62,64,66,68,70,72,74,76,78,80,85,90,95,100})</f>
        <v>68</v>
      </c>
      <c r="Q432" s="5">
        <v>4.3</v>
      </c>
      <c r="R432" s="10">
        <f t="shared" si="213"/>
        <v>5.7</v>
      </c>
      <c r="S432" s="7">
        <f>LOOKUP(R432,{0,3.85,4.45,4.65,4.85,5.45,5.65,5.7,5.75,5.8,5.85,5.9,5.95,6,6.45,6.5,6.55,6.63,6.7,6.75,6.8},{0,10,20,30,40,50,60,62,64,66,68,70,72,74,76,78,80,85,90,95,100})</f>
        <v>62</v>
      </c>
      <c r="T432" s="5"/>
      <c r="U432" s="5"/>
      <c r="V432" s="5">
        <f t="shared" si="214"/>
        <v>62</v>
      </c>
      <c r="W432" s="5"/>
      <c r="X432" s="13">
        <f t="shared" si="215"/>
        <v>39</v>
      </c>
      <c r="Y432" s="13">
        <f t="shared" si="216"/>
        <v>55.7142857142857</v>
      </c>
    </row>
    <row r="433" ht="15.6" hidden="1" outlineLevel="2" spans="1:25">
      <c r="A433" s="5">
        <v>310</v>
      </c>
      <c r="B433" s="5">
        <v>18</v>
      </c>
      <c r="C433" s="9" t="s">
        <v>476</v>
      </c>
      <c r="D433" s="9" t="s">
        <v>12</v>
      </c>
      <c r="E433" s="5">
        <v>0.8</v>
      </c>
      <c r="F433" s="7">
        <f>LOOKUP(E433,{0,-1.8,-0.8,0.2,1.2,2.2,3.2,4.6,6,7.4,8.8,10.2,11.6,13,14.4,15.8,17.2,19.1,21,22.8,24.6},{0,10,20,30,40,50,60,62,64,66,68,70,72,74,76,78,80,85,90,95,100})</f>
        <v>30</v>
      </c>
      <c r="G433" s="5">
        <v>210</v>
      </c>
      <c r="H433" s="7">
        <f>LOOKUP(G433,{0,180,185,190,195,200,205,209,213,217,221,225,229,233,237,241,245,253,260,265,270},{0,10,20,30,40,50,60,62,64,66,68,70,72,74,76,78,80,85,90,95,100})</f>
        <v>62</v>
      </c>
      <c r="I433" s="5">
        <v>0</v>
      </c>
      <c r="J433" s="7">
        <f>LOOKUP(I433,{0,4,5,6,7,8,9,10,11,12,13,14,15,16,17,18},{0,10,20,30,40,50,60,64,68,72,76,80,85,90,95,100})</f>
        <v>0</v>
      </c>
      <c r="K433" s="5"/>
      <c r="L433" s="5"/>
      <c r="M433" s="5">
        <f t="shared" si="211"/>
        <v>0</v>
      </c>
      <c r="N433" s="5">
        <v>8.2</v>
      </c>
      <c r="O433" s="10">
        <f t="shared" si="212"/>
        <v>9.8</v>
      </c>
      <c r="P433" s="7">
        <f>LOOKUP(O433,{0,7.8,8,8.2,8.4,8.6,8.8,9,9.2,9.4,9.6,9.8,10,10.2,10.4,10.6,10.8,10.9,11,11.1,11.2},{0,10,20,30,40,50,60,62,64,66,68,70,72,74,76,78,80,85,90,95,100})</f>
        <v>70</v>
      </c>
      <c r="Q433" s="5">
        <v>6.33</v>
      </c>
      <c r="R433" s="10">
        <f t="shared" si="213"/>
        <v>3.67</v>
      </c>
      <c r="S433" s="7">
        <f>LOOKUP(R433,{0,3.85,4.45,4.65,4.85,5.45,5.65,5.7,5.75,5.8,5.85,5.9,5.95,6,6.45,6.5,6.55,6.63,6.7,6.75,6.8},{0,10,20,30,40,50,60,62,64,66,68,70,72,74,76,78,80,85,90,95,100})</f>
        <v>0</v>
      </c>
      <c r="T433" s="5"/>
      <c r="U433" s="5"/>
      <c r="V433" s="5">
        <f t="shared" si="214"/>
        <v>0</v>
      </c>
      <c r="W433" s="5"/>
      <c r="X433" s="13">
        <f t="shared" si="215"/>
        <v>23.2</v>
      </c>
      <c r="Y433" s="13">
        <f t="shared" si="216"/>
        <v>33.1428571428571</v>
      </c>
    </row>
    <row r="434" ht="15.6" hidden="1" outlineLevel="2" spans="1:25">
      <c r="A434" s="5">
        <v>310</v>
      </c>
      <c r="B434" s="5">
        <v>19</v>
      </c>
      <c r="C434" s="9" t="s">
        <v>477</v>
      </c>
      <c r="D434" s="9" t="s">
        <v>12</v>
      </c>
      <c r="E434" s="5">
        <v>13.5</v>
      </c>
      <c r="F434" s="7">
        <f>LOOKUP(E434,{0,-1.8,-0.8,0.2,1.2,2.2,3.2,4.6,6,7.4,8.8,10.2,11.6,13,14.4,15.8,17.2,19.1,21,22.8,24.6},{0,10,20,30,40,50,60,62,64,66,68,70,72,74,76,78,80,85,90,95,100})</f>
        <v>74</v>
      </c>
      <c r="G434" s="5">
        <v>262</v>
      </c>
      <c r="H434" s="7">
        <f>LOOKUP(G434,{0,180,185,190,195,200,205,209,213,217,221,225,229,233,237,241,245,253,260,265,270},{0,10,20,30,40,50,60,62,64,66,68,70,72,74,76,78,80,85,90,95,100})</f>
        <v>90</v>
      </c>
      <c r="I434" s="5">
        <v>4</v>
      </c>
      <c r="J434" s="7">
        <f>LOOKUP(I434,{0,4,5,6,7,8,9,10,11,12,13,14,15,16,17,18},{0,10,20,30,40,50,60,64,68,72,76,80,85,90,95,100})</f>
        <v>10</v>
      </c>
      <c r="K434" s="5"/>
      <c r="L434" s="5"/>
      <c r="M434" s="5">
        <f t="shared" si="211"/>
        <v>10</v>
      </c>
      <c r="N434" s="5">
        <v>7</v>
      </c>
      <c r="O434" s="10">
        <f t="shared" si="212"/>
        <v>11</v>
      </c>
      <c r="P434" s="7">
        <f>LOOKUP(O434,{0,7.8,8,8.2,8.4,8.6,8.8,9,9.2,9.4,9.6,9.8,10,10.2,10.4,10.6,10.8,10.9,11,11.1,11.2},{0,10,20,30,40,50,60,62,64,66,68,70,72,74,76,78,80,85,90,95,100})</f>
        <v>90</v>
      </c>
      <c r="Q434" s="5">
        <v>4.12</v>
      </c>
      <c r="R434" s="10">
        <f t="shared" si="213"/>
        <v>5.88</v>
      </c>
      <c r="S434" s="7">
        <f>LOOKUP(R434,{0,3.85,4.45,4.65,4.85,5.45,5.65,5.7,5.75,5.8,5.85,5.9,5.95,6,6.45,6.5,6.55,6.63,6.7,6.75,6.8},{0,10,20,30,40,50,60,62,64,66,68,70,72,74,76,78,80,85,90,95,100})</f>
        <v>68</v>
      </c>
      <c r="T434" s="5"/>
      <c r="U434" s="5"/>
      <c r="V434" s="5">
        <f t="shared" si="214"/>
        <v>68</v>
      </c>
      <c r="W434" s="5"/>
      <c r="X434" s="13">
        <f t="shared" si="215"/>
        <v>49</v>
      </c>
      <c r="Y434" s="13">
        <f t="shared" si="216"/>
        <v>70</v>
      </c>
    </row>
    <row r="435" ht="15.6" hidden="1" outlineLevel="2" spans="1:25">
      <c r="A435" s="5">
        <v>310</v>
      </c>
      <c r="B435" s="5">
        <v>20</v>
      </c>
      <c r="C435" s="9" t="s">
        <v>478</v>
      </c>
      <c r="D435" s="9" t="s">
        <v>12</v>
      </c>
      <c r="E435" s="5">
        <v>-4</v>
      </c>
      <c r="F435" s="7">
        <v>0</v>
      </c>
      <c r="G435" s="5">
        <v>263</v>
      </c>
      <c r="H435" s="7">
        <f>LOOKUP(G435,{0,180,185,190,195,200,205,209,213,217,221,225,229,233,237,241,245,253,260,265,270},{0,10,20,30,40,50,60,62,64,66,68,70,72,74,76,78,80,85,90,95,100})</f>
        <v>90</v>
      </c>
      <c r="I435" s="5">
        <v>3</v>
      </c>
      <c r="J435" s="7">
        <f>LOOKUP(I435,{0,4,5,6,7,8,9,10,11,12,13,14,15,16,17,18},{0,10,20,30,40,50,60,64,68,72,76,80,85,90,95,100})</f>
        <v>0</v>
      </c>
      <c r="K435" s="5"/>
      <c r="L435" s="5"/>
      <c r="M435" s="5">
        <f t="shared" si="211"/>
        <v>0</v>
      </c>
      <c r="N435" s="5">
        <v>8.1</v>
      </c>
      <c r="O435" s="10">
        <f t="shared" si="212"/>
        <v>9.9</v>
      </c>
      <c r="P435" s="7">
        <f>LOOKUP(O435,{0,7.8,8,8.2,8.4,8.6,8.8,9,9.2,9.4,9.6,9.8,10,10.2,10.4,10.6,10.8,10.9,11,11.1,11.2},{0,10,20,30,40,50,60,62,64,66,68,70,72,74,76,78,80,85,90,95,100})</f>
        <v>70</v>
      </c>
      <c r="Q435" s="5">
        <v>4.27</v>
      </c>
      <c r="R435" s="10">
        <f t="shared" si="213"/>
        <v>5.73</v>
      </c>
      <c r="S435" s="7">
        <f>LOOKUP(R435,{0,3.85,4.45,4.65,4.85,5.45,5.65,5.7,5.75,5.8,5.85,5.9,5.95,6,6.45,6.5,6.55,6.63,6.7,6.75,6.8},{0,10,20,30,40,50,60,62,64,66,68,70,72,74,76,78,80,85,90,95,100})</f>
        <v>62</v>
      </c>
      <c r="T435" s="5"/>
      <c r="U435" s="5"/>
      <c r="V435" s="5">
        <f t="shared" si="214"/>
        <v>62</v>
      </c>
      <c r="W435" s="5"/>
      <c r="X435" s="13">
        <f t="shared" si="215"/>
        <v>35.4</v>
      </c>
      <c r="Y435" s="13">
        <f t="shared" si="216"/>
        <v>50.5714285714286</v>
      </c>
    </row>
    <row r="436" ht="15.6" hidden="1" outlineLevel="2" spans="1:25">
      <c r="A436" s="5">
        <v>310</v>
      </c>
      <c r="B436" s="5">
        <v>21</v>
      </c>
      <c r="C436" s="8" t="s">
        <v>480</v>
      </c>
      <c r="D436" s="9" t="s">
        <v>12</v>
      </c>
      <c r="E436" s="5">
        <v>14</v>
      </c>
      <c r="F436" s="7">
        <f>LOOKUP(E436,{0,-1.8,-0.8,0.2,1.2,2.2,3.2,4.6,6,7.4,8.8,10.2,11.6,13,14.4,15.8,17.2,19.1,21,22.8,24.6},{0,10,20,30,40,50,60,62,64,66,68,70,72,74,76,78,80,85,90,95,100})</f>
        <v>74</v>
      </c>
      <c r="G436" s="5">
        <v>230</v>
      </c>
      <c r="H436" s="7">
        <f>LOOKUP(G436,{0,180,185,190,195,200,205,209,213,217,221,225,229,233,237,241,245,253,260,265,270},{0,10,20,30,40,50,60,62,64,66,68,70,72,74,76,78,80,85,90,95,100})</f>
        <v>72</v>
      </c>
      <c r="I436" s="5">
        <v>14</v>
      </c>
      <c r="J436" s="7">
        <f>LOOKUP(I436,{0,4,5,6,7,8,9,10,11,12,13,14,15,16,17,18},{0,10,20,30,40,50,60,64,68,72,76,80,85,90,95,100})</f>
        <v>80</v>
      </c>
      <c r="K436" s="5"/>
      <c r="L436" s="5"/>
      <c r="M436" s="5">
        <f t="shared" si="211"/>
        <v>80</v>
      </c>
      <c r="N436" s="5">
        <v>7.4</v>
      </c>
      <c r="O436" s="10">
        <f t="shared" si="212"/>
        <v>10.6</v>
      </c>
      <c r="P436" s="7">
        <f>LOOKUP(O436,{0,7.8,8,8.2,8.4,8.6,8.8,9,9.2,9.4,9.6,9.8,10,10.2,10.4,10.6,10.8,10.9,11,11.1,11.2},{0,10,20,30,40,50,60,62,64,66,68,70,72,74,76,78,80,85,90,95,100})</f>
        <v>78</v>
      </c>
      <c r="Q436" s="5">
        <v>6.12</v>
      </c>
      <c r="R436" s="10">
        <f t="shared" si="213"/>
        <v>3.88</v>
      </c>
      <c r="S436" s="7">
        <f>LOOKUP(R436,{0,3.85,4.45,4.65,4.85,5.45,5.65,5.7,5.75,5.8,5.85,5.9,5.95,6,6.45,6.5,6.55,6.63,6.7,6.75,6.8},{0,10,20,30,40,50,60,62,64,66,68,70,72,74,76,78,80,85,90,95,100})</f>
        <v>10</v>
      </c>
      <c r="T436" s="5"/>
      <c r="U436" s="5"/>
      <c r="V436" s="5">
        <f t="shared" si="214"/>
        <v>10</v>
      </c>
      <c r="W436" s="5"/>
      <c r="X436" s="13">
        <f t="shared" si="215"/>
        <v>40.2</v>
      </c>
      <c r="Y436" s="13">
        <f t="shared" si="216"/>
        <v>57.4285714285714</v>
      </c>
    </row>
    <row r="437" ht="15.6" hidden="1" outlineLevel="2" spans="1:25">
      <c r="A437" s="5">
        <v>310</v>
      </c>
      <c r="B437" s="5">
        <v>22</v>
      </c>
      <c r="C437" s="9" t="s">
        <v>481</v>
      </c>
      <c r="D437" s="9" t="s">
        <v>12</v>
      </c>
      <c r="E437" s="5">
        <v>13</v>
      </c>
      <c r="F437" s="7">
        <f>LOOKUP(E437,{0,-1.8,-0.8,0.2,1.2,2.2,3.2,4.6,6,7.4,8.8,10.2,11.6,13,14.4,15.8,17.2,19.1,21,22.8,24.6},{0,10,20,30,40,50,60,62,64,66,68,70,72,74,76,78,80,85,90,95,100})</f>
        <v>74</v>
      </c>
      <c r="G437" s="5">
        <v>230</v>
      </c>
      <c r="H437" s="7">
        <f>LOOKUP(G437,{0,180,185,190,195,200,205,209,213,217,221,225,229,233,237,241,245,253,260,265,270},{0,10,20,30,40,50,60,62,64,66,68,70,72,74,76,78,80,85,90,95,100})</f>
        <v>72</v>
      </c>
      <c r="I437" s="5">
        <v>6</v>
      </c>
      <c r="J437" s="7">
        <f>LOOKUP(I437,{0,4,5,6,7,8,9,10,11,12,13,14,15,16,17,18},{0,10,20,30,40,50,60,64,68,72,76,80,85,90,95,100})</f>
        <v>30</v>
      </c>
      <c r="K437" s="5"/>
      <c r="L437" s="5"/>
      <c r="M437" s="5">
        <f t="shared" si="211"/>
        <v>30</v>
      </c>
      <c r="N437" s="5">
        <v>7.6</v>
      </c>
      <c r="O437" s="10">
        <f t="shared" si="212"/>
        <v>10.4</v>
      </c>
      <c r="P437" s="7">
        <f>LOOKUP(O437,{0,7.8,8,8.2,8.4,8.6,8.8,9,9.2,9.4,9.6,9.8,10,10.2,10.4,10.6,10.8,10.9,11,11.1,11.2},{0,10,20,30,40,50,60,62,64,66,68,70,72,74,76,78,80,85,90,95,100})</f>
        <v>76</v>
      </c>
      <c r="Q437" s="5">
        <v>4.19</v>
      </c>
      <c r="R437" s="10">
        <f t="shared" si="213"/>
        <v>5.81</v>
      </c>
      <c r="S437" s="7">
        <f>LOOKUP(R437,{0,3.85,4.45,4.65,4.85,5.45,5.65,5.7,5.75,5.8,5.85,5.9,5.95,6,6.45,6.5,6.55,6.63,6.7,6.75,6.8},{0,10,20,30,40,50,60,62,64,66,68,70,72,74,76,78,80,85,90,95,100})</f>
        <v>66</v>
      </c>
      <c r="T437" s="5"/>
      <c r="U437" s="5"/>
      <c r="V437" s="5">
        <f t="shared" si="214"/>
        <v>66</v>
      </c>
      <c r="W437" s="5"/>
      <c r="X437" s="13">
        <f t="shared" si="215"/>
        <v>46</v>
      </c>
      <c r="Y437" s="13">
        <f t="shared" si="216"/>
        <v>65.7142857142857</v>
      </c>
    </row>
    <row r="438" ht="15.6" hidden="1" outlineLevel="2" spans="1:25">
      <c r="A438" s="5">
        <v>310</v>
      </c>
      <c r="B438" s="5">
        <v>23</v>
      </c>
      <c r="C438" s="9" t="s">
        <v>482</v>
      </c>
      <c r="D438" s="9" t="s">
        <v>12</v>
      </c>
      <c r="E438" s="5">
        <v>22.5</v>
      </c>
      <c r="F438" s="7">
        <f>LOOKUP(E438,{0,-1.8,-0.8,0.2,1.2,2.2,3.2,4.6,6,7.4,8.8,10.2,11.6,13,14.4,15.8,17.2,19.1,21,22.8,24.6},{0,10,20,30,40,50,60,62,64,66,68,70,72,74,76,78,80,85,90,95,100})</f>
        <v>90</v>
      </c>
      <c r="G438" s="5">
        <v>250</v>
      </c>
      <c r="H438" s="7">
        <f>LOOKUP(G438,{0,180,185,190,195,200,205,209,213,217,221,225,229,233,237,241,245,253,260,265,270},{0,10,20,30,40,50,60,62,64,66,68,70,72,74,76,78,80,85,90,95,100})</f>
        <v>80</v>
      </c>
      <c r="I438" s="5">
        <v>21</v>
      </c>
      <c r="J438" s="7">
        <f>LOOKUP(I438,{0,4,5,6,7,8,9,10,11,12,13,14,15,16,17,18},{0,10,20,30,40,50,60,64,68,72,76,80,85,90,95,100})</f>
        <v>100</v>
      </c>
      <c r="K438" s="5">
        <f>I438-18</f>
        <v>3</v>
      </c>
      <c r="L438" s="7">
        <f>LOOKUP(K438,{0,1,2,3,4,5,6,7,8,9,10},{0,1,2,3,4,5,6,7,8,9,10})</f>
        <v>3</v>
      </c>
      <c r="M438" s="5">
        <f t="shared" si="211"/>
        <v>103</v>
      </c>
      <c r="N438" s="5">
        <v>7.1</v>
      </c>
      <c r="O438" s="10">
        <f t="shared" si="212"/>
        <v>10.9</v>
      </c>
      <c r="P438" s="7">
        <f>LOOKUP(O438,{0,7.8,8,8.2,8.4,8.6,8.8,9,9.2,9.4,9.6,9.8,10,10.2,10.4,10.6,10.8,10.9,11,11.1,11.2},{0,10,20,30,40,50,60,62,64,66,68,70,72,74,76,78,80,85,90,95,100})</f>
        <v>85</v>
      </c>
      <c r="Q438" s="5">
        <v>3.41</v>
      </c>
      <c r="R438" s="10">
        <f t="shared" si="213"/>
        <v>6.59</v>
      </c>
      <c r="S438" s="7">
        <f>LOOKUP(R438,{0,3.85,4.45,4.65,4.85,5.45,5.65,5.7,5.75,5.8,5.85,5.9,5.95,6,6.45,6.5,6.55,6.63,6.7,6.75,6.8},{0,10,20,30,40,50,60,62,64,66,68,70,72,74,76,78,80,85,90,95,100})</f>
        <v>80</v>
      </c>
      <c r="T438" s="5"/>
      <c r="U438" s="5"/>
      <c r="V438" s="5">
        <f t="shared" si="214"/>
        <v>80</v>
      </c>
      <c r="W438" s="5"/>
      <c r="X438" s="13">
        <f t="shared" si="215"/>
        <v>60</v>
      </c>
      <c r="Y438" s="13">
        <f t="shared" si="216"/>
        <v>88.7142857142857</v>
      </c>
    </row>
    <row r="439" ht="15.6" hidden="1" outlineLevel="2" spans="1:25">
      <c r="A439" s="5">
        <v>310</v>
      </c>
      <c r="B439" s="5">
        <v>24</v>
      </c>
      <c r="C439" s="9" t="s">
        <v>483</v>
      </c>
      <c r="D439" s="9" t="s">
        <v>12</v>
      </c>
      <c r="E439" s="5">
        <v>26.5</v>
      </c>
      <c r="F439" s="7">
        <f>LOOKUP(E439,{0,-1.8,-0.8,0.2,1.2,2.2,3.2,4.6,6,7.4,8.8,10.2,11.6,13,14.4,15.8,17.2,19.1,21,22.8,24.6},{0,10,20,30,40,50,60,62,64,66,68,70,72,74,76,78,80,85,90,95,100})</f>
        <v>100</v>
      </c>
      <c r="G439" s="5">
        <v>232</v>
      </c>
      <c r="H439" s="7">
        <f>LOOKUP(G439,{0,180,185,190,195,200,205,209,213,217,221,225,229,233,237,241,245,253,260,265,270},{0,10,20,30,40,50,60,62,64,66,68,70,72,74,76,78,80,85,90,95,100})</f>
        <v>72</v>
      </c>
      <c r="I439" s="5">
        <v>7</v>
      </c>
      <c r="J439" s="7">
        <f>LOOKUP(I439,{0,4,5,6,7,8,9,10,11,12,13,14,15,16,17,18},{0,10,20,30,40,50,60,64,68,72,76,80,85,90,95,100})</f>
        <v>40</v>
      </c>
      <c r="K439" s="5"/>
      <c r="L439" s="5"/>
      <c r="M439" s="5">
        <f t="shared" si="211"/>
        <v>40</v>
      </c>
      <c r="N439" s="5">
        <v>7.7</v>
      </c>
      <c r="O439" s="10">
        <f t="shared" si="212"/>
        <v>10.3</v>
      </c>
      <c r="P439" s="7">
        <f>LOOKUP(O439,{0,7.8,8,8.2,8.4,8.6,8.8,9,9.2,9.4,9.6,9.8,10,10.2,10.4,10.6,10.8,10.9,11,11.1,11.2},{0,10,20,30,40,50,60,62,64,66,68,70,72,74,76,78,80,85,90,95,100})</f>
        <v>74</v>
      </c>
      <c r="Q439" s="5">
        <v>4.3</v>
      </c>
      <c r="R439" s="10">
        <f t="shared" si="213"/>
        <v>5.7</v>
      </c>
      <c r="S439" s="7">
        <f>LOOKUP(R439,{0,3.85,4.45,4.65,4.85,5.45,5.65,5.7,5.75,5.8,5.85,5.9,5.95,6,6.45,6.5,6.55,6.63,6.7,6.75,6.8},{0,10,20,30,40,50,60,62,64,66,68,70,72,74,76,78,80,85,90,95,100})</f>
        <v>62</v>
      </c>
      <c r="T439" s="5"/>
      <c r="U439" s="5"/>
      <c r="V439" s="5">
        <f t="shared" si="214"/>
        <v>62</v>
      </c>
      <c r="W439" s="5"/>
      <c r="X439" s="13">
        <f t="shared" si="215"/>
        <v>48.4</v>
      </c>
      <c r="Y439" s="13">
        <f t="shared" si="216"/>
        <v>69.1428571428571</v>
      </c>
    </row>
    <row r="440" ht="15.6" hidden="1" outlineLevel="2" spans="1:25">
      <c r="A440" s="5">
        <v>310</v>
      </c>
      <c r="B440" s="5">
        <v>25</v>
      </c>
      <c r="C440" s="9" t="s">
        <v>484</v>
      </c>
      <c r="D440" s="9" t="s">
        <v>12</v>
      </c>
      <c r="E440" s="5">
        <v>15</v>
      </c>
      <c r="F440" s="7">
        <f>LOOKUP(E440,{0,-1.8,-0.8,0.2,1.2,2.2,3.2,4.6,6,7.4,8.8,10.2,11.6,13,14.4,15.8,17.2,19.1,21,22.8,24.6},{0,10,20,30,40,50,60,62,64,66,68,70,72,74,76,78,80,85,90,95,100})</f>
        <v>76</v>
      </c>
      <c r="G440" s="5">
        <v>232</v>
      </c>
      <c r="H440" s="7">
        <f>LOOKUP(G440,{0,180,185,190,195,200,205,209,213,217,221,225,229,233,237,241,245,253,260,265,270},{0,10,20,30,40,50,60,62,64,66,68,70,72,74,76,78,80,85,90,95,100})</f>
        <v>72</v>
      </c>
      <c r="I440" s="5">
        <v>5</v>
      </c>
      <c r="J440" s="7">
        <f>LOOKUP(I440,{0,4,5,6,7,8,9,10,11,12,13,14,15,16,17,18},{0,10,20,30,40,50,60,64,68,72,76,80,85,90,95,100})</f>
        <v>20</v>
      </c>
      <c r="K440" s="5"/>
      <c r="L440" s="5"/>
      <c r="M440" s="5">
        <f t="shared" si="211"/>
        <v>20</v>
      </c>
      <c r="N440" s="5">
        <v>7</v>
      </c>
      <c r="O440" s="10">
        <f t="shared" si="212"/>
        <v>11</v>
      </c>
      <c r="P440" s="7">
        <f>LOOKUP(O440,{0,7.8,8,8.2,8.4,8.6,8.8,9,9.2,9.4,9.6,9.8,10,10.2,10.4,10.6,10.8,10.9,11,11.1,11.2},{0,10,20,30,40,50,60,62,64,66,68,70,72,74,76,78,80,85,90,95,100})</f>
        <v>90</v>
      </c>
      <c r="Q440" s="5">
        <v>3.33</v>
      </c>
      <c r="R440" s="10">
        <f t="shared" si="213"/>
        <v>6.67</v>
      </c>
      <c r="S440" s="7">
        <f>LOOKUP(R440,{0,3.85,4.45,4.65,4.85,5.45,5.65,5.7,5.75,5.8,5.85,5.9,5.95,6,6.45,6.5,6.55,6.63,6.7,6.75,6.8},{0,10,20,30,40,50,60,62,64,66,68,70,72,74,76,78,80,85,90,95,100})</f>
        <v>85</v>
      </c>
      <c r="T440" s="5"/>
      <c r="U440" s="5"/>
      <c r="V440" s="5">
        <f t="shared" si="214"/>
        <v>85</v>
      </c>
      <c r="W440" s="5"/>
      <c r="X440" s="13">
        <f t="shared" si="215"/>
        <v>51.8</v>
      </c>
      <c r="Y440" s="13">
        <f t="shared" si="216"/>
        <v>74</v>
      </c>
    </row>
    <row r="441" ht="15.6" hidden="1" outlineLevel="2" spans="1:25">
      <c r="A441" s="5">
        <v>310</v>
      </c>
      <c r="B441" s="5">
        <v>26</v>
      </c>
      <c r="C441" s="9" t="s">
        <v>485</v>
      </c>
      <c r="D441" s="9" t="s">
        <v>12</v>
      </c>
      <c r="E441" s="5">
        <v>18</v>
      </c>
      <c r="F441" s="7">
        <f>LOOKUP(E441,{0,-1.8,-0.8,0.2,1.2,2.2,3.2,4.6,6,7.4,8.8,10.2,11.6,13,14.4,15.8,17.2,19.1,21,22.8,24.6},{0,10,20,30,40,50,60,62,64,66,68,70,72,74,76,78,80,85,90,95,100})</f>
        <v>80</v>
      </c>
      <c r="G441" s="5">
        <v>238</v>
      </c>
      <c r="H441" s="7">
        <f>LOOKUP(G441,{0,180,185,190,195,200,205,209,213,217,221,225,229,233,237,241,245,253,260,265,270},{0,10,20,30,40,50,60,62,64,66,68,70,72,74,76,78,80,85,90,95,100})</f>
        <v>76</v>
      </c>
      <c r="I441" s="5">
        <v>18</v>
      </c>
      <c r="J441" s="7">
        <f>LOOKUP(I441,{0,4,5,6,7,8,9,10,11,12,13,14,15,16,17,18},{0,10,20,30,40,50,60,64,68,72,76,80,85,90,95,100})</f>
        <v>100</v>
      </c>
      <c r="K441" s="5"/>
      <c r="L441" s="5"/>
      <c r="M441" s="5">
        <f t="shared" si="211"/>
        <v>100</v>
      </c>
      <c r="N441" s="5">
        <v>8.9</v>
      </c>
      <c r="O441" s="10">
        <f t="shared" si="212"/>
        <v>9.1</v>
      </c>
      <c r="P441" s="7">
        <f>LOOKUP(O441,{0,7.8,8,8.2,8.4,8.6,8.8,9,9.2,9.4,9.6,9.8,10,10.2,10.4,10.6,10.8,10.9,11,11.1,11.2},{0,10,20,30,40,50,60,62,64,66,68,70,72,74,76,78,80,85,90,95,100})</f>
        <v>62</v>
      </c>
      <c r="Q441" s="5">
        <v>5.03</v>
      </c>
      <c r="R441" s="10">
        <f t="shared" si="213"/>
        <v>4.97</v>
      </c>
      <c r="S441" s="7">
        <f>LOOKUP(R441,{0,3.85,4.45,4.65,4.85,5.45,5.65,5.7,5.75,5.8,5.85,5.9,5.95,6,6.45,6.5,6.55,6.63,6.7,6.75,6.8},{0,10,20,30,40,50,60,62,64,66,68,70,72,74,76,78,80,85,90,95,100})</f>
        <v>40</v>
      </c>
      <c r="T441" s="5"/>
      <c r="U441" s="5"/>
      <c r="V441" s="5">
        <f t="shared" si="214"/>
        <v>40</v>
      </c>
      <c r="W441" s="5"/>
      <c r="X441" s="13">
        <f t="shared" si="215"/>
        <v>46</v>
      </c>
      <c r="Y441" s="13">
        <f t="shared" si="216"/>
        <v>65.7142857142857</v>
      </c>
    </row>
    <row r="442" ht="15.6" hidden="1" outlineLevel="2" spans="1:25">
      <c r="A442" s="5">
        <v>310</v>
      </c>
      <c r="B442" s="5">
        <v>27</v>
      </c>
      <c r="C442" s="9" t="s">
        <v>486</v>
      </c>
      <c r="D442" s="9" t="s">
        <v>12</v>
      </c>
      <c r="E442" s="5">
        <v>-8</v>
      </c>
      <c r="F442" s="7">
        <v>0</v>
      </c>
      <c r="G442" s="5">
        <v>210</v>
      </c>
      <c r="H442" s="7">
        <f>LOOKUP(G442,{0,180,185,190,195,200,205,209,213,217,221,225,229,233,237,241,245,253,260,265,270},{0,10,20,30,40,50,60,62,64,66,68,70,72,74,76,78,80,85,90,95,100})</f>
        <v>62</v>
      </c>
      <c r="I442" s="5">
        <v>0</v>
      </c>
      <c r="J442" s="7">
        <f>LOOKUP(I442,{0,4,5,6,7,8,9,10,11,12,13,14,15,16,17,18},{0,10,20,30,40,50,60,64,68,72,76,80,85,90,95,100})</f>
        <v>0</v>
      </c>
      <c r="K442" s="5"/>
      <c r="L442" s="5"/>
      <c r="M442" s="5">
        <f t="shared" si="211"/>
        <v>0</v>
      </c>
      <c r="N442" s="5">
        <v>7.7</v>
      </c>
      <c r="O442" s="10">
        <f t="shared" si="212"/>
        <v>10.3</v>
      </c>
      <c r="P442" s="7">
        <f>LOOKUP(O442,{0,7.8,8,8.2,8.4,8.6,8.8,9,9.2,9.4,9.6,9.8,10,10.2,10.4,10.6,10.8,10.9,11,11.1,11.2},{0,10,20,30,40,50,60,62,64,66,68,70,72,74,76,78,80,85,90,95,100})</f>
        <v>74</v>
      </c>
      <c r="Q442" s="5">
        <v>6.12</v>
      </c>
      <c r="R442" s="10">
        <f t="shared" si="213"/>
        <v>3.88</v>
      </c>
      <c r="S442" s="7">
        <f>LOOKUP(R442,{0,3.85,4.45,4.65,4.85,5.45,5.65,5.7,5.75,5.8,5.85,5.9,5.95,6,6.45,6.5,6.55,6.63,6.7,6.75,6.8},{0,10,20,30,40,50,60,62,64,66,68,70,72,74,76,78,80,85,90,95,100})</f>
        <v>10</v>
      </c>
      <c r="T442" s="5"/>
      <c r="U442" s="5"/>
      <c r="V442" s="5">
        <f t="shared" si="214"/>
        <v>10</v>
      </c>
      <c r="W442" s="5"/>
      <c r="X442" s="13">
        <f t="shared" si="215"/>
        <v>23</v>
      </c>
      <c r="Y442" s="13">
        <f t="shared" si="216"/>
        <v>32.8571428571429</v>
      </c>
    </row>
    <row r="443" ht="15.6" hidden="1" outlineLevel="2" spans="1:25">
      <c r="A443" s="5">
        <v>310</v>
      </c>
      <c r="B443" s="5">
        <v>28</v>
      </c>
      <c r="C443" s="9" t="s">
        <v>487</v>
      </c>
      <c r="D443" s="9" t="s">
        <v>12</v>
      </c>
      <c r="E443" s="5">
        <v>15.7</v>
      </c>
      <c r="F443" s="7">
        <f>LOOKUP(E443,{0,-1.8,-0.8,0.2,1.2,2.2,3.2,4.6,6,7.4,8.8,10.2,11.6,13,14.4,15.8,17.2,19.1,21,22.8,24.6},{0,10,20,30,40,50,60,62,64,66,68,70,72,74,76,78,80,85,90,95,100})</f>
        <v>76</v>
      </c>
      <c r="G443" s="5">
        <v>245</v>
      </c>
      <c r="H443" s="7">
        <f>LOOKUP(G443,{0,180,185,190,195,200,205,209,213,217,221,225,229,233,237,241,245,253,260,265,270},{0,10,20,30,40,50,60,62,64,66,68,70,72,74,76,78,80,85,90,95,100})</f>
        <v>80</v>
      </c>
      <c r="I443" s="5">
        <v>21</v>
      </c>
      <c r="J443" s="7">
        <f>LOOKUP(I443,{0,4,5,6,7,8,9,10,11,12,13,14,15,16,17,18},{0,10,20,30,40,50,60,64,68,72,76,80,85,90,95,100})</f>
        <v>100</v>
      </c>
      <c r="K443" s="5">
        <f>I443-18</f>
        <v>3</v>
      </c>
      <c r="L443" s="7">
        <f>LOOKUP(K443,{0,1,2,3,4,5,6,7,8,9,10},{0,1,2,3,4,5,6,7,8,9,10})</f>
        <v>3</v>
      </c>
      <c r="M443" s="5">
        <f t="shared" si="211"/>
        <v>103</v>
      </c>
      <c r="N443" s="5">
        <v>7.3</v>
      </c>
      <c r="O443" s="10">
        <f t="shared" si="212"/>
        <v>10.7</v>
      </c>
      <c r="P443" s="7">
        <f>LOOKUP(O443,{0,7.8,8,8.2,8.4,8.6,8.8,9,9.2,9.4,9.6,9.8,10,10.2,10.4,10.6,10.8,10.9,11,11.1,11.2},{0,10,20,30,40,50,60,62,64,66,68,70,72,74,76,78,80,85,90,95,100})</f>
        <v>78</v>
      </c>
      <c r="Q443" s="5">
        <v>4.24</v>
      </c>
      <c r="R443" s="10">
        <f t="shared" si="213"/>
        <v>5.76</v>
      </c>
      <c r="S443" s="7">
        <f>LOOKUP(R443,{0,3.85,4.45,4.65,4.85,5.45,5.65,5.7,5.75,5.8,5.85,5.9,5.95,6,6.45,6.5,6.55,6.63,6.7,6.75,6.8},{0,10,20,30,40,50,60,62,64,66,68,70,72,74,76,78,80,85,90,95,100})</f>
        <v>64</v>
      </c>
      <c r="T443" s="5"/>
      <c r="U443" s="5"/>
      <c r="V443" s="5">
        <f t="shared" si="214"/>
        <v>64</v>
      </c>
      <c r="W443" s="5"/>
      <c r="X443" s="13">
        <f t="shared" si="215"/>
        <v>54</v>
      </c>
      <c r="Y443" s="13">
        <f t="shared" si="216"/>
        <v>80.1428571428572</v>
      </c>
    </row>
    <row r="444" ht="15.6" hidden="1" outlineLevel="2" spans="1:25">
      <c r="A444" s="5">
        <v>310</v>
      </c>
      <c r="B444" s="5">
        <v>29</v>
      </c>
      <c r="C444" s="9" t="s">
        <v>488</v>
      </c>
      <c r="D444" s="9" t="s">
        <v>12</v>
      </c>
      <c r="E444" s="5">
        <v>22.5</v>
      </c>
      <c r="F444" s="7">
        <f>LOOKUP(E444,{0,-1.8,-0.8,0.2,1.2,2.2,3.2,4.6,6,7.4,8.8,10.2,11.6,13,14.4,15.8,17.2,19.1,21,22.8,24.6},{0,10,20,30,40,50,60,62,64,66,68,70,72,74,76,78,80,85,90,95,100})</f>
        <v>90</v>
      </c>
      <c r="G444" s="5">
        <v>230</v>
      </c>
      <c r="H444" s="7">
        <f>LOOKUP(G444,{0,180,185,190,195,200,205,209,213,217,221,225,229,233,237,241,245,253,260,265,270},{0,10,20,30,40,50,60,62,64,66,68,70,72,74,76,78,80,85,90,95,100})</f>
        <v>72</v>
      </c>
      <c r="I444" s="5">
        <v>3</v>
      </c>
      <c r="J444" s="7">
        <f>LOOKUP(I444,{0,4,5,6,7,8,9,10,11,12,13,14,15,16,17,18},{0,10,20,30,40,50,60,64,68,72,76,80,85,90,95,100})</f>
        <v>0</v>
      </c>
      <c r="K444" s="5"/>
      <c r="L444" s="5"/>
      <c r="M444" s="5">
        <f t="shared" si="211"/>
        <v>0</v>
      </c>
      <c r="N444" s="5">
        <v>7.5</v>
      </c>
      <c r="O444" s="10">
        <f t="shared" si="212"/>
        <v>10.5</v>
      </c>
      <c r="P444" s="7">
        <f>LOOKUP(O444,{0,7.8,8,8.2,8.4,8.6,8.8,9,9.2,9.4,9.6,9.8,10,10.2,10.4,10.6,10.8,10.9,11,11.1,11.2},{0,10,20,30,40,50,60,62,64,66,68,70,72,74,76,78,80,85,90,95,100})</f>
        <v>76</v>
      </c>
      <c r="Q444" s="5">
        <v>4.06</v>
      </c>
      <c r="R444" s="10">
        <f t="shared" si="213"/>
        <v>5.94</v>
      </c>
      <c r="S444" s="7">
        <f>LOOKUP(R444,{0,3.85,4.45,4.65,4.85,5.45,5.65,5.7,5.75,5.8,5.85,5.9,5.95,6,6.45,6.5,6.55,6.63,6.7,6.75,6.8},{0,10,20,30,40,50,60,62,64,66,68,70,72,74,76,78,80,85,90,95,100})</f>
        <v>70</v>
      </c>
      <c r="T444" s="5"/>
      <c r="U444" s="5"/>
      <c r="V444" s="5">
        <f t="shared" si="214"/>
        <v>70</v>
      </c>
      <c r="W444" s="5"/>
      <c r="X444" s="13">
        <f t="shared" si="215"/>
        <v>45.4</v>
      </c>
      <c r="Y444" s="13">
        <f t="shared" si="216"/>
        <v>64.8571428571429</v>
      </c>
    </row>
    <row r="445" ht="15.6" hidden="1" outlineLevel="2" spans="1:25">
      <c r="A445" s="5">
        <v>310</v>
      </c>
      <c r="B445" s="5">
        <v>30</v>
      </c>
      <c r="C445" s="9" t="s">
        <v>489</v>
      </c>
      <c r="D445" s="9" t="s">
        <v>12</v>
      </c>
      <c r="E445" s="5">
        <v>10.5</v>
      </c>
      <c r="F445" s="7">
        <f>LOOKUP(E445,{0,-1.8,-0.8,0.2,1.2,2.2,3.2,4.6,6,7.4,8.8,10.2,11.6,13,14.4,15.8,17.2,19.1,21,22.8,24.6},{0,10,20,30,40,50,60,62,64,66,68,70,72,74,76,78,80,85,90,95,100})</f>
        <v>70</v>
      </c>
      <c r="G445" s="5">
        <v>218</v>
      </c>
      <c r="H445" s="7">
        <f>LOOKUP(G445,{0,180,185,190,195,200,205,209,213,217,221,225,229,233,237,241,245,253,260,265,270},{0,10,20,30,40,50,60,62,64,66,68,70,72,74,76,78,80,85,90,95,100})</f>
        <v>66</v>
      </c>
      <c r="I445" s="5">
        <v>0</v>
      </c>
      <c r="J445" s="7">
        <f>LOOKUP(I445,{0,4,5,6,7,8,9,10,11,12,13,14,15,16,17,18},{0,10,20,30,40,50,60,64,68,72,76,80,85,90,95,100})</f>
        <v>0</v>
      </c>
      <c r="K445" s="5"/>
      <c r="L445" s="5"/>
      <c r="M445" s="5">
        <f t="shared" si="211"/>
        <v>0</v>
      </c>
      <c r="N445" s="5">
        <v>7.4</v>
      </c>
      <c r="O445" s="10">
        <f t="shared" si="212"/>
        <v>10.6</v>
      </c>
      <c r="P445" s="7">
        <f>LOOKUP(O445,{0,7.8,8,8.2,8.4,8.6,8.8,9,9.2,9.4,9.6,9.8,10,10.2,10.4,10.6,10.8,10.9,11,11.1,11.2},{0,10,20,30,40,50,60,62,64,66,68,70,72,74,76,78,80,85,90,95,100})</f>
        <v>78</v>
      </c>
      <c r="Q445" s="5">
        <v>4.24</v>
      </c>
      <c r="R445" s="10">
        <f t="shared" si="213"/>
        <v>5.76</v>
      </c>
      <c r="S445" s="7">
        <f>LOOKUP(R445,{0,3.85,4.45,4.65,4.85,5.45,5.65,5.7,5.75,5.8,5.85,5.9,5.95,6,6.45,6.5,6.55,6.63,6.7,6.75,6.8},{0,10,20,30,40,50,60,62,64,66,68,70,72,74,76,78,80,85,90,95,100})</f>
        <v>64</v>
      </c>
      <c r="T445" s="5"/>
      <c r="U445" s="5"/>
      <c r="V445" s="5">
        <f t="shared" si="214"/>
        <v>64</v>
      </c>
      <c r="W445" s="5"/>
      <c r="X445" s="13">
        <f t="shared" si="215"/>
        <v>42</v>
      </c>
      <c r="Y445" s="13">
        <f t="shared" si="216"/>
        <v>60</v>
      </c>
    </row>
    <row r="446" ht="15.6" hidden="1" outlineLevel="2" spans="1:25">
      <c r="A446" s="5">
        <v>310</v>
      </c>
      <c r="B446" s="5">
        <v>31</v>
      </c>
      <c r="C446" s="9" t="s">
        <v>490</v>
      </c>
      <c r="D446" s="9" t="s">
        <v>12</v>
      </c>
      <c r="E446" s="5">
        <v>11</v>
      </c>
      <c r="F446" s="7">
        <f>LOOKUP(E446,{0,-1.8,-0.8,0.2,1.2,2.2,3.2,4.6,6,7.4,8.8,10.2,11.6,13,14.4,15.8,17.2,19.1,21,22.8,24.6},{0,10,20,30,40,50,60,62,64,66,68,70,72,74,76,78,80,85,90,95,100})</f>
        <v>70</v>
      </c>
      <c r="G446" s="5">
        <v>245</v>
      </c>
      <c r="H446" s="7">
        <f>LOOKUP(G446,{0,180,185,190,195,200,205,209,213,217,221,225,229,233,237,241,245,253,260,265,270},{0,10,20,30,40,50,60,62,64,66,68,70,72,74,76,78,80,85,90,95,100})</f>
        <v>80</v>
      </c>
      <c r="I446" s="5">
        <v>10</v>
      </c>
      <c r="J446" s="7">
        <f>LOOKUP(I446,{0,4,5,6,7,8,9,10,11,12,13,14,15,16,17,18},{0,10,20,30,40,50,60,64,68,72,76,80,85,90,95,100})</f>
        <v>64</v>
      </c>
      <c r="K446" s="5"/>
      <c r="L446" s="5"/>
      <c r="M446" s="5">
        <f t="shared" si="211"/>
        <v>64</v>
      </c>
      <c r="N446" s="5">
        <v>8.2</v>
      </c>
      <c r="O446" s="10">
        <f t="shared" si="212"/>
        <v>9.8</v>
      </c>
      <c r="P446" s="7">
        <f>LOOKUP(O446,{0,7.8,8,8.2,8.4,8.6,8.8,9,9.2,9.4,9.6,9.8,10,10.2,10.4,10.6,10.8,10.9,11,11.1,11.2},{0,10,20,30,40,50,60,62,64,66,68,70,72,74,76,78,80,85,90,95,100})</f>
        <v>70</v>
      </c>
      <c r="Q446" s="5">
        <v>4.38</v>
      </c>
      <c r="R446" s="10">
        <f t="shared" si="213"/>
        <v>5.62</v>
      </c>
      <c r="S446" s="7">
        <f>LOOKUP(R446,{0,3.85,4.45,4.65,4.85,5.45,5.65,5.7,5.75,5.8,5.85,5.9,5.95,6,6.45,6.5,6.55,6.63,6.7,6.75,6.8},{0,10,20,30,40,50,60,62,64,66,68,70,72,74,76,78,80,85,90,95,100})</f>
        <v>50</v>
      </c>
      <c r="T446" s="5"/>
      <c r="U446" s="5"/>
      <c r="V446" s="5">
        <f t="shared" si="214"/>
        <v>50</v>
      </c>
      <c r="W446" s="5"/>
      <c r="X446" s="13">
        <f t="shared" si="215"/>
        <v>45.4</v>
      </c>
      <c r="Y446" s="13">
        <f t="shared" si="216"/>
        <v>64.8571428571429</v>
      </c>
    </row>
    <row r="447" ht="15.6" hidden="1" outlineLevel="2" spans="1:25">
      <c r="A447" s="5">
        <v>310</v>
      </c>
      <c r="B447" s="5">
        <v>32</v>
      </c>
      <c r="C447" s="8" t="s">
        <v>492</v>
      </c>
      <c r="D447" s="9" t="s">
        <v>12</v>
      </c>
      <c r="E447" s="5">
        <v>6</v>
      </c>
      <c r="F447" s="7">
        <f>LOOKUP(E447,{0,-1.8,-0.8,0.2,1.2,2.2,3.2,4.6,6,7.4,8.8,10.2,11.6,13,14.4,15.8,17.2,19.1,21,22.8,24.6},{0,10,20,30,40,50,60,62,64,66,68,70,72,74,76,78,80,85,90,95,100})</f>
        <v>64</v>
      </c>
      <c r="G447" s="5">
        <v>235</v>
      </c>
      <c r="H447" s="7">
        <f>LOOKUP(G447,{0,180,185,190,195,200,205,209,213,217,221,225,229,233,237,241,245,253,260,265,270},{0,10,20,30,40,50,60,62,64,66,68,70,72,74,76,78,80,85,90,95,100})</f>
        <v>74</v>
      </c>
      <c r="I447" s="5">
        <v>12</v>
      </c>
      <c r="J447" s="7">
        <f>LOOKUP(I447,{0,4,5,6,7,8,9,10,11,12,13,14,15,16,17,18},{0,10,20,30,40,50,60,64,68,72,76,80,85,90,95,100})</f>
        <v>72</v>
      </c>
      <c r="K447" s="5"/>
      <c r="L447" s="5"/>
      <c r="M447" s="5">
        <f t="shared" si="211"/>
        <v>72</v>
      </c>
      <c r="N447" s="5">
        <v>7.3</v>
      </c>
      <c r="O447" s="10">
        <f t="shared" si="212"/>
        <v>10.7</v>
      </c>
      <c r="P447" s="7">
        <f>LOOKUP(O447,{0,7.8,8,8.2,8.4,8.6,8.8,9,9.2,9.4,9.6,9.8,10,10.2,10.4,10.6,10.8,10.9,11,11.1,11.2},{0,10,20,30,40,50,60,62,64,66,68,70,72,74,76,78,80,85,90,95,100})</f>
        <v>78</v>
      </c>
      <c r="Q447" s="5">
        <v>3.36</v>
      </c>
      <c r="R447" s="10">
        <f t="shared" si="213"/>
        <v>6.64</v>
      </c>
      <c r="S447" s="7">
        <f>LOOKUP(R447,{0,3.85,4.45,4.65,4.85,5.45,5.65,5.7,5.75,5.8,5.85,5.9,5.95,6,6.45,6.5,6.55,6.63,6.7,6.75,6.8},{0,10,20,30,40,50,60,62,64,66,68,70,72,74,76,78,80,85,90,95,100})</f>
        <v>85</v>
      </c>
      <c r="T447" s="5"/>
      <c r="U447" s="5"/>
      <c r="V447" s="5">
        <f t="shared" si="214"/>
        <v>85</v>
      </c>
      <c r="W447" s="5"/>
      <c r="X447" s="13">
        <f t="shared" si="215"/>
        <v>53.6</v>
      </c>
      <c r="Y447" s="13">
        <f t="shared" si="216"/>
        <v>76.5714285714286</v>
      </c>
    </row>
    <row r="448" ht="15.6" hidden="1" outlineLevel="2" spans="1:26">
      <c r="A448" s="5">
        <v>310</v>
      </c>
      <c r="B448" s="5">
        <v>33</v>
      </c>
      <c r="C448" s="9" t="s">
        <v>493</v>
      </c>
      <c r="D448" s="9" t="s">
        <v>12</v>
      </c>
      <c r="E448" s="5"/>
      <c r="F448" s="7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>
        <v>50</v>
      </c>
      <c r="X448" s="13"/>
      <c r="Y448" s="13">
        <v>50</v>
      </c>
      <c r="Z448" s="19"/>
    </row>
    <row r="449" ht="15.6" hidden="1" outlineLevel="2" spans="1:26">
      <c r="A449" s="5">
        <v>310</v>
      </c>
      <c r="B449" s="5">
        <v>34</v>
      </c>
      <c r="C449" s="9" t="s">
        <v>494</v>
      </c>
      <c r="D449" s="9" t="s">
        <v>12</v>
      </c>
      <c r="E449" s="5">
        <v>1</v>
      </c>
      <c r="F449" s="7">
        <f>LOOKUP(E449,{0,-1.8,-0.8,0.2,1.2,2.2,3.2,4.6,6,7.4,8.8,10.2,11.6,13,14.4,15.8,17.2,19.1,21,22.8,24.6},{0,10,20,30,40,50,60,62,64,66,68,70,72,74,76,78,80,85,90,95,100})</f>
        <v>30</v>
      </c>
      <c r="G449" s="5">
        <v>210</v>
      </c>
      <c r="H449" s="7">
        <f>LOOKUP(G449,{0,180,185,190,195,200,205,209,213,217,221,225,229,233,237,241,245,253,260,265,270},{0,10,20,30,40,50,60,62,64,66,68,70,72,74,76,78,80,85,90,95,100})</f>
        <v>62</v>
      </c>
      <c r="I449" s="5">
        <v>2</v>
      </c>
      <c r="J449" s="7">
        <f>LOOKUP(I449,{0,4,5,6,7,8,9,10,11,12,13,14,15,16,17,18},{0,10,20,30,40,50,60,64,68,72,76,80,85,90,95,100})</f>
        <v>0</v>
      </c>
      <c r="K449" s="5"/>
      <c r="L449" s="5"/>
      <c r="M449" s="5">
        <f t="shared" ref="M449:M457" si="217">J449+L449</f>
        <v>0</v>
      </c>
      <c r="N449" s="5">
        <v>7.3</v>
      </c>
      <c r="O449" s="10">
        <f t="shared" ref="O449:O457" si="218">18-N449</f>
        <v>10.7</v>
      </c>
      <c r="P449" s="7">
        <f>LOOKUP(O449,{0,7.8,8,8.2,8.4,8.6,8.8,9,9.2,9.4,9.6,9.8,10,10.2,10.4,10.6,10.8,10.9,11,11.1,11.2},{0,10,20,30,40,50,60,62,64,66,68,70,72,74,76,78,80,85,90,95,100})</f>
        <v>78</v>
      </c>
      <c r="Q449" s="5">
        <v>3.32</v>
      </c>
      <c r="R449" s="10">
        <f t="shared" ref="R449:R457" si="219">10-Q449</f>
        <v>6.68</v>
      </c>
      <c r="S449" s="7">
        <f>LOOKUP(R449,{0,3.85,4.45,4.65,4.85,5.45,5.65,5.7,5.75,5.8,5.85,5.9,5.95,6,6.45,6.5,6.55,6.63,6.7,6.75,6.8},{0,10,20,30,40,50,60,62,64,66,68,70,72,74,76,78,80,85,90,95,100})</f>
        <v>85</v>
      </c>
      <c r="T449" s="5"/>
      <c r="U449" s="5"/>
      <c r="V449" s="5">
        <f t="shared" ref="V449:V457" si="220">S449+U449</f>
        <v>85</v>
      </c>
      <c r="W449" s="5"/>
      <c r="X449" s="13">
        <f t="shared" ref="X449:X457" si="221">F449*0.1+H449*0.1+J449*0.1+P449*0.2+S449*0.2</f>
        <v>41.8</v>
      </c>
      <c r="Y449" s="13">
        <f t="shared" ref="Y449:Y457" si="222">X449/0.7+L449+U449</f>
        <v>59.7142857142857</v>
      </c>
      <c r="Z449" s="19"/>
    </row>
    <row r="450" ht="15.6" hidden="1" outlineLevel="2" spans="1:26">
      <c r="A450" s="5">
        <v>310</v>
      </c>
      <c r="B450" s="5">
        <v>35</v>
      </c>
      <c r="C450" s="9" t="s">
        <v>495</v>
      </c>
      <c r="D450" s="9" t="s">
        <v>12</v>
      </c>
      <c r="E450" s="5">
        <v>16.7</v>
      </c>
      <c r="F450" s="7">
        <f>LOOKUP(E450,{0,-1.8,-0.8,0.2,1.2,2.2,3.2,4.6,6,7.4,8.8,10.2,11.6,13,14.4,15.8,17.2,19.1,21,22.8,24.6},{0,10,20,30,40,50,60,62,64,66,68,70,72,74,76,78,80,85,90,95,100})</f>
        <v>78</v>
      </c>
      <c r="G450" s="5">
        <v>168</v>
      </c>
      <c r="H450" s="7">
        <f>LOOKUP(G450,{0,180,185,190,195,200,205,209,213,217,221,225,229,233,237,241,245,253,260,265,270},{0,10,20,30,40,50,60,62,64,66,68,70,72,74,76,78,80,85,90,95,100})</f>
        <v>0</v>
      </c>
      <c r="I450" s="5">
        <v>3</v>
      </c>
      <c r="J450" s="7">
        <f>LOOKUP(I450,{0,4,5,6,7,8,9,10,11,12,13,14,15,16,17,18},{0,10,20,30,40,50,60,64,68,72,76,80,85,90,95,100})</f>
        <v>0</v>
      </c>
      <c r="K450" s="5"/>
      <c r="L450" s="5"/>
      <c r="M450" s="5">
        <f t="shared" si="217"/>
        <v>0</v>
      </c>
      <c r="N450" s="5">
        <v>8.2</v>
      </c>
      <c r="O450" s="10">
        <f t="shared" si="218"/>
        <v>9.8</v>
      </c>
      <c r="P450" s="7">
        <f>LOOKUP(O450,{0,7.8,8,8.2,8.4,8.6,8.8,9,9.2,9.4,9.6,9.8,10,10.2,10.4,10.6,10.8,10.9,11,11.1,11.2},{0,10,20,30,40,50,60,62,64,66,68,70,72,74,76,78,80,85,90,95,100})</f>
        <v>70</v>
      </c>
      <c r="Q450" s="5">
        <v>4.11</v>
      </c>
      <c r="R450" s="10">
        <f t="shared" si="219"/>
        <v>5.89</v>
      </c>
      <c r="S450" s="7">
        <f>LOOKUP(R450,{0,3.85,4.45,4.65,4.85,5.45,5.65,5.7,5.75,5.8,5.85,5.9,5.95,6,6.45,6.5,6.55,6.63,6.7,6.75,6.8},{0,10,20,30,40,50,60,62,64,66,68,70,72,74,76,78,80,85,90,95,100})</f>
        <v>68</v>
      </c>
      <c r="T450" s="5"/>
      <c r="U450" s="5"/>
      <c r="V450" s="5">
        <f t="shared" si="220"/>
        <v>68</v>
      </c>
      <c r="W450" s="5"/>
      <c r="X450" s="13">
        <f t="shared" si="221"/>
        <v>35.4</v>
      </c>
      <c r="Y450" s="13">
        <f t="shared" si="222"/>
        <v>50.5714285714286</v>
      </c>
      <c r="Z450" s="19"/>
    </row>
    <row r="451" ht="15.6" hidden="1" outlineLevel="2" spans="1:26">
      <c r="A451" s="5">
        <v>310</v>
      </c>
      <c r="B451" s="5">
        <v>36</v>
      </c>
      <c r="C451" s="9" t="s">
        <v>496</v>
      </c>
      <c r="D451" s="9" t="s">
        <v>12</v>
      </c>
      <c r="E451" s="5">
        <v>11.2</v>
      </c>
      <c r="F451" s="7">
        <f>LOOKUP(E451,{0,-1.8,-0.8,0.2,1.2,2.2,3.2,4.6,6,7.4,8.8,10.2,11.6,13,14.4,15.8,17.2,19.1,21,22.8,24.6},{0,10,20,30,40,50,60,62,64,66,68,70,72,74,76,78,80,85,90,95,100})</f>
        <v>70</v>
      </c>
      <c r="G451" s="5">
        <v>215</v>
      </c>
      <c r="H451" s="7">
        <f>LOOKUP(G451,{0,180,185,190,195,200,205,209,213,217,221,225,229,233,237,241,245,253,260,265,270},{0,10,20,30,40,50,60,62,64,66,68,70,72,74,76,78,80,85,90,95,100})</f>
        <v>64</v>
      </c>
      <c r="I451" s="5">
        <v>6</v>
      </c>
      <c r="J451" s="7">
        <f>LOOKUP(I451,{0,4,5,6,7,8,9,10,11,12,13,14,15,16,17,18},{0,10,20,30,40,50,60,64,68,72,76,80,85,90,95,100})</f>
        <v>30</v>
      </c>
      <c r="K451" s="5"/>
      <c r="L451" s="5"/>
      <c r="M451" s="5">
        <f t="shared" si="217"/>
        <v>30</v>
      </c>
      <c r="N451" s="5">
        <v>7.7</v>
      </c>
      <c r="O451" s="10">
        <f t="shared" si="218"/>
        <v>10.3</v>
      </c>
      <c r="P451" s="7">
        <f>LOOKUP(O451,{0,7.8,8,8.2,8.4,8.6,8.8,9,9.2,9.4,9.6,9.8,10,10.2,10.4,10.6,10.8,10.9,11,11.1,11.2},{0,10,20,30,40,50,60,62,64,66,68,70,72,74,76,78,80,85,90,95,100})</f>
        <v>74</v>
      </c>
      <c r="Q451" s="5">
        <v>5.58</v>
      </c>
      <c r="R451" s="10">
        <f t="shared" si="219"/>
        <v>4.42</v>
      </c>
      <c r="S451" s="7">
        <f>LOOKUP(R451,{0,3.85,4.45,4.65,4.85,5.45,5.65,5.7,5.75,5.8,5.85,5.9,5.95,6,6.45,6.5,6.55,6.63,6.7,6.75,6.8},{0,10,20,30,40,50,60,62,64,66,68,70,72,74,76,78,80,85,90,95,100})</f>
        <v>10</v>
      </c>
      <c r="T451" s="5"/>
      <c r="U451" s="5"/>
      <c r="V451" s="5">
        <f t="shared" si="220"/>
        <v>10</v>
      </c>
      <c r="W451" s="5"/>
      <c r="X451" s="13">
        <f t="shared" si="221"/>
        <v>33.2</v>
      </c>
      <c r="Y451" s="13">
        <f t="shared" si="222"/>
        <v>47.4285714285714</v>
      </c>
      <c r="Z451" s="20"/>
    </row>
    <row r="452" ht="15.6" hidden="1" outlineLevel="2" spans="1:26">
      <c r="A452" s="5">
        <v>310</v>
      </c>
      <c r="B452" s="5">
        <v>37</v>
      </c>
      <c r="C452" s="9" t="s">
        <v>497</v>
      </c>
      <c r="D452" s="9" t="s">
        <v>12</v>
      </c>
      <c r="E452" s="5">
        <v>25.3</v>
      </c>
      <c r="F452" s="7">
        <f>LOOKUP(E452,{0,-1.8,-0.8,0.2,1.2,2.2,3.2,4.6,6,7.4,8.8,10.2,11.6,13,14.4,15.8,17.2,19.1,21,22.8,24.6},{0,10,20,30,40,50,60,62,64,66,68,70,72,74,76,78,80,85,90,95,100})</f>
        <v>100</v>
      </c>
      <c r="G452" s="5">
        <v>245</v>
      </c>
      <c r="H452" s="7">
        <f>LOOKUP(G452,{0,180,185,190,195,200,205,209,213,217,221,225,229,233,237,241,245,253,260,265,270},{0,10,20,30,40,50,60,62,64,66,68,70,72,74,76,78,80,85,90,95,100})</f>
        <v>80</v>
      </c>
      <c r="I452" s="5">
        <v>4</v>
      </c>
      <c r="J452" s="7">
        <f>LOOKUP(I452,{0,4,5,6,7,8,9,10,11,12,13,14,15,16,17,18},{0,10,20,30,40,50,60,64,68,72,76,80,85,90,95,100})</f>
        <v>10</v>
      </c>
      <c r="K452" s="5"/>
      <c r="L452" s="5"/>
      <c r="M452" s="5">
        <f t="shared" si="217"/>
        <v>10</v>
      </c>
      <c r="N452" s="5">
        <v>7.3</v>
      </c>
      <c r="O452" s="10">
        <f t="shared" si="218"/>
        <v>10.7</v>
      </c>
      <c r="P452" s="7">
        <f>LOOKUP(O452,{0,7.8,8,8.2,8.4,8.6,8.8,9,9.2,9.4,9.6,9.8,10,10.2,10.4,10.6,10.8,10.9,11,11.1,11.2},{0,10,20,30,40,50,60,62,64,66,68,70,72,74,76,78,80,85,90,95,100})</f>
        <v>78</v>
      </c>
      <c r="Q452" s="5">
        <v>3.58</v>
      </c>
      <c r="R452" s="10">
        <f t="shared" si="219"/>
        <v>6.42</v>
      </c>
      <c r="S452" s="7">
        <f>LOOKUP(R452,{0,3.85,4.45,4.65,4.85,5.45,5.65,5.7,5.75,5.8,5.85,5.9,5.95,6,6.45,6.5,6.55,6.63,6.7,6.75,6.8},{0,10,20,30,40,50,60,62,64,66,68,70,72,74,76,78,80,85,90,95,100})</f>
        <v>74</v>
      </c>
      <c r="T452" s="5"/>
      <c r="U452" s="5"/>
      <c r="V452" s="5">
        <f t="shared" si="220"/>
        <v>74</v>
      </c>
      <c r="W452" s="5"/>
      <c r="X452" s="13">
        <f t="shared" si="221"/>
        <v>49.4</v>
      </c>
      <c r="Y452" s="13">
        <f t="shared" si="222"/>
        <v>70.5714285714286</v>
      </c>
      <c r="Z452" s="19"/>
    </row>
    <row r="453" ht="15.6" hidden="1" outlineLevel="2" spans="1:26">
      <c r="A453" s="5">
        <v>310</v>
      </c>
      <c r="B453" s="5">
        <v>38</v>
      </c>
      <c r="C453" s="9" t="s">
        <v>498</v>
      </c>
      <c r="D453" s="9" t="s">
        <v>12</v>
      </c>
      <c r="E453" s="5">
        <v>20.6</v>
      </c>
      <c r="F453" s="7">
        <f>LOOKUP(E453,{0,-1.8,-0.8,0.2,1.2,2.2,3.2,4.6,6,7.4,8.8,10.2,11.6,13,14.4,15.8,17.2,19.1,21,22.8,24.6},{0,10,20,30,40,50,60,62,64,66,68,70,72,74,76,78,80,85,90,95,100})</f>
        <v>85</v>
      </c>
      <c r="G453" s="5">
        <v>215</v>
      </c>
      <c r="H453" s="7">
        <f>LOOKUP(G453,{0,180,185,190,195,200,205,209,213,217,221,225,229,233,237,241,245,253,260,265,270},{0,10,20,30,40,50,60,62,64,66,68,70,72,74,76,78,80,85,90,95,100})</f>
        <v>64</v>
      </c>
      <c r="I453" s="5">
        <v>1</v>
      </c>
      <c r="J453" s="7">
        <f>LOOKUP(I453,{0,4,5,6,7,8,9,10,11,12,13,14,15,16,17,18},{0,10,20,30,40,50,60,64,68,72,76,80,85,90,95,100})</f>
        <v>0</v>
      </c>
      <c r="K453" s="5"/>
      <c r="L453" s="16"/>
      <c r="M453" s="5">
        <f t="shared" si="217"/>
        <v>0</v>
      </c>
      <c r="N453" s="5">
        <v>7.8</v>
      </c>
      <c r="O453" s="10">
        <f t="shared" si="218"/>
        <v>10.2</v>
      </c>
      <c r="P453" s="7">
        <f>LOOKUP(O453,{0,7.8,8,8.2,8.4,8.6,8.8,9,9.2,9.4,9.6,9.8,10,10.2,10.4,10.6,10.8,10.9,11,11.1,11.2},{0,10,20,30,40,50,60,62,64,66,68,70,72,74,76,78,80,85,90,95,100})</f>
        <v>74</v>
      </c>
      <c r="Q453" s="5">
        <v>4.14</v>
      </c>
      <c r="R453" s="10">
        <f t="shared" si="219"/>
        <v>5.86</v>
      </c>
      <c r="S453" s="7">
        <f>LOOKUP(R453,{0,3.85,4.45,4.65,4.85,5.45,5.65,5.7,5.75,5.8,5.85,5.9,5.95,6,6.45,6.5,6.55,6.63,6.7,6.75,6.8},{0,10,20,30,40,50,60,62,64,66,68,70,72,74,76,78,80,85,90,95,100})</f>
        <v>68</v>
      </c>
      <c r="T453" s="5"/>
      <c r="U453" s="5"/>
      <c r="V453" s="5">
        <f t="shared" si="220"/>
        <v>68</v>
      </c>
      <c r="W453" s="5"/>
      <c r="X453" s="13">
        <f t="shared" si="221"/>
        <v>43.3</v>
      </c>
      <c r="Y453" s="13">
        <f t="shared" si="222"/>
        <v>61.8571428571429</v>
      </c>
      <c r="Z453" s="19"/>
    </row>
    <row r="454" ht="15.6" hidden="1" outlineLevel="2" spans="1:26">
      <c r="A454" s="5">
        <v>310</v>
      </c>
      <c r="B454" s="5">
        <v>39</v>
      </c>
      <c r="C454" s="9" t="s">
        <v>499</v>
      </c>
      <c r="D454" s="9" t="s">
        <v>12</v>
      </c>
      <c r="E454" s="5">
        <v>23</v>
      </c>
      <c r="F454" s="7">
        <f>LOOKUP(E454,{0,-1.8,-0.8,0.2,1.2,2.2,3.2,4.6,6,7.4,8.8,10.2,11.6,13,14.4,15.8,17.2,19.1,21,22.8,24.6},{0,10,20,30,40,50,60,62,64,66,68,70,72,74,76,78,80,85,90,95,100})</f>
        <v>95</v>
      </c>
      <c r="G454" s="5">
        <v>205</v>
      </c>
      <c r="H454" s="7">
        <f>LOOKUP(G454,{0,180,185,190,195,200,205,209,213,217,221,225,229,233,237,241,245,253,260,265,270},{0,10,20,30,40,50,60,62,64,66,68,70,72,74,76,78,80,85,90,95,100})</f>
        <v>60</v>
      </c>
      <c r="I454" s="5">
        <v>3</v>
      </c>
      <c r="J454" s="7">
        <f>LOOKUP(I454,{0,4,5,6,7,8,9,10,11,12,13,14,15,16,17,18},{0,10,20,30,40,50,60,64,68,72,76,80,85,90,95,100})</f>
        <v>0</v>
      </c>
      <c r="K454" s="5"/>
      <c r="L454" s="5"/>
      <c r="M454" s="5">
        <f t="shared" si="217"/>
        <v>0</v>
      </c>
      <c r="N454" s="5">
        <v>8</v>
      </c>
      <c r="O454" s="10">
        <f t="shared" si="218"/>
        <v>10</v>
      </c>
      <c r="P454" s="7">
        <f>LOOKUP(O454,{0,7.8,8,8.2,8.4,8.6,8.8,9,9.2,9.4,9.6,9.8,10,10.2,10.4,10.6,10.8,10.9,11,11.1,11.2},{0,10,20,30,40,50,60,62,64,66,68,70,72,74,76,78,80,85,90,95,100})</f>
        <v>72</v>
      </c>
      <c r="Q454" s="5">
        <v>3.48</v>
      </c>
      <c r="R454" s="10">
        <f t="shared" si="219"/>
        <v>6.52</v>
      </c>
      <c r="S454" s="7">
        <f>LOOKUP(R454,{0,3.85,4.45,4.65,4.85,5.45,5.65,5.7,5.75,5.8,5.85,5.9,5.95,6,6.45,6.5,6.55,6.63,6.7,6.75,6.8},{0,10,20,30,40,50,60,62,64,66,68,70,72,74,76,78,80,85,90,95,100})</f>
        <v>78</v>
      </c>
      <c r="T454" s="5"/>
      <c r="U454" s="5"/>
      <c r="V454" s="5">
        <f t="shared" si="220"/>
        <v>78</v>
      </c>
      <c r="W454" s="5"/>
      <c r="X454" s="13">
        <f t="shared" si="221"/>
        <v>45.5</v>
      </c>
      <c r="Y454" s="13">
        <f t="shared" si="222"/>
        <v>65</v>
      </c>
      <c r="Z454" s="19"/>
    </row>
    <row r="455" ht="15.6" hidden="1" outlineLevel="2" spans="1:26">
      <c r="A455" s="5">
        <v>310</v>
      </c>
      <c r="B455" s="5">
        <v>40</v>
      </c>
      <c r="C455" s="9" t="s">
        <v>500</v>
      </c>
      <c r="D455" s="9" t="s">
        <v>12</v>
      </c>
      <c r="E455" s="5">
        <v>6.4</v>
      </c>
      <c r="F455" s="7">
        <f>LOOKUP(E455,{0,-1.8,-0.8,0.2,1.2,2.2,3.2,4.6,6,7.4,8.8,10.2,11.6,13,14.4,15.8,17.2,19.1,21,22.8,24.6},{0,10,20,30,40,50,60,62,64,66,68,70,72,74,76,78,80,85,90,95,100})</f>
        <v>64</v>
      </c>
      <c r="G455" s="5">
        <v>200</v>
      </c>
      <c r="H455" s="7">
        <f>LOOKUP(G455,{0,180,185,190,195,200,205,209,213,217,221,225,229,233,237,241,245,253,260,265,270},{0,10,20,30,40,50,60,62,64,66,68,70,72,74,76,78,80,85,90,95,100})</f>
        <v>50</v>
      </c>
      <c r="I455" s="5">
        <v>0</v>
      </c>
      <c r="J455" s="7">
        <f>LOOKUP(I455,{0,4,5,6,7,8,9,10,11,12,13,14,15,16,17,18},{0,10,20,30,40,50,60,64,68,72,76,80,85,90,95,100})</f>
        <v>0</v>
      </c>
      <c r="K455" s="5"/>
      <c r="L455" s="5"/>
      <c r="M455" s="5">
        <f t="shared" si="217"/>
        <v>0</v>
      </c>
      <c r="N455" s="5">
        <v>7.4</v>
      </c>
      <c r="O455" s="10">
        <f t="shared" si="218"/>
        <v>10.6</v>
      </c>
      <c r="P455" s="7">
        <f>LOOKUP(O455,{0,7.8,8,8.2,8.4,8.6,8.8,9,9.2,9.4,9.6,9.8,10,10.2,10.4,10.6,10.8,10.9,11,11.1,11.2},{0,10,20,30,40,50,60,62,64,66,68,70,72,74,76,78,80,85,90,95,100})</f>
        <v>78</v>
      </c>
      <c r="Q455" s="5">
        <v>5.15</v>
      </c>
      <c r="R455" s="10">
        <f t="shared" si="219"/>
        <v>4.85</v>
      </c>
      <c r="S455" s="7">
        <f>LOOKUP(R455,{0,3.85,4.45,4.65,4.85,5.45,5.65,5.7,5.75,5.8,5.85,5.9,5.95,6,6.45,6.5,6.55,6.63,6.7,6.75,6.8},{0,10,20,30,40,50,60,62,64,66,68,70,72,74,76,78,80,85,90,95,100})</f>
        <v>40</v>
      </c>
      <c r="T455" s="5"/>
      <c r="U455" s="5"/>
      <c r="V455" s="5">
        <f t="shared" si="220"/>
        <v>40</v>
      </c>
      <c r="W455" s="5"/>
      <c r="X455" s="13">
        <f t="shared" si="221"/>
        <v>35</v>
      </c>
      <c r="Y455" s="13">
        <f t="shared" si="222"/>
        <v>50</v>
      </c>
      <c r="Z455" s="19"/>
    </row>
    <row r="456" ht="15.6" hidden="1" outlineLevel="2" spans="1:26">
      <c r="A456" s="5">
        <v>310</v>
      </c>
      <c r="B456" s="5">
        <v>41</v>
      </c>
      <c r="C456" s="9" t="s">
        <v>501</v>
      </c>
      <c r="D456" s="9" t="s">
        <v>12</v>
      </c>
      <c r="E456" s="5">
        <v>4.4</v>
      </c>
      <c r="F456" s="7">
        <f>LOOKUP(E456,{0,-1.8,-0.8,0.2,1.2,2.2,3.2,4.6,6,7.4,8.8,10.2,11.6,13,14.4,15.8,17.2,19.1,21,22.8,24.6},{0,10,20,30,40,50,60,62,64,66,68,70,72,74,76,78,80,85,90,95,100})</f>
        <v>60</v>
      </c>
      <c r="G456" s="5">
        <v>205</v>
      </c>
      <c r="H456" s="7">
        <f>LOOKUP(G456,{0,180,185,190,195,200,205,209,213,217,221,225,229,233,237,241,245,253,260,265,270},{0,10,20,30,40,50,60,62,64,66,68,70,72,74,76,78,80,85,90,95,100})</f>
        <v>60</v>
      </c>
      <c r="I456" s="5">
        <v>1</v>
      </c>
      <c r="J456" s="7">
        <f>LOOKUP(I456,{0,4,5,6,7,8,9,10,11,12,13,14,15,16,17,18},{0,10,20,30,40,50,60,64,68,72,76,80,85,90,95,100})</f>
        <v>0</v>
      </c>
      <c r="K456" s="5"/>
      <c r="L456" s="5"/>
      <c r="M456" s="5">
        <f t="shared" si="217"/>
        <v>0</v>
      </c>
      <c r="N456" s="5">
        <v>8.3</v>
      </c>
      <c r="O456" s="10">
        <f t="shared" si="218"/>
        <v>9.7</v>
      </c>
      <c r="P456" s="7">
        <f>LOOKUP(O456,{0,7.8,8,8.2,8.4,8.6,8.8,9,9.2,9.4,9.6,9.8,10,10.2,10.4,10.6,10.8,10.9,11,11.1,11.2},{0,10,20,30,40,50,60,62,64,66,68,70,72,74,76,78,80,85,90,95,100})</f>
        <v>68</v>
      </c>
      <c r="Q456" s="5">
        <v>4.38</v>
      </c>
      <c r="R456" s="10">
        <f t="shared" si="219"/>
        <v>5.62</v>
      </c>
      <c r="S456" s="7">
        <f>LOOKUP(R456,{0,3.85,4.45,4.65,4.85,5.45,5.65,5.7,5.75,5.8,5.85,5.9,5.95,6,6.45,6.5,6.55,6.63,6.7,6.75,6.8},{0,10,20,30,40,50,60,62,64,66,68,70,72,74,76,78,80,85,90,95,100})</f>
        <v>50</v>
      </c>
      <c r="T456" s="5"/>
      <c r="U456" s="5"/>
      <c r="V456" s="5">
        <f t="shared" si="220"/>
        <v>50</v>
      </c>
      <c r="W456" s="5"/>
      <c r="X456" s="13">
        <f t="shared" si="221"/>
        <v>35.6</v>
      </c>
      <c r="Y456" s="13">
        <f t="shared" si="222"/>
        <v>50.8571428571429</v>
      </c>
      <c r="Z456" s="19"/>
    </row>
    <row r="457" ht="15.6" hidden="1" outlineLevel="2" spans="1:26">
      <c r="A457" s="5">
        <v>310</v>
      </c>
      <c r="B457" s="5">
        <v>42</v>
      </c>
      <c r="C457" s="5" t="s">
        <v>502</v>
      </c>
      <c r="D457" s="5" t="s">
        <v>12</v>
      </c>
      <c r="E457" s="5">
        <v>2.5</v>
      </c>
      <c r="F457" s="7">
        <f>LOOKUP(E457,{0,-1.8,-0.8,0.2,1.2,2.2,3.2,4.6,6,7.4,8.8,10.2,11.6,13,14.4,15.8,17.2,19.1,21,22.8,24.6},{0,10,20,30,40,50,60,62,64,66,68,70,72,74,76,78,80,85,90,95,100})</f>
        <v>50</v>
      </c>
      <c r="G457" s="5">
        <v>220</v>
      </c>
      <c r="H457" s="7">
        <f>LOOKUP(G457,{0,180,185,190,195,200,205,209,213,217,221,225,229,233,237,241,245,253,260,265,270},{0,10,20,30,40,50,60,62,64,66,68,70,72,74,76,78,80,85,90,95,100})</f>
        <v>66</v>
      </c>
      <c r="I457" s="5">
        <v>4</v>
      </c>
      <c r="J457" s="7">
        <f>LOOKUP(I457,{0,4,5,6,7,8,9,10,11,12,13,14,15,16,17,18},{0,10,20,30,40,50,60,64,68,72,76,80,85,90,95,100})</f>
        <v>10</v>
      </c>
      <c r="K457" s="5"/>
      <c r="L457" s="5"/>
      <c r="M457" s="5">
        <f t="shared" si="217"/>
        <v>10</v>
      </c>
      <c r="N457" s="5">
        <v>7.6</v>
      </c>
      <c r="O457" s="10">
        <f t="shared" si="218"/>
        <v>10.4</v>
      </c>
      <c r="P457" s="7">
        <f>LOOKUP(O457,{0,7.8,8,8.2,8.4,8.6,8.8,9,9.2,9.4,9.6,9.8,10,10.2,10.4,10.6,10.8,10.9,11,11.1,11.2},{0,10,20,30,40,50,60,62,64,66,68,70,72,74,76,78,80,85,90,95,100})</f>
        <v>76</v>
      </c>
      <c r="Q457" s="5">
        <v>4.24</v>
      </c>
      <c r="R457" s="10">
        <f t="shared" si="219"/>
        <v>5.76</v>
      </c>
      <c r="S457" s="7">
        <f>LOOKUP(R457,{0,3.85,4.45,4.65,4.85,5.45,5.65,5.7,5.75,5.8,5.85,5.9,5.95,6,6.45,6.5,6.55,6.63,6.7,6.75,6.8},{0,10,20,30,40,50,60,62,64,66,68,70,72,74,76,78,80,85,90,95,100})</f>
        <v>64</v>
      </c>
      <c r="T457" s="5"/>
      <c r="U457" s="5"/>
      <c r="V457" s="5">
        <f t="shared" si="220"/>
        <v>64</v>
      </c>
      <c r="W457" s="5"/>
      <c r="X457" s="13">
        <f t="shared" si="221"/>
        <v>40.6</v>
      </c>
      <c r="Y457" s="13">
        <f t="shared" si="222"/>
        <v>58</v>
      </c>
      <c r="Z457" s="19"/>
    </row>
    <row r="458" hidden="1" outlineLevel="2" spans="1:26">
      <c r="A458" s="5">
        <v>310</v>
      </c>
      <c r="B458" s="5">
        <v>43</v>
      </c>
      <c r="C458" s="8" t="s">
        <v>504</v>
      </c>
      <c r="D458" s="9" t="s">
        <v>46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>
        <v>50</v>
      </c>
      <c r="X458" s="13"/>
      <c r="Y458" s="13">
        <v>50</v>
      </c>
      <c r="Z458" s="19"/>
    </row>
    <row r="459" hidden="1" outlineLevel="2" spans="1:26">
      <c r="A459" s="5">
        <v>310</v>
      </c>
      <c r="B459" s="5">
        <v>44</v>
      </c>
      <c r="C459" s="9" t="s">
        <v>505</v>
      </c>
      <c r="D459" s="9" t="s">
        <v>46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>
        <v>50</v>
      </c>
      <c r="X459" s="13"/>
      <c r="Y459" s="13">
        <v>50</v>
      </c>
      <c r="Z459" s="19"/>
    </row>
    <row r="460" ht="15.6" hidden="1" outlineLevel="2" spans="1:26">
      <c r="A460" s="5">
        <v>310</v>
      </c>
      <c r="B460" s="5">
        <v>45</v>
      </c>
      <c r="C460" s="9" t="s">
        <v>506</v>
      </c>
      <c r="D460" s="9" t="s">
        <v>46</v>
      </c>
      <c r="E460" s="5">
        <v>22.8</v>
      </c>
      <c r="F460" s="7">
        <f>LOOKUP(E460,{0,1.5,2.3,3.1,3.9,4.7,5.5,6.8,8.1,9.4,10.7,12,13.3,14.6,15.9,17.2,18.5,20.2,21.9,23.6,25.3},{0,10,20,30,40,50,60,62,64,66,68,70,72,74,76,78,80,85,90,95,100})</f>
        <v>90</v>
      </c>
      <c r="G460" s="5">
        <v>187</v>
      </c>
      <c r="H460" s="7">
        <f>LOOKUP(G460,{0,125,130,135,140,145,150,153,156,159,162,165,168,171,174,177,180,187,194,200,206},{0,10,20,30,40,50,60,62,64,66,68,70,72,74,76,78,80,85,90,95,100})</f>
        <v>85</v>
      </c>
      <c r="I460" s="5">
        <v>38</v>
      </c>
      <c r="J460" s="7">
        <f>LOOKUP(I460,{0,15,17,19,21,23,25,27,29,31,33,35,37,39,41,43,45,48,51,53,55},{0,10,20,30,40,50,60,62,64,66,68,70,72,74,76,78,80,85,90,95,100})</f>
        <v>72</v>
      </c>
      <c r="K460" s="5"/>
      <c r="L460" s="5"/>
      <c r="M460" s="5">
        <f t="shared" ref="M460:M465" si="223">J460+L460</f>
        <v>72</v>
      </c>
      <c r="N460" s="5">
        <v>8.8</v>
      </c>
      <c r="O460" s="10">
        <f t="shared" ref="O460:O465" si="224">18-N460</f>
        <v>9.2</v>
      </c>
      <c r="P460" s="7">
        <f>LOOKUP(O460,{0,6.6,6.8,7,7.2,7.4,7.6,7.8,8,8.2,8.4,8.6,8.8,9,9.2,9.4,9.6,9.9,10.2,10.3,10.4},{0,10,20,30,40,50,60,62,64,66,68,70,72,74,76,78,80,85,90,95,100})</f>
        <v>76</v>
      </c>
      <c r="Q460" s="5">
        <v>4.44</v>
      </c>
      <c r="R460" s="10">
        <f t="shared" ref="R460:R465" si="225">10-Q460</f>
        <v>5.56</v>
      </c>
      <c r="S460" s="7">
        <f>LOOKUP(R460,{0,4.74,4.84,4.94,5.44,5.54,5.64,5.69,5.74,5.79,5.84,5.89,5.94,5.99,6.44,6.49,6.54,6.61,6.68,6.74,6.8},{0,10,20,30,40,50,60,62,64,66,68,70,72,74,76,78,80,85,90,95,100})</f>
        <v>50</v>
      </c>
      <c r="T460" s="5"/>
      <c r="U460" s="5"/>
      <c r="V460" s="5">
        <f t="shared" ref="V460:V465" si="226">S460+U460</f>
        <v>50</v>
      </c>
      <c r="W460" s="5"/>
      <c r="X460" s="13">
        <f t="shared" ref="X460:X465" si="227">F460*0.1+H460*0.1+J460*0.1+P460*0.2+S460*0.2</f>
        <v>49.9</v>
      </c>
      <c r="Y460" s="13">
        <f t="shared" ref="Y460:Y465" si="228">X460/0.7+L460+U460</f>
        <v>71.2857142857143</v>
      </c>
      <c r="Z460" s="19"/>
    </row>
    <row r="461" ht="15.6" hidden="1" outlineLevel="2" spans="1:26">
      <c r="A461" s="5">
        <v>310</v>
      </c>
      <c r="B461" s="5">
        <v>46</v>
      </c>
      <c r="C461" s="9" t="s">
        <v>507</v>
      </c>
      <c r="D461" s="9" t="s">
        <v>46</v>
      </c>
      <c r="E461" s="5">
        <v>16</v>
      </c>
      <c r="F461" s="7">
        <f>LOOKUP(E461,{0,1.5,2.3,3.1,3.9,4.7,5.5,6.8,8.1,9.4,10.7,12,13.3,14.6,15.9,17.2,18.5,20.2,21.9,23.6,25.3},{0,10,20,30,40,50,60,62,64,66,68,70,72,74,76,78,80,85,90,95,100})</f>
        <v>76</v>
      </c>
      <c r="G461" s="5">
        <v>174</v>
      </c>
      <c r="H461" s="7">
        <f>LOOKUP(G461,{0,125,130,135,140,145,150,153,156,159,162,165,168,171,174,177,180,187,194,200,206},{0,10,20,30,40,50,60,62,64,66,68,70,72,74,76,78,80,85,90,95,100})</f>
        <v>76</v>
      </c>
      <c r="I461" s="5">
        <v>50</v>
      </c>
      <c r="J461" s="7">
        <f>LOOKUP(I461,{0,15,17,19,21,23,25,27,29,31,33,35,37,39,41,43,45,48,51,53,55},{0,10,20,30,40,50,60,62,64,66,68,70,72,74,76,78,80,85,90,95,100})</f>
        <v>85</v>
      </c>
      <c r="K461" s="5"/>
      <c r="L461" s="16"/>
      <c r="M461" s="5">
        <f t="shared" si="223"/>
        <v>85</v>
      </c>
      <c r="N461" s="5">
        <v>9.1</v>
      </c>
      <c r="O461" s="10">
        <f t="shared" si="224"/>
        <v>8.9</v>
      </c>
      <c r="P461" s="7">
        <f>LOOKUP(O461,{0,6.6,6.8,7,7.2,7.4,7.6,7.8,8,8.2,8.4,8.6,8.8,9,9.2,9.4,9.6,9.9,10.2,10.3,10.4},{0,10,20,30,40,50,60,62,64,66,68,70,72,74,76,78,80,85,90,95,100})</f>
        <v>72</v>
      </c>
      <c r="Q461" s="5">
        <v>4.42</v>
      </c>
      <c r="R461" s="10">
        <f t="shared" si="225"/>
        <v>5.58</v>
      </c>
      <c r="S461" s="7">
        <f>LOOKUP(R461,{0,4.74,4.84,4.94,5.44,5.54,5.64,5.69,5.74,5.79,5.84,5.89,5.94,5.99,6.44,6.49,6.54,6.61,6.68,6.74,6.8},{0,10,20,30,40,50,60,62,64,66,68,70,72,74,76,78,80,85,90,95,100})</f>
        <v>50</v>
      </c>
      <c r="T461" s="5"/>
      <c r="U461" s="5"/>
      <c r="V461" s="5">
        <f t="shared" si="226"/>
        <v>50</v>
      </c>
      <c r="W461" s="5"/>
      <c r="X461" s="13">
        <f t="shared" si="227"/>
        <v>48.1</v>
      </c>
      <c r="Y461" s="13">
        <f t="shared" si="228"/>
        <v>68.7142857142857</v>
      </c>
      <c r="Z461" s="19"/>
    </row>
    <row r="462" ht="15.6" hidden="1" outlineLevel="2" spans="1:26">
      <c r="A462" s="5">
        <v>310</v>
      </c>
      <c r="B462" s="5">
        <v>47</v>
      </c>
      <c r="C462" s="9" t="s">
        <v>508</v>
      </c>
      <c r="D462" s="9" t="s">
        <v>46</v>
      </c>
      <c r="E462" s="5">
        <v>24</v>
      </c>
      <c r="F462" s="7">
        <f>LOOKUP(E462,{0,1.5,2.3,3.1,3.9,4.7,5.5,6.8,8.1,9.4,10.7,12,13.3,14.6,15.9,17.2,18.5,20.2,21.9,23.6,25.3},{0,10,20,30,40,50,60,62,64,66,68,70,72,74,76,78,80,85,90,95,100})</f>
        <v>95</v>
      </c>
      <c r="G462" s="5">
        <v>168</v>
      </c>
      <c r="H462" s="7">
        <f>LOOKUP(G462,{0,125,130,135,140,145,150,153,156,159,162,165,168,171,174,177,180,187,194,200,206},{0,10,20,30,40,50,60,62,64,66,68,70,72,74,76,78,80,85,90,95,100})</f>
        <v>72</v>
      </c>
      <c r="I462" s="5">
        <v>55</v>
      </c>
      <c r="J462" s="7">
        <f>LOOKUP(I462,{0,15,17,19,21,23,25,27,29,31,33,35,37,39,41,43,45,48,51,53,55},{0,10,20,30,40,50,60,62,64,66,68,70,72,74,76,78,80,85,90,95,100})</f>
        <v>100</v>
      </c>
      <c r="K462" s="5"/>
      <c r="L462" s="5"/>
      <c r="M462" s="5">
        <f t="shared" si="223"/>
        <v>100</v>
      </c>
      <c r="N462" s="5">
        <v>8.6</v>
      </c>
      <c r="O462" s="10">
        <f t="shared" si="224"/>
        <v>9.4</v>
      </c>
      <c r="P462" s="7">
        <f>LOOKUP(O462,{0,6.6,6.8,7,7.2,7.4,7.6,7.8,8,8.2,8.4,8.6,8.8,9,9.2,9.4,9.6,9.9,10.2,10.3,10.4},{0,10,20,30,40,50,60,62,64,66,68,70,72,74,76,78,80,85,90,95,100})</f>
        <v>78</v>
      </c>
      <c r="Q462" s="5">
        <v>4.07</v>
      </c>
      <c r="R462" s="10">
        <f t="shared" si="225"/>
        <v>5.93</v>
      </c>
      <c r="S462" s="7">
        <f>LOOKUP(R462,{0,4.74,4.84,4.94,5.44,5.54,5.64,5.69,5.74,5.79,5.84,5.89,5.94,5.99,6.44,6.49,6.54,6.61,6.68,6.74,6.8},{0,10,20,30,40,50,60,62,64,66,68,70,72,74,76,78,80,85,90,95,100})</f>
        <v>70</v>
      </c>
      <c r="T462" s="5"/>
      <c r="U462" s="5"/>
      <c r="V462" s="5">
        <f t="shared" si="226"/>
        <v>70</v>
      </c>
      <c r="W462" s="5"/>
      <c r="X462" s="13">
        <f t="shared" si="227"/>
        <v>56.3</v>
      </c>
      <c r="Y462" s="13">
        <f t="shared" si="228"/>
        <v>80.4285714285714</v>
      </c>
      <c r="Z462" s="19"/>
    </row>
    <row r="463" ht="15.6" hidden="1" outlineLevel="2" spans="1:26">
      <c r="A463" s="5">
        <v>310</v>
      </c>
      <c r="B463" s="5">
        <v>48</v>
      </c>
      <c r="C463" s="9" t="s">
        <v>509</v>
      </c>
      <c r="D463" s="9" t="s">
        <v>46</v>
      </c>
      <c r="E463" s="5">
        <v>11</v>
      </c>
      <c r="F463" s="7">
        <f>LOOKUP(E463,{0,1.5,2.3,3.1,3.9,4.7,5.5,6.8,8.1,9.4,10.7,12,13.3,14.6,15.9,17.2,18.5,20.2,21.9,23.6,25.3},{0,10,20,30,40,50,60,62,64,66,68,70,72,74,76,78,80,85,90,95,100})</f>
        <v>68</v>
      </c>
      <c r="G463" s="5">
        <v>156</v>
      </c>
      <c r="H463" s="7">
        <f>LOOKUP(G463,{0,125,130,135,140,145,150,153,156,159,162,165,168,171,174,177,180,187,194,200,206},{0,10,20,30,40,50,60,62,64,66,68,70,72,74,76,78,80,85,90,95,100})</f>
        <v>64</v>
      </c>
      <c r="I463" s="5">
        <v>37</v>
      </c>
      <c r="J463" s="7">
        <f>LOOKUP(I463,{0,15,17,19,21,23,25,27,29,31,33,35,37,39,41,43,45,48,51,53,55},{0,10,20,30,40,50,60,62,64,66,68,70,72,74,76,78,80,85,90,95,100})</f>
        <v>72</v>
      </c>
      <c r="K463" s="5"/>
      <c r="L463" s="5"/>
      <c r="M463" s="5">
        <f t="shared" si="223"/>
        <v>72</v>
      </c>
      <c r="N463" s="5">
        <v>9.8</v>
      </c>
      <c r="O463" s="10">
        <f t="shared" si="224"/>
        <v>8.2</v>
      </c>
      <c r="P463" s="7">
        <f>LOOKUP(O463,{0,6.6,6.8,7,7.2,7.4,7.6,7.8,8,8.2,8.4,8.6,8.8,9,9.2,9.4,9.6,9.9,10.2,10.3,10.4},{0,10,20,30,40,50,60,62,64,66,68,70,72,74,76,78,80,85,90,95,100})</f>
        <v>66</v>
      </c>
      <c r="Q463" s="5">
        <v>4.43</v>
      </c>
      <c r="R463" s="10">
        <f t="shared" si="225"/>
        <v>5.57</v>
      </c>
      <c r="S463" s="7">
        <f>LOOKUP(R463,{0,4.74,4.84,4.94,5.44,5.54,5.64,5.69,5.74,5.79,5.84,5.89,5.94,5.99,6.44,6.49,6.54,6.61,6.68,6.74,6.8},{0,10,20,30,40,50,60,62,64,66,68,70,72,74,76,78,80,85,90,95,100})</f>
        <v>50</v>
      </c>
      <c r="T463" s="5"/>
      <c r="U463" s="5"/>
      <c r="V463" s="5">
        <f t="shared" si="226"/>
        <v>50</v>
      </c>
      <c r="W463" s="5"/>
      <c r="X463" s="13">
        <f t="shared" si="227"/>
        <v>43.6</v>
      </c>
      <c r="Y463" s="13">
        <f t="shared" si="228"/>
        <v>62.2857142857143</v>
      </c>
      <c r="Z463" s="19"/>
    </row>
    <row r="464" ht="15.6" hidden="1" outlineLevel="2" spans="1:26">
      <c r="A464" s="5">
        <v>310</v>
      </c>
      <c r="B464" s="5">
        <v>49</v>
      </c>
      <c r="C464" s="9" t="s">
        <v>510</v>
      </c>
      <c r="D464" s="9" t="s">
        <v>46</v>
      </c>
      <c r="E464" s="5">
        <v>14.5</v>
      </c>
      <c r="F464" s="7">
        <f>LOOKUP(E464,{0,1.5,2.3,3.1,3.9,4.7,5.5,6.8,8.1,9.4,10.7,12,13.3,14.6,15.9,17.2,18.5,20.2,21.9,23.6,25.3},{0,10,20,30,40,50,60,62,64,66,68,70,72,74,76,78,80,85,90,95,100})</f>
        <v>72</v>
      </c>
      <c r="G464" s="5">
        <v>202</v>
      </c>
      <c r="H464" s="7">
        <f>LOOKUP(G464,{0,125,130,135,140,145,150,153,156,159,162,165,168,171,174,177,180,187,194,200,206},{0,10,20,30,40,50,60,62,64,66,68,70,72,74,76,78,80,85,90,95,100})</f>
        <v>95</v>
      </c>
      <c r="I464" s="5">
        <v>46</v>
      </c>
      <c r="J464" s="7">
        <f>LOOKUP(I464,{0,15,17,19,21,23,25,27,29,31,33,35,37,39,41,43,45,48,51,53,55},{0,10,20,30,40,50,60,62,64,66,68,70,72,74,76,78,80,85,90,95,100})</f>
        <v>80</v>
      </c>
      <c r="K464" s="5"/>
      <c r="L464" s="5"/>
      <c r="M464" s="5">
        <f t="shared" si="223"/>
        <v>80</v>
      </c>
      <c r="N464" s="5">
        <v>8.6</v>
      </c>
      <c r="O464" s="10">
        <f t="shared" si="224"/>
        <v>9.4</v>
      </c>
      <c r="P464" s="7">
        <f>LOOKUP(O464,{0,6.6,6.8,7,7.2,7.4,7.6,7.8,8,8.2,8.4,8.6,8.8,9,9.2,9.4,9.6,9.9,10.2,10.3,10.4},{0,10,20,30,40,50,60,62,64,66,68,70,72,74,76,78,80,85,90,95,100})</f>
        <v>78</v>
      </c>
      <c r="Q464" s="5">
        <v>3.22</v>
      </c>
      <c r="R464" s="10">
        <f t="shared" si="225"/>
        <v>6.78</v>
      </c>
      <c r="S464" s="7">
        <f>LOOKUP(R464,{0,4.74,4.84,4.94,5.44,5.54,5.64,5.69,5.74,5.79,5.84,5.89,5.94,5.99,6.44,6.49,6.54,6.61,6.68,6.74,6.8},{0,10,20,30,40,50,60,62,64,66,68,70,72,74,76,78,80,85,90,95,100})</f>
        <v>95</v>
      </c>
      <c r="T464" s="5"/>
      <c r="U464" s="5"/>
      <c r="V464" s="5">
        <f t="shared" si="226"/>
        <v>95</v>
      </c>
      <c r="W464" s="5"/>
      <c r="X464" s="13">
        <f t="shared" si="227"/>
        <v>59.3</v>
      </c>
      <c r="Y464" s="13">
        <f t="shared" si="228"/>
        <v>84.7142857142857</v>
      </c>
      <c r="Z464" s="19"/>
    </row>
    <row r="465" ht="15.6" hidden="1" outlineLevel="2" spans="1:26">
      <c r="A465" s="5">
        <v>310</v>
      </c>
      <c r="B465" s="5">
        <v>50</v>
      </c>
      <c r="C465" s="9" t="s">
        <v>511</v>
      </c>
      <c r="D465" s="9" t="s">
        <v>46</v>
      </c>
      <c r="E465" s="5">
        <v>13.7</v>
      </c>
      <c r="F465" s="7">
        <f>LOOKUP(E465,{0,1.5,2.3,3.1,3.9,4.7,5.5,6.8,8.1,9.4,10.7,12,13.3,14.6,15.9,17.2,18.5,20.2,21.9,23.6,25.3},{0,10,20,30,40,50,60,62,64,66,68,70,72,74,76,78,80,85,90,95,100})</f>
        <v>72</v>
      </c>
      <c r="G465" s="5">
        <v>186</v>
      </c>
      <c r="H465" s="7">
        <f>LOOKUP(G465,{0,125,130,135,140,145,150,153,156,159,162,165,168,171,174,177,180,187,194,200,206},{0,10,20,30,40,50,60,62,64,66,68,70,72,74,76,78,80,85,90,95,100})</f>
        <v>80</v>
      </c>
      <c r="I465" s="5">
        <v>46</v>
      </c>
      <c r="J465" s="7">
        <f>LOOKUP(I465,{0,15,17,19,21,23,25,27,29,31,33,35,37,39,41,43,45,48,51,53,55},{0,10,20,30,40,50,60,62,64,66,68,70,72,74,76,78,80,85,90,95,100})</f>
        <v>80</v>
      </c>
      <c r="K465" s="5"/>
      <c r="L465" s="5"/>
      <c r="M465" s="5">
        <f t="shared" si="223"/>
        <v>80</v>
      </c>
      <c r="N465" s="5">
        <v>8.2</v>
      </c>
      <c r="O465" s="10">
        <f t="shared" si="224"/>
        <v>9.8</v>
      </c>
      <c r="P465" s="7">
        <f>LOOKUP(O465,{0,6.6,6.8,7,7.2,7.4,7.6,7.8,8,8.2,8.4,8.6,8.8,9,9.2,9.4,9.6,9.9,10.2,10.3,10.4},{0,10,20,30,40,50,60,62,64,66,68,70,72,74,76,78,80,85,90,95,100})</f>
        <v>80</v>
      </c>
      <c r="Q465" s="5">
        <v>3.57</v>
      </c>
      <c r="R465" s="10">
        <f t="shared" si="225"/>
        <v>6.43</v>
      </c>
      <c r="S465" s="7">
        <f>LOOKUP(R465,{0,4.74,4.84,4.94,5.44,5.54,5.64,5.69,5.74,5.79,5.84,5.89,5.94,5.99,6.44,6.49,6.54,6.61,6.68,6.74,6.8},{0,10,20,30,40,50,60,62,64,66,68,70,72,74,76,78,80,85,90,95,100})</f>
        <v>74</v>
      </c>
      <c r="T465" s="5"/>
      <c r="U465" s="5"/>
      <c r="V465" s="5">
        <f t="shared" si="226"/>
        <v>74</v>
      </c>
      <c r="W465" s="5"/>
      <c r="X465" s="13">
        <f t="shared" si="227"/>
        <v>54</v>
      </c>
      <c r="Y465" s="13">
        <f t="shared" si="228"/>
        <v>77.1428571428572</v>
      </c>
      <c r="Z465" s="19"/>
    </row>
    <row r="466" hidden="1" outlineLevel="2" spans="1:26">
      <c r="A466" s="5">
        <v>310</v>
      </c>
      <c r="B466" s="5">
        <v>51</v>
      </c>
      <c r="C466" s="9" t="s">
        <v>512</v>
      </c>
      <c r="D466" s="9" t="s">
        <v>46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>
        <v>50</v>
      </c>
      <c r="X466" s="13"/>
      <c r="Y466" s="13">
        <v>50</v>
      </c>
      <c r="Z466" s="19"/>
    </row>
    <row r="467" outlineLevel="1" collapsed="1" spans="1:26">
      <c r="A467" s="6" t="s">
        <v>861</v>
      </c>
      <c r="B467" s="5"/>
      <c r="C467" s="9"/>
      <c r="D467" s="9"/>
      <c r="E467" s="5"/>
      <c r="F467" s="5">
        <f>SUBTOTAL(1,F416:F466)</f>
        <v>68.7608695652174</v>
      </c>
      <c r="G467" s="5"/>
      <c r="H467" s="5">
        <f>SUBTOTAL(1,H416:H466)</f>
        <v>70.3913043478261</v>
      </c>
      <c r="I467" s="5"/>
      <c r="J467" s="5">
        <f>SUBTOTAL(1,J416:J466)</f>
        <v>32.2826086956522</v>
      </c>
      <c r="K467" s="5"/>
      <c r="L467" s="5"/>
      <c r="M467" s="5">
        <f>SUBTOTAL(1,M416:M466)</f>
        <v>32.6304347826087</v>
      </c>
      <c r="N467" s="5"/>
      <c r="O467" s="5"/>
      <c r="P467" s="5">
        <f>SUBTOTAL(1,P416:P466)</f>
        <v>76.4565217391304</v>
      </c>
      <c r="Q467" s="5"/>
      <c r="R467" s="5"/>
      <c r="S467" s="5">
        <f>SUBTOTAL(1,S416:S466)</f>
        <v>55.2608695652174</v>
      </c>
      <c r="T467" s="5"/>
      <c r="U467" s="5"/>
      <c r="V467" s="5">
        <f>SUBTOTAL(1,V416:V466)</f>
        <v>55.2608695652174</v>
      </c>
      <c r="W467" s="5"/>
      <c r="X467" s="13">
        <f>SUBTOTAL(1,X416:X466)</f>
        <v>43.4869565217391</v>
      </c>
      <c r="Y467" s="13">
        <f>SUBTOTAL(1,Y416:Y466)</f>
        <v>61.249299719888</v>
      </c>
      <c r="Z467" s="19"/>
    </row>
    <row r="468" ht="15.6" hidden="1" outlineLevel="2" spans="1:26">
      <c r="A468" s="5">
        <v>311</v>
      </c>
      <c r="B468" s="5">
        <v>1</v>
      </c>
      <c r="C468" s="8" t="s">
        <v>514</v>
      </c>
      <c r="D468" s="9" t="s">
        <v>12</v>
      </c>
      <c r="E468" s="5">
        <v>0</v>
      </c>
      <c r="F468" s="7">
        <f>LOOKUP(E468,{0,-1.8,-0.8,0.2,1.2,2.2,3.2,4.6,6,7.4,8.8,10.2,11.6,13,14.4,15.8,17.2,19.1,21,22.8,24.6},{0,10,20,30,40,50,60,62,64,66,68,70,72,74,76,78,80,85,90,95,100})</f>
        <v>20</v>
      </c>
      <c r="G468" s="5">
        <v>246</v>
      </c>
      <c r="H468" s="7">
        <f>LOOKUP(G468,{0,180,185,190,195,200,205,209,213,217,221,225,229,233,237,241,245,253,260,265,270},{0,10,20,30,40,50,60,62,64,66,68,70,72,74,76,78,80,85,90,95,100})</f>
        <v>80</v>
      </c>
      <c r="I468" s="5">
        <v>3</v>
      </c>
      <c r="J468" s="7">
        <f>LOOKUP(I468,{0,4,5,6,7,8,9,10,11,12,13,14,15,16,17,18},{0,10,20,30,40,50,60,64,68,72,76,80,85,90,95,100})</f>
        <v>0</v>
      </c>
      <c r="K468" s="5"/>
      <c r="L468" s="5"/>
      <c r="M468" s="5">
        <f t="shared" ref="M468:M501" si="229">J468+L468</f>
        <v>0</v>
      </c>
      <c r="N468" s="5">
        <v>7.1</v>
      </c>
      <c r="O468" s="10">
        <f t="shared" ref="O468:O501" si="230">18-N468</f>
        <v>10.9</v>
      </c>
      <c r="P468" s="7">
        <f>LOOKUP(O468,{0,7.8,8,8.2,8.4,8.6,8.8,9,9.2,9.4,9.6,9.8,10,10.2,10.4,10.6,10.8,10.9,11,11.1,11.2},{0,10,20,30,40,50,60,62,64,66,68,70,72,74,76,78,80,85,90,95,100})</f>
        <v>85</v>
      </c>
      <c r="Q468" s="5">
        <v>4.34</v>
      </c>
      <c r="R468" s="10">
        <f t="shared" ref="R468:R501" si="231">10-Q468</f>
        <v>5.66</v>
      </c>
      <c r="S468" s="7">
        <f>LOOKUP(R468,{0,3.85,4.45,4.65,4.85,5.45,5.65,5.7,5.75,5.8,5.85,5.9,5.95,6,6.45,6.5,6.55,6.63,6.7,6.75,6.8},{0,10,20,30,40,50,60,62,64,66,68,70,72,74,76,78,80,85,90,95,100})</f>
        <v>60</v>
      </c>
      <c r="T468" s="5"/>
      <c r="U468" s="5"/>
      <c r="V468" s="5">
        <f t="shared" ref="V468:V501" si="232">S468+U468</f>
        <v>60</v>
      </c>
      <c r="W468" s="5"/>
      <c r="X468" s="13">
        <f t="shared" ref="X468:X501" si="233">F468*0.1+H468*0.1+J468*0.1+P468*0.2+S468*0.2</f>
        <v>39</v>
      </c>
      <c r="Y468" s="13">
        <f t="shared" ref="Y468:Y501" si="234">X468/0.7+L468+U468</f>
        <v>55.7142857142857</v>
      </c>
      <c r="Z468" s="20"/>
    </row>
    <row r="469" ht="15.6" hidden="1" outlineLevel="2" spans="1:26">
      <c r="A469" s="5">
        <v>311</v>
      </c>
      <c r="B469" s="5">
        <v>2</v>
      </c>
      <c r="C469" s="9" t="s">
        <v>515</v>
      </c>
      <c r="D469" s="9" t="s">
        <v>12</v>
      </c>
      <c r="E469" s="5">
        <v>19.5</v>
      </c>
      <c r="F469" s="7">
        <f>LOOKUP(E469,{0,-1.8,-0.8,0.2,1.2,2.2,3.2,4.6,6,7.4,8.8,10.2,11.6,13,14.4,15.8,17.2,19.1,21,22.8,24.6},{0,10,20,30,40,50,60,62,64,66,68,70,72,74,76,78,80,85,90,95,100})</f>
        <v>85</v>
      </c>
      <c r="G469" s="5">
        <v>260</v>
      </c>
      <c r="H469" s="7">
        <f>LOOKUP(G469,{0,180,185,190,195,200,205,209,213,217,221,225,229,233,237,241,245,253,260,265,270},{0,10,20,30,40,50,60,62,64,66,68,70,72,74,76,78,80,85,90,95,100})</f>
        <v>90</v>
      </c>
      <c r="I469" s="5">
        <v>4</v>
      </c>
      <c r="J469" s="7">
        <f>LOOKUP(I469,{0,4,5,6,7,8,9,10,11,12,13,14,15,16,17,18},{0,10,20,30,40,50,60,64,68,72,76,80,85,90,95,100})</f>
        <v>10</v>
      </c>
      <c r="K469" s="5"/>
      <c r="L469" s="5"/>
      <c r="M469" s="5">
        <f t="shared" si="229"/>
        <v>10</v>
      </c>
      <c r="N469" s="5">
        <v>7.4</v>
      </c>
      <c r="O469" s="10">
        <f t="shared" si="230"/>
        <v>10.6</v>
      </c>
      <c r="P469" s="7">
        <f>LOOKUP(O469,{0,7.8,8,8.2,8.4,8.6,8.8,9,9.2,9.4,9.6,9.8,10,10.2,10.4,10.6,10.8,10.9,11,11.1,11.2},{0,10,20,30,40,50,60,62,64,66,68,70,72,74,76,78,80,85,90,95,100})</f>
        <v>78</v>
      </c>
      <c r="Q469" s="5">
        <v>4.31</v>
      </c>
      <c r="R469" s="10">
        <f t="shared" si="231"/>
        <v>5.69</v>
      </c>
      <c r="S469" s="7">
        <f>LOOKUP(R469,{0,3.85,4.45,4.65,4.85,5.45,5.65,5.7,5.75,5.8,5.85,5.9,5.95,6,6.45,6.5,6.55,6.63,6.7,6.75,6.8},{0,10,20,30,40,50,60,62,64,66,68,70,72,74,76,78,80,85,90,95,100})</f>
        <v>60</v>
      </c>
      <c r="T469" s="5"/>
      <c r="U469" s="5"/>
      <c r="V469" s="5">
        <f t="shared" si="232"/>
        <v>60</v>
      </c>
      <c r="W469" s="5"/>
      <c r="X469" s="13">
        <f t="shared" si="233"/>
        <v>46.1</v>
      </c>
      <c r="Y469" s="13">
        <f t="shared" si="234"/>
        <v>65.8571428571429</v>
      </c>
      <c r="Z469" s="19"/>
    </row>
    <row r="470" ht="15.6" hidden="1" outlineLevel="2" spans="1:26">
      <c r="A470" s="5">
        <v>311</v>
      </c>
      <c r="B470" s="5">
        <v>3</v>
      </c>
      <c r="C470" s="9" t="s">
        <v>516</v>
      </c>
      <c r="D470" s="9" t="s">
        <v>12</v>
      </c>
      <c r="E470" s="5">
        <v>16</v>
      </c>
      <c r="F470" s="7">
        <f>LOOKUP(E470,{0,-1.8,-0.8,0.2,1.2,2.2,3.2,4.6,6,7.4,8.8,10.2,11.6,13,14.4,15.8,17.2,19.1,21,22.8,24.6},{0,10,20,30,40,50,60,62,64,66,68,70,72,74,76,78,80,85,90,95,100})</f>
        <v>78</v>
      </c>
      <c r="G470" s="5">
        <v>245</v>
      </c>
      <c r="H470" s="7">
        <f>LOOKUP(G470,{0,180,185,190,195,200,205,209,213,217,221,225,229,233,237,241,245,253,260,265,270},{0,10,20,30,40,50,60,62,64,66,68,70,72,74,76,78,80,85,90,95,100})</f>
        <v>80</v>
      </c>
      <c r="I470" s="5">
        <v>25</v>
      </c>
      <c r="J470" s="7">
        <f>LOOKUP(I470,{0,4,5,6,7,8,9,10,11,12,13,14,15,16,17,18},{0,10,20,30,40,50,60,64,68,72,76,80,85,90,95,100})</f>
        <v>100</v>
      </c>
      <c r="K470" s="5">
        <f>I470-18</f>
        <v>7</v>
      </c>
      <c r="L470" s="7">
        <f>LOOKUP(K470,{0,1,2,3,4,5,6,7,8,9,10},{0,1,2,3,4,5,6,7,8,9,10})</f>
        <v>7</v>
      </c>
      <c r="M470" s="5">
        <f t="shared" si="229"/>
        <v>107</v>
      </c>
      <c r="N470" s="5">
        <v>7.2</v>
      </c>
      <c r="O470" s="10">
        <f t="shared" si="230"/>
        <v>10.8</v>
      </c>
      <c r="P470" s="7">
        <f>LOOKUP(O470,{0,7.8,8,8.2,8.4,8.6,8.8,9,9.2,9.4,9.6,9.8,10,10.2,10.4,10.6,10.8,10.9,11,11.1,11.2},{0,10,20,30,40,50,60,62,64,66,68,70,72,74,76,78,80,85,90,95,100})</f>
        <v>80</v>
      </c>
      <c r="Q470" s="5">
        <v>4.25</v>
      </c>
      <c r="R470" s="10">
        <f t="shared" si="231"/>
        <v>5.75</v>
      </c>
      <c r="S470" s="7">
        <f>LOOKUP(R470,{0,3.85,4.45,4.65,4.85,5.45,5.65,5.7,5.75,5.8,5.85,5.9,5.95,6,6.45,6.5,6.55,6.63,6.7,6.75,6.8},{0,10,20,30,40,50,60,62,64,66,68,70,72,74,76,78,80,85,90,95,100})</f>
        <v>64</v>
      </c>
      <c r="T470" s="5"/>
      <c r="U470" s="5"/>
      <c r="V470" s="5">
        <f t="shared" si="232"/>
        <v>64</v>
      </c>
      <c r="W470" s="5"/>
      <c r="X470" s="13">
        <f t="shared" si="233"/>
        <v>54.6</v>
      </c>
      <c r="Y470" s="13">
        <f t="shared" si="234"/>
        <v>85</v>
      </c>
      <c r="Z470" s="19"/>
    </row>
    <row r="471" ht="15.6" hidden="1" outlineLevel="2" spans="1:26">
      <c r="A471" s="5">
        <v>311</v>
      </c>
      <c r="B471" s="5">
        <v>4</v>
      </c>
      <c r="C471" s="9" t="s">
        <v>517</v>
      </c>
      <c r="D471" s="9" t="s">
        <v>12</v>
      </c>
      <c r="E471" s="5">
        <v>7</v>
      </c>
      <c r="F471" s="7">
        <f>LOOKUP(E471,{0,-1.8,-0.8,0.2,1.2,2.2,3.2,4.6,6,7.4,8.8,10.2,11.6,13,14.4,15.8,17.2,19.1,21,22.8,24.6},{0,10,20,30,40,50,60,62,64,66,68,70,72,74,76,78,80,85,90,95,100})</f>
        <v>64</v>
      </c>
      <c r="G471" s="5">
        <v>235</v>
      </c>
      <c r="H471" s="7">
        <f>LOOKUP(G471,{0,180,185,190,195,200,205,209,213,217,221,225,229,233,237,241,245,253,260,265,270},{0,10,20,30,40,50,60,62,64,66,68,70,72,74,76,78,80,85,90,95,100})</f>
        <v>74</v>
      </c>
      <c r="I471" s="5">
        <v>1</v>
      </c>
      <c r="J471" s="7">
        <f>LOOKUP(I471,{0,4,5,6,7,8,9,10,11,12,13,14,15,16,17,18},{0,10,20,30,40,50,60,64,68,72,76,80,85,90,95,100})</f>
        <v>0</v>
      </c>
      <c r="K471" s="5"/>
      <c r="L471" s="5"/>
      <c r="M471" s="5">
        <f t="shared" si="229"/>
        <v>0</v>
      </c>
      <c r="N471" s="5">
        <v>8</v>
      </c>
      <c r="O471" s="10">
        <f t="shared" si="230"/>
        <v>10</v>
      </c>
      <c r="P471" s="7">
        <f>LOOKUP(O471,{0,7.8,8,8.2,8.4,8.6,8.8,9,9.2,9.4,9.6,9.8,10,10.2,10.4,10.6,10.8,10.9,11,11.1,11.2},{0,10,20,30,40,50,60,62,64,66,68,70,72,74,76,78,80,85,90,95,100})</f>
        <v>72</v>
      </c>
      <c r="Q471" s="5">
        <v>4.33</v>
      </c>
      <c r="R471" s="10">
        <f t="shared" si="231"/>
        <v>5.67</v>
      </c>
      <c r="S471" s="7">
        <f>LOOKUP(R471,{0,3.85,4.45,4.65,4.85,5.45,5.65,5.7,5.75,5.8,5.85,5.9,5.95,6,6.45,6.5,6.55,6.63,6.7,6.75,6.8},{0,10,20,30,40,50,60,62,64,66,68,70,72,74,76,78,80,85,90,95,100})</f>
        <v>60</v>
      </c>
      <c r="T471" s="5"/>
      <c r="U471" s="5"/>
      <c r="V471" s="5">
        <f t="shared" si="232"/>
        <v>60</v>
      </c>
      <c r="W471" s="5"/>
      <c r="X471" s="13">
        <f t="shared" si="233"/>
        <v>40.2</v>
      </c>
      <c r="Y471" s="13">
        <f t="shared" si="234"/>
        <v>57.4285714285714</v>
      </c>
      <c r="Z471" s="19"/>
    </row>
    <row r="472" ht="15.6" hidden="1" outlineLevel="2" spans="1:26">
      <c r="A472" s="5">
        <v>311</v>
      </c>
      <c r="B472" s="5">
        <v>5</v>
      </c>
      <c r="C472" s="9" t="s">
        <v>518</v>
      </c>
      <c r="D472" s="9" t="s">
        <v>12</v>
      </c>
      <c r="E472" s="5">
        <v>-6</v>
      </c>
      <c r="F472" s="7">
        <v>0</v>
      </c>
      <c r="G472" s="5">
        <v>220</v>
      </c>
      <c r="H472" s="7">
        <f>LOOKUP(G472,{0,180,185,190,195,200,205,209,213,217,221,225,229,233,237,241,245,253,260,265,270},{0,10,20,30,40,50,60,62,64,66,68,70,72,74,76,78,80,85,90,95,100})</f>
        <v>66</v>
      </c>
      <c r="I472" s="5">
        <v>0</v>
      </c>
      <c r="J472" s="7">
        <f>LOOKUP(I472,{0,4,5,6,7,8,9,10,11,12,13,14,15,16,17,18},{0,10,20,30,40,50,60,64,68,72,76,80,85,90,95,100})</f>
        <v>0</v>
      </c>
      <c r="K472" s="5"/>
      <c r="L472" s="5"/>
      <c r="M472" s="5">
        <f t="shared" si="229"/>
        <v>0</v>
      </c>
      <c r="N472" s="5">
        <v>7.5</v>
      </c>
      <c r="O472" s="10">
        <f t="shared" si="230"/>
        <v>10.5</v>
      </c>
      <c r="P472" s="7">
        <f>LOOKUP(O472,{0,7.8,8,8.2,8.4,8.6,8.8,9,9.2,9.4,9.6,9.8,10,10.2,10.4,10.6,10.8,10.9,11,11.1,11.2},{0,10,20,30,40,50,60,62,64,66,68,70,72,74,76,78,80,85,90,95,100})</f>
        <v>76</v>
      </c>
      <c r="Q472" s="5">
        <v>4.33</v>
      </c>
      <c r="R472" s="10">
        <f t="shared" si="231"/>
        <v>5.67</v>
      </c>
      <c r="S472" s="7">
        <f>LOOKUP(R472,{0,3.85,4.45,4.65,4.85,5.45,5.65,5.7,5.75,5.8,5.85,5.9,5.95,6,6.45,6.5,6.55,6.63,6.7,6.75,6.8},{0,10,20,30,40,50,60,62,64,66,68,70,72,74,76,78,80,85,90,95,100})</f>
        <v>60</v>
      </c>
      <c r="T472" s="5"/>
      <c r="U472" s="5"/>
      <c r="V472" s="5">
        <f t="shared" si="232"/>
        <v>60</v>
      </c>
      <c r="W472" s="5"/>
      <c r="X472" s="13">
        <f t="shared" si="233"/>
        <v>33.8</v>
      </c>
      <c r="Y472" s="13">
        <f t="shared" si="234"/>
        <v>48.2857142857143</v>
      </c>
      <c r="Z472" s="19"/>
    </row>
    <row r="473" ht="15.6" hidden="1" outlineLevel="2" spans="1:26">
      <c r="A473" s="5">
        <v>311</v>
      </c>
      <c r="B473" s="5">
        <v>6</v>
      </c>
      <c r="C473" s="9" t="s">
        <v>519</v>
      </c>
      <c r="D473" s="9" t="s">
        <v>12</v>
      </c>
      <c r="E473" s="5">
        <v>11</v>
      </c>
      <c r="F473" s="7">
        <f>LOOKUP(E473,{0,-1.8,-0.8,0.2,1.2,2.2,3.2,4.6,6,7.4,8.8,10.2,11.6,13,14.4,15.8,17.2,19.1,21,22.8,24.6},{0,10,20,30,40,50,60,62,64,66,68,70,72,74,76,78,80,85,90,95,100})</f>
        <v>70</v>
      </c>
      <c r="G473" s="5">
        <v>270</v>
      </c>
      <c r="H473" s="7">
        <f>LOOKUP(G473,{0,180,185,190,195,200,205,209,213,217,221,225,229,233,237,241,245,253,260,265,270},{0,10,20,30,40,50,60,62,64,66,68,70,72,74,76,78,80,85,90,95,100})</f>
        <v>100</v>
      </c>
      <c r="I473" s="5">
        <v>7</v>
      </c>
      <c r="J473" s="7">
        <f>LOOKUP(I473,{0,4,5,6,7,8,9,10,11,12,13,14,15,16,17,18},{0,10,20,30,40,50,60,64,68,72,76,80,85,90,95,100})</f>
        <v>40</v>
      </c>
      <c r="K473" s="5"/>
      <c r="L473" s="5"/>
      <c r="M473" s="5">
        <f t="shared" si="229"/>
        <v>40</v>
      </c>
      <c r="N473" s="5">
        <v>6.8</v>
      </c>
      <c r="O473" s="10">
        <f t="shared" si="230"/>
        <v>11.2</v>
      </c>
      <c r="P473" s="7">
        <f>LOOKUP(O473,{0,7.8,8,8.2,8.4,8.6,8.8,9,9.2,9.4,9.6,9.8,10,10.2,10.4,10.6,10.8,10.9,11,11.1,11.2},{0,10,20,30,40,50,60,62,64,66,68,70,72,74,76,78,80,85,90,95,100})</f>
        <v>100</v>
      </c>
      <c r="Q473" s="5">
        <v>4.47</v>
      </c>
      <c r="R473" s="10">
        <f t="shared" si="231"/>
        <v>5.53</v>
      </c>
      <c r="S473" s="7">
        <f>LOOKUP(R473,{0,3.85,4.45,4.65,4.85,5.45,5.65,5.7,5.75,5.8,5.85,5.9,5.95,6,6.45,6.5,6.55,6.63,6.7,6.75,6.8},{0,10,20,30,40,50,60,62,64,66,68,70,72,74,76,78,80,85,90,95,100})</f>
        <v>50</v>
      </c>
      <c r="T473" s="5"/>
      <c r="U473" s="5"/>
      <c r="V473" s="5">
        <f t="shared" si="232"/>
        <v>50</v>
      </c>
      <c r="W473" s="5"/>
      <c r="X473" s="13">
        <f t="shared" si="233"/>
        <v>51</v>
      </c>
      <c r="Y473" s="13">
        <f t="shared" si="234"/>
        <v>72.8571428571429</v>
      </c>
      <c r="Z473" s="19"/>
    </row>
    <row r="474" ht="15.6" hidden="1" outlineLevel="2" spans="1:26">
      <c r="A474" s="5">
        <v>311</v>
      </c>
      <c r="B474" s="5">
        <v>7</v>
      </c>
      <c r="C474" s="9" t="s">
        <v>520</v>
      </c>
      <c r="D474" s="9" t="s">
        <v>12</v>
      </c>
      <c r="E474" s="5">
        <v>5.5</v>
      </c>
      <c r="F474" s="7">
        <f>LOOKUP(E474,{0,-1.8,-0.8,0.2,1.2,2.2,3.2,4.6,6,7.4,8.8,10.2,11.6,13,14.4,15.8,17.2,19.1,21,22.8,24.6},{0,10,20,30,40,50,60,62,64,66,68,70,72,74,76,78,80,85,90,95,100})</f>
        <v>62</v>
      </c>
      <c r="G474" s="5">
        <v>225</v>
      </c>
      <c r="H474" s="7">
        <f>LOOKUP(G474,{0,180,185,190,195,200,205,209,213,217,221,225,229,233,237,241,245,253,260,265,270},{0,10,20,30,40,50,60,62,64,66,68,70,72,74,76,78,80,85,90,95,100})</f>
        <v>70</v>
      </c>
      <c r="I474" s="5">
        <v>20</v>
      </c>
      <c r="J474" s="7">
        <f>LOOKUP(I474,{0,4,5,6,7,8,9,10,11,12,13,14,15,16,17,18},{0,10,20,30,40,50,60,64,68,72,76,80,85,90,95,100})</f>
        <v>100</v>
      </c>
      <c r="K474" s="5">
        <f>I474-18</f>
        <v>2</v>
      </c>
      <c r="L474" s="7">
        <f>LOOKUP(K474,{0,1,2,3,4,5,6,7,8,9,10},{0,1,2,3,4,5,6,7,8,9,10})</f>
        <v>2</v>
      </c>
      <c r="M474" s="5">
        <f t="shared" si="229"/>
        <v>102</v>
      </c>
      <c r="N474" s="5">
        <v>6.6</v>
      </c>
      <c r="O474" s="10">
        <f t="shared" si="230"/>
        <v>11.4</v>
      </c>
      <c r="P474" s="7">
        <f>LOOKUP(O474,{0,7.8,8,8.2,8.4,8.6,8.8,9,9.2,9.4,9.6,9.8,10,10.2,10.4,10.6,10.8,10.9,11,11.1,11.2},{0,10,20,30,40,50,60,62,64,66,68,70,72,74,76,78,80,85,90,95,100})</f>
        <v>100</v>
      </c>
      <c r="Q474" s="5">
        <v>4.35</v>
      </c>
      <c r="R474" s="10">
        <f t="shared" si="231"/>
        <v>5.65</v>
      </c>
      <c r="S474" s="7">
        <f>LOOKUP(R474,{0,3.85,4.45,4.65,4.85,5.45,5.65,5.7,5.75,5.8,5.85,5.9,5.95,6,6.45,6.5,6.55,6.63,6.7,6.75,6.8},{0,10,20,30,40,50,60,62,64,66,68,70,72,74,76,78,80,85,90,95,100})</f>
        <v>60</v>
      </c>
      <c r="T474" s="5"/>
      <c r="U474" s="5"/>
      <c r="V474" s="5">
        <f t="shared" si="232"/>
        <v>60</v>
      </c>
      <c r="W474" s="5"/>
      <c r="X474" s="13">
        <f t="shared" si="233"/>
        <v>55.2</v>
      </c>
      <c r="Y474" s="13">
        <f t="shared" si="234"/>
        <v>80.8571428571429</v>
      </c>
      <c r="Z474" s="19"/>
    </row>
    <row r="475" ht="15.6" hidden="1" outlineLevel="2" spans="1:26">
      <c r="A475" s="5">
        <v>311</v>
      </c>
      <c r="B475" s="5">
        <v>8</v>
      </c>
      <c r="C475" s="9" t="s">
        <v>521</v>
      </c>
      <c r="D475" s="9" t="s">
        <v>12</v>
      </c>
      <c r="E475" s="5">
        <v>6.5</v>
      </c>
      <c r="F475" s="7">
        <f>LOOKUP(E475,{0,-1.8,-0.8,0.2,1.2,2.2,3.2,4.6,6,7.4,8.8,10.2,11.6,13,14.4,15.8,17.2,19.1,21,22.8,24.6},{0,10,20,30,40,50,60,62,64,66,68,70,72,74,76,78,80,85,90,95,100})</f>
        <v>64</v>
      </c>
      <c r="G475" s="5">
        <v>220</v>
      </c>
      <c r="H475" s="7">
        <f>LOOKUP(G475,{0,180,185,190,195,200,205,209,213,217,221,225,229,233,237,241,245,253,260,265,270},{0,10,20,30,40,50,60,62,64,66,68,70,72,74,76,78,80,85,90,95,100})</f>
        <v>66</v>
      </c>
      <c r="I475" s="5">
        <v>1</v>
      </c>
      <c r="J475" s="7">
        <f>LOOKUP(I475,{0,4,5,6,7,8,9,10,11,12,13,14,15,16,17,18},{0,10,20,30,40,50,60,64,68,72,76,80,85,90,95,100})</f>
        <v>0</v>
      </c>
      <c r="K475" s="5"/>
      <c r="L475" s="5"/>
      <c r="M475" s="5">
        <f t="shared" si="229"/>
        <v>0</v>
      </c>
      <c r="N475" s="5">
        <v>7.6</v>
      </c>
      <c r="O475" s="10">
        <f t="shared" si="230"/>
        <v>10.4</v>
      </c>
      <c r="P475" s="7">
        <f>LOOKUP(O475,{0,7.8,8,8.2,8.4,8.6,8.8,9,9.2,9.4,9.6,9.8,10,10.2,10.4,10.6,10.8,10.9,11,11.1,11.2},{0,10,20,30,40,50,60,62,64,66,68,70,72,74,76,78,80,85,90,95,100})</f>
        <v>76</v>
      </c>
      <c r="Q475" s="5">
        <v>5.28</v>
      </c>
      <c r="R475" s="10">
        <f t="shared" si="231"/>
        <v>4.72</v>
      </c>
      <c r="S475" s="7">
        <f>LOOKUP(R475,{0,3.85,4.45,4.65,4.85,5.45,5.65,5.7,5.75,5.8,5.85,5.9,5.95,6,6.45,6.5,6.55,6.63,6.7,6.75,6.8},{0,10,20,30,40,50,60,62,64,66,68,70,72,74,76,78,80,85,90,95,100})</f>
        <v>30</v>
      </c>
      <c r="T475" s="5"/>
      <c r="U475" s="5"/>
      <c r="V475" s="5">
        <f t="shared" si="232"/>
        <v>30</v>
      </c>
      <c r="W475" s="5"/>
      <c r="X475" s="13">
        <f t="shared" si="233"/>
        <v>34.2</v>
      </c>
      <c r="Y475" s="13">
        <f t="shared" si="234"/>
        <v>48.8571428571429</v>
      </c>
      <c r="Z475" s="19"/>
    </row>
    <row r="476" ht="15.6" hidden="1" outlineLevel="2" spans="1:26">
      <c r="A476" s="5">
        <v>311</v>
      </c>
      <c r="B476" s="5">
        <v>9</v>
      </c>
      <c r="C476" s="9" t="s">
        <v>522</v>
      </c>
      <c r="D476" s="9" t="s">
        <v>12</v>
      </c>
      <c r="E476" s="5">
        <v>9.7</v>
      </c>
      <c r="F476" s="7">
        <f>LOOKUP(E476,{0,-1.8,-0.8,0.2,1.2,2.2,3.2,4.6,6,7.4,8.8,10.2,11.6,13,14.4,15.8,17.2,19.1,21,22.8,24.6},{0,10,20,30,40,50,60,62,64,66,68,70,72,74,76,78,80,85,90,95,100})</f>
        <v>68</v>
      </c>
      <c r="G476" s="5">
        <v>240</v>
      </c>
      <c r="H476" s="7">
        <f>LOOKUP(G476,{0,180,185,190,195,200,205,209,213,217,221,225,229,233,237,241,245,253,260,265,270},{0,10,20,30,40,50,60,62,64,66,68,70,72,74,76,78,80,85,90,95,100})</f>
        <v>76</v>
      </c>
      <c r="I476" s="5">
        <v>16</v>
      </c>
      <c r="J476" s="7">
        <f>LOOKUP(I476,{0,4,5,6,7,8,9,10,11,12,13,14,15,16,17,18},{0,10,20,30,40,50,60,64,68,72,76,80,85,90,95,100})</f>
        <v>90</v>
      </c>
      <c r="K476" s="5"/>
      <c r="L476" s="5"/>
      <c r="M476" s="5">
        <f t="shared" si="229"/>
        <v>90</v>
      </c>
      <c r="N476" s="5">
        <v>7.5</v>
      </c>
      <c r="O476" s="10">
        <f t="shared" si="230"/>
        <v>10.5</v>
      </c>
      <c r="P476" s="7">
        <f>LOOKUP(O476,{0,7.8,8,8.2,8.4,8.6,8.8,9,9.2,9.4,9.6,9.8,10,10.2,10.4,10.6,10.8,10.9,11,11.1,11.2},{0,10,20,30,40,50,60,62,64,66,68,70,72,74,76,78,80,85,90,95,100})</f>
        <v>76</v>
      </c>
      <c r="Q476" s="5">
        <v>4.32</v>
      </c>
      <c r="R476" s="10">
        <f t="shared" si="231"/>
        <v>5.68</v>
      </c>
      <c r="S476" s="7">
        <f>LOOKUP(R476,{0,3.85,4.45,4.65,4.85,5.45,5.65,5.7,5.75,5.8,5.85,5.9,5.95,6,6.45,6.5,6.55,6.63,6.7,6.75,6.8},{0,10,20,30,40,50,60,62,64,66,68,70,72,74,76,78,80,85,90,95,100})</f>
        <v>60</v>
      </c>
      <c r="T476" s="5"/>
      <c r="U476" s="5"/>
      <c r="V476" s="5">
        <f t="shared" si="232"/>
        <v>60</v>
      </c>
      <c r="W476" s="5"/>
      <c r="X476" s="13">
        <f t="shared" si="233"/>
        <v>50.6</v>
      </c>
      <c r="Y476" s="13">
        <f t="shared" si="234"/>
        <v>72.2857142857143</v>
      </c>
      <c r="Z476" s="19"/>
    </row>
    <row r="477" ht="15.6" hidden="1" outlineLevel="2" spans="1:26">
      <c r="A477" s="5">
        <v>311</v>
      </c>
      <c r="B477" s="5">
        <v>10</v>
      </c>
      <c r="C477" s="9" t="s">
        <v>523</v>
      </c>
      <c r="D477" s="9" t="s">
        <v>12</v>
      </c>
      <c r="E477" s="5">
        <v>2</v>
      </c>
      <c r="F477" s="7">
        <f>LOOKUP(E477,{0,-1.8,-0.8,0.2,1.2,2.2,3.2,4.6,6,7.4,8.8,10.2,11.6,13,14.4,15.8,17.2,19.1,21,22.8,24.6},{0,10,20,30,40,50,60,62,64,66,68,70,72,74,76,78,80,85,90,95,100})</f>
        <v>40</v>
      </c>
      <c r="G477" s="5">
        <v>202</v>
      </c>
      <c r="H477" s="7">
        <f>LOOKUP(G477,{0,180,185,190,195,200,205,209,213,217,221,225,229,233,237,241,245,253,260,265,270},{0,10,20,30,40,50,60,62,64,66,68,70,72,74,76,78,80,85,90,95,100})</f>
        <v>50</v>
      </c>
      <c r="I477" s="5">
        <v>1</v>
      </c>
      <c r="J477" s="7">
        <f>LOOKUP(I477,{0,4,5,6,7,8,9,10,11,12,13,14,15,16,17,18},{0,10,20,30,40,50,60,64,68,72,76,80,85,90,95,100})</f>
        <v>0</v>
      </c>
      <c r="K477" s="5"/>
      <c r="L477" s="5"/>
      <c r="M477" s="5">
        <f t="shared" si="229"/>
        <v>0</v>
      </c>
      <c r="N477" s="5">
        <v>7.9</v>
      </c>
      <c r="O477" s="10">
        <f t="shared" si="230"/>
        <v>10.1</v>
      </c>
      <c r="P477" s="7">
        <f>LOOKUP(O477,{0,7.8,8,8.2,8.4,8.6,8.8,9,9.2,9.4,9.6,9.8,10,10.2,10.4,10.6,10.8,10.9,11,11.1,11.2},{0,10,20,30,40,50,60,62,64,66,68,70,72,74,76,78,80,85,90,95,100})</f>
        <v>72</v>
      </c>
      <c r="Q477" s="5">
        <v>4.46</v>
      </c>
      <c r="R477" s="10">
        <f t="shared" si="231"/>
        <v>5.54</v>
      </c>
      <c r="S477" s="7">
        <f>LOOKUP(R477,{0,3.85,4.45,4.65,4.85,5.45,5.65,5.7,5.75,5.8,5.85,5.9,5.95,6,6.45,6.5,6.55,6.63,6.7,6.75,6.8},{0,10,20,30,40,50,60,62,64,66,68,70,72,74,76,78,80,85,90,95,100})</f>
        <v>50</v>
      </c>
      <c r="T477" s="5"/>
      <c r="U477" s="5"/>
      <c r="V477" s="5">
        <f t="shared" si="232"/>
        <v>50</v>
      </c>
      <c r="W477" s="5"/>
      <c r="X477" s="13">
        <f t="shared" si="233"/>
        <v>33.4</v>
      </c>
      <c r="Y477" s="13">
        <f t="shared" si="234"/>
        <v>47.7142857142857</v>
      </c>
      <c r="Z477" s="19"/>
    </row>
    <row r="478" ht="15.6" hidden="1" outlineLevel="2" spans="1:26">
      <c r="A478" s="5">
        <v>311</v>
      </c>
      <c r="B478" s="5">
        <v>11</v>
      </c>
      <c r="C478" s="9" t="s">
        <v>524</v>
      </c>
      <c r="D478" s="9" t="s">
        <v>12</v>
      </c>
      <c r="E478" s="5">
        <v>10.5</v>
      </c>
      <c r="F478" s="7">
        <f>LOOKUP(E478,{0,-1.8,-0.8,0.2,1.2,2.2,3.2,4.6,6,7.4,8.8,10.2,11.6,13,14.4,15.8,17.2,19.1,21,22.8,24.6},{0,10,20,30,40,50,60,62,64,66,68,70,72,74,76,78,80,85,90,95,100})</f>
        <v>70</v>
      </c>
      <c r="G478" s="5">
        <v>210</v>
      </c>
      <c r="H478" s="7">
        <f>LOOKUP(G478,{0,180,185,190,195,200,205,209,213,217,221,225,229,233,237,241,245,253,260,265,270},{0,10,20,30,40,50,60,62,64,66,68,70,72,74,76,78,80,85,90,95,100})</f>
        <v>62</v>
      </c>
      <c r="I478" s="5">
        <v>5</v>
      </c>
      <c r="J478" s="7">
        <f>LOOKUP(I478,{0,4,5,6,7,8,9,10,11,12,13,14,15,16,17,18},{0,10,20,30,40,50,60,64,68,72,76,80,85,90,95,100})</f>
        <v>20</v>
      </c>
      <c r="K478" s="5"/>
      <c r="L478" s="5"/>
      <c r="M478" s="5">
        <f t="shared" si="229"/>
        <v>20</v>
      </c>
      <c r="N478" s="5">
        <v>8.1</v>
      </c>
      <c r="O478" s="10">
        <f t="shared" si="230"/>
        <v>9.9</v>
      </c>
      <c r="P478" s="7">
        <f>LOOKUP(O478,{0,7.8,8,8.2,8.4,8.6,8.8,9,9.2,9.4,9.6,9.8,10,10.2,10.4,10.6,10.8,10.9,11,11.1,11.2},{0,10,20,30,40,50,60,62,64,66,68,70,72,74,76,78,80,85,90,95,100})</f>
        <v>70</v>
      </c>
      <c r="Q478" s="5">
        <v>5.19</v>
      </c>
      <c r="R478" s="10">
        <f t="shared" si="231"/>
        <v>4.81</v>
      </c>
      <c r="S478" s="7">
        <f>LOOKUP(R478,{0,3.85,4.45,4.65,4.85,5.45,5.65,5.7,5.75,5.8,5.85,5.9,5.95,6,6.45,6.5,6.55,6.63,6.7,6.75,6.8},{0,10,20,30,40,50,60,62,64,66,68,70,72,74,76,78,80,85,90,95,100})</f>
        <v>30</v>
      </c>
      <c r="T478" s="5"/>
      <c r="U478" s="5"/>
      <c r="V478" s="5">
        <f t="shared" si="232"/>
        <v>30</v>
      </c>
      <c r="W478" s="5"/>
      <c r="X478" s="13">
        <f t="shared" si="233"/>
        <v>35.2</v>
      </c>
      <c r="Y478" s="13">
        <f t="shared" si="234"/>
        <v>50.2857142857143</v>
      </c>
      <c r="Z478" s="19"/>
    </row>
    <row r="479" ht="15.6" hidden="1" outlineLevel="2" spans="1:26">
      <c r="A479" s="5">
        <v>311</v>
      </c>
      <c r="B479" s="5">
        <v>12</v>
      </c>
      <c r="C479" s="9" t="s">
        <v>525</v>
      </c>
      <c r="D479" s="9" t="s">
        <v>12</v>
      </c>
      <c r="E479" s="5">
        <v>15</v>
      </c>
      <c r="F479" s="7">
        <f>LOOKUP(E479,{0,-1.8,-0.8,0.2,1.2,2.2,3.2,4.6,6,7.4,8.8,10.2,11.6,13,14.4,15.8,17.2,19.1,21,22.8,24.6},{0,10,20,30,40,50,60,62,64,66,68,70,72,74,76,78,80,85,90,95,100})</f>
        <v>76</v>
      </c>
      <c r="G479" s="5">
        <v>250</v>
      </c>
      <c r="H479" s="7">
        <f>LOOKUP(G479,{0,180,185,190,195,200,205,209,213,217,221,225,229,233,237,241,245,253,260,265,270},{0,10,20,30,40,50,60,62,64,66,68,70,72,74,76,78,80,85,90,95,100})</f>
        <v>80</v>
      </c>
      <c r="I479" s="5">
        <v>18</v>
      </c>
      <c r="J479" s="7">
        <f>LOOKUP(I479,{0,4,5,6,7,8,9,10,11,12,13,14,15,16,17,18},{0,10,20,30,40,50,60,64,68,72,76,80,85,90,95,100})</f>
        <v>100</v>
      </c>
      <c r="K479" s="5"/>
      <c r="L479" s="5"/>
      <c r="M479" s="5">
        <f t="shared" si="229"/>
        <v>100</v>
      </c>
      <c r="N479" s="5">
        <v>6.8</v>
      </c>
      <c r="O479" s="10">
        <f t="shared" si="230"/>
        <v>11.2</v>
      </c>
      <c r="P479" s="7">
        <f>LOOKUP(O479,{0,7.8,8,8.2,8.4,8.6,8.8,9,9.2,9.4,9.6,9.8,10,10.2,10.4,10.6,10.8,10.9,11,11.1,11.2},{0,10,20,30,40,50,60,62,64,66,68,70,72,74,76,78,80,85,90,95,100})</f>
        <v>100</v>
      </c>
      <c r="Q479" s="5">
        <v>4.16</v>
      </c>
      <c r="R479" s="10">
        <f t="shared" si="231"/>
        <v>5.84</v>
      </c>
      <c r="S479" s="7">
        <f>LOOKUP(R479,{0,3.85,4.45,4.65,4.85,5.45,5.65,5.7,5.75,5.8,5.85,5.9,5.95,6,6.45,6.5,6.55,6.63,6.7,6.75,6.8},{0,10,20,30,40,50,60,62,64,66,68,70,72,74,76,78,80,85,90,95,100})</f>
        <v>66</v>
      </c>
      <c r="T479" s="5"/>
      <c r="U479" s="5"/>
      <c r="V479" s="5">
        <f t="shared" si="232"/>
        <v>66</v>
      </c>
      <c r="W479" s="5"/>
      <c r="X479" s="13">
        <f t="shared" si="233"/>
        <v>58.8</v>
      </c>
      <c r="Y479" s="13">
        <f t="shared" si="234"/>
        <v>84</v>
      </c>
      <c r="Z479" s="19"/>
    </row>
    <row r="480" ht="15.6" hidden="1" outlineLevel="2" spans="1:26">
      <c r="A480" s="5">
        <v>311</v>
      </c>
      <c r="B480" s="5">
        <v>13</v>
      </c>
      <c r="C480" s="8" t="s">
        <v>527</v>
      </c>
      <c r="D480" s="9" t="s">
        <v>12</v>
      </c>
      <c r="E480" s="5">
        <v>15.6</v>
      </c>
      <c r="F480" s="7">
        <f>LOOKUP(E480,{0,-1.8,-0.8,0.2,1.2,2.2,3.2,4.6,6,7.4,8.8,10.2,11.6,13,14.4,15.8,17.2,19.1,21,22.8,24.6},{0,10,20,30,40,50,60,62,64,66,68,70,72,74,76,78,80,85,90,95,100})</f>
        <v>76</v>
      </c>
      <c r="G480" s="5">
        <v>268</v>
      </c>
      <c r="H480" s="7">
        <f>LOOKUP(G480,{0,180,185,190,195,200,205,209,213,217,221,225,229,233,237,241,245,253,260,265,270},{0,10,20,30,40,50,60,62,64,66,68,70,72,74,76,78,80,85,90,95,100})</f>
        <v>95</v>
      </c>
      <c r="I480" s="5">
        <v>9</v>
      </c>
      <c r="J480" s="7">
        <f>LOOKUP(I480,{0,4,5,6,7,8,9,10,11,12,13,14,15,16,17,18},{0,10,20,30,40,50,60,64,68,72,76,80,85,90,95,100})</f>
        <v>60</v>
      </c>
      <c r="K480" s="5"/>
      <c r="L480" s="5"/>
      <c r="M480" s="5">
        <f t="shared" si="229"/>
        <v>60</v>
      </c>
      <c r="N480" s="5">
        <v>6.8</v>
      </c>
      <c r="O480" s="10">
        <f t="shared" si="230"/>
        <v>11.2</v>
      </c>
      <c r="P480" s="7">
        <f>LOOKUP(O480,{0,7.8,8,8.2,8.4,8.6,8.8,9,9.2,9.4,9.6,9.8,10,10.2,10.4,10.6,10.8,10.9,11,11.1,11.2},{0,10,20,30,40,50,60,62,64,66,68,70,72,74,76,78,80,85,90,95,100})</f>
        <v>100</v>
      </c>
      <c r="Q480" s="5">
        <v>4.17</v>
      </c>
      <c r="R480" s="10">
        <f t="shared" si="231"/>
        <v>5.83</v>
      </c>
      <c r="S480" s="7">
        <f>LOOKUP(R480,{0,3.85,4.45,4.65,4.85,5.45,5.65,5.7,5.75,5.8,5.85,5.9,5.95,6,6.45,6.5,6.55,6.63,6.7,6.75,6.8},{0,10,20,30,40,50,60,62,64,66,68,70,72,74,76,78,80,85,90,95,100})</f>
        <v>66</v>
      </c>
      <c r="T480" s="5"/>
      <c r="U480" s="5"/>
      <c r="V480" s="5">
        <f t="shared" si="232"/>
        <v>66</v>
      </c>
      <c r="W480" s="5"/>
      <c r="X480" s="13">
        <f t="shared" si="233"/>
        <v>56.3</v>
      </c>
      <c r="Y480" s="13">
        <f t="shared" si="234"/>
        <v>80.4285714285714</v>
      </c>
      <c r="Z480" s="19"/>
    </row>
    <row r="481" ht="15.6" hidden="1" outlineLevel="2" spans="1:26">
      <c r="A481" s="5">
        <v>311</v>
      </c>
      <c r="B481" s="5">
        <v>14</v>
      </c>
      <c r="C481" s="9" t="s">
        <v>528</v>
      </c>
      <c r="D481" s="9" t="s">
        <v>12</v>
      </c>
      <c r="E481" s="5">
        <v>5</v>
      </c>
      <c r="F481" s="7">
        <f>LOOKUP(E481,{0,-1.8,-0.8,0.2,1.2,2.2,3.2,4.6,6,7.4,8.8,10.2,11.6,13,14.4,15.8,17.2,19.1,21,22.8,24.6},{0,10,20,30,40,50,60,62,64,66,68,70,72,74,76,78,80,85,90,95,100})</f>
        <v>62</v>
      </c>
      <c r="G481" s="5">
        <v>230</v>
      </c>
      <c r="H481" s="7">
        <f>LOOKUP(G481,{0,180,185,190,195,200,205,209,213,217,221,225,229,233,237,241,245,253,260,265,270},{0,10,20,30,40,50,60,62,64,66,68,70,72,74,76,78,80,85,90,95,100})</f>
        <v>72</v>
      </c>
      <c r="I481" s="5">
        <v>1</v>
      </c>
      <c r="J481" s="7">
        <f>LOOKUP(I481,{0,4,5,6,7,8,9,10,11,12,13,14,15,16,17,18},{0,10,20,30,40,50,60,64,68,72,76,80,85,90,95,100})</f>
        <v>0</v>
      </c>
      <c r="K481" s="5"/>
      <c r="L481" s="5"/>
      <c r="M481" s="5">
        <f t="shared" si="229"/>
        <v>0</v>
      </c>
      <c r="N481" s="5">
        <v>7.6</v>
      </c>
      <c r="O481" s="10">
        <f t="shared" si="230"/>
        <v>10.4</v>
      </c>
      <c r="P481" s="7">
        <f>LOOKUP(O481,{0,7.8,8,8.2,8.4,8.6,8.8,9,9.2,9.4,9.6,9.8,10,10.2,10.4,10.6,10.8,10.9,11,11.1,11.2},{0,10,20,30,40,50,60,62,64,66,68,70,72,74,76,78,80,85,90,95,100})</f>
        <v>76</v>
      </c>
      <c r="Q481" s="5">
        <v>4.33</v>
      </c>
      <c r="R481" s="10">
        <f t="shared" si="231"/>
        <v>5.67</v>
      </c>
      <c r="S481" s="7">
        <f>LOOKUP(R481,{0,3.85,4.45,4.65,4.85,5.45,5.65,5.7,5.75,5.8,5.85,5.9,5.95,6,6.45,6.5,6.55,6.63,6.7,6.75,6.8},{0,10,20,30,40,50,60,62,64,66,68,70,72,74,76,78,80,85,90,95,100})</f>
        <v>60</v>
      </c>
      <c r="T481" s="5"/>
      <c r="U481" s="5"/>
      <c r="V481" s="5">
        <f t="shared" si="232"/>
        <v>60</v>
      </c>
      <c r="W481" s="5"/>
      <c r="X481" s="13">
        <f t="shared" si="233"/>
        <v>40.6</v>
      </c>
      <c r="Y481" s="13">
        <f t="shared" si="234"/>
        <v>58</v>
      </c>
      <c r="Z481" s="19"/>
    </row>
    <row r="482" ht="15.6" hidden="1" outlineLevel="2" spans="1:26">
      <c r="A482" s="5">
        <v>311</v>
      </c>
      <c r="B482" s="5">
        <v>15</v>
      </c>
      <c r="C482" s="9" t="s">
        <v>529</v>
      </c>
      <c r="D482" s="9" t="s">
        <v>12</v>
      </c>
      <c r="E482" s="5">
        <v>10.7</v>
      </c>
      <c r="F482" s="7">
        <f>LOOKUP(E482,{0,-1.8,-0.8,0.2,1.2,2.2,3.2,4.6,6,7.4,8.8,10.2,11.6,13,14.4,15.8,17.2,19.1,21,22.8,24.6},{0,10,20,30,40,50,60,62,64,66,68,70,72,74,76,78,80,85,90,95,100})</f>
        <v>70</v>
      </c>
      <c r="G482" s="5">
        <v>220</v>
      </c>
      <c r="H482" s="7">
        <f>LOOKUP(G482,{0,180,185,190,195,200,205,209,213,217,221,225,229,233,237,241,245,253,260,265,270},{0,10,20,30,40,50,60,62,64,66,68,70,72,74,76,78,80,85,90,95,100})</f>
        <v>66</v>
      </c>
      <c r="I482" s="5">
        <v>1</v>
      </c>
      <c r="J482" s="7">
        <f>LOOKUP(I482,{0,4,5,6,7,8,9,10,11,12,13,14,15,16,17,18},{0,10,20,30,40,50,60,64,68,72,76,80,85,90,95,100})</f>
        <v>0</v>
      </c>
      <c r="K482" s="5"/>
      <c r="L482" s="5"/>
      <c r="M482" s="5">
        <f t="shared" si="229"/>
        <v>0</v>
      </c>
      <c r="N482" s="5">
        <v>7.8</v>
      </c>
      <c r="O482" s="10">
        <f t="shared" si="230"/>
        <v>10.2</v>
      </c>
      <c r="P482" s="7">
        <f>LOOKUP(O482,{0,7.8,8,8.2,8.4,8.6,8.8,9,9.2,9.4,9.6,9.8,10,10.2,10.4,10.6,10.8,10.9,11,11.1,11.2},{0,10,20,30,40,50,60,62,64,66,68,70,72,74,76,78,80,85,90,95,100})</f>
        <v>74</v>
      </c>
      <c r="Q482" s="5">
        <v>5.02</v>
      </c>
      <c r="R482" s="10">
        <f t="shared" si="231"/>
        <v>4.98</v>
      </c>
      <c r="S482" s="7">
        <f>LOOKUP(R482,{0,3.85,4.45,4.65,4.85,5.45,5.65,5.7,5.75,5.8,5.85,5.9,5.95,6,6.45,6.5,6.55,6.63,6.7,6.75,6.8},{0,10,20,30,40,50,60,62,64,66,68,70,72,74,76,78,80,85,90,95,100})</f>
        <v>40</v>
      </c>
      <c r="T482" s="5"/>
      <c r="U482" s="5"/>
      <c r="V482" s="5">
        <f t="shared" si="232"/>
        <v>40</v>
      </c>
      <c r="W482" s="5"/>
      <c r="X482" s="13">
        <f t="shared" si="233"/>
        <v>36.4</v>
      </c>
      <c r="Y482" s="13">
        <f t="shared" si="234"/>
        <v>52</v>
      </c>
      <c r="Z482" s="19"/>
    </row>
    <row r="483" ht="15.6" hidden="1" outlineLevel="2" spans="1:26">
      <c r="A483" s="5">
        <v>311</v>
      </c>
      <c r="B483" s="5">
        <v>16</v>
      </c>
      <c r="C483" s="9" t="s">
        <v>530</v>
      </c>
      <c r="D483" s="9" t="s">
        <v>12</v>
      </c>
      <c r="E483" s="5">
        <v>-5</v>
      </c>
      <c r="F483" s="7">
        <v>0</v>
      </c>
      <c r="G483" s="5">
        <v>225</v>
      </c>
      <c r="H483" s="7">
        <f>LOOKUP(G483,{0,180,185,190,195,200,205,209,213,217,221,225,229,233,237,241,245,253,260,265,270},{0,10,20,30,40,50,60,62,64,66,68,70,72,74,76,78,80,85,90,95,100})</f>
        <v>70</v>
      </c>
      <c r="I483" s="5">
        <v>5</v>
      </c>
      <c r="J483" s="7">
        <f>LOOKUP(I483,{0,4,5,6,7,8,9,10,11,12,13,14,15,16,17,18},{0,10,20,30,40,50,60,64,68,72,76,80,85,90,95,100})</f>
        <v>20</v>
      </c>
      <c r="K483" s="5"/>
      <c r="L483" s="5"/>
      <c r="M483" s="5">
        <f t="shared" si="229"/>
        <v>20</v>
      </c>
      <c r="N483" s="5">
        <v>7.1</v>
      </c>
      <c r="O483" s="10">
        <f t="shared" si="230"/>
        <v>10.9</v>
      </c>
      <c r="P483" s="7">
        <f>LOOKUP(O483,{0,7.8,8,8.2,8.4,8.6,8.8,9,9.2,9.4,9.6,9.8,10,10.2,10.4,10.6,10.8,10.9,11,11.1,11.2},{0,10,20,30,40,50,60,62,64,66,68,70,72,74,76,78,80,85,90,95,100})</f>
        <v>85</v>
      </c>
      <c r="Q483" s="5">
        <v>5.28</v>
      </c>
      <c r="R483" s="10">
        <f t="shared" si="231"/>
        <v>4.72</v>
      </c>
      <c r="S483" s="7">
        <f>LOOKUP(R483,{0,3.85,4.45,4.65,4.85,5.45,5.65,5.7,5.75,5.8,5.85,5.9,5.95,6,6.45,6.5,6.55,6.63,6.7,6.75,6.8},{0,10,20,30,40,50,60,62,64,66,68,70,72,74,76,78,80,85,90,95,100})</f>
        <v>30</v>
      </c>
      <c r="T483" s="5"/>
      <c r="U483" s="5"/>
      <c r="V483" s="5">
        <f t="shared" si="232"/>
        <v>30</v>
      </c>
      <c r="W483" s="5"/>
      <c r="X483" s="13">
        <f t="shared" si="233"/>
        <v>32</v>
      </c>
      <c r="Y483" s="13">
        <f t="shared" si="234"/>
        <v>45.7142857142857</v>
      </c>
      <c r="Z483" s="19"/>
    </row>
    <row r="484" ht="15.6" hidden="1" outlineLevel="2" spans="1:26">
      <c r="A484" s="5">
        <v>311</v>
      </c>
      <c r="B484" s="5">
        <v>17</v>
      </c>
      <c r="C484" s="9" t="s">
        <v>531</v>
      </c>
      <c r="D484" s="9" t="s">
        <v>12</v>
      </c>
      <c r="E484" s="5">
        <v>9.5</v>
      </c>
      <c r="F484" s="7">
        <f>LOOKUP(E484,{0,-1.8,-0.8,0.2,1.2,2.2,3.2,4.6,6,7.4,8.8,10.2,11.6,13,14.4,15.8,17.2,19.1,21,22.8,24.6},{0,10,20,30,40,50,60,62,64,66,68,70,72,74,76,78,80,85,90,95,100})</f>
        <v>68</v>
      </c>
      <c r="G484" s="5">
        <v>235</v>
      </c>
      <c r="H484" s="7">
        <f>LOOKUP(G484,{0,180,185,190,195,200,205,209,213,217,221,225,229,233,237,241,245,253,260,265,270},{0,10,20,30,40,50,60,62,64,66,68,70,72,74,76,78,80,85,90,95,100})</f>
        <v>74</v>
      </c>
      <c r="I484" s="5">
        <v>1</v>
      </c>
      <c r="J484" s="7">
        <f>LOOKUP(I484,{0,4,5,6,7,8,9,10,11,12,13,14,15,16,17,18},{0,10,20,30,40,50,60,64,68,72,76,80,85,90,95,100})</f>
        <v>0</v>
      </c>
      <c r="K484" s="5"/>
      <c r="L484" s="5"/>
      <c r="M484" s="5">
        <f t="shared" si="229"/>
        <v>0</v>
      </c>
      <c r="N484" s="5">
        <v>8.2</v>
      </c>
      <c r="O484" s="10">
        <f t="shared" si="230"/>
        <v>9.8</v>
      </c>
      <c r="P484" s="7">
        <f>LOOKUP(O484,{0,7.8,8,8.2,8.4,8.6,8.8,9,9.2,9.4,9.6,9.8,10,10.2,10.4,10.6,10.8,10.9,11,11.1,11.2},{0,10,20,30,40,50,60,62,64,66,68,70,72,74,76,78,80,85,90,95,100})</f>
        <v>70</v>
      </c>
      <c r="Q484" s="5">
        <v>5.28</v>
      </c>
      <c r="R484" s="10">
        <f t="shared" si="231"/>
        <v>4.72</v>
      </c>
      <c r="S484" s="7">
        <f>LOOKUP(R484,{0,3.85,4.45,4.65,4.85,5.45,5.65,5.7,5.75,5.8,5.85,5.9,5.95,6,6.45,6.5,6.55,6.63,6.7,6.75,6.8},{0,10,20,30,40,50,60,62,64,66,68,70,72,74,76,78,80,85,90,95,100})</f>
        <v>30</v>
      </c>
      <c r="T484" s="5"/>
      <c r="U484" s="5"/>
      <c r="V484" s="5">
        <f t="shared" si="232"/>
        <v>30</v>
      </c>
      <c r="W484" s="5"/>
      <c r="X484" s="13">
        <f t="shared" si="233"/>
        <v>34.2</v>
      </c>
      <c r="Y484" s="13">
        <f t="shared" si="234"/>
        <v>48.8571428571429</v>
      </c>
      <c r="Z484" s="19"/>
    </row>
    <row r="485" ht="15.6" hidden="1" outlineLevel="2" spans="1:26">
      <c r="A485" s="5">
        <v>311</v>
      </c>
      <c r="B485" s="5">
        <v>18</v>
      </c>
      <c r="C485" s="9" t="s">
        <v>532</v>
      </c>
      <c r="D485" s="9" t="s">
        <v>12</v>
      </c>
      <c r="E485" s="5">
        <v>2</v>
      </c>
      <c r="F485" s="7">
        <f>LOOKUP(E485,{0,-1.8,-0.8,0.2,1.2,2.2,3.2,4.6,6,7.4,8.8,10.2,11.6,13,14.4,15.8,17.2,19.1,21,22.8,24.6},{0,10,20,30,40,50,60,62,64,66,68,70,72,74,76,78,80,85,90,95,100})</f>
        <v>40</v>
      </c>
      <c r="G485" s="5">
        <v>245</v>
      </c>
      <c r="H485" s="7">
        <f>LOOKUP(G485,{0,180,185,190,195,200,205,209,213,217,221,225,229,233,237,241,245,253,260,265,270},{0,10,20,30,40,50,60,62,64,66,68,70,72,74,76,78,80,85,90,95,100})</f>
        <v>80</v>
      </c>
      <c r="I485" s="5">
        <v>18</v>
      </c>
      <c r="J485" s="7">
        <f>LOOKUP(I485,{0,4,5,6,7,8,9,10,11,12,13,14,15,16,17,18},{0,10,20,30,40,50,60,64,68,72,76,80,85,90,95,100})</f>
        <v>100</v>
      </c>
      <c r="K485" s="5"/>
      <c r="L485" s="5"/>
      <c r="M485" s="5">
        <f t="shared" si="229"/>
        <v>100</v>
      </c>
      <c r="N485" s="5">
        <v>7.5</v>
      </c>
      <c r="O485" s="10">
        <f t="shared" si="230"/>
        <v>10.5</v>
      </c>
      <c r="P485" s="7">
        <f>LOOKUP(O485,{0,7.8,8,8.2,8.4,8.6,8.8,9,9.2,9.4,9.6,9.8,10,10.2,10.4,10.6,10.8,10.9,11,11.1,11.2},{0,10,20,30,40,50,60,62,64,66,68,70,72,74,76,78,80,85,90,95,100})</f>
        <v>76</v>
      </c>
      <c r="Q485" s="5">
        <v>4.52</v>
      </c>
      <c r="R485" s="10">
        <f t="shared" si="231"/>
        <v>5.48</v>
      </c>
      <c r="S485" s="7">
        <f>LOOKUP(R485,{0,3.85,4.45,4.65,4.85,5.45,5.65,5.7,5.75,5.8,5.85,5.9,5.95,6,6.45,6.5,6.55,6.63,6.7,6.75,6.8},{0,10,20,30,40,50,60,62,64,66,68,70,72,74,76,78,80,85,90,95,100})</f>
        <v>50</v>
      </c>
      <c r="T485" s="5"/>
      <c r="U485" s="5"/>
      <c r="V485" s="5">
        <f t="shared" si="232"/>
        <v>50</v>
      </c>
      <c r="W485" s="5"/>
      <c r="X485" s="13">
        <f t="shared" si="233"/>
        <v>47.2</v>
      </c>
      <c r="Y485" s="13">
        <f t="shared" si="234"/>
        <v>67.4285714285714</v>
      </c>
      <c r="Z485" s="19"/>
    </row>
    <row r="486" ht="15.6" hidden="1" outlineLevel="2" spans="1:26">
      <c r="A486" s="5">
        <v>311</v>
      </c>
      <c r="B486" s="5">
        <v>19</v>
      </c>
      <c r="C486" s="9" t="s">
        <v>533</v>
      </c>
      <c r="D486" s="9" t="s">
        <v>12</v>
      </c>
      <c r="E486" s="5">
        <v>13</v>
      </c>
      <c r="F486" s="7">
        <f>LOOKUP(E486,{0,-1.8,-0.8,0.2,1.2,2.2,3.2,4.6,6,7.4,8.8,10.2,11.6,13,14.4,15.8,17.2,19.1,21,22.8,24.6},{0,10,20,30,40,50,60,62,64,66,68,70,72,74,76,78,80,85,90,95,100})</f>
        <v>74</v>
      </c>
      <c r="G486" s="5">
        <v>240</v>
      </c>
      <c r="H486" s="7">
        <f>LOOKUP(G486,{0,180,185,190,195,200,205,209,213,217,221,225,229,233,237,241,245,253,260,265,270},{0,10,20,30,40,50,60,62,64,66,68,70,72,74,76,78,80,85,90,95,100})</f>
        <v>76</v>
      </c>
      <c r="I486" s="5">
        <v>11</v>
      </c>
      <c r="J486" s="7">
        <f>LOOKUP(I486,{0,4,5,6,7,8,9,10,11,12,13,14,15,16,17,18},{0,10,20,30,40,50,60,64,68,72,76,80,85,90,95,100})</f>
        <v>68</v>
      </c>
      <c r="K486" s="5"/>
      <c r="L486" s="5"/>
      <c r="M486" s="5">
        <f t="shared" si="229"/>
        <v>68</v>
      </c>
      <c r="N486" s="5">
        <v>7.4</v>
      </c>
      <c r="O486" s="10">
        <f t="shared" si="230"/>
        <v>10.6</v>
      </c>
      <c r="P486" s="7">
        <f>LOOKUP(O486,{0,7.8,8,8.2,8.4,8.6,8.8,9,9.2,9.4,9.6,9.8,10,10.2,10.4,10.6,10.8,10.9,11,11.1,11.2},{0,10,20,30,40,50,60,62,64,66,68,70,72,74,76,78,80,85,90,95,100})</f>
        <v>78</v>
      </c>
      <c r="Q486" s="5">
        <v>4.32</v>
      </c>
      <c r="R486" s="10">
        <f t="shared" si="231"/>
        <v>5.68</v>
      </c>
      <c r="S486" s="7">
        <f>LOOKUP(R486,{0,3.85,4.45,4.65,4.85,5.45,5.65,5.7,5.75,5.8,5.85,5.9,5.95,6,6.45,6.5,6.55,6.63,6.7,6.75,6.8},{0,10,20,30,40,50,60,62,64,66,68,70,72,74,76,78,80,85,90,95,100})</f>
        <v>60</v>
      </c>
      <c r="T486" s="5"/>
      <c r="U486" s="5"/>
      <c r="V486" s="5">
        <f t="shared" si="232"/>
        <v>60</v>
      </c>
      <c r="W486" s="5"/>
      <c r="X486" s="13">
        <f t="shared" si="233"/>
        <v>49.4</v>
      </c>
      <c r="Y486" s="13">
        <f t="shared" si="234"/>
        <v>70.5714285714286</v>
      </c>
      <c r="Z486" s="19"/>
    </row>
    <row r="487" ht="15.6" hidden="1" outlineLevel="2" spans="1:26">
      <c r="A487" s="5">
        <v>311</v>
      </c>
      <c r="B487" s="5">
        <v>20</v>
      </c>
      <c r="C487" s="9" t="s">
        <v>534</v>
      </c>
      <c r="D487" s="9" t="s">
        <v>12</v>
      </c>
      <c r="E487" s="5">
        <v>4.2</v>
      </c>
      <c r="F487" s="7">
        <f>LOOKUP(E487,{0,-1.8,-0.8,0.2,1.2,2.2,3.2,4.6,6,7.4,8.8,10.2,11.6,13,14.4,15.8,17.2,19.1,21,22.8,24.6},{0,10,20,30,40,50,60,62,64,66,68,70,72,74,76,78,80,85,90,95,100})</f>
        <v>60</v>
      </c>
      <c r="G487" s="5">
        <v>235</v>
      </c>
      <c r="H487" s="7">
        <f>LOOKUP(G487,{0,180,185,190,195,200,205,209,213,217,221,225,229,233,237,241,245,253,260,265,270},{0,10,20,30,40,50,60,62,64,66,68,70,72,74,76,78,80,85,90,95,100})</f>
        <v>74</v>
      </c>
      <c r="I487" s="5">
        <v>6</v>
      </c>
      <c r="J487" s="7">
        <f>LOOKUP(I487,{0,4,5,6,7,8,9,10,11,12,13,14,15,16,17,18},{0,10,20,30,40,50,60,64,68,72,76,80,85,90,95,100})</f>
        <v>30</v>
      </c>
      <c r="K487" s="5"/>
      <c r="L487" s="5"/>
      <c r="M487" s="5">
        <f t="shared" si="229"/>
        <v>30</v>
      </c>
      <c r="N487" s="5">
        <v>7.7</v>
      </c>
      <c r="O487" s="10">
        <f t="shared" si="230"/>
        <v>10.3</v>
      </c>
      <c r="P487" s="7">
        <f>LOOKUP(O487,{0,7.8,8,8.2,8.4,8.6,8.8,9,9.2,9.4,9.6,9.8,10,10.2,10.4,10.6,10.8,10.9,11,11.1,11.2},{0,10,20,30,40,50,60,62,64,66,68,70,72,74,76,78,80,85,90,95,100})</f>
        <v>74</v>
      </c>
      <c r="Q487" s="5">
        <v>5.29</v>
      </c>
      <c r="R487" s="10">
        <f t="shared" si="231"/>
        <v>4.71</v>
      </c>
      <c r="S487" s="7">
        <f>LOOKUP(R487,{0,3.85,4.45,4.65,4.85,5.45,5.65,5.7,5.75,5.8,5.85,5.9,5.95,6,6.45,6.5,6.55,6.63,6.7,6.75,6.8},{0,10,20,30,40,50,60,62,64,66,68,70,72,74,76,78,80,85,90,95,100})</f>
        <v>30</v>
      </c>
      <c r="T487" s="5"/>
      <c r="U487" s="5"/>
      <c r="V487" s="5">
        <f t="shared" si="232"/>
        <v>30</v>
      </c>
      <c r="W487" s="5"/>
      <c r="X487" s="13">
        <f t="shared" si="233"/>
        <v>37.2</v>
      </c>
      <c r="Y487" s="13">
        <f t="shared" si="234"/>
        <v>53.1428571428572</v>
      </c>
      <c r="Z487" s="20"/>
    </row>
    <row r="488" ht="15.6" hidden="1" outlineLevel="2" spans="1:26">
      <c r="A488" s="5">
        <v>311</v>
      </c>
      <c r="B488" s="5">
        <v>21</v>
      </c>
      <c r="C488" s="9" t="s">
        <v>535</v>
      </c>
      <c r="D488" s="9" t="s">
        <v>12</v>
      </c>
      <c r="E488" s="5">
        <v>-4.9</v>
      </c>
      <c r="F488" s="7">
        <v>0</v>
      </c>
      <c r="G488" s="5">
        <v>215</v>
      </c>
      <c r="H488" s="7">
        <f>LOOKUP(G488,{0,180,185,190,195,200,205,209,213,217,221,225,229,233,237,241,245,253,260,265,270},{0,10,20,30,40,50,60,62,64,66,68,70,72,74,76,78,80,85,90,95,100})</f>
        <v>64</v>
      </c>
      <c r="I488" s="5">
        <v>18</v>
      </c>
      <c r="J488" s="7">
        <f>LOOKUP(I488,{0,4,5,6,7,8,9,10,11,12,13,14,15,16,17,18},{0,10,20,30,40,50,60,64,68,72,76,80,85,90,95,100})</f>
        <v>100</v>
      </c>
      <c r="K488" s="5"/>
      <c r="L488" s="16"/>
      <c r="M488" s="5">
        <f t="shared" si="229"/>
        <v>100</v>
      </c>
      <c r="N488" s="5">
        <v>7.6</v>
      </c>
      <c r="O488" s="10">
        <f t="shared" si="230"/>
        <v>10.4</v>
      </c>
      <c r="P488" s="7">
        <f>LOOKUP(O488,{0,7.8,8,8.2,8.4,8.6,8.8,9,9.2,9.4,9.6,9.8,10,10.2,10.4,10.6,10.8,10.9,11,11.1,11.2},{0,10,20,30,40,50,60,62,64,66,68,70,72,74,76,78,80,85,90,95,100})</f>
        <v>76</v>
      </c>
      <c r="Q488" s="5">
        <v>5.28</v>
      </c>
      <c r="R488" s="10">
        <f t="shared" si="231"/>
        <v>4.72</v>
      </c>
      <c r="S488" s="7">
        <f>LOOKUP(R488,{0,3.85,4.45,4.65,4.85,5.45,5.65,5.7,5.75,5.8,5.85,5.9,5.95,6,6.45,6.5,6.55,6.63,6.7,6.75,6.8},{0,10,20,30,40,50,60,62,64,66,68,70,72,74,76,78,80,85,90,95,100})</f>
        <v>30</v>
      </c>
      <c r="T488" s="5"/>
      <c r="U488" s="5"/>
      <c r="V488" s="5">
        <f t="shared" si="232"/>
        <v>30</v>
      </c>
      <c r="W488" s="5"/>
      <c r="X488" s="13">
        <f t="shared" si="233"/>
        <v>37.6</v>
      </c>
      <c r="Y488" s="13">
        <f t="shared" si="234"/>
        <v>53.7142857142857</v>
      </c>
      <c r="Z488" s="19"/>
    </row>
    <row r="489" ht="15.6" hidden="1" outlineLevel="2" spans="1:26">
      <c r="A489" s="5">
        <v>311</v>
      </c>
      <c r="B489" s="5">
        <v>22</v>
      </c>
      <c r="C489" s="9" t="s">
        <v>536</v>
      </c>
      <c r="D489" s="9" t="s">
        <v>12</v>
      </c>
      <c r="E489" s="5">
        <v>7</v>
      </c>
      <c r="F489" s="7">
        <f>LOOKUP(E489,{0,-1.8,-0.8,0.2,1.2,2.2,3.2,4.6,6,7.4,8.8,10.2,11.6,13,14.4,15.8,17.2,19.1,21,22.8,24.6},{0,10,20,30,40,50,60,62,64,66,68,70,72,74,76,78,80,85,90,95,100})</f>
        <v>64</v>
      </c>
      <c r="G489" s="5">
        <v>242</v>
      </c>
      <c r="H489" s="7">
        <f>LOOKUP(G489,{0,180,185,190,195,200,205,209,213,217,221,225,229,233,237,241,245,253,260,265,270},{0,10,20,30,40,50,60,62,64,66,68,70,72,74,76,78,80,85,90,95,100})</f>
        <v>78</v>
      </c>
      <c r="I489" s="5">
        <v>2</v>
      </c>
      <c r="J489" s="7">
        <f>LOOKUP(I489,{0,4,5,6,7,8,9,10,11,12,13,14,15,16,17,18},{0,10,20,30,40,50,60,64,68,72,76,80,85,90,95,100})</f>
        <v>0</v>
      </c>
      <c r="K489" s="5"/>
      <c r="L489" s="5"/>
      <c r="M489" s="5">
        <f t="shared" si="229"/>
        <v>0</v>
      </c>
      <c r="N489" s="5">
        <v>7.4</v>
      </c>
      <c r="O489" s="10">
        <f t="shared" si="230"/>
        <v>10.6</v>
      </c>
      <c r="P489" s="7">
        <f>LOOKUP(O489,{0,7.8,8,8.2,8.4,8.6,8.8,9,9.2,9.4,9.6,9.8,10,10.2,10.4,10.6,10.8,10.9,11,11.1,11.2},{0,10,20,30,40,50,60,62,64,66,68,70,72,74,76,78,80,85,90,95,100})</f>
        <v>78</v>
      </c>
      <c r="Q489" s="5">
        <v>5.3</v>
      </c>
      <c r="R489" s="10">
        <f t="shared" si="231"/>
        <v>4.7</v>
      </c>
      <c r="S489" s="7">
        <f>LOOKUP(R489,{0,3.85,4.45,4.65,4.85,5.45,5.65,5.7,5.75,5.8,5.85,5.9,5.95,6,6.45,6.5,6.55,6.63,6.7,6.75,6.8},{0,10,20,30,40,50,60,62,64,66,68,70,72,74,76,78,80,85,90,95,100})</f>
        <v>30</v>
      </c>
      <c r="T489" s="5"/>
      <c r="U489" s="5"/>
      <c r="V489" s="5">
        <f t="shared" si="232"/>
        <v>30</v>
      </c>
      <c r="W489" s="5"/>
      <c r="X489" s="13">
        <f t="shared" si="233"/>
        <v>35.8</v>
      </c>
      <c r="Y489" s="13">
        <f t="shared" si="234"/>
        <v>51.1428571428572</v>
      </c>
      <c r="Z489" s="19"/>
    </row>
    <row r="490" ht="15.6" hidden="1" outlineLevel="2" spans="1:26">
      <c r="A490" s="5">
        <v>311</v>
      </c>
      <c r="B490" s="5">
        <v>23</v>
      </c>
      <c r="C490" s="9" t="s">
        <v>537</v>
      </c>
      <c r="D490" s="9" t="s">
        <v>12</v>
      </c>
      <c r="E490" s="5">
        <v>5.5</v>
      </c>
      <c r="F490" s="7">
        <f>LOOKUP(E490,{0,-1.8,-0.8,0.2,1.2,2.2,3.2,4.6,6,7.4,8.8,10.2,11.6,13,14.4,15.8,17.2,19.1,21,22.8,24.6},{0,10,20,30,40,50,60,62,64,66,68,70,72,74,76,78,80,85,90,95,100})</f>
        <v>62</v>
      </c>
      <c r="G490" s="5">
        <v>238</v>
      </c>
      <c r="H490" s="7">
        <f>LOOKUP(G490,{0,180,185,190,195,200,205,209,213,217,221,225,229,233,237,241,245,253,260,265,270},{0,10,20,30,40,50,60,62,64,66,68,70,72,74,76,78,80,85,90,95,100})</f>
        <v>76</v>
      </c>
      <c r="I490" s="5">
        <v>1</v>
      </c>
      <c r="J490" s="7">
        <f>LOOKUP(I490,{0,4,5,6,7,8,9,10,11,12,13,14,15,16,17,18},{0,10,20,30,40,50,60,64,68,72,76,80,85,90,95,100})</f>
        <v>0</v>
      </c>
      <c r="K490" s="5"/>
      <c r="L490" s="5"/>
      <c r="M490" s="5">
        <f t="shared" si="229"/>
        <v>0</v>
      </c>
      <c r="N490" s="5">
        <v>7.5</v>
      </c>
      <c r="O490" s="10">
        <f t="shared" si="230"/>
        <v>10.5</v>
      </c>
      <c r="P490" s="7">
        <f>LOOKUP(O490,{0,7.8,8,8.2,8.4,8.6,8.8,9,9.2,9.4,9.6,9.8,10,10.2,10.4,10.6,10.8,10.9,11,11.1,11.2},{0,10,20,30,40,50,60,62,64,66,68,70,72,74,76,78,80,85,90,95,100})</f>
        <v>76</v>
      </c>
      <c r="Q490" s="5">
        <v>4.33</v>
      </c>
      <c r="R490" s="10">
        <f t="shared" si="231"/>
        <v>5.67</v>
      </c>
      <c r="S490" s="7">
        <f>LOOKUP(R490,{0,3.85,4.45,4.65,4.85,5.45,5.65,5.7,5.75,5.8,5.85,5.9,5.95,6,6.45,6.5,6.55,6.63,6.7,6.75,6.8},{0,10,20,30,40,50,60,62,64,66,68,70,72,74,76,78,80,85,90,95,100})</f>
        <v>60</v>
      </c>
      <c r="T490" s="5"/>
      <c r="U490" s="5"/>
      <c r="V490" s="5">
        <f t="shared" si="232"/>
        <v>60</v>
      </c>
      <c r="W490" s="5"/>
      <c r="X490" s="13">
        <f t="shared" si="233"/>
        <v>41</v>
      </c>
      <c r="Y490" s="13">
        <f t="shared" si="234"/>
        <v>58.5714285714286</v>
      </c>
      <c r="Z490" s="19"/>
    </row>
    <row r="491" ht="15.6" hidden="1" outlineLevel="2" spans="1:26">
      <c r="A491" s="5">
        <v>311</v>
      </c>
      <c r="B491" s="5">
        <v>24</v>
      </c>
      <c r="C491" s="9" t="s">
        <v>538</v>
      </c>
      <c r="D491" s="9" t="s">
        <v>12</v>
      </c>
      <c r="E491" s="5">
        <v>11</v>
      </c>
      <c r="F491" s="7">
        <f>LOOKUP(E491,{0,-1.8,-0.8,0.2,1.2,2.2,3.2,4.6,6,7.4,8.8,10.2,11.6,13,14.4,15.8,17.2,19.1,21,22.8,24.6},{0,10,20,30,40,50,60,62,64,66,68,70,72,74,76,78,80,85,90,95,100})</f>
        <v>70</v>
      </c>
      <c r="G491" s="5">
        <v>228</v>
      </c>
      <c r="H491" s="7">
        <f>LOOKUP(G491,{0,180,185,190,195,200,205,209,213,217,221,225,229,233,237,241,245,253,260,265,270},{0,10,20,30,40,50,60,62,64,66,68,70,72,74,76,78,80,85,90,95,100})</f>
        <v>70</v>
      </c>
      <c r="I491" s="5">
        <v>15</v>
      </c>
      <c r="J491" s="7">
        <f>LOOKUP(I491,{0,4,5,6,7,8,9,10,11,12,13,14,15,16,17,18},{0,10,20,30,40,50,60,64,68,72,76,80,85,90,95,100})</f>
        <v>85</v>
      </c>
      <c r="K491" s="5"/>
      <c r="L491" s="5"/>
      <c r="M491" s="5">
        <f t="shared" si="229"/>
        <v>85</v>
      </c>
      <c r="N491" s="5">
        <v>7.4</v>
      </c>
      <c r="O491" s="10">
        <f t="shared" si="230"/>
        <v>10.6</v>
      </c>
      <c r="P491" s="7">
        <f>LOOKUP(O491,{0,7.8,8,8.2,8.4,8.6,8.8,9,9.2,9.4,9.6,9.8,10,10.2,10.4,10.6,10.8,10.9,11,11.1,11.2},{0,10,20,30,40,50,60,62,64,66,68,70,72,74,76,78,80,85,90,95,100})</f>
        <v>78</v>
      </c>
      <c r="Q491" s="5">
        <v>4.18</v>
      </c>
      <c r="R491" s="10">
        <f t="shared" si="231"/>
        <v>5.82</v>
      </c>
      <c r="S491" s="7">
        <f>LOOKUP(R491,{0,3.85,4.45,4.65,4.85,5.45,5.65,5.7,5.75,5.8,5.85,5.9,5.95,6,6.45,6.5,6.55,6.63,6.7,6.75,6.8},{0,10,20,30,40,50,60,62,64,66,68,70,72,74,76,78,80,85,90,95,100})</f>
        <v>66</v>
      </c>
      <c r="T491" s="5"/>
      <c r="U491" s="5"/>
      <c r="V491" s="5">
        <f t="shared" si="232"/>
        <v>66</v>
      </c>
      <c r="W491" s="5"/>
      <c r="X491" s="13">
        <f t="shared" si="233"/>
        <v>51.3</v>
      </c>
      <c r="Y491" s="13">
        <f t="shared" si="234"/>
        <v>73.2857142857143</v>
      </c>
      <c r="Z491" s="19"/>
    </row>
    <row r="492" ht="15.6" hidden="1" outlineLevel="2" spans="1:26">
      <c r="A492" s="5">
        <v>311</v>
      </c>
      <c r="B492" s="5">
        <v>25</v>
      </c>
      <c r="C492" s="8" t="s">
        <v>540</v>
      </c>
      <c r="D492" s="9" t="s">
        <v>12</v>
      </c>
      <c r="E492" s="5">
        <v>9.5</v>
      </c>
      <c r="F492" s="7">
        <f>LOOKUP(E492,{0,-1.8,-0.8,0.2,1.2,2.2,3.2,4.6,6,7.4,8.8,10.2,11.6,13,14.4,15.8,17.2,19.1,21,22.8,24.6},{0,10,20,30,40,50,60,62,64,66,68,70,72,74,76,78,80,85,90,95,100})</f>
        <v>68</v>
      </c>
      <c r="G492" s="5">
        <v>210</v>
      </c>
      <c r="H492" s="7">
        <f>LOOKUP(G492,{0,180,185,190,195,200,205,209,213,217,221,225,229,233,237,241,245,253,260,265,270},{0,10,20,30,40,50,60,62,64,66,68,70,72,74,76,78,80,85,90,95,100})</f>
        <v>62</v>
      </c>
      <c r="I492" s="5">
        <v>1</v>
      </c>
      <c r="J492" s="7">
        <f>LOOKUP(I492,{0,4,5,6,7,8,9,10,11,12,13,14,15,16,17,18},{0,10,20,30,40,50,60,64,68,72,76,80,85,90,95,100})</f>
        <v>0</v>
      </c>
      <c r="K492" s="5"/>
      <c r="L492" s="5"/>
      <c r="M492" s="5">
        <f t="shared" si="229"/>
        <v>0</v>
      </c>
      <c r="N492" s="5">
        <v>7.8</v>
      </c>
      <c r="O492" s="10">
        <f t="shared" si="230"/>
        <v>10.2</v>
      </c>
      <c r="P492" s="7">
        <f>LOOKUP(O492,{0,7.8,8,8.2,8.4,8.6,8.8,9,9.2,9.4,9.6,9.8,10,10.2,10.4,10.6,10.8,10.9,11,11.1,11.2},{0,10,20,30,40,50,60,62,64,66,68,70,72,74,76,78,80,85,90,95,100})</f>
        <v>74</v>
      </c>
      <c r="Q492" s="5">
        <v>5.27</v>
      </c>
      <c r="R492" s="10">
        <f t="shared" si="231"/>
        <v>4.73</v>
      </c>
      <c r="S492" s="7">
        <f>LOOKUP(R492,{0,3.85,4.45,4.65,4.85,5.45,5.65,5.7,5.75,5.8,5.85,5.9,5.95,6,6.45,6.5,6.55,6.63,6.7,6.75,6.8},{0,10,20,30,40,50,60,62,64,66,68,70,72,74,76,78,80,85,90,95,100})</f>
        <v>30</v>
      </c>
      <c r="T492" s="5"/>
      <c r="U492" s="5"/>
      <c r="V492" s="5">
        <f t="shared" si="232"/>
        <v>30</v>
      </c>
      <c r="W492" s="5"/>
      <c r="X492" s="13">
        <f t="shared" si="233"/>
        <v>33.8</v>
      </c>
      <c r="Y492" s="13">
        <f t="shared" si="234"/>
        <v>48.2857142857143</v>
      </c>
      <c r="Z492" s="19"/>
    </row>
    <row r="493" ht="15.6" hidden="1" outlineLevel="2" spans="1:26">
      <c r="A493" s="5">
        <v>311</v>
      </c>
      <c r="B493" s="5">
        <v>26</v>
      </c>
      <c r="C493" s="9" t="s">
        <v>541</v>
      </c>
      <c r="D493" s="9" t="s">
        <v>12</v>
      </c>
      <c r="E493" s="5">
        <v>20.5</v>
      </c>
      <c r="F493" s="7">
        <f>LOOKUP(E493,{0,-1.8,-0.8,0.2,1.2,2.2,3.2,4.6,6,7.4,8.8,10.2,11.6,13,14.4,15.8,17.2,19.1,21,22.8,24.6},{0,10,20,30,40,50,60,62,64,66,68,70,72,74,76,78,80,85,90,95,100})</f>
        <v>85</v>
      </c>
      <c r="G493" s="5">
        <v>225</v>
      </c>
      <c r="H493" s="7">
        <f>LOOKUP(G493,{0,180,185,190,195,200,205,209,213,217,221,225,229,233,237,241,245,253,260,265,270},{0,10,20,30,40,50,60,62,64,66,68,70,72,74,76,78,80,85,90,95,100})</f>
        <v>70</v>
      </c>
      <c r="I493" s="5">
        <v>12</v>
      </c>
      <c r="J493" s="7">
        <f>LOOKUP(I493,{0,4,5,6,7,8,9,10,11,12,13,14,15,16,17,18},{0,10,20,30,40,50,60,64,68,72,76,80,85,90,95,100})</f>
        <v>72</v>
      </c>
      <c r="K493" s="5"/>
      <c r="L493" s="16"/>
      <c r="M493" s="5">
        <f t="shared" si="229"/>
        <v>72</v>
      </c>
      <c r="N493" s="5">
        <v>7.5</v>
      </c>
      <c r="O493" s="10">
        <f t="shared" si="230"/>
        <v>10.5</v>
      </c>
      <c r="P493" s="7">
        <f>LOOKUP(O493,{0,7.8,8,8.2,8.4,8.6,8.8,9,9.2,9.4,9.6,9.8,10,10.2,10.4,10.6,10.8,10.9,11,11.1,11.2},{0,10,20,30,40,50,60,62,64,66,68,70,72,74,76,78,80,85,90,95,100})</f>
        <v>76</v>
      </c>
      <c r="Q493" s="5">
        <v>5.19</v>
      </c>
      <c r="R493" s="10">
        <f t="shared" si="231"/>
        <v>4.81</v>
      </c>
      <c r="S493" s="7">
        <f>LOOKUP(R493,{0,3.85,4.45,4.65,4.85,5.45,5.65,5.7,5.75,5.8,5.85,5.9,5.95,6,6.45,6.5,6.55,6.63,6.7,6.75,6.8},{0,10,20,30,40,50,60,62,64,66,68,70,72,74,76,78,80,85,90,95,100})</f>
        <v>30</v>
      </c>
      <c r="T493" s="5"/>
      <c r="U493" s="5"/>
      <c r="V493" s="5">
        <f t="shared" si="232"/>
        <v>30</v>
      </c>
      <c r="W493" s="5"/>
      <c r="X493" s="13">
        <f t="shared" si="233"/>
        <v>43.9</v>
      </c>
      <c r="Y493" s="13">
        <f t="shared" si="234"/>
        <v>62.7142857142857</v>
      </c>
      <c r="Z493" s="19"/>
    </row>
    <row r="494" ht="15.6" hidden="1" outlineLevel="2" spans="1:26">
      <c r="A494" s="5">
        <v>311</v>
      </c>
      <c r="B494" s="5">
        <v>27</v>
      </c>
      <c r="C494" s="9" t="s">
        <v>542</v>
      </c>
      <c r="D494" s="9" t="s">
        <v>12</v>
      </c>
      <c r="E494" s="5">
        <v>15</v>
      </c>
      <c r="F494" s="7">
        <f>LOOKUP(E494,{0,-1.8,-0.8,0.2,1.2,2.2,3.2,4.6,6,7.4,8.8,10.2,11.6,13,14.4,15.8,17.2,19.1,21,22.8,24.6},{0,10,20,30,40,50,60,62,64,66,68,70,72,74,76,78,80,85,90,95,100})</f>
        <v>76</v>
      </c>
      <c r="G494" s="5">
        <v>235</v>
      </c>
      <c r="H494" s="7">
        <f>LOOKUP(G494,{0,180,185,190,195,200,205,209,213,217,221,225,229,233,237,241,245,253,260,265,270},{0,10,20,30,40,50,60,62,64,66,68,70,72,74,76,78,80,85,90,95,100})</f>
        <v>74</v>
      </c>
      <c r="I494" s="5">
        <v>16</v>
      </c>
      <c r="J494" s="7">
        <f>LOOKUP(I494,{0,4,5,6,7,8,9,10,11,12,13,14,15,16,17,18},{0,10,20,30,40,50,60,64,68,72,76,80,85,90,95,100})</f>
        <v>90</v>
      </c>
      <c r="K494" s="5"/>
      <c r="L494" s="16"/>
      <c r="M494" s="5">
        <f t="shared" si="229"/>
        <v>90</v>
      </c>
      <c r="N494" s="5">
        <v>7</v>
      </c>
      <c r="O494" s="10">
        <f t="shared" si="230"/>
        <v>11</v>
      </c>
      <c r="P494" s="7">
        <f>LOOKUP(O494,{0,7.8,8,8.2,8.4,8.6,8.8,9,9.2,9.4,9.6,9.8,10,10.2,10.4,10.6,10.8,10.9,11,11.1,11.2},{0,10,20,30,40,50,60,62,64,66,68,70,72,74,76,78,80,85,90,95,100})</f>
        <v>90</v>
      </c>
      <c r="Q494" s="5">
        <v>4.04</v>
      </c>
      <c r="R494" s="10">
        <f t="shared" si="231"/>
        <v>5.96</v>
      </c>
      <c r="S494" s="7">
        <f>LOOKUP(R494,{0,3.85,4.45,4.65,4.85,5.45,5.65,5.7,5.75,5.8,5.85,5.9,5.95,6,6.45,6.5,6.55,6.63,6.7,6.75,6.8},{0,10,20,30,40,50,60,62,64,66,68,70,72,74,76,78,80,85,90,95,100})</f>
        <v>72</v>
      </c>
      <c r="T494" s="5"/>
      <c r="U494" s="5"/>
      <c r="V494" s="5">
        <f t="shared" si="232"/>
        <v>72</v>
      </c>
      <c r="W494" s="5"/>
      <c r="X494" s="13">
        <f t="shared" si="233"/>
        <v>56.4</v>
      </c>
      <c r="Y494" s="13">
        <f t="shared" si="234"/>
        <v>80.5714285714286</v>
      </c>
      <c r="Z494" s="19"/>
    </row>
    <row r="495" ht="15.6" hidden="1" outlineLevel="2" spans="1:26">
      <c r="A495" s="5">
        <v>311</v>
      </c>
      <c r="B495" s="5">
        <v>28</v>
      </c>
      <c r="C495" s="9" t="s">
        <v>543</v>
      </c>
      <c r="D495" s="9" t="s">
        <v>12</v>
      </c>
      <c r="E495" s="5">
        <v>15.5</v>
      </c>
      <c r="F495" s="7">
        <f>LOOKUP(E495,{0,-1.8,-0.8,0.2,1.2,2.2,3.2,4.6,6,7.4,8.8,10.2,11.6,13,14.4,15.8,17.2,19.1,21,22.8,24.6},{0,10,20,30,40,50,60,62,64,66,68,70,72,74,76,78,80,85,90,95,100})</f>
        <v>76</v>
      </c>
      <c r="G495" s="5">
        <v>215</v>
      </c>
      <c r="H495" s="7">
        <f>LOOKUP(G495,{0,180,185,190,195,200,205,209,213,217,221,225,229,233,237,241,245,253,260,265,270},{0,10,20,30,40,50,60,62,64,66,68,70,72,74,76,78,80,85,90,95,100})</f>
        <v>64</v>
      </c>
      <c r="I495" s="5">
        <v>0</v>
      </c>
      <c r="J495" s="7">
        <f>LOOKUP(I495,{0,4,5,6,7,8,9,10,11,12,13,14,15,16,17,18},{0,10,20,30,40,50,60,64,68,72,76,80,85,90,95,100})</f>
        <v>0</v>
      </c>
      <c r="K495" s="5"/>
      <c r="L495" s="5"/>
      <c r="M495" s="5">
        <f t="shared" si="229"/>
        <v>0</v>
      </c>
      <c r="N495" s="5">
        <v>7.9</v>
      </c>
      <c r="O495" s="10">
        <f t="shared" si="230"/>
        <v>10.1</v>
      </c>
      <c r="P495" s="7">
        <f>LOOKUP(O495,{0,7.8,8,8.2,8.4,8.6,8.8,9,9.2,9.4,9.6,9.8,10,10.2,10.4,10.6,10.8,10.9,11,11.1,11.2},{0,10,20,30,40,50,60,62,64,66,68,70,72,74,76,78,80,85,90,95,100})</f>
        <v>72</v>
      </c>
      <c r="Q495" s="5">
        <v>4.29</v>
      </c>
      <c r="R495" s="10">
        <f t="shared" si="231"/>
        <v>5.71</v>
      </c>
      <c r="S495" s="7">
        <f>LOOKUP(R495,{0,3.85,4.45,4.65,4.85,5.45,5.65,5.7,5.75,5.8,5.85,5.9,5.95,6,6.45,6.5,6.55,6.63,6.7,6.75,6.8},{0,10,20,30,40,50,60,62,64,66,68,70,72,74,76,78,80,85,90,95,100})</f>
        <v>62</v>
      </c>
      <c r="T495" s="5"/>
      <c r="U495" s="5"/>
      <c r="V495" s="5">
        <f t="shared" si="232"/>
        <v>62</v>
      </c>
      <c r="W495" s="5"/>
      <c r="X495" s="13">
        <f t="shared" si="233"/>
        <v>40.8</v>
      </c>
      <c r="Y495" s="13">
        <f t="shared" si="234"/>
        <v>58.2857142857143</v>
      </c>
      <c r="Z495" s="19"/>
    </row>
    <row r="496" ht="15.6" hidden="1" outlineLevel="2" spans="1:26">
      <c r="A496" s="5">
        <v>311</v>
      </c>
      <c r="B496" s="5">
        <v>29</v>
      </c>
      <c r="C496" s="5" t="s">
        <v>544</v>
      </c>
      <c r="D496" s="21" t="s">
        <v>12</v>
      </c>
      <c r="E496" s="5">
        <v>11</v>
      </c>
      <c r="F496" s="7">
        <f>LOOKUP(E496,{0,-1.8,-0.8,0.2,1.2,2.2,3.2,4.6,6,7.4,8.8,10.2,11.6,13,14.4,15.8,17.2,19.1,21,22.8,24.6},{0,10,20,30,40,50,60,62,64,66,68,70,72,74,76,78,80,85,90,95,100})</f>
        <v>70</v>
      </c>
      <c r="G496" s="5">
        <v>230</v>
      </c>
      <c r="H496" s="7">
        <f>LOOKUP(G496,{0,180,185,190,195,200,205,209,213,217,221,225,229,233,237,241,245,253,260,265,270},{0,10,20,30,40,50,60,62,64,66,68,70,72,74,76,78,80,85,90,95,100})</f>
        <v>72</v>
      </c>
      <c r="I496" s="5">
        <v>27</v>
      </c>
      <c r="J496" s="7">
        <f>LOOKUP(I496,{0,4,5,6,7,8,9,10,11,12,13,14,15,16,17,18},{0,10,20,30,40,50,60,64,68,72,76,80,85,90,95,100})</f>
        <v>100</v>
      </c>
      <c r="K496" s="5">
        <f t="shared" ref="K496:K501" si="235">I496-18</f>
        <v>9</v>
      </c>
      <c r="L496" s="7">
        <f>LOOKUP(K496,{0,1,2,3,4,5,6,7,8,9,10},{0,1,2,3,4,5,6,7,8,9,10})</f>
        <v>9</v>
      </c>
      <c r="M496" s="5">
        <f t="shared" si="229"/>
        <v>109</v>
      </c>
      <c r="N496" s="5">
        <v>7.1</v>
      </c>
      <c r="O496" s="10">
        <f t="shared" si="230"/>
        <v>10.9</v>
      </c>
      <c r="P496" s="7">
        <f>LOOKUP(O496,{0,7.8,8,8.2,8.4,8.6,8.8,9,9.2,9.4,9.6,9.8,10,10.2,10.4,10.6,10.8,10.9,11,11.1,11.2},{0,10,20,30,40,50,60,62,64,66,68,70,72,74,76,78,80,85,90,95,100})</f>
        <v>85</v>
      </c>
      <c r="Q496" s="5">
        <v>3.44</v>
      </c>
      <c r="R496" s="10">
        <f t="shared" si="231"/>
        <v>6.56</v>
      </c>
      <c r="S496" s="7">
        <f>LOOKUP(R496,{0,3.85,4.45,4.65,4.85,5.45,5.65,5.7,5.75,5.8,5.85,5.9,5.95,6,6.45,6.5,6.55,6.63,6.7,6.75,6.8},{0,10,20,30,40,50,60,62,64,66,68,70,72,74,76,78,80,85,90,95,100})</f>
        <v>80</v>
      </c>
      <c r="T496" s="5"/>
      <c r="U496" s="5"/>
      <c r="V496" s="5">
        <f t="shared" si="232"/>
        <v>80</v>
      </c>
      <c r="W496" s="5"/>
      <c r="X496" s="13">
        <f t="shared" si="233"/>
        <v>57.2</v>
      </c>
      <c r="Y496" s="13">
        <f t="shared" si="234"/>
        <v>90.7142857142857</v>
      </c>
      <c r="Z496" s="19"/>
    </row>
    <row r="497" ht="15.6" hidden="1" outlineLevel="2" spans="1:26">
      <c r="A497" s="5">
        <v>311</v>
      </c>
      <c r="B497" s="5">
        <v>30</v>
      </c>
      <c r="C497" s="5" t="s">
        <v>545</v>
      </c>
      <c r="D497" s="5" t="s">
        <v>12</v>
      </c>
      <c r="E497" s="5">
        <v>30.5</v>
      </c>
      <c r="F497" s="7">
        <f>LOOKUP(E497,{0,-1.8,-0.8,0.2,1.2,2.2,3.2,4.6,6,7.4,8.8,10.2,11.6,13,14.4,15.8,17.2,19.1,21,22.8,24.6},{0,10,20,30,40,50,60,62,64,66,68,70,72,74,76,78,80,85,90,95,100})</f>
        <v>100</v>
      </c>
      <c r="G497" s="5">
        <v>215</v>
      </c>
      <c r="H497" s="7">
        <f>LOOKUP(G497,{0,180,185,190,195,200,205,209,213,217,221,225,229,233,237,241,245,253,260,265,270},{0,10,20,30,40,50,60,62,64,66,68,70,72,74,76,78,80,85,90,95,100})</f>
        <v>64</v>
      </c>
      <c r="I497" s="5">
        <v>20</v>
      </c>
      <c r="J497" s="7">
        <f>LOOKUP(I497,{0,4,5,6,7,8,9,10,11,12,13,14,15,16,17,18},{0,10,20,30,40,50,60,64,68,72,76,80,85,90,95,100})</f>
        <v>100</v>
      </c>
      <c r="K497" s="5">
        <f t="shared" si="235"/>
        <v>2</v>
      </c>
      <c r="L497" s="7">
        <f>LOOKUP(K497,{0,1,2,3,4,5,6,7,8,9,10},{0,1,2,3,4,5,6,7,8,9,10})</f>
        <v>2</v>
      </c>
      <c r="M497" s="5">
        <f t="shared" si="229"/>
        <v>102</v>
      </c>
      <c r="N497" s="5">
        <v>7.6</v>
      </c>
      <c r="O497" s="10">
        <f t="shared" si="230"/>
        <v>10.4</v>
      </c>
      <c r="P497" s="7">
        <f>LOOKUP(O497,{0,7.8,8,8.2,8.4,8.6,8.8,9,9.2,9.4,9.6,9.8,10,10.2,10.4,10.6,10.8,10.9,11,11.1,11.2},{0,10,20,30,40,50,60,62,64,66,68,70,72,74,76,78,80,85,90,95,100})</f>
        <v>76</v>
      </c>
      <c r="Q497" s="5">
        <v>3.45</v>
      </c>
      <c r="R497" s="10">
        <f t="shared" si="231"/>
        <v>6.55</v>
      </c>
      <c r="S497" s="7">
        <f>LOOKUP(R497,{0,3.85,4.45,4.65,4.85,5.45,5.65,5.7,5.75,5.8,5.85,5.9,5.95,6,6.45,6.5,6.55,6.63,6.7,6.75,6.8},{0,10,20,30,40,50,60,62,64,66,68,70,72,74,76,78,80,85,90,95,100})</f>
        <v>80</v>
      </c>
      <c r="T497" s="5"/>
      <c r="U497" s="5"/>
      <c r="V497" s="5">
        <f t="shared" si="232"/>
        <v>80</v>
      </c>
      <c r="W497" s="5"/>
      <c r="X497" s="13">
        <f t="shared" si="233"/>
        <v>57.6</v>
      </c>
      <c r="Y497" s="13">
        <f t="shared" si="234"/>
        <v>84.2857142857143</v>
      </c>
      <c r="Z497" s="19"/>
    </row>
    <row r="498" ht="15.6" hidden="1" outlineLevel="2" spans="1:26">
      <c r="A498" s="5">
        <v>311</v>
      </c>
      <c r="B498" s="5">
        <v>31</v>
      </c>
      <c r="C498" s="9" t="s">
        <v>546</v>
      </c>
      <c r="D498" s="9" t="s">
        <v>12</v>
      </c>
      <c r="E498" s="5">
        <v>0</v>
      </c>
      <c r="F498" s="7">
        <f>LOOKUP(E498,{0,-1.8,-0.8,0.2,1.2,2.2,3.2,4.6,6,7.4,8.8,10.2,11.6,13,14.4,15.8,17.2,19.1,21,22.8,24.6},{0,10,20,30,40,50,60,62,64,66,68,70,72,74,76,78,80,85,90,95,100})</f>
        <v>20</v>
      </c>
      <c r="G498" s="5">
        <v>225</v>
      </c>
      <c r="H498" s="7">
        <f>LOOKUP(G498,{0,180,185,190,195,200,205,209,213,217,221,225,229,233,237,241,245,253,260,265,270},{0,10,20,30,40,50,60,62,64,66,68,70,72,74,76,78,80,85,90,95,100})</f>
        <v>70</v>
      </c>
      <c r="I498" s="5">
        <v>0</v>
      </c>
      <c r="J498" s="7">
        <f>LOOKUP(I498,{0,4,5,6,7,8,9,10,11,12,13,14,15,16,17,18},{0,10,20,30,40,50,60,64,68,72,76,80,85,90,95,100})</f>
        <v>0</v>
      </c>
      <c r="K498" s="5"/>
      <c r="L498" s="5"/>
      <c r="M498" s="5">
        <f t="shared" si="229"/>
        <v>0</v>
      </c>
      <c r="N498" s="5">
        <v>7.4</v>
      </c>
      <c r="O498" s="10">
        <f t="shared" si="230"/>
        <v>10.6</v>
      </c>
      <c r="P498" s="7">
        <f>LOOKUP(O498,{0,7.8,8,8.2,8.4,8.6,8.8,9,9.2,9.4,9.6,9.8,10,10.2,10.4,10.6,10.8,10.9,11,11.1,11.2},{0,10,20,30,40,50,60,62,64,66,68,70,72,74,76,78,80,85,90,95,100})</f>
        <v>78</v>
      </c>
      <c r="Q498" s="5">
        <v>5.27</v>
      </c>
      <c r="R498" s="10">
        <f t="shared" si="231"/>
        <v>4.73</v>
      </c>
      <c r="S498" s="7">
        <f>LOOKUP(R498,{0,3.85,4.45,4.65,4.85,5.45,5.65,5.7,5.75,5.8,5.85,5.9,5.95,6,6.45,6.5,6.55,6.63,6.7,6.75,6.8},{0,10,20,30,40,50,60,62,64,66,68,70,72,74,76,78,80,85,90,95,100})</f>
        <v>30</v>
      </c>
      <c r="T498" s="5"/>
      <c r="U498" s="5"/>
      <c r="V498" s="5">
        <f t="shared" si="232"/>
        <v>30</v>
      </c>
      <c r="W498" s="5"/>
      <c r="X498" s="13">
        <f t="shared" si="233"/>
        <v>30.6</v>
      </c>
      <c r="Y498" s="13">
        <f t="shared" si="234"/>
        <v>43.7142857142857</v>
      </c>
      <c r="Z498" s="19"/>
    </row>
    <row r="499" ht="15.6" hidden="1" outlineLevel="2" spans="1:26">
      <c r="A499" s="5">
        <v>311</v>
      </c>
      <c r="B499" s="5">
        <v>32</v>
      </c>
      <c r="C499" s="9" t="s">
        <v>547</v>
      </c>
      <c r="D499" s="9" t="s">
        <v>12</v>
      </c>
      <c r="E499" s="5">
        <v>11.5</v>
      </c>
      <c r="F499" s="7">
        <f>LOOKUP(E499,{0,-1.8,-0.8,0.2,1.2,2.2,3.2,4.6,6,7.4,8.8,10.2,11.6,13,14.4,15.8,17.2,19.1,21,22.8,24.6},{0,10,20,30,40,50,60,62,64,66,68,70,72,74,76,78,80,85,90,95,100})</f>
        <v>70</v>
      </c>
      <c r="G499" s="5">
        <v>210</v>
      </c>
      <c r="H499" s="7">
        <f>LOOKUP(G499,{0,180,185,190,195,200,205,209,213,217,221,225,229,233,237,241,245,253,260,265,270},{0,10,20,30,40,50,60,62,64,66,68,70,72,74,76,78,80,85,90,95,100})</f>
        <v>62</v>
      </c>
      <c r="I499" s="5">
        <v>0</v>
      </c>
      <c r="J499" s="7">
        <f>LOOKUP(I499,{0,4,5,6,7,8,9,10,11,12,13,14,15,16,17,18},{0,10,20,30,40,50,60,64,68,72,76,80,85,90,95,100})</f>
        <v>0</v>
      </c>
      <c r="K499" s="5"/>
      <c r="L499" s="5"/>
      <c r="M499" s="5">
        <f t="shared" si="229"/>
        <v>0</v>
      </c>
      <c r="N499" s="5">
        <v>8.5</v>
      </c>
      <c r="O499" s="10">
        <f t="shared" si="230"/>
        <v>9.5</v>
      </c>
      <c r="P499" s="7">
        <f>LOOKUP(O499,{0,7.8,8,8.2,8.4,8.6,8.8,9,9.2,9.4,9.6,9.8,10,10.2,10.4,10.6,10.8,10.9,11,11.1,11.2},{0,10,20,30,40,50,60,62,64,66,68,70,72,74,76,78,80,85,90,95,100})</f>
        <v>66</v>
      </c>
      <c r="Q499" s="5">
        <v>4.37</v>
      </c>
      <c r="R499" s="10">
        <f t="shared" si="231"/>
        <v>5.63</v>
      </c>
      <c r="S499" s="7">
        <f>LOOKUP(R499,{0,3.85,4.45,4.65,4.85,5.45,5.65,5.7,5.75,5.8,5.85,5.9,5.95,6,6.45,6.5,6.55,6.63,6.7,6.75,6.8},{0,10,20,30,40,50,60,62,64,66,68,70,72,74,76,78,80,85,90,95,100})</f>
        <v>50</v>
      </c>
      <c r="T499" s="5"/>
      <c r="U499" s="5"/>
      <c r="V499" s="5">
        <f t="shared" si="232"/>
        <v>50</v>
      </c>
      <c r="W499" s="5"/>
      <c r="X499" s="13">
        <f t="shared" si="233"/>
        <v>36.4</v>
      </c>
      <c r="Y499" s="13">
        <f t="shared" si="234"/>
        <v>52</v>
      </c>
      <c r="Z499" s="19"/>
    </row>
    <row r="500" ht="15.6" hidden="1" outlineLevel="2" spans="1:26">
      <c r="A500" s="5">
        <v>311</v>
      </c>
      <c r="B500" s="5">
        <v>33</v>
      </c>
      <c r="C500" s="5" t="s">
        <v>548</v>
      </c>
      <c r="D500" s="5" t="s">
        <v>12</v>
      </c>
      <c r="E500" s="5">
        <v>7.5</v>
      </c>
      <c r="F500" s="7">
        <f>LOOKUP(E500,{0,-1.8,-0.8,0.2,1.2,2.2,3.2,4.6,6,7.4,8.8,10.2,11.6,13,14.4,15.8,17.2,19.1,21,22.8,24.6},{0,10,20,30,40,50,60,62,64,66,68,70,72,74,76,78,80,85,90,95,100})</f>
        <v>66</v>
      </c>
      <c r="G500" s="5">
        <v>270</v>
      </c>
      <c r="H500" s="7">
        <f>LOOKUP(G500,{0,180,185,190,195,200,205,209,213,217,221,225,229,233,237,241,245,253,260,265,270},{0,10,20,30,40,50,60,62,64,66,68,70,72,74,76,78,80,85,90,95,100})</f>
        <v>100</v>
      </c>
      <c r="I500" s="5">
        <v>28</v>
      </c>
      <c r="J500" s="7">
        <f>LOOKUP(I500,{0,4,5,6,7,8,9,10,11,12,13,14,15,16,17,18},{0,10,20,30,40,50,60,64,68,72,76,80,85,90,95,100})</f>
        <v>100</v>
      </c>
      <c r="K500" s="5">
        <f t="shared" si="235"/>
        <v>10</v>
      </c>
      <c r="L500" s="7">
        <f>LOOKUP(K500,{0,1,2,3,4,5,6,7,8,9,10},{0,1,2,3,4,5,6,7,8,9,10})</f>
        <v>10</v>
      </c>
      <c r="M500" s="5">
        <f t="shared" si="229"/>
        <v>110</v>
      </c>
      <c r="N500" s="5">
        <v>6.8</v>
      </c>
      <c r="O500" s="10">
        <f t="shared" si="230"/>
        <v>11.2</v>
      </c>
      <c r="P500" s="7">
        <f>LOOKUP(O500,{0,7.8,8,8.2,8.4,8.6,8.8,9,9.2,9.4,9.6,9.8,10,10.2,10.4,10.6,10.8,10.9,11,11.1,11.2},{0,10,20,30,40,50,60,62,64,66,68,70,72,74,76,78,80,85,90,95,100})</f>
        <v>100</v>
      </c>
      <c r="Q500" s="5">
        <v>3.43</v>
      </c>
      <c r="R500" s="10">
        <f t="shared" si="231"/>
        <v>6.57</v>
      </c>
      <c r="S500" s="7">
        <f>LOOKUP(R500,{0,3.85,4.45,4.65,4.85,5.45,5.65,5.7,5.75,5.8,5.85,5.9,5.95,6,6.45,6.5,6.55,6.63,6.7,6.75,6.8},{0,10,20,30,40,50,60,62,64,66,68,70,72,74,76,78,80,85,90,95,100})</f>
        <v>80</v>
      </c>
      <c r="T500" s="5"/>
      <c r="U500" s="5"/>
      <c r="V500" s="5">
        <f t="shared" si="232"/>
        <v>80</v>
      </c>
      <c r="W500" s="5"/>
      <c r="X500" s="13">
        <f t="shared" si="233"/>
        <v>62.6</v>
      </c>
      <c r="Y500" s="13">
        <f t="shared" si="234"/>
        <v>99.4285714285714</v>
      </c>
      <c r="Z500" s="19"/>
    </row>
    <row r="501" ht="15.6" hidden="1" outlineLevel="2" spans="1:26">
      <c r="A501" s="5">
        <v>311</v>
      </c>
      <c r="B501" s="5">
        <v>34</v>
      </c>
      <c r="C501" s="9" t="s">
        <v>549</v>
      </c>
      <c r="D501" s="9" t="s">
        <v>12</v>
      </c>
      <c r="E501" s="5">
        <v>14</v>
      </c>
      <c r="F501" s="7">
        <f>LOOKUP(E501,{0,-1.8,-0.8,0.2,1.2,2.2,3.2,4.6,6,7.4,8.8,10.2,11.6,13,14.4,15.8,17.2,19.1,21,22.8,24.6},{0,10,20,30,40,50,60,62,64,66,68,70,72,74,76,78,80,85,90,95,100})</f>
        <v>74</v>
      </c>
      <c r="G501" s="5">
        <v>230</v>
      </c>
      <c r="H501" s="7">
        <f>LOOKUP(G501,{0,180,185,190,195,200,205,209,213,217,221,225,229,233,237,241,245,253,260,265,270},{0,10,20,30,40,50,60,62,64,66,68,70,72,74,76,78,80,85,90,95,100})</f>
        <v>72</v>
      </c>
      <c r="I501" s="5">
        <v>35</v>
      </c>
      <c r="J501" s="7">
        <f>LOOKUP(I501,{0,4,5,6,7,8,9,10,11,12,13,14,15,16,17,18},{0,10,20,30,40,50,60,64,68,72,76,80,85,90,95,100})</f>
        <v>100</v>
      </c>
      <c r="K501" s="5">
        <f t="shared" si="235"/>
        <v>17</v>
      </c>
      <c r="L501" s="7">
        <f>LOOKUP(K501,{0,1,2,3,4,5,6,7,8,9,10},{0,1,2,3,4,5,6,7,8,9,10})</f>
        <v>10</v>
      </c>
      <c r="M501" s="5">
        <f t="shared" si="229"/>
        <v>110</v>
      </c>
      <c r="N501" s="5">
        <v>7.7</v>
      </c>
      <c r="O501" s="10">
        <f t="shared" si="230"/>
        <v>10.3</v>
      </c>
      <c r="P501" s="7">
        <f>LOOKUP(O501,{0,7.8,8,8.2,8.4,8.6,8.8,9,9.2,9.4,9.6,9.8,10,10.2,10.4,10.6,10.8,10.9,11,11.1,11.2},{0,10,20,30,40,50,60,62,64,66,68,70,72,74,76,78,80,85,90,95,100})</f>
        <v>74</v>
      </c>
      <c r="Q501" s="5">
        <v>4.48</v>
      </c>
      <c r="R501" s="10">
        <f t="shared" si="231"/>
        <v>5.52</v>
      </c>
      <c r="S501" s="7">
        <f>LOOKUP(R501,{0,3.85,4.45,4.65,4.85,5.45,5.65,5.7,5.75,5.8,5.85,5.9,5.95,6,6.45,6.5,6.55,6.63,6.7,6.75,6.8},{0,10,20,30,40,50,60,62,64,66,68,70,72,74,76,78,80,85,90,95,100})</f>
        <v>50</v>
      </c>
      <c r="T501" s="5"/>
      <c r="U501" s="5"/>
      <c r="V501" s="5">
        <f t="shared" si="232"/>
        <v>50</v>
      </c>
      <c r="W501" s="5"/>
      <c r="X501" s="13">
        <f t="shared" si="233"/>
        <v>49.4</v>
      </c>
      <c r="Y501" s="13">
        <f t="shared" si="234"/>
        <v>80.5714285714286</v>
      </c>
      <c r="Z501" s="19"/>
    </row>
    <row r="502" ht="15.6" hidden="1" outlineLevel="2" spans="1:26">
      <c r="A502" s="5">
        <v>311</v>
      </c>
      <c r="B502" s="5">
        <v>35</v>
      </c>
      <c r="C502" s="9" t="s">
        <v>550</v>
      </c>
      <c r="D502" s="9" t="s">
        <v>12</v>
      </c>
      <c r="E502" s="5"/>
      <c r="F502" s="7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>
        <v>50</v>
      </c>
      <c r="X502" s="13"/>
      <c r="Y502" s="13">
        <v>50</v>
      </c>
      <c r="Z502" s="20"/>
    </row>
    <row r="503" ht="15.6" hidden="1" outlineLevel="2" spans="1:26">
      <c r="A503" s="5">
        <v>311</v>
      </c>
      <c r="B503" s="5">
        <v>36</v>
      </c>
      <c r="C503" s="9" t="s">
        <v>551</v>
      </c>
      <c r="D503" s="9" t="s">
        <v>12</v>
      </c>
      <c r="E503" s="5">
        <v>15.5</v>
      </c>
      <c r="F503" s="7">
        <f>LOOKUP(E503,{0,-1.8,-0.8,0.2,1.2,2.2,3.2,4.6,6,7.4,8.8,10.2,11.6,13,14.4,15.8,17.2,19.1,21,22.8,24.6},{0,10,20,30,40,50,60,62,64,66,68,70,72,74,76,78,80,85,90,95,100})</f>
        <v>76</v>
      </c>
      <c r="G503" s="5">
        <v>210</v>
      </c>
      <c r="H503" s="7">
        <f>LOOKUP(G503,{0,180,185,190,195,200,205,209,213,217,221,225,229,233,237,241,245,253,260,265,270},{0,10,20,30,40,50,60,62,64,66,68,70,72,74,76,78,80,85,90,95,100})</f>
        <v>62</v>
      </c>
      <c r="I503" s="5">
        <v>3</v>
      </c>
      <c r="J503" s="7">
        <f>LOOKUP(I503,{0,4,5,6,7,8,9,10,11,12,13,14,15,16,17,18},{0,10,20,30,40,50,60,64,68,72,76,80,85,90,95,100})</f>
        <v>0</v>
      </c>
      <c r="K503" s="5"/>
      <c r="L503" s="5"/>
      <c r="M503" s="5">
        <f t="shared" ref="M503:M523" si="236">J503+L503</f>
        <v>0</v>
      </c>
      <c r="N503" s="5">
        <v>8.6</v>
      </c>
      <c r="O503" s="10">
        <f t="shared" ref="O503:O523" si="237">18-N503</f>
        <v>9.4</v>
      </c>
      <c r="P503" s="7">
        <f>LOOKUP(O503,{0,7.8,8,8.2,8.4,8.6,8.8,9,9.2,9.4,9.6,9.8,10,10.2,10.4,10.6,10.8,10.9,11,11.1,11.2},{0,10,20,30,40,50,60,62,64,66,68,70,72,74,76,78,80,85,90,95,100})</f>
        <v>66</v>
      </c>
      <c r="Q503" s="5">
        <v>5.18</v>
      </c>
      <c r="R503" s="10">
        <f t="shared" ref="R503:R523" si="238">10-Q503</f>
        <v>4.82</v>
      </c>
      <c r="S503" s="7">
        <f>LOOKUP(R503,{0,3.85,4.45,4.65,4.85,5.45,5.65,5.7,5.75,5.8,5.85,5.9,5.95,6,6.45,6.5,6.55,6.63,6.7,6.75,6.8},{0,10,20,30,40,50,60,62,64,66,68,70,72,74,76,78,80,85,90,95,100})</f>
        <v>30</v>
      </c>
      <c r="T503" s="5"/>
      <c r="U503" s="5"/>
      <c r="V503" s="5">
        <f t="shared" ref="V503:V523" si="239">S503+U503</f>
        <v>30</v>
      </c>
      <c r="W503" s="5"/>
      <c r="X503" s="13">
        <f t="shared" ref="X503:X523" si="240">F503*0.1+H503*0.1+J503*0.1+P503*0.2+S503*0.2</f>
        <v>33</v>
      </c>
      <c r="Y503" s="13">
        <f t="shared" ref="Y503:Y523" si="241">X503/0.7+L503+U503</f>
        <v>47.1428571428571</v>
      </c>
      <c r="Z503" s="19"/>
    </row>
    <row r="504" ht="15.6" hidden="1" outlineLevel="2" spans="1:26">
      <c r="A504" s="5">
        <v>311</v>
      </c>
      <c r="B504" s="5">
        <v>37</v>
      </c>
      <c r="C504" s="8" t="s">
        <v>553</v>
      </c>
      <c r="D504" s="9" t="s">
        <v>12</v>
      </c>
      <c r="E504" s="5">
        <v>16.7</v>
      </c>
      <c r="F504" s="7">
        <f>LOOKUP(E504,{0,-1.8,-0.8,0.2,1.2,2.2,3.2,4.6,6,7.4,8.8,10.2,11.6,13,14.4,15.8,17.2,19.1,21,22.8,24.6},{0,10,20,30,40,50,60,62,64,66,68,70,72,74,76,78,80,85,90,95,100})</f>
        <v>78</v>
      </c>
      <c r="G504" s="5">
        <v>300</v>
      </c>
      <c r="H504" s="7">
        <f>LOOKUP(G504,{0,180,185,190,195,200,205,209,213,217,221,225,229,233,237,241,245,253,260,265,270},{0,10,20,30,40,50,60,62,64,66,68,70,72,74,76,78,80,85,90,95,100})</f>
        <v>100</v>
      </c>
      <c r="I504" s="5">
        <v>11</v>
      </c>
      <c r="J504" s="7">
        <f>LOOKUP(I504,{0,4,5,6,7,8,9,10,11,12,13,14,15,16,17,18},{0,10,20,30,40,50,60,64,68,72,76,80,85,90,95,100})</f>
        <v>68</v>
      </c>
      <c r="K504" s="5"/>
      <c r="L504" s="5"/>
      <c r="M504" s="5">
        <f t="shared" si="236"/>
        <v>68</v>
      </c>
      <c r="N504" s="5">
        <v>6.2</v>
      </c>
      <c r="O504" s="10">
        <f t="shared" si="237"/>
        <v>11.8</v>
      </c>
      <c r="P504" s="7">
        <f>LOOKUP(O504,{0,7.8,8,8.2,8.4,8.6,8.8,9,9.2,9.4,9.6,9.8,10,10.2,10.4,10.6,10.8,10.9,11,11.1,11.2},{0,10,20,30,40,50,60,62,64,66,68,70,72,74,76,78,80,85,90,95,100})</f>
        <v>100</v>
      </c>
      <c r="Q504" s="5">
        <v>3.29</v>
      </c>
      <c r="R504" s="10">
        <f t="shared" si="238"/>
        <v>6.71</v>
      </c>
      <c r="S504" s="7">
        <f>LOOKUP(R504,{0,3.85,4.45,4.65,4.85,5.45,5.65,5.7,5.75,5.8,5.85,5.9,5.95,6,6.45,6.5,6.55,6.63,6.7,6.75,6.8},{0,10,20,30,40,50,60,62,64,66,68,70,72,74,76,78,80,85,90,95,100})</f>
        <v>90</v>
      </c>
      <c r="T504" s="5"/>
      <c r="U504" s="5"/>
      <c r="V504" s="5">
        <f t="shared" si="239"/>
        <v>90</v>
      </c>
      <c r="W504" s="5"/>
      <c r="X504" s="13">
        <f t="shared" si="240"/>
        <v>62.6</v>
      </c>
      <c r="Y504" s="13">
        <f t="shared" si="241"/>
        <v>89.4285714285714</v>
      </c>
      <c r="Z504" s="19"/>
    </row>
    <row r="505" ht="15.6" hidden="1" outlineLevel="2" spans="1:26">
      <c r="A505" s="5">
        <v>311</v>
      </c>
      <c r="B505" s="5">
        <v>38</v>
      </c>
      <c r="C505" s="9" t="s">
        <v>554</v>
      </c>
      <c r="D505" s="9" t="s">
        <v>12</v>
      </c>
      <c r="E505" s="5">
        <v>6.8</v>
      </c>
      <c r="F505" s="7">
        <f>LOOKUP(E505,{0,-1.8,-0.8,0.2,1.2,2.2,3.2,4.6,6,7.4,8.8,10.2,11.6,13,14.4,15.8,17.2,19.1,21,22.8,24.6},{0,10,20,30,40,50,60,62,64,66,68,70,72,74,76,78,80,85,90,95,100})</f>
        <v>64</v>
      </c>
      <c r="G505" s="5">
        <v>208</v>
      </c>
      <c r="H505" s="7">
        <f>LOOKUP(G505,{0,180,185,190,195,200,205,209,213,217,221,225,229,233,237,241,245,253,260,265,270},{0,10,20,30,40,50,60,62,64,66,68,70,72,74,76,78,80,85,90,95,100})</f>
        <v>60</v>
      </c>
      <c r="I505" s="5">
        <v>10</v>
      </c>
      <c r="J505" s="7">
        <f>LOOKUP(I505,{0,4,5,6,7,8,9,10,11,12,13,14,15,16,17,18},{0,10,20,30,40,50,60,64,68,72,76,80,85,90,95,100})</f>
        <v>64</v>
      </c>
      <c r="K505" s="5"/>
      <c r="L505" s="5"/>
      <c r="M505" s="5">
        <f t="shared" si="236"/>
        <v>64</v>
      </c>
      <c r="N505" s="5">
        <v>8.1</v>
      </c>
      <c r="O505" s="10">
        <f t="shared" si="237"/>
        <v>9.9</v>
      </c>
      <c r="P505" s="7">
        <f>LOOKUP(O505,{0,7.8,8,8.2,8.4,8.6,8.8,9,9.2,9.4,9.6,9.8,10,10.2,10.4,10.6,10.8,10.9,11,11.1,11.2},{0,10,20,30,40,50,60,62,64,66,68,70,72,74,76,78,80,85,90,95,100})</f>
        <v>70</v>
      </c>
      <c r="Q505" s="5">
        <v>4.48</v>
      </c>
      <c r="R505" s="10">
        <f t="shared" si="238"/>
        <v>5.52</v>
      </c>
      <c r="S505" s="7">
        <f>LOOKUP(R505,{0,3.85,4.45,4.65,4.85,5.45,5.65,5.7,5.75,5.8,5.85,5.9,5.95,6,6.45,6.5,6.55,6.63,6.7,6.75,6.8},{0,10,20,30,40,50,60,62,64,66,68,70,72,74,76,78,80,85,90,95,100})</f>
        <v>50</v>
      </c>
      <c r="T505" s="5"/>
      <c r="U505" s="5"/>
      <c r="V505" s="5">
        <f t="shared" si="239"/>
        <v>50</v>
      </c>
      <c r="W505" s="5"/>
      <c r="X505" s="13">
        <f t="shared" si="240"/>
        <v>42.8</v>
      </c>
      <c r="Y505" s="13">
        <f t="shared" si="241"/>
        <v>61.1428571428571</v>
      </c>
      <c r="Z505" s="19"/>
    </row>
    <row r="506" ht="15.6" hidden="1" outlineLevel="2" spans="1:26">
      <c r="A506" s="5">
        <v>311</v>
      </c>
      <c r="B506" s="5">
        <v>39</v>
      </c>
      <c r="C506" s="9" t="s">
        <v>555</v>
      </c>
      <c r="D506" s="9" t="s">
        <v>12</v>
      </c>
      <c r="E506" s="5">
        <v>-6</v>
      </c>
      <c r="F506" s="7">
        <v>0</v>
      </c>
      <c r="G506" s="5">
        <v>255</v>
      </c>
      <c r="H506" s="7">
        <f>LOOKUP(G506,{0,180,185,190,195,200,205,209,213,217,221,225,229,233,237,241,245,253,260,265,270},{0,10,20,30,40,50,60,62,64,66,68,70,72,74,76,78,80,85,90,95,100})</f>
        <v>85</v>
      </c>
      <c r="I506" s="5">
        <v>11</v>
      </c>
      <c r="J506" s="7">
        <f>LOOKUP(I506,{0,4,5,6,7,8,9,10,11,12,13,14,15,16,17,18},{0,10,20,30,40,50,60,64,68,72,76,80,85,90,95,100})</f>
        <v>68</v>
      </c>
      <c r="K506" s="5"/>
      <c r="L506" s="5"/>
      <c r="M506" s="5">
        <f t="shared" si="236"/>
        <v>68</v>
      </c>
      <c r="N506" s="5">
        <v>6.6</v>
      </c>
      <c r="O506" s="10">
        <f t="shared" si="237"/>
        <v>11.4</v>
      </c>
      <c r="P506" s="7">
        <f>LOOKUP(O506,{0,7.8,8,8.2,8.4,8.6,8.8,9,9.2,9.4,9.6,9.8,10,10.2,10.4,10.6,10.8,10.9,11,11.1,11.2},{0,10,20,30,40,50,60,62,64,66,68,70,72,74,76,78,80,85,90,95,100})</f>
        <v>100</v>
      </c>
      <c r="Q506" s="5">
        <v>3.41</v>
      </c>
      <c r="R506" s="10">
        <f t="shared" si="238"/>
        <v>6.59</v>
      </c>
      <c r="S506" s="7">
        <f>LOOKUP(R506,{0,3.85,4.45,4.65,4.85,5.45,5.65,5.7,5.75,5.8,5.85,5.9,5.95,6,6.45,6.5,6.55,6.63,6.7,6.75,6.8},{0,10,20,30,40,50,60,62,64,66,68,70,72,74,76,78,80,85,90,95,100})</f>
        <v>80</v>
      </c>
      <c r="T506" s="5"/>
      <c r="U506" s="5"/>
      <c r="V506" s="5">
        <f t="shared" si="239"/>
        <v>80</v>
      </c>
      <c r="W506" s="5"/>
      <c r="X506" s="13">
        <f t="shared" si="240"/>
        <v>51.3</v>
      </c>
      <c r="Y506" s="13">
        <f t="shared" si="241"/>
        <v>73.2857142857143</v>
      </c>
      <c r="Z506" s="19"/>
    </row>
    <row r="507" ht="15.6" hidden="1" outlineLevel="2" spans="1:26">
      <c r="A507" s="5">
        <v>311</v>
      </c>
      <c r="B507" s="5">
        <v>40</v>
      </c>
      <c r="C507" s="9" t="s">
        <v>556</v>
      </c>
      <c r="D507" s="9" t="s">
        <v>12</v>
      </c>
      <c r="E507" s="5">
        <v>-12</v>
      </c>
      <c r="F507" s="7">
        <v>0</v>
      </c>
      <c r="G507" s="5">
        <v>204</v>
      </c>
      <c r="H507" s="7">
        <f>LOOKUP(G507,{0,180,185,190,195,200,205,209,213,217,221,225,229,233,237,241,245,253,260,265,270},{0,10,20,30,40,50,60,62,64,66,68,70,72,74,76,78,80,85,90,95,100})</f>
        <v>50</v>
      </c>
      <c r="I507" s="5">
        <v>0</v>
      </c>
      <c r="J507" s="7">
        <f>LOOKUP(I507,{0,4,5,6,7,8,9,10,11,12,13,14,15,16,17,18},{0,10,20,30,40,50,60,64,68,72,76,80,85,90,95,100})</f>
        <v>0</v>
      </c>
      <c r="K507" s="5"/>
      <c r="L507" s="5"/>
      <c r="M507" s="5">
        <f t="shared" si="236"/>
        <v>0</v>
      </c>
      <c r="N507" s="5">
        <v>8.1</v>
      </c>
      <c r="O507" s="10">
        <f t="shared" si="237"/>
        <v>9.9</v>
      </c>
      <c r="P507" s="7">
        <f>LOOKUP(O507,{0,7.8,8,8.2,8.4,8.6,8.8,9,9.2,9.4,9.6,9.8,10,10.2,10.4,10.6,10.8,10.9,11,11.1,11.2},{0,10,20,30,40,50,60,62,64,66,68,70,72,74,76,78,80,85,90,95,100})</f>
        <v>70</v>
      </c>
      <c r="Q507" s="5">
        <v>4.48</v>
      </c>
      <c r="R507" s="10">
        <f t="shared" si="238"/>
        <v>5.52</v>
      </c>
      <c r="S507" s="7">
        <f>LOOKUP(R507,{0,3.85,4.45,4.65,4.85,5.45,5.65,5.7,5.75,5.8,5.85,5.9,5.95,6,6.45,6.5,6.55,6.63,6.7,6.75,6.8},{0,10,20,30,40,50,60,62,64,66,68,70,72,74,76,78,80,85,90,95,100})</f>
        <v>50</v>
      </c>
      <c r="T507" s="5"/>
      <c r="U507" s="5"/>
      <c r="V507" s="5">
        <f t="shared" si="239"/>
        <v>50</v>
      </c>
      <c r="W507" s="5"/>
      <c r="X507" s="13">
        <f t="shared" si="240"/>
        <v>29</v>
      </c>
      <c r="Y507" s="13">
        <f t="shared" si="241"/>
        <v>41.4285714285714</v>
      </c>
      <c r="Z507" s="19"/>
    </row>
    <row r="508" ht="15.6" hidden="1" outlineLevel="2" spans="1:26">
      <c r="A508" s="5">
        <v>311</v>
      </c>
      <c r="B508" s="5">
        <v>41</v>
      </c>
      <c r="C508" s="9" t="s">
        <v>557</v>
      </c>
      <c r="D508" s="9" t="s">
        <v>12</v>
      </c>
      <c r="E508" s="5">
        <v>17</v>
      </c>
      <c r="F508" s="7">
        <f>LOOKUP(E508,{0,-1.8,-0.8,0.2,1.2,2.2,3.2,4.6,6,7.4,8.8,10.2,11.6,13,14.4,15.8,17.2,19.1,21,22.8,24.6},{0,10,20,30,40,50,60,62,64,66,68,70,72,74,76,78,80,85,90,95,100})</f>
        <v>78</v>
      </c>
      <c r="G508" s="5">
        <v>239</v>
      </c>
      <c r="H508" s="7">
        <f>LOOKUP(G508,{0,180,185,190,195,200,205,209,213,217,221,225,229,233,237,241,245,253,260,265,270},{0,10,20,30,40,50,60,62,64,66,68,70,72,74,76,78,80,85,90,95,100})</f>
        <v>76</v>
      </c>
      <c r="I508" s="5">
        <v>6</v>
      </c>
      <c r="J508" s="7">
        <f>LOOKUP(I508,{0,4,5,6,7,8,9,10,11,12,13,14,15,16,17,18},{0,10,20,30,40,50,60,64,68,72,76,80,85,90,95,100})</f>
        <v>30</v>
      </c>
      <c r="K508" s="5"/>
      <c r="L508" s="5"/>
      <c r="M508" s="5">
        <f t="shared" si="236"/>
        <v>30</v>
      </c>
      <c r="N508" s="5">
        <v>7.4</v>
      </c>
      <c r="O508" s="10">
        <f t="shared" si="237"/>
        <v>10.6</v>
      </c>
      <c r="P508" s="7">
        <f>LOOKUP(O508,{0,7.8,8,8.2,8.4,8.6,8.8,9,9.2,9.4,9.6,9.8,10,10.2,10.4,10.6,10.8,10.9,11,11.1,11.2},{0,10,20,30,40,50,60,62,64,66,68,70,72,74,76,78,80,85,90,95,100})</f>
        <v>78</v>
      </c>
      <c r="Q508" s="5">
        <v>4.48</v>
      </c>
      <c r="R508" s="10">
        <f t="shared" si="238"/>
        <v>5.52</v>
      </c>
      <c r="S508" s="7">
        <f>LOOKUP(R508,{0,3.85,4.45,4.65,4.85,5.45,5.65,5.7,5.75,5.8,5.85,5.9,5.95,6,6.45,6.5,6.55,6.63,6.7,6.75,6.8},{0,10,20,30,40,50,60,62,64,66,68,70,72,74,76,78,80,85,90,95,100})</f>
        <v>50</v>
      </c>
      <c r="T508" s="5"/>
      <c r="U508" s="5"/>
      <c r="V508" s="5">
        <f t="shared" si="239"/>
        <v>50</v>
      </c>
      <c r="W508" s="5"/>
      <c r="X508" s="13">
        <f t="shared" si="240"/>
        <v>44</v>
      </c>
      <c r="Y508" s="13">
        <f t="shared" si="241"/>
        <v>62.8571428571429</v>
      </c>
      <c r="Z508" s="19"/>
    </row>
    <row r="509" ht="15.6" hidden="1" outlineLevel="2" spans="1:26">
      <c r="A509" s="5">
        <v>311</v>
      </c>
      <c r="B509" s="5">
        <v>42</v>
      </c>
      <c r="C509" s="9" t="s">
        <v>558</v>
      </c>
      <c r="D509" s="9" t="s">
        <v>12</v>
      </c>
      <c r="E509" s="5">
        <v>10.4</v>
      </c>
      <c r="F509" s="7">
        <f>LOOKUP(E509,{0,-1.8,-0.8,0.2,1.2,2.2,3.2,4.6,6,7.4,8.8,10.2,11.6,13,14.4,15.8,17.2,19.1,21,22.8,24.6},{0,10,20,30,40,50,60,62,64,66,68,70,72,74,76,78,80,85,90,95,100})</f>
        <v>70</v>
      </c>
      <c r="G509" s="5">
        <v>237</v>
      </c>
      <c r="H509" s="7">
        <f>LOOKUP(G509,{0,180,185,190,195,200,205,209,213,217,221,225,229,233,237,241,245,253,260,265,270},{0,10,20,30,40,50,60,62,64,66,68,70,72,74,76,78,80,85,90,95,100})</f>
        <v>76</v>
      </c>
      <c r="I509" s="5">
        <v>11</v>
      </c>
      <c r="J509" s="7">
        <f>LOOKUP(I509,{0,4,5,6,7,8,9,10,11,12,13,14,15,16,17,18},{0,10,20,30,40,50,60,64,68,72,76,80,85,90,95,100})</f>
        <v>68</v>
      </c>
      <c r="K509" s="5"/>
      <c r="L509" s="5"/>
      <c r="M509" s="5">
        <f t="shared" si="236"/>
        <v>68</v>
      </c>
      <c r="N509" s="5">
        <v>7.4</v>
      </c>
      <c r="O509" s="10">
        <f t="shared" si="237"/>
        <v>10.6</v>
      </c>
      <c r="P509" s="7">
        <f>LOOKUP(O509,{0,7.8,8,8.2,8.4,8.6,8.8,9,9.2,9.4,9.6,9.8,10,10.2,10.4,10.6,10.8,10.9,11,11.1,11.2},{0,10,20,30,40,50,60,62,64,66,68,70,72,74,76,78,80,85,90,95,100})</f>
        <v>78</v>
      </c>
      <c r="Q509" s="5">
        <v>4.14</v>
      </c>
      <c r="R509" s="10">
        <f t="shared" si="238"/>
        <v>5.86</v>
      </c>
      <c r="S509" s="7">
        <f>LOOKUP(R509,{0,3.85,4.45,4.65,4.85,5.45,5.65,5.7,5.75,5.8,5.85,5.9,5.95,6,6.45,6.5,6.55,6.63,6.7,6.75,6.8},{0,10,20,30,40,50,60,62,64,66,68,70,72,74,76,78,80,85,90,95,100})</f>
        <v>68</v>
      </c>
      <c r="T509" s="5"/>
      <c r="U509" s="5"/>
      <c r="V509" s="5">
        <f t="shared" si="239"/>
        <v>68</v>
      </c>
      <c r="W509" s="5"/>
      <c r="X509" s="13">
        <f t="shared" si="240"/>
        <v>50.6</v>
      </c>
      <c r="Y509" s="13">
        <f t="shared" si="241"/>
        <v>72.2857142857143</v>
      </c>
      <c r="Z509" s="19"/>
    </row>
    <row r="510" ht="15.6" hidden="1" outlineLevel="2" spans="1:26">
      <c r="A510" s="5">
        <v>311</v>
      </c>
      <c r="B510" s="5">
        <v>43</v>
      </c>
      <c r="C510" s="9" t="s">
        <v>559</v>
      </c>
      <c r="D510" s="9" t="s">
        <v>12</v>
      </c>
      <c r="E510" s="5">
        <v>-5.5</v>
      </c>
      <c r="F510" s="7">
        <v>0</v>
      </c>
      <c r="G510" s="5">
        <v>280</v>
      </c>
      <c r="H510" s="7">
        <f>LOOKUP(G510,{0,180,185,190,195,200,205,209,213,217,221,225,229,233,237,241,245,253,260,265,270},{0,10,20,30,40,50,60,62,64,66,68,70,72,74,76,78,80,85,90,95,100})</f>
        <v>100</v>
      </c>
      <c r="I510" s="5">
        <v>7</v>
      </c>
      <c r="J510" s="7">
        <f>LOOKUP(I510,{0,4,5,6,7,8,9,10,11,12,13,14,15,16,17,18},{0,10,20,30,40,50,60,64,68,72,76,80,85,90,95,100})</f>
        <v>40</v>
      </c>
      <c r="K510" s="5"/>
      <c r="L510" s="5"/>
      <c r="M510" s="5">
        <f t="shared" si="236"/>
        <v>40</v>
      </c>
      <c r="N510" s="5">
        <v>6.9</v>
      </c>
      <c r="O510" s="10">
        <f t="shared" si="237"/>
        <v>11.1</v>
      </c>
      <c r="P510" s="7">
        <f>LOOKUP(O510,{0,7.8,8,8.2,8.4,8.6,8.8,9,9.2,9.4,9.6,9.8,10,10.2,10.4,10.6,10.8,10.9,11,11.1,11.2},{0,10,20,30,40,50,60,62,64,66,68,70,72,74,76,78,80,85,90,95,100})</f>
        <v>95</v>
      </c>
      <c r="Q510" s="5">
        <v>4.48</v>
      </c>
      <c r="R510" s="10">
        <f t="shared" si="238"/>
        <v>5.52</v>
      </c>
      <c r="S510" s="7">
        <f>LOOKUP(R510,{0,3.85,4.45,4.65,4.85,5.45,5.65,5.7,5.75,5.8,5.85,5.9,5.95,6,6.45,6.5,6.55,6.63,6.7,6.75,6.8},{0,10,20,30,40,50,60,62,64,66,68,70,72,74,76,78,80,85,90,95,100})</f>
        <v>50</v>
      </c>
      <c r="T510" s="5"/>
      <c r="U510" s="5"/>
      <c r="V510" s="5">
        <f t="shared" si="239"/>
        <v>50</v>
      </c>
      <c r="W510" s="5"/>
      <c r="X510" s="13">
        <f t="shared" si="240"/>
        <v>43</v>
      </c>
      <c r="Y510" s="13">
        <f t="shared" si="241"/>
        <v>61.4285714285714</v>
      </c>
      <c r="Z510" s="19"/>
    </row>
    <row r="511" ht="15.6" hidden="1" outlineLevel="2" spans="1:26">
      <c r="A511" s="5">
        <v>311</v>
      </c>
      <c r="B511" s="5">
        <v>44</v>
      </c>
      <c r="C511" s="9" t="s">
        <v>560</v>
      </c>
      <c r="D511" s="9" t="s">
        <v>12</v>
      </c>
      <c r="E511" s="5">
        <v>10</v>
      </c>
      <c r="F511" s="7">
        <f>LOOKUP(E511,{0,-1.8,-0.8,0.2,1.2,2.2,3.2,4.6,6,7.4,8.8,10.2,11.6,13,14.4,15.8,17.2,19.1,21,22.8,24.6},{0,10,20,30,40,50,60,62,64,66,68,70,72,74,76,78,80,85,90,95,100})</f>
        <v>68</v>
      </c>
      <c r="G511" s="5">
        <v>241</v>
      </c>
      <c r="H511" s="7">
        <f>LOOKUP(G511,{0,180,185,190,195,200,205,209,213,217,221,225,229,233,237,241,245,253,260,265,270},{0,10,20,30,40,50,60,62,64,66,68,70,72,74,76,78,80,85,90,95,100})</f>
        <v>78</v>
      </c>
      <c r="I511" s="5">
        <v>11</v>
      </c>
      <c r="J511" s="7">
        <f>LOOKUP(I511,{0,4,5,6,7,8,9,10,11,12,13,14,15,16,17,18},{0,10,20,30,40,50,60,64,68,72,76,80,85,90,95,100})</f>
        <v>68</v>
      </c>
      <c r="K511" s="5"/>
      <c r="L511" s="5"/>
      <c r="M511" s="5">
        <f t="shared" si="236"/>
        <v>68</v>
      </c>
      <c r="N511" s="5">
        <v>7.7</v>
      </c>
      <c r="O511" s="10">
        <f t="shared" si="237"/>
        <v>10.3</v>
      </c>
      <c r="P511" s="7">
        <f>LOOKUP(O511,{0,7.8,8,8.2,8.4,8.6,8.8,9,9.2,9.4,9.6,9.8,10,10.2,10.4,10.6,10.8,10.9,11,11.1,11.2},{0,10,20,30,40,50,60,62,64,66,68,70,72,74,76,78,80,85,90,95,100})</f>
        <v>74</v>
      </c>
      <c r="Q511" s="5">
        <v>4.22</v>
      </c>
      <c r="R511" s="10">
        <f t="shared" si="238"/>
        <v>5.78</v>
      </c>
      <c r="S511" s="7">
        <f>LOOKUP(R511,{0,3.85,4.45,4.65,4.85,5.45,5.65,5.7,5.75,5.8,5.85,5.9,5.95,6,6.45,6.5,6.55,6.63,6.7,6.75,6.8},{0,10,20,30,40,50,60,62,64,66,68,70,72,74,76,78,80,85,90,95,100})</f>
        <v>64</v>
      </c>
      <c r="T511" s="5"/>
      <c r="U511" s="5"/>
      <c r="V511" s="5">
        <f t="shared" si="239"/>
        <v>64</v>
      </c>
      <c r="W511" s="5"/>
      <c r="X511" s="13">
        <f t="shared" si="240"/>
        <v>49</v>
      </c>
      <c r="Y511" s="13">
        <f t="shared" si="241"/>
        <v>70</v>
      </c>
      <c r="Z511" s="19"/>
    </row>
    <row r="512" ht="15.6" hidden="1" outlineLevel="2" spans="1:26">
      <c r="A512" s="5">
        <v>311</v>
      </c>
      <c r="B512" s="5">
        <v>45</v>
      </c>
      <c r="C512" s="9" t="s">
        <v>561</v>
      </c>
      <c r="D512" s="9" t="s">
        <v>12</v>
      </c>
      <c r="E512" s="5">
        <v>-11</v>
      </c>
      <c r="F512" s="7">
        <v>0</v>
      </c>
      <c r="G512" s="5">
        <v>206</v>
      </c>
      <c r="H512" s="7">
        <f>LOOKUP(G512,{0,180,185,190,195,200,205,209,213,217,221,225,229,233,237,241,245,253,260,265,270},{0,10,20,30,40,50,60,62,64,66,68,70,72,74,76,78,80,85,90,95,100})</f>
        <v>60</v>
      </c>
      <c r="I512" s="5">
        <v>1</v>
      </c>
      <c r="J512" s="7">
        <f>LOOKUP(I512,{0,4,5,6,7,8,9,10,11,12,13,14,15,16,17,18},{0,10,20,30,40,50,60,64,68,72,76,80,85,90,95,100})</f>
        <v>0</v>
      </c>
      <c r="K512" s="5"/>
      <c r="L512" s="5"/>
      <c r="M512" s="5">
        <f t="shared" si="236"/>
        <v>0</v>
      </c>
      <c r="N512" s="5">
        <v>7.1</v>
      </c>
      <c r="O512" s="10">
        <f t="shared" si="237"/>
        <v>10.9</v>
      </c>
      <c r="P512" s="7">
        <f>LOOKUP(O512,{0,7.8,8,8.2,8.4,8.6,8.8,9,9.2,9.4,9.6,9.8,10,10.2,10.4,10.6,10.8,10.9,11,11.1,11.2},{0,10,20,30,40,50,60,62,64,66,68,70,72,74,76,78,80,85,90,95,100})</f>
        <v>85</v>
      </c>
      <c r="Q512" s="5">
        <v>4.29</v>
      </c>
      <c r="R512" s="10">
        <f t="shared" si="238"/>
        <v>5.71</v>
      </c>
      <c r="S512" s="7">
        <f>LOOKUP(R512,{0,3.85,4.45,4.65,4.85,5.45,5.65,5.7,5.75,5.8,5.85,5.9,5.95,6,6.45,6.5,6.55,6.63,6.7,6.75,6.8},{0,10,20,30,40,50,60,62,64,66,68,70,72,74,76,78,80,85,90,95,100})</f>
        <v>62</v>
      </c>
      <c r="T512" s="5"/>
      <c r="U512" s="5"/>
      <c r="V512" s="5">
        <f t="shared" si="239"/>
        <v>62</v>
      </c>
      <c r="W512" s="5"/>
      <c r="X512" s="13">
        <f t="shared" si="240"/>
        <v>35.4</v>
      </c>
      <c r="Y512" s="13">
        <f t="shared" si="241"/>
        <v>50.5714285714286</v>
      </c>
      <c r="Z512" s="19"/>
    </row>
    <row r="513" ht="15.6" hidden="1" outlineLevel="2" spans="1:26">
      <c r="A513" s="5">
        <v>311</v>
      </c>
      <c r="B513" s="5">
        <v>46</v>
      </c>
      <c r="C513" s="9" t="s">
        <v>562</v>
      </c>
      <c r="D513" s="9" t="s">
        <v>12</v>
      </c>
      <c r="E513" s="5">
        <v>16</v>
      </c>
      <c r="F513" s="7">
        <f>LOOKUP(E513,{0,-1.8,-0.8,0.2,1.2,2.2,3.2,4.6,6,7.4,8.8,10.2,11.6,13,14.4,15.8,17.2,19.1,21,22.8,24.6},{0,10,20,30,40,50,60,62,64,66,68,70,72,74,76,78,80,85,90,95,100})</f>
        <v>78</v>
      </c>
      <c r="G513" s="5">
        <v>270</v>
      </c>
      <c r="H513" s="7">
        <f>LOOKUP(G513,{0,180,185,190,195,200,205,209,213,217,221,225,229,233,237,241,245,253,260,265,270},{0,10,20,30,40,50,60,62,64,66,68,70,72,74,76,78,80,85,90,95,100})</f>
        <v>100</v>
      </c>
      <c r="I513" s="5">
        <v>20</v>
      </c>
      <c r="J513" s="7">
        <f>LOOKUP(I513,{0,4,5,6,7,8,9,10,11,12,13,14,15,16,17,18},{0,10,20,30,40,50,60,64,68,72,76,80,85,90,95,100})</f>
        <v>100</v>
      </c>
      <c r="K513" s="5">
        <f>I513-18</f>
        <v>2</v>
      </c>
      <c r="L513" s="7">
        <f>LOOKUP(K513,{0,1,2,3,4,5,6,7,8,9,10},{0,1,2,3,4,5,6,7,8,9,10})</f>
        <v>2</v>
      </c>
      <c r="M513" s="5">
        <f t="shared" si="236"/>
        <v>102</v>
      </c>
      <c r="N513" s="5">
        <v>6.6</v>
      </c>
      <c r="O513" s="10">
        <f t="shared" si="237"/>
        <v>11.4</v>
      </c>
      <c r="P513" s="7">
        <f>LOOKUP(O513,{0,7.8,8,8.2,8.4,8.6,8.8,9,9.2,9.4,9.6,9.8,10,10.2,10.4,10.6,10.8,10.9,11,11.1,11.2},{0,10,20,30,40,50,60,62,64,66,68,70,72,74,76,78,80,85,90,95,100})</f>
        <v>100</v>
      </c>
      <c r="Q513" s="5">
        <v>4.09</v>
      </c>
      <c r="R513" s="10">
        <f t="shared" si="238"/>
        <v>5.91</v>
      </c>
      <c r="S513" s="7">
        <f>LOOKUP(R513,{0,3.85,4.45,4.65,4.85,5.45,5.65,5.7,5.75,5.8,5.85,5.9,5.95,6,6.45,6.5,6.55,6.63,6.7,6.75,6.8},{0,10,20,30,40,50,60,62,64,66,68,70,72,74,76,78,80,85,90,95,100})</f>
        <v>70</v>
      </c>
      <c r="T513" s="5"/>
      <c r="U513" s="5"/>
      <c r="V513" s="5">
        <f t="shared" si="239"/>
        <v>70</v>
      </c>
      <c r="W513" s="5"/>
      <c r="X513" s="13">
        <f t="shared" si="240"/>
        <v>61.8</v>
      </c>
      <c r="Y513" s="13">
        <f t="shared" si="241"/>
        <v>90.2857142857143</v>
      </c>
      <c r="Z513" s="19"/>
    </row>
    <row r="514" ht="15.6" hidden="1" outlineLevel="2" spans="1:26">
      <c r="A514" s="5">
        <v>311</v>
      </c>
      <c r="B514" s="5">
        <v>47</v>
      </c>
      <c r="C514" s="9" t="s">
        <v>563</v>
      </c>
      <c r="D514" s="9" t="s">
        <v>12</v>
      </c>
      <c r="E514" s="5">
        <v>2.3</v>
      </c>
      <c r="F514" s="7">
        <f>LOOKUP(E514,{0,-1.8,-0.8,0.2,1.2,2.2,3.2,4.6,6,7.4,8.8,10.2,11.6,13,14.4,15.8,17.2,19.1,21,22.8,24.6},{0,10,20,30,40,50,60,62,64,66,68,70,72,74,76,78,80,85,90,95,100})</f>
        <v>50</v>
      </c>
      <c r="G514" s="5">
        <v>210</v>
      </c>
      <c r="H514" s="7">
        <f>LOOKUP(G514,{0,180,185,190,195,200,205,209,213,217,221,225,229,233,237,241,245,253,260,265,270},{0,10,20,30,40,50,60,62,64,66,68,70,72,74,76,78,80,85,90,95,100})</f>
        <v>62</v>
      </c>
      <c r="I514" s="5">
        <v>1</v>
      </c>
      <c r="J514" s="7">
        <f>LOOKUP(I514,{0,4,5,6,7,8,9,10,11,12,13,14,15,16,17,18},{0,10,20,30,40,50,60,64,68,72,76,80,85,90,95,100})</f>
        <v>0</v>
      </c>
      <c r="K514" s="5"/>
      <c r="L514" s="5"/>
      <c r="M514" s="5">
        <f t="shared" si="236"/>
        <v>0</v>
      </c>
      <c r="N514" s="5">
        <v>7.4</v>
      </c>
      <c r="O514" s="10">
        <f t="shared" si="237"/>
        <v>10.6</v>
      </c>
      <c r="P514" s="7">
        <f>LOOKUP(O514,{0,7.8,8,8.2,8.4,8.6,8.8,9,9.2,9.4,9.6,9.8,10,10.2,10.4,10.6,10.8,10.9,11,11.1,11.2},{0,10,20,30,40,50,60,62,64,66,68,70,72,74,76,78,80,85,90,95,100})</f>
        <v>78</v>
      </c>
      <c r="Q514" s="5">
        <v>5.06</v>
      </c>
      <c r="R514" s="10">
        <f t="shared" si="238"/>
        <v>4.94</v>
      </c>
      <c r="S514" s="7">
        <f>LOOKUP(R514,{0,3.85,4.45,4.65,4.85,5.45,5.65,5.7,5.75,5.8,5.85,5.9,5.95,6,6.45,6.5,6.55,6.63,6.7,6.75,6.8},{0,10,20,30,40,50,60,62,64,66,68,70,72,74,76,78,80,85,90,95,100})</f>
        <v>40</v>
      </c>
      <c r="T514" s="5"/>
      <c r="U514" s="5"/>
      <c r="V514" s="5">
        <f t="shared" si="239"/>
        <v>40</v>
      </c>
      <c r="W514" s="5"/>
      <c r="X514" s="13">
        <f t="shared" si="240"/>
        <v>34.8</v>
      </c>
      <c r="Y514" s="13">
        <f t="shared" si="241"/>
        <v>49.7142857142857</v>
      </c>
      <c r="Z514" s="19"/>
    </row>
    <row r="515" ht="15.6" hidden="1" outlineLevel="2" spans="1:26">
      <c r="A515" s="5">
        <v>311</v>
      </c>
      <c r="B515" s="5">
        <v>48</v>
      </c>
      <c r="C515" s="9" t="s">
        <v>564</v>
      </c>
      <c r="D515" s="9" t="s">
        <v>12</v>
      </c>
      <c r="E515" s="5">
        <v>17</v>
      </c>
      <c r="F515" s="7">
        <f>LOOKUP(E515,{0,-1.8,-0.8,0.2,1.2,2.2,3.2,4.6,6,7.4,8.8,10.2,11.6,13,14.4,15.8,17.2,19.1,21,22.8,24.6},{0,10,20,30,40,50,60,62,64,66,68,70,72,74,76,78,80,85,90,95,100})</f>
        <v>78</v>
      </c>
      <c r="G515" s="5">
        <v>269</v>
      </c>
      <c r="H515" s="7">
        <f>LOOKUP(G515,{0,180,185,190,195,200,205,209,213,217,221,225,229,233,237,241,245,253,260,265,270},{0,10,20,30,40,50,60,62,64,66,68,70,72,74,76,78,80,85,90,95,100})</f>
        <v>95</v>
      </c>
      <c r="I515" s="5">
        <v>3</v>
      </c>
      <c r="J515" s="7">
        <f>LOOKUP(I515,{0,4,5,6,7,8,9,10,11,12,13,14,15,16,17,18},{0,10,20,30,40,50,60,64,68,72,76,80,85,90,95,100})</f>
        <v>0</v>
      </c>
      <c r="K515" s="5"/>
      <c r="L515" s="5"/>
      <c r="M515" s="5">
        <f t="shared" si="236"/>
        <v>0</v>
      </c>
      <c r="N515" s="5">
        <v>7</v>
      </c>
      <c r="O515" s="10">
        <f t="shared" si="237"/>
        <v>11</v>
      </c>
      <c r="P515" s="7">
        <f>LOOKUP(O515,{0,7.8,8,8.2,8.4,8.6,8.8,9,9.2,9.4,9.6,9.8,10,10.2,10.4,10.6,10.8,10.9,11,11.1,11.2},{0,10,20,30,40,50,60,62,64,66,68,70,72,74,76,78,80,85,90,95,100})</f>
        <v>90</v>
      </c>
      <c r="Q515" s="5">
        <v>4.48</v>
      </c>
      <c r="R515" s="10">
        <f t="shared" si="238"/>
        <v>5.52</v>
      </c>
      <c r="S515" s="7">
        <f>LOOKUP(R515,{0,3.85,4.45,4.65,4.85,5.45,5.65,5.7,5.75,5.8,5.85,5.9,5.95,6,6.45,6.5,6.55,6.63,6.7,6.75,6.8},{0,10,20,30,40,50,60,62,64,66,68,70,72,74,76,78,80,85,90,95,100})</f>
        <v>50</v>
      </c>
      <c r="T515" s="5"/>
      <c r="U515" s="5"/>
      <c r="V515" s="5">
        <f t="shared" si="239"/>
        <v>50</v>
      </c>
      <c r="W515" s="5"/>
      <c r="X515" s="13">
        <f t="shared" si="240"/>
        <v>45.3</v>
      </c>
      <c r="Y515" s="13">
        <f t="shared" si="241"/>
        <v>64.7142857142857</v>
      </c>
      <c r="Z515" s="19"/>
    </row>
    <row r="516" ht="15.6" hidden="1" outlineLevel="2" spans="1:26">
      <c r="A516" s="5">
        <v>311</v>
      </c>
      <c r="B516" s="5">
        <v>49</v>
      </c>
      <c r="C516" s="8" t="s">
        <v>566</v>
      </c>
      <c r="D516" s="9" t="s">
        <v>46</v>
      </c>
      <c r="E516" s="5">
        <v>23.5</v>
      </c>
      <c r="F516" s="7">
        <f>LOOKUP(E516,{0,1.5,2.3,3.1,3.9,4.7,5.5,6.8,8.1,9.4,10.7,12,13.3,14.6,15.9,17.2,18.5,20.2,21.9,23.6,25.3},{0,10,20,30,40,50,60,62,64,66,68,70,72,74,76,78,80,85,90,95,100})</f>
        <v>90</v>
      </c>
      <c r="G516" s="5">
        <v>182</v>
      </c>
      <c r="H516" s="7">
        <f>LOOKUP(G516,{0,125,130,135,140,145,150,153,156,159,162,165,168,171,174,177,180,187,194,200,206},{0,10,20,30,40,50,60,62,64,66,68,70,72,74,76,78,80,85,90,95,100})</f>
        <v>80</v>
      </c>
      <c r="I516" s="5">
        <v>49</v>
      </c>
      <c r="J516" s="7">
        <f>LOOKUP(I516,{0,15,17,19,21,23,25,27,29,31,33,35,37,39,41,43,45,48,51,53,55},{0,10,20,30,40,50,60,62,64,66,68,70,72,74,76,78,80,85,90,95,100})</f>
        <v>85</v>
      </c>
      <c r="K516" s="5"/>
      <c r="L516" s="5"/>
      <c r="M516" s="5">
        <f t="shared" si="236"/>
        <v>85</v>
      </c>
      <c r="N516" s="5">
        <v>8.6</v>
      </c>
      <c r="O516" s="10">
        <f t="shared" si="237"/>
        <v>9.4</v>
      </c>
      <c r="P516" s="7">
        <f>LOOKUP(O516,{0,6.6,6.8,7,7.2,7.4,7.6,7.8,8,8.2,8.4,8.6,8.8,9,9.2,9.4,9.6,9.9,10.2,10.3,10.4},{0,10,20,30,40,50,60,62,64,66,68,70,72,74,76,78,80,85,90,95,100})</f>
        <v>78</v>
      </c>
      <c r="Q516" s="5">
        <v>3.28</v>
      </c>
      <c r="R516" s="10">
        <f t="shared" si="238"/>
        <v>6.72</v>
      </c>
      <c r="S516" s="7">
        <f>LOOKUP(R516,{0,4.74,4.84,4.94,5.44,5.54,5.64,5.69,5.74,5.79,5.84,5.89,5.94,5.99,6.44,6.49,6.54,6.61,6.68,6.74,6.8},{0,10,20,30,40,50,60,62,64,66,68,70,72,74,76,78,80,85,90,95,100})</f>
        <v>90</v>
      </c>
      <c r="T516" s="5"/>
      <c r="U516" s="5"/>
      <c r="V516" s="5">
        <f t="shared" si="239"/>
        <v>90</v>
      </c>
      <c r="W516" s="5"/>
      <c r="X516" s="13">
        <f t="shared" si="240"/>
        <v>59.1</v>
      </c>
      <c r="Y516" s="13">
        <f t="shared" si="241"/>
        <v>84.4285714285714</v>
      </c>
      <c r="Z516" s="19"/>
    </row>
    <row r="517" ht="15.6" hidden="1" outlineLevel="2" spans="1:26">
      <c r="A517" s="5">
        <v>311</v>
      </c>
      <c r="B517" s="5">
        <v>50</v>
      </c>
      <c r="C517" s="9" t="s">
        <v>567</v>
      </c>
      <c r="D517" s="9" t="s">
        <v>46</v>
      </c>
      <c r="E517" s="5">
        <v>19</v>
      </c>
      <c r="F517" s="7">
        <f>LOOKUP(E517,{0,1.5,2.3,3.1,3.9,4.7,5.5,6.8,8.1,9.4,10.7,12,13.3,14.6,15.9,17.2,18.5,20.2,21.9,23.6,25.3},{0,10,20,30,40,50,60,62,64,66,68,70,72,74,76,78,80,85,90,95,100})</f>
        <v>80</v>
      </c>
      <c r="G517" s="5">
        <v>180</v>
      </c>
      <c r="H517" s="7">
        <f>LOOKUP(G517,{0,125,130,135,140,145,150,153,156,159,162,165,168,171,174,177,180,187,194,200,206},{0,10,20,30,40,50,60,62,64,66,68,70,72,74,76,78,80,85,90,95,100})</f>
        <v>80</v>
      </c>
      <c r="I517" s="5">
        <v>50</v>
      </c>
      <c r="J517" s="7">
        <f>LOOKUP(I517,{0,15,17,19,21,23,25,27,29,31,33,35,37,39,41,43,45,48,51,53,55},{0,10,20,30,40,50,60,62,64,66,68,70,72,74,76,78,80,85,90,95,100})</f>
        <v>85</v>
      </c>
      <c r="K517" s="5"/>
      <c r="L517" s="5"/>
      <c r="M517" s="5">
        <f t="shared" si="236"/>
        <v>85</v>
      </c>
      <c r="N517" s="5">
        <v>9</v>
      </c>
      <c r="O517" s="10">
        <f t="shared" si="237"/>
        <v>9</v>
      </c>
      <c r="P517" s="7">
        <f>LOOKUP(O517,{0,6.6,6.8,7,7.2,7.4,7.6,7.8,8,8.2,8.4,8.6,8.8,9,9.2,9.4,9.6,9.9,10.2,10.3,10.4},{0,10,20,30,40,50,60,62,64,66,68,70,72,74,76,78,80,85,90,95,100})</f>
        <v>74</v>
      </c>
      <c r="Q517" s="5">
        <v>4.55</v>
      </c>
      <c r="R517" s="10">
        <f t="shared" si="238"/>
        <v>5.45</v>
      </c>
      <c r="S517" s="7">
        <f>LOOKUP(R517,{0,4.74,4.84,4.94,5.44,5.54,5.64,5.69,5.74,5.79,5.84,5.89,5.94,5.99,6.44,6.49,6.54,6.61,6.68,6.74,6.8},{0,10,20,30,40,50,60,62,64,66,68,70,72,74,76,78,80,85,90,95,100})</f>
        <v>40</v>
      </c>
      <c r="T517" s="5"/>
      <c r="U517" s="5"/>
      <c r="V517" s="5">
        <f t="shared" si="239"/>
        <v>40</v>
      </c>
      <c r="W517" s="5"/>
      <c r="X517" s="13">
        <f t="shared" si="240"/>
        <v>47.3</v>
      </c>
      <c r="Y517" s="13">
        <f t="shared" si="241"/>
        <v>67.5714285714286</v>
      </c>
      <c r="Z517" s="19"/>
    </row>
    <row r="518" ht="15.6" hidden="1" outlineLevel="2" spans="1:26">
      <c r="A518" s="5">
        <v>311</v>
      </c>
      <c r="B518" s="5">
        <v>51</v>
      </c>
      <c r="C518" s="5" t="s">
        <v>568</v>
      </c>
      <c r="D518" s="5" t="s">
        <v>46</v>
      </c>
      <c r="E518" s="5">
        <v>18</v>
      </c>
      <c r="F518" s="7">
        <f>LOOKUP(E518,{0,1.5,2.3,3.1,3.9,4.7,5.5,6.8,8.1,9.4,10.7,12,13.3,14.6,15.9,17.2,18.5,20.2,21.9,23.6,25.3},{0,10,20,30,40,50,60,62,64,66,68,70,72,74,76,78,80,85,90,95,100})</f>
        <v>78</v>
      </c>
      <c r="G518" s="5">
        <v>210</v>
      </c>
      <c r="H518" s="7">
        <f>LOOKUP(G518,{0,125,130,135,140,145,150,153,156,159,162,165,168,171,174,177,180,187,194,200,206},{0,10,20,30,40,50,60,62,64,66,68,70,72,74,76,78,80,85,90,95,100})</f>
        <v>100</v>
      </c>
      <c r="I518" s="5">
        <v>53</v>
      </c>
      <c r="J518" s="7">
        <f>LOOKUP(I518,{0,15,17,19,21,23,25,27,29,31,33,35,37,39,41,43,45,48,51,53,55},{0,10,20,30,40,50,60,62,64,66,68,70,72,74,76,78,80,85,90,95,100})</f>
        <v>95</v>
      </c>
      <c r="K518" s="5"/>
      <c r="L518" s="5"/>
      <c r="M518" s="5">
        <f t="shared" si="236"/>
        <v>95</v>
      </c>
      <c r="N518" s="5">
        <v>7.8</v>
      </c>
      <c r="O518" s="10">
        <f t="shared" si="237"/>
        <v>10.2</v>
      </c>
      <c r="P518" s="7">
        <f>LOOKUP(O518,{0,6.6,6.8,7,7.2,7.4,7.6,7.8,8,8.2,8.4,8.6,8.8,9,9.2,9.4,9.6,9.9,10.2,10.3,10.4},{0,10,20,30,40,50,60,62,64,66,68,70,72,74,76,78,80,85,90,95,100})</f>
        <v>90</v>
      </c>
      <c r="Q518" s="5">
        <v>3.38</v>
      </c>
      <c r="R518" s="10">
        <f t="shared" si="238"/>
        <v>6.62</v>
      </c>
      <c r="S518" s="7">
        <f>LOOKUP(R518,{0,4.74,4.84,4.94,5.44,5.54,5.64,5.69,5.74,5.79,5.84,5.89,5.94,5.99,6.44,6.49,6.54,6.61,6.68,6.74,6.8},{0,10,20,30,40,50,60,62,64,66,68,70,72,74,76,78,80,85,90,95,100})</f>
        <v>85</v>
      </c>
      <c r="T518" s="5"/>
      <c r="U518" s="5"/>
      <c r="V518" s="5">
        <f t="shared" si="239"/>
        <v>85</v>
      </c>
      <c r="W518" s="5"/>
      <c r="X518" s="13">
        <f t="shared" si="240"/>
        <v>62.3</v>
      </c>
      <c r="Y518" s="13">
        <f t="shared" si="241"/>
        <v>89</v>
      </c>
      <c r="Z518" s="19"/>
    </row>
    <row r="519" ht="15.6" hidden="1" outlineLevel="2" spans="1:26">
      <c r="A519" s="5">
        <v>311</v>
      </c>
      <c r="B519" s="5">
        <v>52</v>
      </c>
      <c r="C519" s="9" t="s">
        <v>569</v>
      </c>
      <c r="D519" s="9" t="s">
        <v>46</v>
      </c>
      <c r="E519" s="5">
        <v>17</v>
      </c>
      <c r="F519" s="7">
        <f>LOOKUP(E519,{0,1.5,2.3,3.1,3.9,4.7,5.5,6.8,8.1,9.4,10.7,12,13.3,14.6,15.9,17.2,18.5,20.2,21.9,23.6,25.3},{0,10,20,30,40,50,60,62,64,66,68,70,72,74,76,78,80,85,90,95,100})</f>
        <v>76</v>
      </c>
      <c r="G519" s="5">
        <v>155</v>
      </c>
      <c r="H519" s="7">
        <f>LOOKUP(G519,{0,125,130,135,140,145,150,153,156,159,162,165,168,171,174,177,180,187,194,200,206},{0,10,20,30,40,50,60,62,64,66,68,70,72,74,76,78,80,85,90,95,100})</f>
        <v>62</v>
      </c>
      <c r="I519" s="5">
        <v>33</v>
      </c>
      <c r="J519" s="7">
        <f>LOOKUP(I519,{0,15,17,19,21,23,25,27,29,31,33,35,37,39,41,43,45,48,51,53,55},{0,10,20,30,40,50,60,62,64,66,68,70,72,74,76,78,80,85,90,95,100})</f>
        <v>68</v>
      </c>
      <c r="K519" s="5"/>
      <c r="L519" s="5"/>
      <c r="M519" s="5">
        <f t="shared" si="236"/>
        <v>68</v>
      </c>
      <c r="N519" s="5">
        <v>9.5</v>
      </c>
      <c r="O519" s="10">
        <f t="shared" si="237"/>
        <v>8.5</v>
      </c>
      <c r="P519" s="7">
        <f>LOOKUP(O519,{0,6.6,6.8,7,7.2,7.4,7.6,7.8,8,8.2,8.4,8.6,8.8,9,9.2,9.4,9.6,9.9,10.2,10.3,10.4},{0,10,20,30,40,50,60,62,64,66,68,70,72,74,76,78,80,85,90,95,100})</f>
        <v>68</v>
      </c>
      <c r="Q519" s="5">
        <v>4.58</v>
      </c>
      <c r="R519" s="10">
        <f t="shared" si="238"/>
        <v>5.42</v>
      </c>
      <c r="S519" s="7">
        <f>LOOKUP(R519,{0,4.74,4.84,4.94,5.44,5.54,5.64,5.69,5.74,5.79,5.84,5.89,5.94,5.99,6.44,6.49,6.54,6.61,6.68,6.74,6.8},{0,10,20,30,40,50,60,62,64,66,68,70,72,74,76,78,80,85,90,95,100})</f>
        <v>30</v>
      </c>
      <c r="T519" s="5"/>
      <c r="U519" s="5"/>
      <c r="V519" s="5">
        <f t="shared" si="239"/>
        <v>30</v>
      </c>
      <c r="W519" s="5"/>
      <c r="X519" s="13">
        <f t="shared" si="240"/>
        <v>40.2</v>
      </c>
      <c r="Y519" s="13">
        <f t="shared" si="241"/>
        <v>57.4285714285714</v>
      </c>
      <c r="Z519" s="19"/>
    </row>
    <row r="520" ht="15.6" hidden="1" outlineLevel="2" spans="1:26">
      <c r="A520" s="5">
        <v>311</v>
      </c>
      <c r="B520" s="5">
        <v>53</v>
      </c>
      <c r="C520" s="5" t="s">
        <v>570</v>
      </c>
      <c r="D520" s="5" t="s">
        <v>46</v>
      </c>
      <c r="E520" s="5">
        <v>8.5</v>
      </c>
      <c r="F520" s="7">
        <f>LOOKUP(E520,{0,1.5,2.3,3.1,3.9,4.7,5.5,6.8,8.1,9.4,10.7,12,13.3,14.6,15.9,17.2,18.5,20.2,21.9,23.6,25.3},{0,10,20,30,40,50,60,62,64,66,68,70,72,74,76,78,80,85,90,95,100})</f>
        <v>64</v>
      </c>
      <c r="G520" s="5">
        <v>160</v>
      </c>
      <c r="H520" s="7">
        <f>LOOKUP(G520,{0,125,130,135,140,145,150,153,156,159,162,165,168,171,174,177,180,187,194,200,206},{0,10,20,30,40,50,60,62,64,66,68,70,72,74,76,78,80,85,90,95,100})</f>
        <v>66</v>
      </c>
      <c r="I520" s="5">
        <v>47</v>
      </c>
      <c r="J520" s="7">
        <f>LOOKUP(I520,{0,15,17,19,21,23,25,27,29,31,33,35,37,39,41,43,45,48,51,53,55},{0,10,20,30,40,50,60,62,64,66,68,70,72,74,76,78,80,85,90,95,100})</f>
        <v>80</v>
      </c>
      <c r="K520" s="5"/>
      <c r="L520" s="5"/>
      <c r="M520" s="5">
        <f t="shared" si="236"/>
        <v>80</v>
      </c>
      <c r="N520" s="5">
        <v>8.6</v>
      </c>
      <c r="O520" s="10">
        <f t="shared" si="237"/>
        <v>9.4</v>
      </c>
      <c r="P520" s="7">
        <f>LOOKUP(O520,{0,6.6,6.8,7,7.2,7.4,7.6,7.8,8,8.2,8.4,8.6,8.8,9,9.2,9.4,9.6,9.9,10.2,10.3,10.4},{0,10,20,30,40,50,60,62,64,66,68,70,72,74,76,78,80,85,90,95,100})</f>
        <v>78</v>
      </c>
      <c r="Q520" s="5">
        <v>4.55</v>
      </c>
      <c r="R520" s="10">
        <f t="shared" si="238"/>
        <v>5.45</v>
      </c>
      <c r="S520" s="7">
        <f>LOOKUP(R520,{0,4.74,4.84,4.94,5.44,5.54,5.64,5.69,5.74,5.79,5.84,5.89,5.94,5.99,6.44,6.49,6.54,6.61,6.68,6.74,6.8},{0,10,20,30,40,50,60,62,64,66,68,70,72,74,76,78,80,85,90,95,100})</f>
        <v>40</v>
      </c>
      <c r="T520" s="5"/>
      <c r="U520" s="5"/>
      <c r="V520" s="5">
        <f t="shared" si="239"/>
        <v>40</v>
      </c>
      <c r="W520" s="5"/>
      <c r="X520" s="13">
        <f t="shared" si="240"/>
        <v>44.6</v>
      </c>
      <c r="Y520" s="13">
        <f t="shared" si="241"/>
        <v>63.7142857142857</v>
      </c>
      <c r="Z520" s="19"/>
    </row>
    <row r="521" ht="15.6" hidden="1" outlineLevel="2" spans="1:26">
      <c r="A521" s="5">
        <v>311</v>
      </c>
      <c r="B521" s="5">
        <v>54</v>
      </c>
      <c r="C521" s="9" t="s">
        <v>571</v>
      </c>
      <c r="D521" s="9" t="s">
        <v>46</v>
      </c>
      <c r="E521" s="5">
        <v>15.5</v>
      </c>
      <c r="F521" s="7">
        <f>LOOKUP(E521,{0,1.5,2.3,3.1,3.9,4.7,5.5,6.8,8.1,9.4,10.7,12,13.3,14.6,15.9,17.2,18.5,20.2,21.9,23.6,25.3},{0,10,20,30,40,50,60,62,64,66,68,70,72,74,76,78,80,85,90,95,100})</f>
        <v>74</v>
      </c>
      <c r="G521" s="5">
        <v>175</v>
      </c>
      <c r="H521" s="7">
        <f>LOOKUP(G521,{0,125,130,135,140,145,150,153,156,159,162,165,168,171,174,177,180,187,194,200,206},{0,10,20,30,40,50,60,62,64,66,68,70,72,74,76,78,80,85,90,95,100})</f>
        <v>76</v>
      </c>
      <c r="I521" s="5">
        <v>45</v>
      </c>
      <c r="J521" s="7">
        <f>LOOKUP(I521,{0,15,17,19,21,23,25,27,29,31,33,35,37,39,41,43,45,48,51,53,55},{0,10,20,30,40,50,60,62,64,66,68,70,72,74,76,78,80,85,90,95,100})</f>
        <v>80</v>
      </c>
      <c r="K521" s="5"/>
      <c r="L521" s="5"/>
      <c r="M521" s="5">
        <f t="shared" si="236"/>
        <v>80</v>
      </c>
      <c r="N521" s="5">
        <v>10.6</v>
      </c>
      <c r="O521" s="10">
        <f t="shared" si="237"/>
        <v>7.4</v>
      </c>
      <c r="P521" s="7">
        <f>LOOKUP(O521,{0,6.6,6.8,7,7.2,7.4,7.6,7.8,8,8.2,8.4,8.6,8.8,9,9.2,9.4,9.6,9.9,10.2,10.3,10.4},{0,10,20,30,40,50,60,62,64,66,68,70,72,74,76,78,80,85,90,95,100})</f>
        <v>50</v>
      </c>
      <c r="Q521" s="5">
        <v>4.26</v>
      </c>
      <c r="R521" s="10">
        <f t="shared" si="238"/>
        <v>5.74</v>
      </c>
      <c r="S521" s="7">
        <f>LOOKUP(R521,{0,4.74,4.84,4.94,5.44,5.54,5.64,5.69,5.74,5.79,5.84,5.89,5.94,5.99,6.44,6.49,6.54,6.61,6.68,6.74,6.8},{0,10,20,30,40,50,60,62,64,66,68,70,72,74,76,78,80,85,90,95,100})</f>
        <v>64</v>
      </c>
      <c r="T521" s="5"/>
      <c r="U521" s="5"/>
      <c r="V521" s="5">
        <f t="shared" si="239"/>
        <v>64</v>
      </c>
      <c r="W521" s="5"/>
      <c r="X521" s="13">
        <f t="shared" si="240"/>
        <v>45.8</v>
      </c>
      <c r="Y521" s="13">
        <f t="shared" si="241"/>
        <v>65.4285714285714</v>
      </c>
      <c r="Z521" s="19"/>
    </row>
    <row r="522" ht="15.6" hidden="1" outlineLevel="2" spans="1:26">
      <c r="A522" s="5">
        <v>311</v>
      </c>
      <c r="B522" s="5">
        <v>55</v>
      </c>
      <c r="C522" s="9" t="s">
        <v>572</v>
      </c>
      <c r="D522" s="9" t="s">
        <v>46</v>
      </c>
      <c r="E522" s="5">
        <v>17</v>
      </c>
      <c r="F522" s="7">
        <f>LOOKUP(E522,{0,1.5,2.3,3.1,3.9,4.7,5.5,6.8,8.1,9.4,10.7,12,13.3,14.6,15.9,17.2,18.5,20.2,21.9,23.6,25.3},{0,10,20,30,40,50,60,62,64,66,68,70,72,74,76,78,80,85,90,95,100})</f>
        <v>76</v>
      </c>
      <c r="G522" s="5">
        <v>185</v>
      </c>
      <c r="H522" s="7">
        <f>LOOKUP(G522,{0,125,130,135,140,145,150,153,156,159,162,165,168,171,174,177,180,187,194,200,206},{0,10,20,30,40,50,60,62,64,66,68,70,72,74,76,78,80,85,90,95,100})</f>
        <v>80</v>
      </c>
      <c r="I522" s="5">
        <v>48</v>
      </c>
      <c r="J522" s="7">
        <f>LOOKUP(I522,{0,15,17,19,21,23,25,27,29,31,33,35,37,39,41,43,45,48,51,53,55},{0,10,20,30,40,50,60,62,64,66,68,70,72,74,76,78,80,85,90,95,100})</f>
        <v>85</v>
      </c>
      <c r="K522" s="5"/>
      <c r="L522" s="5"/>
      <c r="M522" s="5">
        <f t="shared" si="236"/>
        <v>85</v>
      </c>
      <c r="N522" s="5">
        <v>9.3</v>
      </c>
      <c r="O522" s="10">
        <f t="shared" si="237"/>
        <v>8.7</v>
      </c>
      <c r="P522" s="7">
        <f>LOOKUP(O522,{0,6.6,6.8,7,7.2,7.4,7.6,7.8,8,8.2,8.4,8.6,8.8,9,9.2,9.4,9.6,9.9,10.2,10.3,10.4},{0,10,20,30,40,50,60,62,64,66,68,70,72,74,76,78,80,85,90,95,100})</f>
        <v>70</v>
      </c>
      <c r="Q522" s="5">
        <v>4.26</v>
      </c>
      <c r="R522" s="10">
        <f t="shared" si="238"/>
        <v>5.74</v>
      </c>
      <c r="S522" s="7">
        <f>LOOKUP(R522,{0,4.74,4.84,4.94,5.44,5.54,5.64,5.69,5.74,5.79,5.84,5.89,5.94,5.99,6.44,6.49,6.54,6.61,6.68,6.74,6.8},{0,10,20,30,40,50,60,62,64,66,68,70,72,74,76,78,80,85,90,95,100})</f>
        <v>64</v>
      </c>
      <c r="T522" s="5"/>
      <c r="U522" s="5"/>
      <c r="V522" s="5">
        <f t="shared" si="239"/>
        <v>64</v>
      </c>
      <c r="W522" s="5"/>
      <c r="X522" s="13">
        <f t="shared" si="240"/>
        <v>50.9</v>
      </c>
      <c r="Y522" s="13">
        <f t="shared" si="241"/>
        <v>72.7142857142857</v>
      </c>
      <c r="Z522" s="19"/>
    </row>
    <row r="523" ht="15.6" outlineLevel="1" collapsed="1" spans="1:26">
      <c r="A523" s="6" t="s">
        <v>862</v>
      </c>
      <c r="B523" s="5"/>
      <c r="C523" s="9"/>
      <c r="D523" s="9"/>
      <c r="E523" s="5"/>
      <c r="F523" s="7">
        <f>SUBTOTAL(1,F468:F522)</f>
        <v>59.7407407407407</v>
      </c>
      <c r="G523" s="5"/>
      <c r="H523" s="7">
        <f>SUBTOTAL(1,H468:H522)</f>
        <v>74.9444444444444</v>
      </c>
      <c r="I523" s="5"/>
      <c r="J523" s="7">
        <f>SUBTOTAL(1,J468:J522)</f>
        <v>47.5740740740741</v>
      </c>
      <c r="K523" s="5"/>
      <c r="L523" s="5"/>
      <c r="M523" s="5">
        <f>SUBTOTAL(1,M468:M522)</f>
        <v>48.3518518518519</v>
      </c>
      <c r="N523" s="5"/>
      <c r="O523" s="10"/>
      <c r="P523" s="7">
        <f>SUBTOTAL(1,P468:P522)</f>
        <v>79.7962962962963</v>
      </c>
      <c r="Q523" s="5"/>
      <c r="R523" s="10"/>
      <c r="S523" s="7">
        <f>SUBTOTAL(1,S468:S522)</f>
        <v>54.3148148148148</v>
      </c>
      <c r="T523" s="5"/>
      <c r="U523" s="5"/>
      <c r="V523" s="5">
        <f>SUBTOTAL(1,V468:V522)</f>
        <v>54.3148148148148</v>
      </c>
      <c r="W523" s="5"/>
      <c r="X523" s="13">
        <f>SUBTOTAL(1,X468:X522)</f>
        <v>45.0481481481481</v>
      </c>
      <c r="Y523" s="13">
        <f>SUBTOTAL(1,Y468:Y522)</f>
        <v>64.8571428571429</v>
      </c>
      <c r="Z523" s="19"/>
    </row>
    <row r="524" ht="15.6" hidden="1" outlineLevel="2" spans="1:26">
      <c r="A524" s="5">
        <v>312</v>
      </c>
      <c r="B524" s="5">
        <v>1</v>
      </c>
      <c r="C524" s="8" t="s">
        <v>574</v>
      </c>
      <c r="D524" s="9" t="s">
        <v>12</v>
      </c>
      <c r="E524" s="5">
        <v>12.5</v>
      </c>
      <c r="F524" s="7">
        <f>LOOKUP(E524,{0,-1.8,-0.8,0.2,1.2,2.2,3.2,4.6,6,7.4,8.8,10.2,11.6,13,14.4,15.8,17.2,19.1,21,22.8,24.6},{0,10,20,30,40,50,60,62,64,66,68,70,72,74,76,78,80,85,90,95,100})</f>
        <v>72</v>
      </c>
      <c r="G524" s="5">
        <v>195</v>
      </c>
      <c r="H524" s="7">
        <f>LOOKUP(G524,{0,180,185,190,195,200,205,209,213,217,221,225,229,233,237,241,245,253,260,265,270},{0,10,20,30,40,50,60,62,64,66,68,70,72,74,76,78,80,85,90,95,100})</f>
        <v>40</v>
      </c>
      <c r="I524" s="5">
        <v>0</v>
      </c>
      <c r="J524" s="7">
        <f>LOOKUP(I524,{0,4,5,6,7,8,9,10,11,12,13,14,15,16,17,18},{0,10,20,30,40,50,60,64,68,72,76,80,85,90,95,100})</f>
        <v>0</v>
      </c>
      <c r="K524" s="5"/>
      <c r="L524" s="5"/>
      <c r="M524" s="5">
        <f>J524+L524</f>
        <v>0</v>
      </c>
      <c r="N524" s="5">
        <v>7.9</v>
      </c>
      <c r="O524" s="10">
        <f>18-N524</f>
        <v>10.1</v>
      </c>
      <c r="P524" s="7">
        <f>LOOKUP(O524,{0,7.8,8,8.2,8.4,8.6,8.8,9,9.2,9.4,9.6,9.8,10,10.2,10.4,10.6,10.8,10.9,11,11.1,11.2},{0,10,20,30,40,50,60,62,64,66,68,70,72,74,76,78,80,85,90,95,100})</f>
        <v>72</v>
      </c>
      <c r="Q524" s="5">
        <v>5.5</v>
      </c>
      <c r="R524" s="10">
        <f>10-Q524</f>
        <v>4.5</v>
      </c>
      <c r="S524" s="7">
        <f>LOOKUP(R524,{0,3.85,4.45,4.65,4.85,5.45,5.65,5.7,5.75,5.8,5.85,5.9,5.95,6,6.45,6.5,6.55,6.63,6.7,6.75,6.8},{0,10,20,30,40,50,60,62,64,66,68,70,72,74,76,78,80,85,90,95,100})</f>
        <v>20</v>
      </c>
      <c r="T524" s="5"/>
      <c r="U524" s="5"/>
      <c r="V524" s="5">
        <f>S524+U524</f>
        <v>20</v>
      </c>
      <c r="W524" s="5"/>
      <c r="X524" s="13">
        <f>F524*0.1+H524*0.1+J524*0.1+P524*0.2+S524*0.2</f>
        <v>29.6</v>
      </c>
      <c r="Y524" s="13">
        <f>X524/0.7+L524+U524</f>
        <v>42.2857142857143</v>
      </c>
      <c r="Z524" s="19"/>
    </row>
    <row r="525" ht="15.6" hidden="1" outlineLevel="2" spans="1:26">
      <c r="A525" s="5">
        <v>312</v>
      </c>
      <c r="B525" s="5">
        <v>2</v>
      </c>
      <c r="C525" s="9" t="s">
        <v>575</v>
      </c>
      <c r="D525" s="9" t="s">
        <v>12</v>
      </c>
      <c r="E525" s="5"/>
      <c r="F525" s="7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>
        <v>50</v>
      </c>
      <c r="X525" s="13"/>
      <c r="Y525" s="13">
        <v>50</v>
      </c>
      <c r="Z525" s="19"/>
    </row>
    <row r="526" ht="15.6" hidden="1" outlineLevel="2" spans="1:26">
      <c r="A526" s="5">
        <v>312</v>
      </c>
      <c r="B526" s="5">
        <v>3</v>
      </c>
      <c r="C526" s="9" t="s">
        <v>576</v>
      </c>
      <c r="D526" s="9" t="s">
        <v>12</v>
      </c>
      <c r="E526" s="5"/>
      <c r="F526" s="7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>
        <v>50</v>
      </c>
      <c r="X526" s="13"/>
      <c r="Y526" s="13">
        <v>50</v>
      </c>
      <c r="Z526" s="19"/>
    </row>
    <row r="527" ht="15.6" hidden="1" outlineLevel="2" spans="1:26">
      <c r="A527" s="5">
        <v>312</v>
      </c>
      <c r="B527" s="5">
        <v>4</v>
      </c>
      <c r="C527" s="9" t="s">
        <v>577</v>
      </c>
      <c r="D527" s="9" t="s">
        <v>12</v>
      </c>
      <c r="E527" s="5">
        <v>10.8</v>
      </c>
      <c r="F527" s="7">
        <f>LOOKUP(E527,{0,-1.8,-0.8,0.2,1.2,2.2,3.2,4.6,6,7.4,8.8,10.2,11.6,13,14.4,15.8,17.2,19.1,21,22.8,24.6},{0,10,20,30,40,50,60,62,64,66,68,70,72,74,76,78,80,85,90,95,100})</f>
        <v>70</v>
      </c>
      <c r="G527" s="5">
        <v>225</v>
      </c>
      <c r="H527" s="7">
        <f>LOOKUP(G527,{0,180,185,190,195,200,205,209,213,217,221,225,229,233,237,241,245,253,260,265,270},{0,10,20,30,40,50,60,62,64,66,68,70,72,74,76,78,80,85,90,95,100})</f>
        <v>70</v>
      </c>
      <c r="I527" s="5">
        <v>19</v>
      </c>
      <c r="J527" s="7">
        <f>LOOKUP(I527,{0,4,5,6,7,8,9,10,11,12,13,14,15,16,17,18},{0,10,20,30,40,50,60,64,68,72,76,80,85,90,95,100})</f>
        <v>100</v>
      </c>
      <c r="K527" s="5">
        <f>I527-18</f>
        <v>1</v>
      </c>
      <c r="L527" s="7">
        <f>LOOKUP(K527,{0,1,2,3,4,5,6,7,8,9,10},{0,1,2,3,4,5,6,7,8,9,10})</f>
        <v>1</v>
      </c>
      <c r="M527" s="5">
        <f t="shared" ref="M527:M551" si="242">J527+L527</f>
        <v>101</v>
      </c>
      <c r="N527" s="5">
        <v>8.1</v>
      </c>
      <c r="O527" s="10">
        <f t="shared" ref="O527:O551" si="243">18-N527</f>
        <v>9.9</v>
      </c>
      <c r="P527" s="7">
        <f>LOOKUP(O527,{0,7.8,8,8.2,8.4,8.6,8.8,9,9.2,9.4,9.6,9.8,10,10.2,10.4,10.6,10.8,10.9,11,11.1,11.2},{0,10,20,30,40,50,60,62,64,66,68,70,72,74,76,78,80,85,90,95,100})</f>
        <v>70</v>
      </c>
      <c r="Q527" s="5">
        <v>5.05</v>
      </c>
      <c r="R527" s="10">
        <f t="shared" ref="R527:R551" si="244">10-Q527</f>
        <v>4.95</v>
      </c>
      <c r="S527" s="7">
        <f>LOOKUP(R527,{0,3.85,4.45,4.65,4.85,5.45,5.65,5.7,5.75,5.8,5.85,5.9,5.95,6,6.45,6.5,6.55,6.63,6.7,6.75,6.8},{0,10,20,30,40,50,60,62,64,66,68,70,72,74,76,78,80,85,90,95,100})</f>
        <v>40</v>
      </c>
      <c r="T527" s="5"/>
      <c r="U527" s="5"/>
      <c r="V527" s="5">
        <f t="shared" ref="V527:V551" si="245">S527+U527</f>
        <v>40</v>
      </c>
      <c r="W527" s="5"/>
      <c r="X527" s="13">
        <f t="shared" ref="X527:X551" si="246">F527*0.1+H527*0.1+J527*0.1+P527*0.2+S527*0.2</f>
        <v>46</v>
      </c>
      <c r="Y527" s="13">
        <f t="shared" ref="Y527:Y551" si="247">X527/0.7+L527+U527</f>
        <v>66.7142857142857</v>
      </c>
      <c r="Z527" s="19"/>
    </row>
    <row r="528" ht="15.6" hidden="1" outlineLevel="2" spans="1:26">
      <c r="A528" s="5">
        <v>312</v>
      </c>
      <c r="B528" s="5">
        <v>5</v>
      </c>
      <c r="C528" s="9" t="s">
        <v>578</v>
      </c>
      <c r="D528" s="9" t="s">
        <v>12</v>
      </c>
      <c r="E528" s="5">
        <v>9</v>
      </c>
      <c r="F528" s="7">
        <f>LOOKUP(E528,{0,-1.8,-0.8,0.2,1.2,2.2,3.2,4.6,6,7.4,8.8,10.2,11.6,13,14.4,15.8,17.2,19.1,21,22.8,24.6},{0,10,20,30,40,50,60,62,64,66,68,70,72,74,76,78,80,85,90,95,100})</f>
        <v>68</v>
      </c>
      <c r="G528" s="5">
        <v>260</v>
      </c>
      <c r="H528" s="7">
        <f>LOOKUP(G528,{0,180,185,190,195,200,205,209,213,217,221,225,229,233,237,241,245,253,260,265,270},{0,10,20,30,40,50,60,62,64,66,68,70,72,74,76,78,80,85,90,95,100})</f>
        <v>90</v>
      </c>
      <c r="I528" s="5">
        <v>19</v>
      </c>
      <c r="J528" s="7">
        <f>LOOKUP(I528,{0,4,5,6,7,8,9,10,11,12,13,14,15,16,17,18},{0,10,20,30,40,50,60,64,68,72,76,80,85,90,95,100})</f>
        <v>100</v>
      </c>
      <c r="K528" s="5">
        <f>I528-18</f>
        <v>1</v>
      </c>
      <c r="L528" s="7">
        <f>LOOKUP(K528,{0,1,2,3,4,5,6,7,8,9,10},{0,1,2,3,4,5,6,7,8,9,10})</f>
        <v>1</v>
      </c>
      <c r="M528" s="5">
        <f t="shared" si="242"/>
        <v>101</v>
      </c>
      <c r="N528" s="5">
        <v>7.4</v>
      </c>
      <c r="O528" s="10">
        <f t="shared" si="243"/>
        <v>10.6</v>
      </c>
      <c r="P528" s="7">
        <f>LOOKUP(O528,{0,7.8,8,8.2,8.4,8.6,8.8,9,9.2,9.4,9.6,9.8,10,10.2,10.4,10.6,10.8,10.9,11,11.1,11.2},{0,10,20,30,40,50,60,62,64,66,68,70,72,74,76,78,80,85,90,95,100})</f>
        <v>78</v>
      </c>
      <c r="Q528" s="5">
        <v>4.09</v>
      </c>
      <c r="R528" s="10">
        <f t="shared" si="244"/>
        <v>5.91</v>
      </c>
      <c r="S528" s="7">
        <f>LOOKUP(R528,{0,3.85,4.45,4.65,4.85,5.45,5.65,5.7,5.75,5.8,5.85,5.9,5.95,6,6.45,6.5,6.55,6.63,6.7,6.75,6.8},{0,10,20,30,40,50,60,62,64,66,68,70,72,74,76,78,80,85,90,95,100})</f>
        <v>70</v>
      </c>
      <c r="T528" s="5"/>
      <c r="U528" s="5"/>
      <c r="V528" s="5">
        <f t="shared" si="245"/>
        <v>70</v>
      </c>
      <c r="W528" s="5"/>
      <c r="X528" s="13">
        <f t="shared" si="246"/>
        <v>55.4</v>
      </c>
      <c r="Y528" s="13">
        <f t="shared" si="247"/>
        <v>80.1428571428572</v>
      </c>
      <c r="Z528" s="20"/>
    </row>
    <row r="529" ht="15.6" hidden="1" outlineLevel="2" spans="1:26">
      <c r="A529" s="5">
        <v>312</v>
      </c>
      <c r="B529" s="5">
        <v>6</v>
      </c>
      <c r="C529" s="9" t="s">
        <v>579</v>
      </c>
      <c r="D529" s="9" t="s">
        <v>12</v>
      </c>
      <c r="E529" s="5">
        <v>9</v>
      </c>
      <c r="F529" s="7">
        <f>LOOKUP(E529,{0,-1.8,-0.8,0.2,1.2,2.2,3.2,4.6,6,7.4,8.8,10.2,11.6,13,14.4,15.8,17.2,19.1,21,22.8,24.6},{0,10,20,30,40,50,60,62,64,66,68,70,72,74,76,78,80,85,90,95,100})</f>
        <v>68</v>
      </c>
      <c r="G529" s="5">
        <v>220</v>
      </c>
      <c r="H529" s="7">
        <f>LOOKUP(G529,{0,180,185,190,195,200,205,209,213,217,221,225,229,233,237,241,245,253,260,265,270},{0,10,20,30,40,50,60,62,64,66,68,70,72,74,76,78,80,85,90,95,100})</f>
        <v>66</v>
      </c>
      <c r="I529" s="5">
        <v>4</v>
      </c>
      <c r="J529" s="7">
        <f>LOOKUP(I529,{0,4,5,6,7,8,9,10,11,12,13,14,15,16,17,18},{0,10,20,30,40,50,60,64,68,72,76,80,85,90,95,100})</f>
        <v>10</v>
      </c>
      <c r="K529" s="5"/>
      <c r="L529" s="5"/>
      <c r="M529" s="5">
        <f t="shared" si="242"/>
        <v>10</v>
      </c>
      <c r="N529" s="5">
        <v>7.2</v>
      </c>
      <c r="O529" s="10">
        <f t="shared" si="243"/>
        <v>10.8</v>
      </c>
      <c r="P529" s="7">
        <f>LOOKUP(O529,{0,7.8,8,8.2,8.4,8.6,8.8,9,9.2,9.4,9.6,9.8,10,10.2,10.4,10.6,10.8,10.9,11,11.1,11.2},{0,10,20,30,40,50,60,62,64,66,68,70,72,74,76,78,80,85,90,95,100})</f>
        <v>80</v>
      </c>
      <c r="Q529" s="5">
        <v>5.07</v>
      </c>
      <c r="R529" s="10">
        <f t="shared" si="244"/>
        <v>4.93</v>
      </c>
      <c r="S529" s="7">
        <f>LOOKUP(R529,{0,3.85,4.45,4.65,4.85,5.45,5.65,5.7,5.75,5.8,5.85,5.9,5.95,6,6.45,6.5,6.55,6.63,6.7,6.75,6.8},{0,10,20,30,40,50,60,62,64,66,68,70,72,74,76,78,80,85,90,95,100})</f>
        <v>40</v>
      </c>
      <c r="T529" s="5"/>
      <c r="U529" s="5"/>
      <c r="V529" s="5">
        <f t="shared" si="245"/>
        <v>40</v>
      </c>
      <c r="W529" s="5"/>
      <c r="X529" s="13">
        <f t="shared" si="246"/>
        <v>38.4</v>
      </c>
      <c r="Y529" s="13">
        <f t="shared" si="247"/>
        <v>54.8571428571429</v>
      </c>
      <c r="Z529" s="19"/>
    </row>
    <row r="530" ht="15.6" hidden="1" outlineLevel="2" spans="1:26">
      <c r="A530" s="5">
        <v>312</v>
      </c>
      <c r="B530" s="5">
        <v>7</v>
      </c>
      <c r="C530" s="9" t="s">
        <v>580</v>
      </c>
      <c r="D530" s="9" t="s">
        <v>12</v>
      </c>
      <c r="E530" s="5">
        <v>9</v>
      </c>
      <c r="F530" s="7">
        <f>LOOKUP(E530,{0,-1.8,-0.8,0.2,1.2,2.2,3.2,4.6,6,7.4,8.8,10.2,11.6,13,14.4,15.8,17.2,19.1,21,22.8,24.6},{0,10,20,30,40,50,60,62,64,66,68,70,72,74,76,78,80,85,90,95,100})</f>
        <v>68</v>
      </c>
      <c r="G530" s="5">
        <v>200</v>
      </c>
      <c r="H530" s="7">
        <f>LOOKUP(G530,{0,180,185,190,195,200,205,209,213,217,221,225,229,233,237,241,245,253,260,265,270},{0,10,20,30,40,50,60,62,64,66,68,70,72,74,76,78,80,85,90,95,100})</f>
        <v>50</v>
      </c>
      <c r="I530" s="5">
        <v>0</v>
      </c>
      <c r="J530" s="7">
        <f>LOOKUP(I530,{0,4,5,6,7,8,9,10,11,12,13,14,15,16,17,18},{0,10,20,30,40,50,60,64,68,72,76,80,85,90,95,100})</f>
        <v>0</v>
      </c>
      <c r="K530" s="5"/>
      <c r="L530" s="5"/>
      <c r="M530" s="5">
        <f t="shared" si="242"/>
        <v>0</v>
      </c>
      <c r="N530" s="5">
        <v>6.8</v>
      </c>
      <c r="O530" s="10">
        <f t="shared" si="243"/>
        <v>11.2</v>
      </c>
      <c r="P530" s="7">
        <f>LOOKUP(O530,{0,7.8,8,8.2,8.4,8.6,8.8,9,9.2,9.4,9.6,9.8,10,10.2,10.4,10.6,10.8,10.9,11,11.1,11.2},{0,10,20,30,40,50,60,62,64,66,68,70,72,74,76,78,80,85,90,95,100})</f>
        <v>100</v>
      </c>
      <c r="Q530" s="5">
        <v>5.5</v>
      </c>
      <c r="R530" s="10">
        <f t="shared" si="244"/>
        <v>4.5</v>
      </c>
      <c r="S530" s="7">
        <f>LOOKUP(R530,{0,3.85,4.45,4.65,4.85,5.45,5.65,5.7,5.75,5.8,5.85,5.9,5.95,6,6.45,6.5,6.55,6.63,6.7,6.75,6.8},{0,10,20,30,40,50,60,62,64,66,68,70,72,74,76,78,80,85,90,95,100})</f>
        <v>20</v>
      </c>
      <c r="T530" s="5"/>
      <c r="U530" s="5"/>
      <c r="V530" s="5">
        <f t="shared" si="245"/>
        <v>20</v>
      </c>
      <c r="W530" s="5"/>
      <c r="X530" s="13">
        <f t="shared" si="246"/>
        <v>35.8</v>
      </c>
      <c r="Y530" s="13">
        <f t="shared" si="247"/>
        <v>51.1428571428571</v>
      </c>
      <c r="Z530" s="19"/>
    </row>
    <row r="531" ht="15.6" hidden="1" outlineLevel="2" spans="1:26">
      <c r="A531" s="5">
        <v>312</v>
      </c>
      <c r="B531" s="5">
        <v>8</v>
      </c>
      <c r="C531" s="9" t="s">
        <v>581</v>
      </c>
      <c r="D531" s="9" t="s">
        <v>12</v>
      </c>
      <c r="E531" s="5">
        <v>15.3</v>
      </c>
      <c r="F531" s="7">
        <f>LOOKUP(E531,{0,-1.8,-0.8,0.2,1.2,2.2,3.2,4.6,6,7.4,8.8,10.2,11.6,13,14.4,15.8,17.2,19.1,21,22.8,24.6},{0,10,20,30,40,50,60,62,64,66,68,70,72,74,76,78,80,85,90,95,100})</f>
        <v>76</v>
      </c>
      <c r="G531" s="5">
        <v>255</v>
      </c>
      <c r="H531" s="7">
        <f>LOOKUP(G531,{0,180,185,190,195,200,205,209,213,217,221,225,229,233,237,241,245,253,260,265,270},{0,10,20,30,40,50,60,62,64,66,68,70,72,74,76,78,80,85,90,95,100})</f>
        <v>85</v>
      </c>
      <c r="I531" s="5">
        <v>14</v>
      </c>
      <c r="J531" s="7">
        <f>LOOKUP(I531,{0,4,5,6,7,8,9,10,11,12,13,14,15,16,17,18},{0,10,20,30,40,50,60,64,68,72,76,80,85,90,95,100})</f>
        <v>80</v>
      </c>
      <c r="K531" s="5"/>
      <c r="L531" s="5"/>
      <c r="M531" s="5">
        <f t="shared" si="242"/>
        <v>80</v>
      </c>
      <c r="N531" s="5">
        <v>7.8</v>
      </c>
      <c r="O531" s="10">
        <f t="shared" si="243"/>
        <v>10.2</v>
      </c>
      <c r="P531" s="7">
        <f>LOOKUP(O531,{0,7.8,8,8.2,8.4,8.6,8.8,9,9.2,9.4,9.6,9.8,10,10.2,10.4,10.6,10.8,10.9,11,11.1,11.2},{0,10,20,30,40,50,60,62,64,66,68,70,72,74,76,78,80,85,90,95,100})</f>
        <v>74</v>
      </c>
      <c r="Q531" s="5">
        <v>3.24</v>
      </c>
      <c r="R531" s="10">
        <f t="shared" si="244"/>
        <v>6.76</v>
      </c>
      <c r="S531" s="7">
        <f>LOOKUP(R531,{0,3.85,4.45,4.65,4.85,5.45,5.65,5.7,5.75,5.8,5.85,5.9,5.95,6,6.45,6.5,6.55,6.63,6.7,6.75,6.8},{0,10,20,30,40,50,60,62,64,66,68,70,72,74,76,78,80,85,90,95,100})</f>
        <v>95</v>
      </c>
      <c r="T531" s="5"/>
      <c r="U531" s="5"/>
      <c r="V531" s="5">
        <f t="shared" si="245"/>
        <v>95</v>
      </c>
      <c r="W531" s="5"/>
      <c r="X531" s="13">
        <f t="shared" si="246"/>
        <v>57.9</v>
      </c>
      <c r="Y531" s="13">
        <f t="shared" si="247"/>
        <v>82.7142857142857</v>
      </c>
      <c r="Z531" s="19"/>
    </row>
    <row r="532" ht="15.6" hidden="1" outlineLevel="2" spans="1:26">
      <c r="A532" s="5">
        <v>312</v>
      </c>
      <c r="B532" s="5">
        <v>9</v>
      </c>
      <c r="C532" s="9" t="s">
        <v>582</v>
      </c>
      <c r="D532" s="9" t="s">
        <v>12</v>
      </c>
      <c r="E532" s="5">
        <v>8</v>
      </c>
      <c r="F532" s="7">
        <f>LOOKUP(E532,{0,-1.8,-0.8,0.2,1.2,2.2,3.2,4.6,6,7.4,8.8,10.2,11.6,13,14.4,15.8,17.2,19.1,21,22.8,24.6},{0,10,20,30,40,50,60,62,64,66,68,70,72,74,76,78,80,85,90,95,100})</f>
        <v>66</v>
      </c>
      <c r="G532" s="5">
        <v>230</v>
      </c>
      <c r="H532" s="7">
        <f>LOOKUP(G532,{0,180,185,190,195,200,205,209,213,217,221,225,229,233,237,241,245,253,260,265,270},{0,10,20,30,40,50,60,62,64,66,68,70,72,74,76,78,80,85,90,95,100})</f>
        <v>72</v>
      </c>
      <c r="I532" s="5">
        <v>16</v>
      </c>
      <c r="J532" s="7">
        <f>LOOKUP(I532,{0,4,5,6,7,8,9,10,11,12,13,14,15,16,17,18},{0,10,20,30,40,50,60,64,68,72,76,80,85,90,95,100})</f>
        <v>90</v>
      </c>
      <c r="K532" s="5"/>
      <c r="L532" s="5"/>
      <c r="M532" s="5">
        <f t="shared" si="242"/>
        <v>90</v>
      </c>
      <c r="N532" s="5">
        <v>7.8</v>
      </c>
      <c r="O532" s="10">
        <f t="shared" si="243"/>
        <v>10.2</v>
      </c>
      <c r="P532" s="7">
        <f>LOOKUP(O532,{0,7.8,8,8.2,8.4,8.6,8.8,9,9.2,9.4,9.6,9.8,10,10.2,10.4,10.6,10.8,10.9,11,11.1,11.2},{0,10,20,30,40,50,60,62,64,66,68,70,72,74,76,78,80,85,90,95,100})</f>
        <v>74</v>
      </c>
      <c r="Q532" s="5">
        <v>5.17</v>
      </c>
      <c r="R532" s="10">
        <f t="shared" si="244"/>
        <v>4.83</v>
      </c>
      <c r="S532" s="7">
        <f>LOOKUP(R532,{0,3.85,4.45,4.65,4.85,5.45,5.65,5.7,5.75,5.8,5.85,5.9,5.95,6,6.45,6.5,6.55,6.63,6.7,6.75,6.8},{0,10,20,30,40,50,60,62,64,66,68,70,72,74,76,78,80,85,90,95,100})</f>
        <v>30</v>
      </c>
      <c r="T532" s="5"/>
      <c r="U532" s="5"/>
      <c r="V532" s="5">
        <f t="shared" si="245"/>
        <v>30</v>
      </c>
      <c r="W532" s="5"/>
      <c r="X532" s="13">
        <f t="shared" si="246"/>
        <v>43.6</v>
      </c>
      <c r="Y532" s="13">
        <f t="shared" si="247"/>
        <v>62.2857142857143</v>
      </c>
      <c r="Z532" s="19"/>
    </row>
    <row r="533" ht="15.6" hidden="1" outlineLevel="2" spans="1:26">
      <c r="A533" s="5">
        <v>312</v>
      </c>
      <c r="B533" s="5">
        <v>10</v>
      </c>
      <c r="C533" s="9" t="s">
        <v>583</v>
      </c>
      <c r="D533" s="9" t="s">
        <v>12</v>
      </c>
      <c r="E533" s="5">
        <v>18.5</v>
      </c>
      <c r="F533" s="7">
        <f>LOOKUP(E533,{0,-1.8,-0.8,0.2,1.2,2.2,3.2,4.6,6,7.4,8.8,10.2,11.6,13,14.4,15.8,17.2,19.1,21,22.8,24.6},{0,10,20,30,40,50,60,62,64,66,68,70,72,74,76,78,80,85,90,95,100})</f>
        <v>80</v>
      </c>
      <c r="G533" s="5">
        <v>250</v>
      </c>
      <c r="H533" s="7">
        <f>LOOKUP(G533,{0,180,185,190,195,200,205,209,213,217,221,225,229,233,237,241,245,253,260,265,270},{0,10,20,30,40,50,60,62,64,66,68,70,72,74,76,78,80,85,90,95,100})</f>
        <v>80</v>
      </c>
      <c r="I533" s="5">
        <v>5</v>
      </c>
      <c r="J533" s="7">
        <f>LOOKUP(I533,{0,4,5,6,7,8,9,10,11,12,13,14,15,16,17,18},{0,10,20,30,40,50,60,64,68,72,76,80,85,90,95,100})</f>
        <v>20</v>
      </c>
      <c r="K533" s="5"/>
      <c r="L533" s="5"/>
      <c r="M533" s="5">
        <f t="shared" si="242"/>
        <v>20</v>
      </c>
      <c r="N533" s="5">
        <v>7</v>
      </c>
      <c r="O533" s="10">
        <f t="shared" si="243"/>
        <v>11</v>
      </c>
      <c r="P533" s="7">
        <f>LOOKUP(O533,{0,7.8,8,8.2,8.4,8.6,8.8,9,9.2,9.4,9.6,9.8,10,10.2,10.4,10.6,10.8,10.9,11,11.1,11.2},{0,10,20,30,40,50,60,62,64,66,68,70,72,74,76,78,80,85,90,95,100})</f>
        <v>90</v>
      </c>
      <c r="Q533" s="5">
        <v>5.5</v>
      </c>
      <c r="R533" s="10">
        <f t="shared" si="244"/>
        <v>4.5</v>
      </c>
      <c r="S533" s="7">
        <f>LOOKUP(R533,{0,3.85,4.45,4.65,4.85,5.45,5.65,5.7,5.75,5.8,5.85,5.9,5.95,6,6.45,6.5,6.55,6.63,6.7,6.75,6.8},{0,10,20,30,40,50,60,62,64,66,68,70,72,74,76,78,80,85,90,95,100})</f>
        <v>20</v>
      </c>
      <c r="T533" s="5"/>
      <c r="U533" s="5"/>
      <c r="V533" s="5">
        <f t="shared" si="245"/>
        <v>20</v>
      </c>
      <c r="W533" s="5"/>
      <c r="X533" s="13">
        <f t="shared" si="246"/>
        <v>40</v>
      </c>
      <c r="Y533" s="13">
        <f t="shared" si="247"/>
        <v>57.1428571428571</v>
      </c>
      <c r="Z533" s="19"/>
    </row>
    <row r="534" ht="15.6" hidden="1" outlineLevel="2" spans="1:26">
      <c r="A534" s="5">
        <v>312</v>
      </c>
      <c r="B534" s="5">
        <v>11</v>
      </c>
      <c r="C534" s="9" t="s">
        <v>584</v>
      </c>
      <c r="D534" s="9" t="s">
        <v>12</v>
      </c>
      <c r="E534" s="5">
        <v>8.7</v>
      </c>
      <c r="F534" s="7">
        <f>LOOKUP(E534,{0,-1.8,-0.8,0.2,1.2,2.2,3.2,4.6,6,7.4,8.8,10.2,11.6,13,14.4,15.8,17.2,19.1,21,22.8,24.6},{0,10,20,30,40,50,60,62,64,66,68,70,72,74,76,78,80,85,90,95,100})</f>
        <v>66</v>
      </c>
      <c r="G534" s="5">
        <v>205</v>
      </c>
      <c r="H534" s="7">
        <f>LOOKUP(G534,{0,180,185,190,195,200,205,209,213,217,221,225,229,233,237,241,245,253,260,265,270},{0,10,20,30,40,50,60,62,64,66,68,70,72,74,76,78,80,85,90,95,100})</f>
        <v>60</v>
      </c>
      <c r="I534" s="5">
        <v>5</v>
      </c>
      <c r="J534" s="7">
        <f>LOOKUP(I534,{0,4,5,6,7,8,9,10,11,12,13,14,15,16,17,18},{0,10,20,30,40,50,60,64,68,72,76,80,85,90,95,100})</f>
        <v>20</v>
      </c>
      <c r="K534" s="5"/>
      <c r="L534" s="5"/>
      <c r="M534" s="5">
        <f t="shared" si="242"/>
        <v>20</v>
      </c>
      <c r="N534" s="5">
        <v>7.5</v>
      </c>
      <c r="O534" s="10">
        <f t="shared" si="243"/>
        <v>10.5</v>
      </c>
      <c r="P534" s="7">
        <f>LOOKUP(O534,{0,7.8,8,8.2,8.4,8.6,8.8,9,9.2,9.4,9.6,9.8,10,10.2,10.4,10.6,10.8,10.9,11,11.1,11.2},{0,10,20,30,40,50,60,62,64,66,68,70,72,74,76,78,80,85,90,95,100})</f>
        <v>76</v>
      </c>
      <c r="Q534" s="5">
        <v>5.42</v>
      </c>
      <c r="R534" s="10">
        <f t="shared" si="244"/>
        <v>4.58</v>
      </c>
      <c r="S534" s="7">
        <f>LOOKUP(R534,{0,3.85,4.45,4.65,4.85,5.45,5.65,5.7,5.75,5.8,5.85,5.9,5.95,6,6.45,6.5,6.55,6.63,6.7,6.75,6.8},{0,10,20,30,40,50,60,62,64,66,68,70,72,74,76,78,80,85,90,95,100})</f>
        <v>20</v>
      </c>
      <c r="T534" s="5"/>
      <c r="U534" s="5"/>
      <c r="V534" s="5">
        <f t="shared" si="245"/>
        <v>20</v>
      </c>
      <c r="W534" s="5"/>
      <c r="X534" s="13">
        <f t="shared" si="246"/>
        <v>33.8</v>
      </c>
      <c r="Y534" s="13">
        <f t="shared" si="247"/>
        <v>48.2857142857143</v>
      </c>
      <c r="Z534" s="19"/>
    </row>
    <row r="535" ht="15.6" hidden="1" outlineLevel="2" spans="1:26">
      <c r="A535" s="5">
        <v>312</v>
      </c>
      <c r="B535" s="5">
        <v>12</v>
      </c>
      <c r="C535" s="8" t="s">
        <v>586</v>
      </c>
      <c r="D535" s="9" t="s">
        <v>12</v>
      </c>
      <c r="E535" s="5">
        <v>9</v>
      </c>
      <c r="F535" s="7">
        <f>LOOKUP(E535,{0,-1.8,-0.8,0.2,1.2,2.2,3.2,4.6,6,7.4,8.8,10.2,11.6,13,14.4,15.8,17.2,19.1,21,22.8,24.6},{0,10,20,30,40,50,60,62,64,66,68,70,72,74,76,78,80,85,90,95,100})</f>
        <v>68</v>
      </c>
      <c r="G535" s="5">
        <v>228</v>
      </c>
      <c r="H535" s="7">
        <f>LOOKUP(G535,{0,180,185,190,195,200,205,209,213,217,221,225,229,233,237,241,245,253,260,265,270},{0,10,20,30,40,50,60,62,64,66,68,70,72,74,76,78,80,85,90,95,100})</f>
        <v>70</v>
      </c>
      <c r="I535" s="5">
        <v>11</v>
      </c>
      <c r="J535" s="7">
        <f>LOOKUP(I535,{0,4,5,6,7,8,9,10,11,12,13,14,15,16,17,18},{0,10,20,30,40,50,60,64,68,72,76,80,85,90,95,100})</f>
        <v>68</v>
      </c>
      <c r="K535" s="5"/>
      <c r="L535" s="5"/>
      <c r="M535" s="5">
        <f t="shared" si="242"/>
        <v>68</v>
      </c>
      <c r="N535" s="5">
        <v>7.7</v>
      </c>
      <c r="O535" s="10">
        <f t="shared" si="243"/>
        <v>10.3</v>
      </c>
      <c r="P535" s="7">
        <f>LOOKUP(O535,{0,7.8,8,8.2,8.4,8.6,8.8,9,9.2,9.4,9.6,9.8,10,10.2,10.4,10.6,10.8,10.9,11,11.1,11.2},{0,10,20,30,40,50,60,62,64,66,68,70,72,74,76,78,80,85,90,95,100})</f>
        <v>74</v>
      </c>
      <c r="Q535" s="5">
        <v>5.18</v>
      </c>
      <c r="R535" s="10">
        <f t="shared" si="244"/>
        <v>4.82</v>
      </c>
      <c r="S535" s="7">
        <f>LOOKUP(R535,{0,3.85,4.45,4.65,4.85,5.45,5.65,5.7,5.75,5.8,5.85,5.9,5.95,6,6.45,6.5,6.55,6.63,6.7,6.75,6.8},{0,10,20,30,40,50,60,62,64,66,68,70,72,74,76,78,80,85,90,95,100})</f>
        <v>30</v>
      </c>
      <c r="T535" s="5"/>
      <c r="U535" s="5"/>
      <c r="V535" s="5">
        <f t="shared" si="245"/>
        <v>30</v>
      </c>
      <c r="W535" s="5"/>
      <c r="X535" s="13">
        <f t="shared" si="246"/>
        <v>41.4</v>
      </c>
      <c r="Y535" s="13">
        <f t="shared" si="247"/>
        <v>59.1428571428572</v>
      </c>
      <c r="Z535" s="19"/>
    </row>
    <row r="536" ht="15.6" hidden="1" outlineLevel="2" spans="1:26">
      <c r="A536" s="5">
        <v>312</v>
      </c>
      <c r="B536" s="5">
        <v>13</v>
      </c>
      <c r="C536" s="9" t="s">
        <v>587</v>
      </c>
      <c r="D536" s="9" t="s">
        <v>12</v>
      </c>
      <c r="E536" s="5">
        <v>8</v>
      </c>
      <c r="F536" s="7">
        <f>LOOKUP(E536,{0,-1.8,-0.8,0.2,1.2,2.2,3.2,4.6,6,7.4,8.8,10.2,11.6,13,14.4,15.8,17.2,19.1,21,22.8,24.6},{0,10,20,30,40,50,60,62,64,66,68,70,72,74,76,78,80,85,90,95,100})</f>
        <v>66</v>
      </c>
      <c r="G536" s="5">
        <v>265</v>
      </c>
      <c r="H536" s="7">
        <f>LOOKUP(G536,{0,180,185,190,195,200,205,209,213,217,221,225,229,233,237,241,245,253,260,265,270},{0,10,20,30,40,50,60,62,64,66,68,70,72,74,76,78,80,85,90,95,100})</f>
        <v>95</v>
      </c>
      <c r="I536" s="5">
        <v>8</v>
      </c>
      <c r="J536" s="7">
        <f>LOOKUP(I536,{0,4,5,6,7,8,9,10,11,12,13,14,15,16,17,18},{0,10,20,30,40,50,60,64,68,72,76,80,85,90,95,100})</f>
        <v>50</v>
      </c>
      <c r="K536" s="5"/>
      <c r="L536" s="5"/>
      <c r="M536" s="5">
        <f t="shared" si="242"/>
        <v>50</v>
      </c>
      <c r="N536" s="5">
        <v>7.3</v>
      </c>
      <c r="O536" s="10">
        <f t="shared" si="243"/>
        <v>10.7</v>
      </c>
      <c r="P536" s="7">
        <f>LOOKUP(O536,{0,7.8,8,8.2,8.4,8.6,8.8,9,9.2,9.4,9.6,9.8,10,10.2,10.4,10.6,10.8,10.9,11,11.1,11.2},{0,10,20,30,40,50,60,62,64,66,68,70,72,74,76,78,80,85,90,95,100})</f>
        <v>78</v>
      </c>
      <c r="Q536" s="5">
        <v>5.17</v>
      </c>
      <c r="R536" s="10">
        <f t="shared" si="244"/>
        <v>4.83</v>
      </c>
      <c r="S536" s="7">
        <f>LOOKUP(R536,{0,3.85,4.45,4.65,4.85,5.45,5.65,5.7,5.75,5.8,5.85,5.9,5.95,6,6.45,6.5,6.55,6.63,6.7,6.75,6.8},{0,10,20,30,40,50,60,62,64,66,68,70,72,74,76,78,80,85,90,95,100})</f>
        <v>30</v>
      </c>
      <c r="T536" s="5"/>
      <c r="U536" s="5"/>
      <c r="V536" s="5">
        <f t="shared" si="245"/>
        <v>30</v>
      </c>
      <c r="W536" s="5"/>
      <c r="X536" s="13">
        <f t="shared" si="246"/>
        <v>42.7</v>
      </c>
      <c r="Y536" s="13">
        <f t="shared" si="247"/>
        <v>61</v>
      </c>
      <c r="Z536" s="19"/>
    </row>
    <row r="537" ht="15.6" hidden="1" outlineLevel="2" spans="1:26">
      <c r="A537" s="5">
        <v>312</v>
      </c>
      <c r="B537" s="5">
        <v>14</v>
      </c>
      <c r="C537" s="9" t="s">
        <v>588</v>
      </c>
      <c r="D537" s="9" t="s">
        <v>12</v>
      </c>
      <c r="E537" s="5">
        <v>13</v>
      </c>
      <c r="F537" s="7">
        <f>LOOKUP(E537,{0,-1.8,-0.8,0.2,1.2,2.2,3.2,4.6,6,7.4,8.8,10.2,11.6,13,14.4,15.8,17.2,19.1,21,22.8,24.6},{0,10,20,30,40,50,60,62,64,66,68,70,72,74,76,78,80,85,90,95,100})</f>
        <v>74</v>
      </c>
      <c r="G537" s="5">
        <v>210</v>
      </c>
      <c r="H537" s="7">
        <f>LOOKUP(G537,{0,180,185,190,195,200,205,209,213,217,221,225,229,233,237,241,245,253,260,265,270},{0,10,20,30,40,50,60,62,64,66,68,70,72,74,76,78,80,85,90,95,100})</f>
        <v>62</v>
      </c>
      <c r="I537" s="5">
        <v>5</v>
      </c>
      <c r="J537" s="7">
        <f>LOOKUP(I537,{0,4,5,6,7,8,9,10,11,12,13,14,15,16,17,18},{0,10,20,30,40,50,60,64,68,72,76,80,85,90,95,100})</f>
        <v>20</v>
      </c>
      <c r="K537" s="5"/>
      <c r="L537" s="5"/>
      <c r="M537" s="5">
        <f t="shared" si="242"/>
        <v>20</v>
      </c>
      <c r="N537" s="5">
        <v>8.3</v>
      </c>
      <c r="O537" s="10">
        <f t="shared" si="243"/>
        <v>9.7</v>
      </c>
      <c r="P537" s="7">
        <f>LOOKUP(O537,{0,7.8,8,8.2,8.4,8.6,8.8,9,9.2,9.4,9.6,9.8,10,10.2,10.4,10.6,10.8,10.9,11,11.1,11.2},{0,10,20,30,40,50,60,62,64,66,68,70,72,74,76,78,80,85,90,95,100})</f>
        <v>68</v>
      </c>
      <c r="Q537" s="5">
        <v>4.15</v>
      </c>
      <c r="R537" s="10">
        <f t="shared" si="244"/>
        <v>5.85</v>
      </c>
      <c r="S537" s="7">
        <f>LOOKUP(R537,{0,3.85,4.45,4.65,4.85,5.45,5.65,5.7,5.75,5.8,5.85,5.9,5.95,6,6.45,6.5,6.55,6.63,6.7,6.75,6.8},{0,10,20,30,40,50,60,62,64,66,68,70,72,74,76,78,80,85,90,95,100})</f>
        <v>68</v>
      </c>
      <c r="T537" s="5"/>
      <c r="U537" s="5"/>
      <c r="V537" s="5">
        <f t="shared" si="245"/>
        <v>68</v>
      </c>
      <c r="W537" s="5"/>
      <c r="X537" s="13">
        <f t="shared" si="246"/>
        <v>42.8</v>
      </c>
      <c r="Y537" s="13">
        <f t="shared" si="247"/>
        <v>61.1428571428572</v>
      </c>
      <c r="Z537" s="19"/>
    </row>
    <row r="538" ht="15.6" hidden="1" outlineLevel="2" spans="1:26">
      <c r="A538" s="5">
        <v>312</v>
      </c>
      <c r="B538" s="5">
        <v>15</v>
      </c>
      <c r="C538" s="9" t="s">
        <v>589</v>
      </c>
      <c r="D538" s="9" t="s">
        <v>12</v>
      </c>
      <c r="E538" s="5">
        <v>12</v>
      </c>
      <c r="F538" s="7">
        <f>LOOKUP(E538,{0,-1.8,-0.8,0.2,1.2,2.2,3.2,4.6,6,7.4,8.8,10.2,11.6,13,14.4,15.8,17.2,19.1,21,22.8,24.6},{0,10,20,30,40,50,60,62,64,66,68,70,72,74,76,78,80,85,90,95,100})</f>
        <v>72</v>
      </c>
      <c r="G538" s="5">
        <v>235</v>
      </c>
      <c r="H538" s="7">
        <f>LOOKUP(G538,{0,180,185,190,195,200,205,209,213,217,221,225,229,233,237,241,245,253,260,265,270},{0,10,20,30,40,50,60,62,64,66,68,70,72,74,76,78,80,85,90,95,100})</f>
        <v>74</v>
      </c>
      <c r="I538" s="5">
        <v>0</v>
      </c>
      <c r="J538" s="7">
        <f>LOOKUP(I538,{0,4,5,6,7,8,9,10,11,12,13,14,15,16,17,18},{0,10,20,30,40,50,60,64,68,72,76,80,85,90,95,100})</f>
        <v>0</v>
      </c>
      <c r="K538" s="5"/>
      <c r="L538" s="5"/>
      <c r="M538" s="5">
        <f t="shared" si="242"/>
        <v>0</v>
      </c>
      <c r="N538" s="5">
        <v>7.2</v>
      </c>
      <c r="O538" s="10">
        <f t="shared" si="243"/>
        <v>10.8</v>
      </c>
      <c r="P538" s="7">
        <f>LOOKUP(O538,{0,7.8,8,8.2,8.4,8.6,8.8,9,9.2,9.4,9.6,9.8,10,10.2,10.4,10.6,10.8,10.9,11,11.1,11.2},{0,10,20,30,40,50,60,62,64,66,68,70,72,74,76,78,80,85,90,95,100})</f>
        <v>80</v>
      </c>
      <c r="Q538" s="5">
        <v>4.11</v>
      </c>
      <c r="R538" s="10">
        <f t="shared" si="244"/>
        <v>5.89</v>
      </c>
      <c r="S538" s="7">
        <f>LOOKUP(R538,{0,3.85,4.45,4.65,4.85,5.45,5.65,5.7,5.75,5.8,5.85,5.9,5.95,6,6.45,6.5,6.55,6.63,6.7,6.75,6.8},{0,10,20,30,40,50,60,62,64,66,68,70,72,74,76,78,80,85,90,95,100})</f>
        <v>68</v>
      </c>
      <c r="T538" s="5"/>
      <c r="U538" s="5"/>
      <c r="V538" s="5">
        <f t="shared" si="245"/>
        <v>68</v>
      </c>
      <c r="W538" s="5"/>
      <c r="X538" s="13">
        <f t="shared" si="246"/>
        <v>44.2</v>
      </c>
      <c r="Y538" s="13">
        <f t="shared" si="247"/>
        <v>63.1428571428572</v>
      </c>
      <c r="Z538" s="19"/>
    </row>
    <row r="539" ht="15.6" hidden="1" outlineLevel="2" spans="1:26">
      <c r="A539" s="5">
        <v>312</v>
      </c>
      <c r="B539" s="5">
        <v>16</v>
      </c>
      <c r="C539" s="9" t="s">
        <v>590</v>
      </c>
      <c r="D539" s="9" t="s">
        <v>12</v>
      </c>
      <c r="E539" s="5">
        <v>18</v>
      </c>
      <c r="F539" s="7">
        <f>LOOKUP(E539,{0,-1.8,-0.8,0.2,1.2,2.2,3.2,4.6,6,7.4,8.8,10.2,11.6,13,14.4,15.8,17.2,19.1,21,22.8,24.6},{0,10,20,30,40,50,60,62,64,66,68,70,72,74,76,78,80,85,90,95,100})</f>
        <v>80</v>
      </c>
      <c r="G539" s="5">
        <v>245</v>
      </c>
      <c r="H539" s="7">
        <f>LOOKUP(G539,{0,180,185,190,195,200,205,209,213,217,221,225,229,233,237,241,245,253,260,265,270},{0,10,20,30,40,50,60,62,64,66,68,70,72,74,76,78,80,85,90,95,100})</f>
        <v>80</v>
      </c>
      <c r="I539" s="5">
        <v>24</v>
      </c>
      <c r="J539" s="7">
        <f>LOOKUP(I539,{0,4,5,6,7,8,9,10,11,12,13,14,15,16,17,18},{0,10,20,30,40,50,60,64,68,72,76,80,85,90,95,100})</f>
        <v>100</v>
      </c>
      <c r="K539" s="5">
        <f t="shared" ref="K539:K544" si="248">I539-18</f>
        <v>6</v>
      </c>
      <c r="L539" s="7">
        <f>LOOKUP(K539,{0,1,2,3,4,5,6,7,8,9,10},{0,1,2,3,4,5,6,7,8,9,10})</f>
        <v>6</v>
      </c>
      <c r="M539" s="5">
        <f t="shared" si="242"/>
        <v>106</v>
      </c>
      <c r="N539" s="5">
        <v>7.2</v>
      </c>
      <c r="O539" s="10">
        <f t="shared" si="243"/>
        <v>10.8</v>
      </c>
      <c r="P539" s="7">
        <f>LOOKUP(O539,{0,7.8,8,8.2,8.4,8.6,8.8,9,9.2,9.4,9.6,9.8,10,10.2,10.4,10.6,10.8,10.9,11,11.1,11.2},{0,10,20,30,40,50,60,62,64,66,68,70,72,74,76,78,80,85,90,95,100})</f>
        <v>80</v>
      </c>
      <c r="Q539" s="5">
        <v>3.23</v>
      </c>
      <c r="R539" s="10">
        <f t="shared" si="244"/>
        <v>6.77</v>
      </c>
      <c r="S539" s="7">
        <f>LOOKUP(R539,{0,3.85,4.45,4.65,4.85,5.45,5.65,5.7,5.75,5.8,5.85,5.9,5.95,6,6.45,6.5,6.55,6.63,6.7,6.75,6.8},{0,10,20,30,40,50,60,62,64,66,68,70,72,74,76,78,80,85,90,95,100})</f>
        <v>95</v>
      </c>
      <c r="T539" s="5"/>
      <c r="U539" s="5"/>
      <c r="V539" s="5">
        <f t="shared" si="245"/>
        <v>95</v>
      </c>
      <c r="W539" s="5"/>
      <c r="X539" s="13">
        <f t="shared" si="246"/>
        <v>61</v>
      </c>
      <c r="Y539" s="13">
        <f t="shared" si="247"/>
        <v>93.1428571428572</v>
      </c>
      <c r="Z539" s="19"/>
    </row>
    <row r="540" ht="15.6" hidden="1" outlineLevel="2" spans="1:26">
      <c r="A540" s="5">
        <v>312</v>
      </c>
      <c r="B540" s="5">
        <v>17</v>
      </c>
      <c r="C540" s="9" t="s">
        <v>591</v>
      </c>
      <c r="D540" s="9" t="s">
        <v>12</v>
      </c>
      <c r="E540" s="5">
        <v>3</v>
      </c>
      <c r="F540" s="7">
        <f>LOOKUP(E540,{0,-1.8,-0.8,0.2,1.2,2.2,3.2,4.6,6,7.4,8.8,10.2,11.6,13,14.4,15.8,17.2,19.1,21,22.8,24.6},{0,10,20,30,40,50,60,62,64,66,68,70,72,74,76,78,80,85,90,95,100})</f>
        <v>50</v>
      </c>
      <c r="G540" s="5">
        <v>190</v>
      </c>
      <c r="H540" s="7">
        <f>LOOKUP(G540,{0,180,185,190,195,200,205,209,213,217,221,225,229,233,237,241,245,253,260,265,270},{0,10,20,30,40,50,60,62,64,66,68,70,72,74,76,78,80,85,90,95,100})</f>
        <v>30</v>
      </c>
      <c r="I540" s="5">
        <v>10</v>
      </c>
      <c r="J540" s="7">
        <f>LOOKUP(I540,{0,4,5,6,7,8,9,10,11,12,13,14,15,16,17,18},{0,10,20,30,40,50,60,64,68,72,76,80,85,90,95,100})</f>
        <v>64</v>
      </c>
      <c r="K540" s="5"/>
      <c r="L540" s="5"/>
      <c r="M540" s="5">
        <f t="shared" si="242"/>
        <v>64</v>
      </c>
      <c r="N540" s="5">
        <v>7.8</v>
      </c>
      <c r="O540" s="10">
        <f t="shared" si="243"/>
        <v>10.2</v>
      </c>
      <c r="P540" s="7">
        <f>LOOKUP(O540,{0,7.8,8,8.2,8.4,8.6,8.8,9,9.2,9.4,9.6,9.8,10,10.2,10.4,10.6,10.8,10.9,11,11.1,11.2},{0,10,20,30,40,50,60,62,64,66,68,70,72,74,76,78,80,85,90,95,100})</f>
        <v>74</v>
      </c>
      <c r="Q540" s="5">
        <v>5.5</v>
      </c>
      <c r="R540" s="10">
        <f t="shared" si="244"/>
        <v>4.5</v>
      </c>
      <c r="S540" s="7">
        <f>LOOKUP(R540,{0,3.85,4.45,4.65,4.85,5.45,5.65,5.7,5.75,5.8,5.85,5.9,5.95,6,6.45,6.5,6.55,6.63,6.7,6.75,6.8},{0,10,20,30,40,50,60,62,64,66,68,70,72,74,76,78,80,85,90,95,100})</f>
        <v>20</v>
      </c>
      <c r="T540" s="5"/>
      <c r="U540" s="5"/>
      <c r="V540" s="5">
        <f t="shared" si="245"/>
        <v>20</v>
      </c>
      <c r="W540" s="5"/>
      <c r="X540" s="13">
        <f t="shared" si="246"/>
        <v>33.2</v>
      </c>
      <c r="Y540" s="13">
        <f t="shared" si="247"/>
        <v>47.4285714285714</v>
      </c>
      <c r="Z540" s="19"/>
    </row>
    <row r="541" ht="15.6" hidden="1" outlineLevel="2" spans="1:26">
      <c r="A541" s="5">
        <v>312</v>
      </c>
      <c r="B541" s="5">
        <v>18</v>
      </c>
      <c r="C541" s="9" t="s">
        <v>592</v>
      </c>
      <c r="D541" s="9" t="s">
        <v>12</v>
      </c>
      <c r="E541" s="5">
        <v>12</v>
      </c>
      <c r="F541" s="7">
        <f>LOOKUP(E541,{0,-1.8,-0.8,0.2,1.2,2.2,3.2,4.6,6,7.4,8.8,10.2,11.6,13,14.4,15.8,17.2,19.1,21,22.8,24.6},{0,10,20,30,40,50,60,62,64,66,68,70,72,74,76,78,80,85,90,95,100})</f>
        <v>72</v>
      </c>
      <c r="G541" s="5">
        <v>265</v>
      </c>
      <c r="H541" s="7">
        <f>LOOKUP(G541,{0,180,185,190,195,200,205,209,213,217,221,225,229,233,237,241,245,253,260,265,270},{0,10,20,30,40,50,60,62,64,66,68,70,72,74,76,78,80,85,90,95,100})</f>
        <v>95</v>
      </c>
      <c r="I541" s="5">
        <v>30</v>
      </c>
      <c r="J541" s="7">
        <f>LOOKUP(I541,{0,4,5,6,7,8,9,10,11,12,13,14,15,16,17,18},{0,10,20,30,40,50,60,64,68,72,76,80,85,90,95,100})</f>
        <v>100</v>
      </c>
      <c r="K541" s="5">
        <f t="shared" si="248"/>
        <v>12</v>
      </c>
      <c r="L541" s="7">
        <f>LOOKUP(K541,{0,1,2,3,4,5,6,7,8,9,10},{0,1,2,3,4,5,6,7,8,9,10})</f>
        <v>10</v>
      </c>
      <c r="M541" s="5">
        <f t="shared" si="242"/>
        <v>110</v>
      </c>
      <c r="N541" s="5">
        <v>7.5</v>
      </c>
      <c r="O541" s="10">
        <f t="shared" si="243"/>
        <v>10.5</v>
      </c>
      <c r="P541" s="7">
        <f>LOOKUP(O541,{0,7.8,8,8.2,8.4,8.6,8.8,9,9.2,9.4,9.6,9.8,10,10.2,10.4,10.6,10.8,10.9,11,11.1,11.2},{0,10,20,30,40,50,60,62,64,66,68,70,72,74,76,78,80,85,90,95,100})</f>
        <v>76</v>
      </c>
      <c r="Q541" s="5">
        <v>4.46</v>
      </c>
      <c r="R541" s="10">
        <f t="shared" si="244"/>
        <v>5.54</v>
      </c>
      <c r="S541" s="7">
        <f>LOOKUP(R541,{0,3.85,4.45,4.65,4.85,5.45,5.65,5.7,5.75,5.8,5.85,5.9,5.95,6,6.45,6.5,6.55,6.63,6.7,6.75,6.8},{0,10,20,30,40,50,60,62,64,66,68,70,72,74,76,78,80,85,90,95,100})</f>
        <v>50</v>
      </c>
      <c r="T541" s="5"/>
      <c r="U541" s="5"/>
      <c r="V541" s="5">
        <f t="shared" si="245"/>
        <v>50</v>
      </c>
      <c r="W541" s="5"/>
      <c r="X541" s="13">
        <f t="shared" si="246"/>
        <v>51.9</v>
      </c>
      <c r="Y541" s="13">
        <f t="shared" si="247"/>
        <v>84.1428571428571</v>
      </c>
      <c r="Z541" s="19"/>
    </row>
    <row r="542" ht="15.6" hidden="1" outlineLevel="2" spans="1:26">
      <c r="A542" s="5">
        <v>312</v>
      </c>
      <c r="B542" s="5">
        <v>19</v>
      </c>
      <c r="C542" s="5" t="s">
        <v>593</v>
      </c>
      <c r="D542" s="5" t="s">
        <v>12</v>
      </c>
      <c r="E542" s="5">
        <v>13</v>
      </c>
      <c r="F542" s="7">
        <f>LOOKUP(E542,{0,-1.8,-0.8,0.2,1.2,2.2,3.2,4.6,6,7.4,8.8,10.2,11.6,13,14.4,15.8,17.2,19.1,21,22.8,24.6},{0,10,20,30,40,50,60,62,64,66,68,70,72,74,76,78,80,85,90,95,100})</f>
        <v>74</v>
      </c>
      <c r="G542" s="5">
        <v>260</v>
      </c>
      <c r="H542" s="7">
        <f>LOOKUP(G542,{0,180,185,190,195,200,205,209,213,217,221,225,229,233,237,241,245,253,260,265,270},{0,10,20,30,40,50,60,62,64,66,68,70,72,74,76,78,80,85,90,95,100})</f>
        <v>90</v>
      </c>
      <c r="I542" s="5">
        <v>17</v>
      </c>
      <c r="J542" s="7">
        <f>LOOKUP(I542,{0,4,5,6,7,8,9,10,11,12,13,14,15,16,17,18},{0,10,20,30,40,50,60,64,68,72,76,80,85,90,95,100})</f>
        <v>95</v>
      </c>
      <c r="K542" s="5"/>
      <c r="L542" s="5"/>
      <c r="M542" s="5">
        <f t="shared" si="242"/>
        <v>95</v>
      </c>
      <c r="N542" s="5">
        <v>6.9</v>
      </c>
      <c r="O542" s="10">
        <f t="shared" si="243"/>
        <v>11.1</v>
      </c>
      <c r="P542" s="7">
        <f>LOOKUP(O542,{0,7.8,8,8.2,8.4,8.6,8.8,9,9.2,9.4,9.6,9.8,10,10.2,10.4,10.6,10.8,10.9,11,11.1,11.2},{0,10,20,30,40,50,60,62,64,66,68,70,72,74,76,78,80,85,90,95,100})</f>
        <v>95</v>
      </c>
      <c r="Q542" s="5">
        <v>4.52</v>
      </c>
      <c r="R542" s="10">
        <f t="shared" si="244"/>
        <v>5.48</v>
      </c>
      <c r="S542" s="7">
        <f>LOOKUP(R542,{0,3.85,4.45,4.65,4.85,5.45,5.65,5.7,5.75,5.8,5.85,5.9,5.95,6,6.45,6.5,6.55,6.63,6.7,6.75,6.8},{0,10,20,30,40,50,60,62,64,66,68,70,72,74,76,78,80,85,90,95,100})</f>
        <v>50</v>
      </c>
      <c r="T542" s="5"/>
      <c r="U542" s="5"/>
      <c r="V542" s="5">
        <f t="shared" si="245"/>
        <v>50</v>
      </c>
      <c r="W542" s="5"/>
      <c r="X542" s="13">
        <f t="shared" si="246"/>
        <v>54.9</v>
      </c>
      <c r="Y542" s="13">
        <f t="shared" si="247"/>
        <v>78.4285714285714</v>
      </c>
      <c r="Z542" s="19"/>
    </row>
    <row r="543" ht="15.6" hidden="1" outlineLevel="2" spans="1:26">
      <c r="A543" s="5">
        <v>312</v>
      </c>
      <c r="B543" s="5">
        <v>20</v>
      </c>
      <c r="C543" s="9" t="s">
        <v>594</v>
      </c>
      <c r="D543" s="9" t="s">
        <v>12</v>
      </c>
      <c r="E543" s="5">
        <v>27.5</v>
      </c>
      <c r="F543" s="7">
        <f>LOOKUP(E543,{0,-1.8,-0.8,0.2,1.2,2.2,3.2,4.6,6,7.4,8.8,10.2,11.6,13,14.4,15.8,17.2,19.1,21,22.8,24.6},{0,10,20,30,40,50,60,62,64,66,68,70,72,74,76,78,80,85,90,95,100})</f>
        <v>100</v>
      </c>
      <c r="G543" s="5">
        <v>240</v>
      </c>
      <c r="H543" s="7">
        <f>LOOKUP(G543,{0,180,185,190,195,200,205,209,213,217,221,225,229,233,237,241,245,253,260,265,270},{0,10,20,30,40,50,60,62,64,66,68,70,72,74,76,78,80,85,90,95,100})</f>
        <v>76</v>
      </c>
      <c r="I543" s="5">
        <v>3</v>
      </c>
      <c r="J543" s="7">
        <f>LOOKUP(I543,{0,4,5,6,7,8,9,10,11,12,13,14,15,16,17,18},{0,10,20,30,40,50,60,64,68,72,76,80,85,90,95,100})</f>
        <v>0</v>
      </c>
      <c r="K543" s="5"/>
      <c r="L543" s="5"/>
      <c r="M543" s="5">
        <f t="shared" si="242"/>
        <v>0</v>
      </c>
      <c r="N543" s="5">
        <v>6.9</v>
      </c>
      <c r="O543" s="10">
        <f t="shared" si="243"/>
        <v>11.1</v>
      </c>
      <c r="P543" s="7">
        <f>LOOKUP(O543,{0,7.8,8,8.2,8.4,8.6,8.8,9,9.2,9.4,9.6,9.8,10,10.2,10.4,10.6,10.8,10.9,11,11.1,11.2},{0,10,20,30,40,50,60,62,64,66,68,70,72,74,76,78,80,85,90,95,100})</f>
        <v>95</v>
      </c>
      <c r="Q543" s="5">
        <v>4.47</v>
      </c>
      <c r="R543" s="10">
        <f t="shared" si="244"/>
        <v>5.53</v>
      </c>
      <c r="S543" s="7">
        <f>LOOKUP(R543,{0,3.85,4.45,4.65,4.85,5.45,5.65,5.7,5.75,5.8,5.85,5.9,5.95,6,6.45,6.5,6.55,6.63,6.7,6.75,6.8},{0,10,20,30,40,50,60,62,64,66,68,70,72,74,76,78,80,85,90,95,100})</f>
        <v>50</v>
      </c>
      <c r="T543" s="5"/>
      <c r="U543" s="5"/>
      <c r="V543" s="5">
        <f t="shared" si="245"/>
        <v>50</v>
      </c>
      <c r="W543" s="5"/>
      <c r="X543" s="13">
        <f t="shared" si="246"/>
        <v>46.6</v>
      </c>
      <c r="Y543" s="13">
        <f t="shared" si="247"/>
        <v>66.5714285714286</v>
      </c>
      <c r="Z543" s="19"/>
    </row>
    <row r="544" ht="15.6" hidden="1" outlineLevel="2" spans="1:26">
      <c r="A544" s="5">
        <v>312</v>
      </c>
      <c r="B544" s="5">
        <v>21</v>
      </c>
      <c r="C544" s="9" t="s">
        <v>595</v>
      </c>
      <c r="D544" s="9" t="s">
        <v>12</v>
      </c>
      <c r="E544" s="5">
        <v>23.5</v>
      </c>
      <c r="F544" s="7">
        <f>LOOKUP(E544,{0,-1.8,-0.8,0.2,1.2,2.2,3.2,4.6,6,7.4,8.8,10.2,11.6,13,14.4,15.8,17.2,19.1,21,22.8,24.6},{0,10,20,30,40,50,60,62,64,66,68,70,72,74,76,78,80,85,90,95,100})</f>
        <v>95</v>
      </c>
      <c r="G544" s="5">
        <v>254</v>
      </c>
      <c r="H544" s="7">
        <f>LOOKUP(G544,{0,180,185,190,195,200,205,209,213,217,221,225,229,233,237,241,245,253,260,265,270},{0,10,20,30,40,50,60,62,64,66,68,70,72,74,76,78,80,85,90,95,100})</f>
        <v>85</v>
      </c>
      <c r="I544" s="5">
        <v>26</v>
      </c>
      <c r="J544" s="7">
        <f>LOOKUP(I544,{0,4,5,6,7,8,9,10,11,12,13,14,15,16,17,18},{0,10,20,30,40,50,60,64,68,72,76,80,85,90,95,100})</f>
        <v>100</v>
      </c>
      <c r="K544" s="5">
        <f t="shared" si="248"/>
        <v>8</v>
      </c>
      <c r="L544" s="7">
        <f>LOOKUP(K544,{0,1,2,3,4,5,6,7,8,9,10},{0,1,2,3,4,5,6,7,8,9,10})</f>
        <v>8</v>
      </c>
      <c r="M544" s="5">
        <f t="shared" si="242"/>
        <v>108</v>
      </c>
      <c r="N544" s="5">
        <v>6.9</v>
      </c>
      <c r="O544" s="10">
        <f t="shared" si="243"/>
        <v>11.1</v>
      </c>
      <c r="P544" s="7">
        <f>LOOKUP(O544,{0,7.8,8,8.2,8.4,8.6,8.8,9,9.2,9.4,9.6,9.8,10,10.2,10.4,10.6,10.8,10.9,11,11.1,11.2},{0,10,20,30,40,50,60,62,64,66,68,70,72,74,76,78,80,85,90,95,100})</f>
        <v>95</v>
      </c>
      <c r="Q544" s="5">
        <v>3.55</v>
      </c>
      <c r="R544" s="10">
        <f t="shared" si="244"/>
        <v>6.45</v>
      </c>
      <c r="S544" s="7">
        <f>LOOKUP(R544,{0,3.85,4.45,4.65,4.85,5.45,5.65,5.7,5.75,5.8,5.85,5.9,5.95,6,6.45,6.5,6.55,6.63,6.7,6.75,6.8},{0,10,20,30,40,50,60,62,64,66,68,70,72,74,76,78,80,85,90,95,100})</f>
        <v>76</v>
      </c>
      <c r="T544" s="5"/>
      <c r="U544" s="5"/>
      <c r="V544" s="5">
        <f t="shared" si="245"/>
        <v>76</v>
      </c>
      <c r="W544" s="5"/>
      <c r="X544" s="13">
        <f t="shared" si="246"/>
        <v>62.2</v>
      </c>
      <c r="Y544" s="13">
        <f t="shared" si="247"/>
        <v>96.8571428571429</v>
      </c>
      <c r="Z544" s="19"/>
    </row>
    <row r="545" ht="15.6" hidden="1" outlineLevel="2" spans="1:26">
      <c r="A545" s="5">
        <v>312</v>
      </c>
      <c r="B545" s="5">
        <v>22</v>
      </c>
      <c r="C545" s="9" t="s">
        <v>596</v>
      </c>
      <c r="D545" s="9" t="s">
        <v>12</v>
      </c>
      <c r="E545" s="5">
        <v>13</v>
      </c>
      <c r="F545" s="7">
        <f>LOOKUP(E545,{0,-1.8,-0.8,0.2,1.2,2.2,3.2,4.6,6,7.4,8.8,10.2,11.6,13,14.4,15.8,17.2,19.1,21,22.8,24.6},{0,10,20,30,40,50,60,62,64,66,68,70,72,74,76,78,80,85,90,95,100})</f>
        <v>74</v>
      </c>
      <c r="G545" s="5">
        <v>235</v>
      </c>
      <c r="H545" s="7">
        <f>LOOKUP(G545,{0,180,185,190,195,200,205,209,213,217,221,225,229,233,237,241,245,253,260,265,270},{0,10,20,30,40,50,60,62,64,66,68,70,72,74,76,78,80,85,90,95,100})</f>
        <v>74</v>
      </c>
      <c r="I545" s="5">
        <v>12</v>
      </c>
      <c r="J545" s="7">
        <f>LOOKUP(I545,{0,4,5,6,7,8,9,10,11,12,13,14,15,16,17,18},{0,10,20,30,40,50,60,64,68,72,76,80,85,90,95,100})</f>
        <v>72</v>
      </c>
      <c r="K545" s="5"/>
      <c r="L545" s="5"/>
      <c r="M545" s="5">
        <f t="shared" si="242"/>
        <v>72</v>
      </c>
      <c r="N545" s="5">
        <v>7.5</v>
      </c>
      <c r="O545" s="10">
        <f t="shared" si="243"/>
        <v>10.5</v>
      </c>
      <c r="P545" s="7">
        <f>LOOKUP(O545,{0,7.8,8,8.2,8.4,8.6,8.8,9,9.2,9.4,9.6,9.8,10,10.2,10.4,10.6,10.8,10.9,11,11.1,11.2},{0,10,20,30,40,50,60,62,64,66,68,70,72,74,76,78,80,85,90,95,100})</f>
        <v>76</v>
      </c>
      <c r="Q545" s="5">
        <v>4.48</v>
      </c>
      <c r="R545" s="10">
        <f t="shared" si="244"/>
        <v>5.52</v>
      </c>
      <c r="S545" s="7">
        <f>LOOKUP(R545,{0,3.85,4.45,4.65,4.85,5.45,5.65,5.7,5.75,5.8,5.85,5.9,5.95,6,6.45,6.5,6.55,6.63,6.7,6.75,6.8},{0,10,20,30,40,50,60,62,64,66,68,70,72,74,76,78,80,85,90,95,100})</f>
        <v>50</v>
      </c>
      <c r="T545" s="5"/>
      <c r="U545" s="5"/>
      <c r="V545" s="5">
        <f t="shared" si="245"/>
        <v>50</v>
      </c>
      <c r="W545" s="5"/>
      <c r="X545" s="13">
        <f t="shared" si="246"/>
        <v>47.2</v>
      </c>
      <c r="Y545" s="13">
        <f t="shared" si="247"/>
        <v>67.4285714285714</v>
      </c>
      <c r="Z545" s="20"/>
    </row>
    <row r="546" ht="15.6" hidden="1" outlineLevel="2" spans="1:26">
      <c r="A546" s="5">
        <v>312</v>
      </c>
      <c r="B546" s="5">
        <v>23</v>
      </c>
      <c r="C546" s="8" t="s">
        <v>598</v>
      </c>
      <c r="D546" s="9" t="s">
        <v>12</v>
      </c>
      <c r="E546" s="5">
        <v>21</v>
      </c>
      <c r="F546" s="7">
        <f>LOOKUP(E546,{0,-1.8,-0.8,0.2,1.2,2.2,3.2,4.6,6,7.4,8.8,10.2,11.6,13,14.4,15.8,17.2,19.1,21,22.8,24.6},{0,10,20,30,40,50,60,62,64,66,68,70,72,74,76,78,80,85,90,95,100})</f>
        <v>90</v>
      </c>
      <c r="G546" s="5">
        <v>252</v>
      </c>
      <c r="H546" s="7">
        <f>LOOKUP(G546,{0,180,185,190,195,200,205,209,213,217,221,225,229,233,237,241,245,253,260,265,270},{0,10,20,30,40,50,60,62,64,66,68,70,72,74,76,78,80,85,90,95,100})</f>
        <v>80</v>
      </c>
      <c r="I546" s="5">
        <v>4</v>
      </c>
      <c r="J546" s="7">
        <f>LOOKUP(I546,{0,4,5,6,7,8,9,10,11,12,13,14,15,16,17,18},{0,10,20,30,40,50,60,64,68,72,76,80,85,90,95,100})</f>
        <v>10</v>
      </c>
      <c r="K546" s="5"/>
      <c r="L546" s="5"/>
      <c r="M546" s="5">
        <f t="shared" si="242"/>
        <v>10</v>
      </c>
      <c r="N546" s="5">
        <v>7.5</v>
      </c>
      <c r="O546" s="10">
        <f t="shared" si="243"/>
        <v>10.5</v>
      </c>
      <c r="P546" s="7">
        <f>LOOKUP(O546,{0,7.8,8,8.2,8.4,8.6,8.8,9,9.2,9.4,9.6,9.8,10,10.2,10.4,10.6,10.8,10.9,11,11.1,11.2},{0,10,20,30,40,50,60,62,64,66,68,70,72,74,76,78,80,85,90,95,100})</f>
        <v>76</v>
      </c>
      <c r="Q546" s="5">
        <v>4.26</v>
      </c>
      <c r="R546" s="10">
        <f t="shared" si="244"/>
        <v>5.74</v>
      </c>
      <c r="S546" s="7">
        <f>LOOKUP(R546,{0,3.85,4.45,4.65,4.85,5.45,5.65,5.7,5.75,5.8,5.85,5.9,5.95,6,6.45,6.5,6.55,6.63,6.7,6.75,6.8},{0,10,20,30,40,50,60,62,64,66,68,70,72,74,76,78,80,85,90,95,100})</f>
        <v>62</v>
      </c>
      <c r="T546" s="5"/>
      <c r="U546" s="5"/>
      <c r="V546" s="5">
        <f t="shared" si="245"/>
        <v>62</v>
      </c>
      <c r="W546" s="5"/>
      <c r="X546" s="13">
        <f t="shared" si="246"/>
        <v>45.6</v>
      </c>
      <c r="Y546" s="13">
        <f t="shared" si="247"/>
        <v>65.1428571428572</v>
      </c>
      <c r="Z546" s="19"/>
    </row>
    <row r="547" ht="15.6" hidden="1" outlineLevel="2" spans="1:26">
      <c r="A547" s="5">
        <v>312</v>
      </c>
      <c r="B547" s="5">
        <v>24</v>
      </c>
      <c r="C547" s="9" t="s">
        <v>599</v>
      </c>
      <c r="D547" s="9" t="s">
        <v>12</v>
      </c>
      <c r="E547" s="5">
        <v>16</v>
      </c>
      <c r="F547" s="7">
        <f>LOOKUP(E547,{0,-1.8,-0.8,0.2,1.2,2.2,3.2,4.6,6,7.4,8.8,10.2,11.6,13,14.4,15.8,17.2,19.1,21,22.8,24.6},{0,10,20,30,40,50,60,62,64,66,68,70,72,74,76,78,80,85,90,95,100})</f>
        <v>78</v>
      </c>
      <c r="G547" s="5">
        <v>255</v>
      </c>
      <c r="H547" s="7">
        <f>LOOKUP(G547,{0,180,185,190,195,200,205,209,213,217,221,225,229,233,237,241,245,253,260,265,270},{0,10,20,30,40,50,60,62,64,66,68,70,72,74,76,78,80,85,90,95,100})</f>
        <v>85</v>
      </c>
      <c r="I547" s="5">
        <v>21</v>
      </c>
      <c r="J547" s="7">
        <f>LOOKUP(I547,{0,4,5,6,7,8,9,10,11,12,13,14,15,16,17,18},{0,10,20,30,40,50,60,64,68,72,76,80,85,90,95,100})</f>
        <v>100</v>
      </c>
      <c r="K547" s="5">
        <f>I547-18</f>
        <v>3</v>
      </c>
      <c r="L547" s="7">
        <f>LOOKUP(K547,{0,1,2,3,4,5,6,7,8,9,10},{0,1,2,3,4,5,6,7,8,9,10})</f>
        <v>3</v>
      </c>
      <c r="M547" s="5">
        <f t="shared" si="242"/>
        <v>103</v>
      </c>
      <c r="N547" s="5">
        <v>7.1</v>
      </c>
      <c r="O547" s="10">
        <f t="shared" si="243"/>
        <v>10.9</v>
      </c>
      <c r="P547" s="7">
        <f>LOOKUP(O547,{0,7.8,8,8.2,8.4,8.6,8.8,9,9.2,9.4,9.6,9.8,10,10.2,10.4,10.6,10.8,10.9,11,11.1,11.2},{0,10,20,30,40,50,60,62,64,66,68,70,72,74,76,78,80,85,90,95,100})</f>
        <v>85</v>
      </c>
      <c r="Q547" s="5">
        <v>4.51</v>
      </c>
      <c r="R547" s="10">
        <f t="shared" si="244"/>
        <v>5.49</v>
      </c>
      <c r="S547" s="7">
        <f>LOOKUP(R547,{0,3.85,4.45,4.65,4.85,5.45,5.65,5.7,5.75,5.8,5.85,5.9,5.95,6,6.45,6.5,6.55,6.63,6.7,6.75,6.8},{0,10,20,30,40,50,60,62,64,66,68,70,72,74,76,78,80,85,90,95,100})</f>
        <v>50</v>
      </c>
      <c r="T547" s="5"/>
      <c r="U547" s="5"/>
      <c r="V547" s="5">
        <f t="shared" si="245"/>
        <v>50</v>
      </c>
      <c r="W547" s="5"/>
      <c r="X547" s="13">
        <f t="shared" si="246"/>
        <v>53.3</v>
      </c>
      <c r="Y547" s="13">
        <f t="shared" si="247"/>
        <v>79.1428571428571</v>
      </c>
      <c r="Z547" s="19"/>
    </row>
    <row r="548" ht="15.6" hidden="1" outlineLevel="2" spans="1:26">
      <c r="A548" s="5">
        <v>312</v>
      </c>
      <c r="B548" s="5">
        <v>25</v>
      </c>
      <c r="C548" s="9" t="s">
        <v>600</v>
      </c>
      <c r="D548" s="9" t="s">
        <v>12</v>
      </c>
      <c r="E548" s="5">
        <v>21.5</v>
      </c>
      <c r="F548" s="7">
        <f>LOOKUP(E548,{0,-1.8,-0.8,0.2,1.2,2.2,3.2,4.6,6,7.4,8.8,10.2,11.6,13,14.4,15.8,17.2,19.1,21,22.8,24.6},{0,10,20,30,40,50,60,62,64,66,68,70,72,74,76,78,80,85,90,95,100})</f>
        <v>90</v>
      </c>
      <c r="G548" s="5">
        <v>260</v>
      </c>
      <c r="H548" s="7">
        <f>LOOKUP(G548,{0,180,185,190,195,200,205,209,213,217,221,225,229,233,237,241,245,253,260,265,270},{0,10,20,30,40,50,60,62,64,66,68,70,72,74,76,78,80,85,90,95,100})</f>
        <v>90</v>
      </c>
      <c r="I548" s="5">
        <v>4</v>
      </c>
      <c r="J548" s="7">
        <f>LOOKUP(I548,{0,4,5,6,7,8,9,10,11,12,13,14,15,16,17,18},{0,10,20,30,40,50,60,64,68,72,76,80,85,90,95,100})</f>
        <v>10</v>
      </c>
      <c r="K548" s="5"/>
      <c r="L548" s="5"/>
      <c r="M548" s="5">
        <f t="shared" si="242"/>
        <v>10</v>
      </c>
      <c r="N548" s="5">
        <v>7.1</v>
      </c>
      <c r="O548" s="10">
        <f t="shared" si="243"/>
        <v>10.9</v>
      </c>
      <c r="P548" s="7">
        <f>LOOKUP(O548,{0,7.8,8,8.2,8.4,8.6,8.8,9,9.2,9.4,9.6,9.8,10,10.2,10.4,10.6,10.8,10.9,11,11.1,11.2},{0,10,20,30,40,50,60,62,64,66,68,70,72,74,76,78,80,85,90,95,100})</f>
        <v>85</v>
      </c>
      <c r="Q548" s="5">
        <v>4.47</v>
      </c>
      <c r="R548" s="10">
        <f t="shared" si="244"/>
        <v>5.53</v>
      </c>
      <c r="S548" s="7">
        <f>LOOKUP(R548,{0,3.85,4.45,4.65,4.85,5.45,5.65,5.7,5.75,5.8,5.85,5.9,5.95,6,6.45,6.5,6.55,6.63,6.7,6.75,6.8},{0,10,20,30,40,50,60,62,64,66,68,70,72,74,76,78,80,85,90,95,100})</f>
        <v>50</v>
      </c>
      <c r="T548" s="5"/>
      <c r="U548" s="5"/>
      <c r="V548" s="5">
        <f t="shared" si="245"/>
        <v>50</v>
      </c>
      <c r="W548" s="5"/>
      <c r="X548" s="13">
        <f t="shared" si="246"/>
        <v>46</v>
      </c>
      <c r="Y548" s="13">
        <f t="shared" si="247"/>
        <v>65.7142857142857</v>
      </c>
      <c r="Z548" s="19"/>
    </row>
    <row r="549" ht="15.6" hidden="1" outlineLevel="2" spans="1:26">
      <c r="A549" s="5">
        <v>312</v>
      </c>
      <c r="B549" s="5">
        <v>26</v>
      </c>
      <c r="C549" s="9" t="s">
        <v>601</v>
      </c>
      <c r="D549" s="9" t="s">
        <v>12</v>
      </c>
      <c r="E549" s="5">
        <v>24</v>
      </c>
      <c r="F549" s="7">
        <f>LOOKUP(E549,{0,-1.8,-0.8,0.2,1.2,2.2,3.2,4.6,6,7.4,8.8,10.2,11.6,13,14.4,15.8,17.2,19.1,21,22.8,24.6},{0,10,20,30,40,50,60,62,64,66,68,70,72,74,76,78,80,85,90,95,100})</f>
        <v>95</v>
      </c>
      <c r="G549" s="5">
        <v>245</v>
      </c>
      <c r="H549" s="7">
        <f>LOOKUP(G549,{0,180,185,190,195,200,205,209,213,217,221,225,229,233,237,241,245,253,260,265,270},{0,10,20,30,40,50,60,62,64,66,68,70,72,74,76,78,80,85,90,95,100})</f>
        <v>80</v>
      </c>
      <c r="I549" s="5">
        <v>16</v>
      </c>
      <c r="J549" s="7">
        <f>LOOKUP(I549,{0,4,5,6,7,8,9,10,11,12,13,14,15,16,17,18},{0,10,20,30,40,50,60,64,68,72,76,80,85,90,95,100})</f>
        <v>90</v>
      </c>
      <c r="K549" s="5"/>
      <c r="L549" s="16"/>
      <c r="M549" s="5">
        <f t="shared" si="242"/>
        <v>90</v>
      </c>
      <c r="N549" s="5">
        <v>7.6</v>
      </c>
      <c r="O549" s="10">
        <f t="shared" si="243"/>
        <v>10.4</v>
      </c>
      <c r="P549" s="7">
        <f>LOOKUP(O549,{0,7.8,8,8.2,8.4,8.6,8.8,9,9.2,9.4,9.6,9.8,10,10.2,10.4,10.6,10.8,10.9,11,11.1,11.2},{0,10,20,30,40,50,60,62,64,66,68,70,72,74,76,78,80,85,90,95,100})</f>
        <v>76</v>
      </c>
      <c r="Q549" s="5">
        <v>4.29</v>
      </c>
      <c r="R549" s="10">
        <f t="shared" si="244"/>
        <v>5.71</v>
      </c>
      <c r="S549" s="7">
        <f>LOOKUP(R549,{0,3.85,4.45,4.65,4.85,5.45,5.65,5.7,5.75,5.8,5.85,5.9,5.95,6,6.45,6.5,6.55,6.63,6.7,6.75,6.8},{0,10,20,30,40,50,60,62,64,66,68,70,72,74,76,78,80,85,90,95,100})</f>
        <v>62</v>
      </c>
      <c r="T549" s="5"/>
      <c r="U549" s="5"/>
      <c r="V549" s="5">
        <f t="shared" si="245"/>
        <v>62</v>
      </c>
      <c r="W549" s="5"/>
      <c r="X549" s="13">
        <f t="shared" si="246"/>
        <v>54.1</v>
      </c>
      <c r="Y549" s="13">
        <f t="shared" si="247"/>
        <v>77.2857142857143</v>
      </c>
      <c r="Z549" s="19"/>
    </row>
    <row r="550" ht="15.6" hidden="1" outlineLevel="2" spans="1:26">
      <c r="A550" s="5">
        <v>312</v>
      </c>
      <c r="B550" s="5">
        <v>27</v>
      </c>
      <c r="C550" s="9" t="s">
        <v>602</v>
      </c>
      <c r="D550" s="9" t="s">
        <v>12</v>
      </c>
      <c r="E550" s="5">
        <v>6</v>
      </c>
      <c r="F550" s="7">
        <f>LOOKUP(E550,{0,-1.8,-0.8,0.2,1.2,2.2,3.2,4.6,6,7.4,8.8,10.2,11.6,13,14.4,15.8,17.2,19.1,21,22.8,24.6},{0,10,20,30,40,50,60,62,64,66,68,70,72,74,76,78,80,85,90,95,100})</f>
        <v>64</v>
      </c>
      <c r="G550" s="5">
        <v>235</v>
      </c>
      <c r="H550" s="7">
        <f>LOOKUP(G550,{0,180,185,190,195,200,205,209,213,217,221,225,229,233,237,241,245,253,260,265,270},{0,10,20,30,40,50,60,62,64,66,68,70,72,74,76,78,80,85,90,95,100})</f>
        <v>74</v>
      </c>
      <c r="I550" s="5">
        <v>18</v>
      </c>
      <c r="J550" s="7">
        <f>LOOKUP(I550,{0,4,5,6,7,8,9,10,11,12,13,14,15,16,17,18},{0,10,20,30,40,50,60,64,68,72,76,80,85,90,95,100})</f>
        <v>100</v>
      </c>
      <c r="K550" s="5"/>
      <c r="L550" s="5"/>
      <c r="M550" s="5">
        <f t="shared" si="242"/>
        <v>100</v>
      </c>
      <c r="N550" s="5">
        <v>7.6</v>
      </c>
      <c r="O550" s="10">
        <f t="shared" si="243"/>
        <v>10.4</v>
      </c>
      <c r="P550" s="7">
        <f>LOOKUP(O550,{0,7.8,8,8.2,8.4,8.6,8.8,9,9.2,9.4,9.6,9.8,10,10.2,10.4,10.6,10.8,10.9,11,11.1,11.2},{0,10,20,30,40,50,60,62,64,66,68,70,72,74,76,78,80,85,90,95,100})</f>
        <v>76</v>
      </c>
      <c r="Q550" s="5">
        <v>3.52</v>
      </c>
      <c r="R550" s="10">
        <f t="shared" si="244"/>
        <v>6.48</v>
      </c>
      <c r="S550" s="7">
        <f>LOOKUP(R550,{0,3.85,4.45,4.65,4.85,5.45,5.65,5.7,5.75,5.8,5.85,5.9,5.95,6,6.45,6.5,6.55,6.63,6.7,6.75,6.8},{0,10,20,30,40,50,60,62,64,66,68,70,72,74,76,78,80,85,90,95,100})</f>
        <v>76</v>
      </c>
      <c r="T550" s="5"/>
      <c r="U550" s="5"/>
      <c r="V550" s="5">
        <f t="shared" si="245"/>
        <v>76</v>
      </c>
      <c r="W550" s="5"/>
      <c r="X550" s="13">
        <f t="shared" si="246"/>
        <v>54.2</v>
      </c>
      <c r="Y550" s="13">
        <f t="shared" si="247"/>
        <v>77.4285714285714</v>
      </c>
      <c r="Z550" s="19"/>
    </row>
    <row r="551" ht="15.6" hidden="1" outlineLevel="2" spans="1:26">
      <c r="A551" s="5">
        <v>312</v>
      </c>
      <c r="B551" s="5">
        <v>28</v>
      </c>
      <c r="C551" s="9" t="s">
        <v>603</v>
      </c>
      <c r="D551" s="9" t="s">
        <v>12</v>
      </c>
      <c r="E551" s="5">
        <v>15</v>
      </c>
      <c r="F551" s="7">
        <f>LOOKUP(E551,{0,-1.8,-0.8,0.2,1.2,2.2,3.2,4.6,6,7.4,8.8,10.2,11.6,13,14.4,15.8,17.2,19.1,21,22.8,24.6},{0,10,20,30,40,50,60,62,64,66,68,70,72,74,76,78,80,85,90,95,100})</f>
        <v>76</v>
      </c>
      <c r="G551" s="5">
        <v>230</v>
      </c>
      <c r="H551" s="7">
        <f>LOOKUP(G551,{0,180,185,190,195,200,205,209,213,217,221,225,229,233,237,241,245,253,260,265,270},{0,10,20,30,40,50,60,62,64,66,68,70,72,74,76,78,80,85,90,95,100})</f>
        <v>72</v>
      </c>
      <c r="I551" s="5">
        <v>0</v>
      </c>
      <c r="J551" s="7">
        <f>LOOKUP(I551,{0,4,5,6,7,8,9,10,11,12,13,14,15,16,17,18},{0,10,20,30,40,50,60,64,68,72,76,80,85,90,95,100})</f>
        <v>0</v>
      </c>
      <c r="K551" s="5"/>
      <c r="L551" s="5"/>
      <c r="M551" s="5">
        <f t="shared" si="242"/>
        <v>0</v>
      </c>
      <c r="N551" s="5">
        <v>7.5</v>
      </c>
      <c r="O551" s="10">
        <f t="shared" si="243"/>
        <v>10.5</v>
      </c>
      <c r="P551" s="7">
        <f>LOOKUP(O551,{0,7.8,8,8.2,8.4,8.6,8.8,9,9.2,9.4,9.6,9.8,10,10.2,10.4,10.6,10.8,10.9,11,11.1,11.2},{0,10,20,30,40,50,60,62,64,66,68,70,72,74,76,78,80,85,90,95,100})</f>
        <v>76</v>
      </c>
      <c r="Q551" s="5">
        <v>3.5</v>
      </c>
      <c r="R551" s="10">
        <f t="shared" si="244"/>
        <v>6.5</v>
      </c>
      <c r="S551" s="7">
        <f>LOOKUP(R551,{0,3.85,4.45,4.65,4.85,5.45,5.65,5.7,5.75,5.8,5.85,5.9,5.95,6,6.45,6.5,6.55,6.63,6.7,6.75,6.8},{0,10,20,30,40,50,60,62,64,66,68,70,72,74,76,78,80,85,90,95,100})</f>
        <v>78</v>
      </c>
      <c r="T551" s="5"/>
      <c r="U551" s="5"/>
      <c r="V551" s="5">
        <f t="shared" si="245"/>
        <v>78</v>
      </c>
      <c r="W551" s="5"/>
      <c r="X551" s="13">
        <f t="shared" si="246"/>
        <v>45.6</v>
      </c>
      <c r="Y551" s="13">
        <f t="shared" si="247"/>
        <v>65.1428571428572</v>
      </c>
      <c r="Z551" s="19"/>
    </row>
    <row r="552" ht="15.6" hidden="1" outlineLevel="2" spans="1:26">
      <c r="A552" s="5">
        <v>312</v>
      </c>
      <c r="B552" s="5">
        <v>30</v>
      </c>
      <c r="C552" s="5" t="s">
        <v>604</v>
      </c>
      <c r="D552" s="5" t="s">
        <v>12</v>
      </c>
      <c r="E552" s="5"/>
      <c r="F552" s="7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>
        <v>50</v>
      </c>
      <c r="X552" s="13"/>
      <c r="Y552" s="13">
        <v>50</v>
      </c>
      <c r="Z552" s="19"/>
    </row>
    <row r="553" ht="15.6" hidden="1" outlineLevel="2" spans="1:26">
      <c r="A553" s="5">
        <v>312</v>
      </c>
      <c r="B553" s="5">
        <v>31</v>
      </c>
      <c r="C553" s="9" t="s">
        <v>605</v>
      </c>
      <c r="D553" s="9" t="s">
        <v>12</v>
      </c>
      <c r="E553" s="5"/>
      <c r="F553" s="7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>
        <v>50</v>
      </c>
      <c r="X553" s="13"/>
      <c r="Y553" s="13">
        <v>50</v>
      </c>
      <c r="Z553" s="19"/>
    </row>
    <row r="554" ht="15.6" hidden="1" outlineLevel="2" spans="1:26">
      <c r="A554" s="5">
        <v>312</v>
      </c>
      <c r="B554" s="5">
        <v>32</v>
      </c>
      <c r="C554" s="9" t="s">
        <v>606</v>
      </c>
      <c r="D554" s="9" t="s">
        <v>12</v>
      </c>
      <c r="E554" s="5">
        <v>25</v>
      </c>
      <c r="F554" s="7">
        <f>LOOKUP(E554,{0,-1.8,-0.8,0.2,1.2,2.2,3.2,4.6,6,7.4,8.8,10.2,11.6,13,14.4,15.8,17.2,19.1,21,22.8,24.6},{0,10,20,30,40,50,60,62,64,66,68,70,72,74,76,78,80,85,90,95,100})</f>
        <v>100</v>
      </c>
      <c r="G554" s="5">
        <v>225</v>
      </c>
      <c r="H554" s="7">
        <f>LOOKUP(G554,{0,180,185,190,195,200,205,209,213,217,221,225,229,233,237,241,245,253,260,265,270},{0,10,20,30,40,50,60,62,64,66,68,70,72,74,76,78,80,85,90,95,100})</f>
        <v>70</v>
      </c>
      <c r="I554" s="5">
        <v>2</v>
      </c>
      <c r="J554" s="7">
        <f>LOOKUP(I554,{0,4,5,6,7,8,9,10,11,12,13,14,15,16,17,18},{0,10,20,30,40,50,60,64,68,72,76,80,85,90,95,100})</f>
        <v>0</v>
      </c>
      <c r="K554" s="5"/>
      <c r="L554" s="5"/>
      <c r="M554" s="5">
        <f t="shared" ref="M554:M570" si="249">J554+L554</f>
        <v>0</v>
      </c>
      <c r="N554" s="5">
        <v>7.8</v>
      </c>
      <c r="O554" s="10">
        <f t="shared" ref="O554:O570" si="250">18-N554</f>
        <v>10.2</v>
      </c>
      <c r="P554" s="7">
        <f>LOOKUP(O554,{0,7.8,8,8.2,8.4,8.6,8.8,9,9.2,9.4,9.6,9.8,10,10.2,10.4,10.6,10.8,10.9,11,11.1,11.2},{0,10,20,30,40,50,60,62,64,66,68,70,72,74,76,78,80,85,90,95,100})</f>
        <v>74</v>
      </c>
      <c r="Q554" s="5">
        <v>4.53</v>
      </c>
      <c r="R554" s="10">
        <f t="shared" ref="R554:R568" si="251">10-Q554</f>
        <v>5.47</v>
      </c>
      <c r="S554" s="7">
        <f>LOOKUP(R554,{0,3.85,4.45,4.65,4.85,5.45,5.65,5.7,5.75,5.8,5.85,5.9,5.95,6,6.45,6.5,6.55,6.63,6.7,6.75,6.8},{0,10,20,30,40,50,60,62,64,66,68,70,72,74,76,78,80,85,90,95,100})</f>
        <v>50</v>
      </c>
      <c r="T554" s="5"/>
      <c r="U554" s="5"/>
      <c r="V554" s="5">
        <f t="shared" ref="V554:V568" si="252">S554+U554</f>
        <v>50</v>
      </c>
      <c r="W554" s="5"/>
      <c r="X554" s="13">
        <f t="shared" ref="X554:X568" si="253">F554*0.1+H554*0.1+J554*0.1+P554*0.2+S554*0.2</f>
        <v>41.8</v>
      </c>
      <c r="Y554" s="13">
        <f t="shared" ref="Y554:Y568" si="254">X554/0.7+L554+U554</f>
        <v>59.7142857142857</v>
      </c>
      <c r="Z554" s="19"/>
    </row>
    <row r="555" ht="15.6" hidden="1" outlineLevel="2" spans="1:26">
      <c r="A555" s="5">
        <v>312</v>
      </c>
      <c r="B555" s="5">
        <v>33</v>
      </c>
      <c r="C555" s="9" t="s">
        <v>607</v>
      </c>
      <c r="D555" s="9" t="s">
        <v>12</v>
      </c>
      <c r="E555" s="5"/>
      <c r="F555" s="7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>
        <v>50</v>
      </c>
      <c r="X555" s="13"/>
      <c r="Y555" s="13">
        <v>50</v>
      </c>
      <c r="Z555" s="19"/>
    </row>
    <row r="556" ht="15.6" hidden="1" outlineLevel="2" spans="1:26">
      <c r="A556" s="5">
        <v>312</v>
      </c>
      <c r="B556" s="5">
        <v>34</v>
      </c>
      <c r="C556" s="8" t="s">
        <v>609</v>
      </c>
      <c r="D556" s="9" t="s">
        <v>46</v>
      </c>
      <c r="E556" s="5">
        <v>7</v>
      </c>
      <c r="F556" s="7">
        <f>LOOKUP(E556,{0,1.5,2.3,3.1,3.9,4.7,5.5,6.8,8.1,9.4,10.7,12,13.3,14.6,15.9,17.2,18.5,20.2,21.9,23.6,25.3},{0,10,20,30,40,50,60,62,64,66,68,70,72,74,76,78,80,85,90,95,100})</f>
        <v>62</v>
      </c>
      <c r="G556" s="5">
        <v>160</v>
      </c>
      <c r="H556" s="7">
        <f>LOOKUP(G556,{0,125,130,135,140,145,150,153,156,159,162,165,168,171,174,177,180,187,194,200,206},{0,10,20,30,40,50,60,62,64,66,68,70,72,74,76,78,80,85,90,95,100})</f>
        <v>66</v>
      </c>
      <c r="I556" s="5">
        <v>34</v>
      </c>
      <c r="J556" s="7">
        <f>LOOKUP(I556,{0,15,17,19,21,23,25,27,29,31,33,35,37,39,41,43,45,48,51,53,55},{0,10,20,30,40,50,60,62,64,66,68,70,72,74,76,78,80,85,90,95,100})</f>
        <v>68</v>
      </c>
      <c r="K556" s="5"/>
      <c r="L556" s="5"/>
      <c r="M556" s="5">
        <f t="shared" si="249"/>
        <v>68</v>
      </c>
      <c r="N556" s="5">
        <v>8.7</v>
      </c>
      <c r="O556" s="10">
        <f t="shared" si="250"/>
        <v>9.3</v>
      </c>
      <c r="P556" s="7">
        <f>LOOKUP(O556,{0,6.6,6.8,7,7.2,7.4,7.6,7.8,8,8.2,8.4,8.6,8.8,9,9.2,9.4,9.6,9.9,10.2,10.3,10.4},{0,10,20,30,40,50,60,62,64,66,68,70,72,74,76,78,80,85,90,95,100})</f>
        <v>76</v>
      </c>
      <c r="Q556" s="5">
        <v>3.17</v>
      </c>
      <c r="R556" s="10">
        <f t="shared" si="251"/>
        <v>6.83</v>
      </c>
      <c r="S556" s="7">
        <f>LOOKUP(R556,{0,4.74,4.84,4.94,5.44,5.54,5.64,5.69,5.74,5.79,5.84,5.89,5.94,5.99,6.44,6.49,6.54,6.61,6.68,6.74,6.8},{0,10,20,30,40,50,60,62,64,66,68,70,72,74,76,78,80,85,90,95,100})</f>
        <v>100</v>
      </c>
      <c r="T556" s="10">
        <f>3.2-Q556</f>
        <v>0.0300000000000002</v>
      </c>
      <c r="U556" s="7">
        <f>LOOKUP(T556,{0,0.05,0.1,0.15,0.2,0.25,0.3,0.35,0.4,0.45,0.5},{0,1,2,3,4,5,6,7,8,9,10})</f>
        <v>0</v>
      </c>
      <c r="V556" s="5">
        <f t="shared" si="252"/>
        <v>100</v>
      </c>
      <c r="W556" s="5"/>
      <c r="X556" s="13">
        <f t="shared" si="253"/>
        <v>54.8</v>
      </c>
      <c r="Y556" s="13">
        <f t="shared" si="254"/>
        <v>78.2857142857143</v>
      </c>
      <c r="Z556" s="19"/>
    </row>
    <row r="557" ht="15.6" hidden="1" outlineLevel="2" spans="1:26">
      <c r="A557" s="5">
        <v>312</v>
      </c>
      <c r="B557" s="5">
        <v>35</v>
      </c>
      <c r="C557" s="9" t="s">
        <v>610</v>
      </c>
      <c r="D557" s="9" t="s">
        <v>46</v>
      </c>
      <c r="E557" s="5">
        <v>18.5</v>
      </c>
      <c r="F557" s="7">
        <f>LOOKUP(E557,{0,1.5,2.3,3.1,3.9,4.7,5.5,6.8,8.1,9.4,10.7,12,13.3,14.6,15.9,17.2,18.5,20.2,21.9,23.6,25.3},{0,10,20,30,40,50,60,62,64,66,68,70,72,74,76,78,80,85,90,95,100})</f>
        <v>80</v>
      </c>
      <c r="G557" s="5">
        <v>170</v>
      </c>
      <c r="H557" s="7">
        <f>LOOKUP(G557,{0,125,130,135,140,145,150,153,156,159,162,165,168,171,174,177,180,187,194,200,206},{0,10,20,30,40,50,60,62,64,66,68,70,72,74,76,78,80,85,90,95,100})</f>
        <v>72</v>
      </c>
      <c r="I557" s="5">
        <v>46</v>
      </c>
      <c r="J557" s="7">
        <f>LOOKUP(I557,{0,15,17,19,21,23,25,27,29,31,33,35,37,39,41,43,45,48,51,53,55},{0,10,20,30,40,50,60,62,64,66,68,70,72,74,76,78,80,85,90,95,100})</f>
        <v>80</v>
      </c>
      <c r="K557" s="5"/>
      <c r="L557" s="5"/>
      <c r="M557" s="5">
        <f t="shared" si="249"/>
        <v>80</v>
      </c>
      <c r="N557" s="5">
        <v>9.7</v>
      </c>
      <c r="O557" s="10">
        <f t="shared" si="250"/>
        <v>8.3</v>
      </c>
      <c r="P557" s="7">
        <f>LOOKUP(O557,{0,6.6,6.8,7,7.2,7.4,7.6,7.8,8,8.2,8.4,8.6,8.8,9,9.2,9.4,9.6,9.9,10.2,10.3,10.4},{0,10,20,30,40,50,60,62,64,66,68,70,72,74,76,78,80,85,90,95,100})</f>
        <v>66</v>
      </c>
      <c r="Q557" s="5">
        <v>5.02</v>
      </c>
      <c r="R557" s="10">
        <f t="shared" si="251"/>
        <v>4.98</v>
      </c>
      <c r="S557" s="7">
        <f>LOOKUP(R557,{0,4.74,4.84,4.94,5.44,5.54,5.64,5.69,5.74,5.79,5.84,5.89,5.94,5.99,6.44,6.49,6.54,6.61,6.68,6.74,6.8},{0,10,20,30,40,50,60,62,64,66,68,70,72,74,76,78,80,85,90,95,100})</f>
        <v>30</v>
      </c>
      <c r="T557" s="5"/>
      <c r="U557" s="5"/>
      <c r="V557" s="5">
        <f t="shared" si="252"/>
        <v>30</v>
      </c>
      <c r="W557" s="5"/>
      <c r="X557" s="13">
        <f t="shared" si="253"/>
        <v>42.4</v>
      </c>
      <c r="Y557" s="13">
        <f t="shared" si="254"/>
        <v>60.5714285714286</v>
      </c>
      <c r="Z557" s="19"/>
    </row>
    <row r="558" ht="15.6" hidden="1" outlineLevel="2" spans="1:26">
      <c r="A558" s="5">
        <v>312</v>
      </c>
      <c r="B558" s="5">
        <v>36</v>
      </c>
      <c r="C558" s="9" t="s">
        <v>611</v>
      </c>
      <c r="D558" s="9" t="s">
        <v>46</v>
      </c>
      <c r="E558" s="5">
        <v>22</v>
      </c>
      <c r="F558" s="7">
        <f>LOOKUP(E558,{0,1.5,2.3,3.1,3.9,4.7,5.5,6.8,8.1,9.4,10.7,12,13.3,14.6,15.9,17.2,18.5,20.2,21.9,23.6,25.3},{0,10,20,30,40,50,60,62,64,66,68,70,72,74,76,78,80,85,90,95,100})</f>
        <v>90</v>
      </c>
      <c r="G558" s="5">
        <v>180</v>
      </c>
      <c r="H558" s="7">
        <f>LOOKUP(G558,{0,125,130,135,140,145,150,153,156,159,162,165,168,171,174,177,180,187,194,200,206},{0,10,20,30,40,50,60,62,64,66,68,70,72,74,76,78,80,85,90,95,100})</f>
        <v>80</v>
      </c>
      <c r="I558" s="5">
        <v>47</v>
      </c>
      <c r="J558" s="7">
        <f>LOOKUP(I558,{0,15,17,19,21,23,25,27,29,31,33,35,37,39,41,43,45,48,51,53,55},{0,10,20,30,40,50,60,62,64,66,68,70,72,74,76,78,80,85,90,95,100})</f>
        <v>80</v>
      </c>
      <c r="K558" s="5"/>
      <c r="L558" s="5"/>
      <c r="M558" s="5">
        <f t="shared" si="249"/>
        <v>80</v>
      </c>
      <c r="N558" s="5">
        <v>9.4</v>
      </c>
      <c r="O558" s="10">
        <f t="shared" si="250"/>
        <v>8.6</v>
      </c>
      <c r="P558" s="7">
        <f>LOOKUP(O558,{0,6.6,6.8,7,7.2,7.4,7.6,7.8,8,8.2,8.4,8.6,8.8,9,9.2,9.4,9.6,9.9,10.2,10.3,10.4},{0,10,20,30,40,50,60,62,64,66,68,70,72,74,76,78,80,85,90,95,100})</f>
        <v>70</v>
      </c>
      <c r="Q558" s="5">
        <v>4.25</v>
      </c>
      <c r="R558" s="10">
        <f t="shared" si="251"/>
        <v>5.75</v>
      </c>
      <c r="S558" s="7">
        <f>LOOKUP(R558,{0,4.74,4.84,4.94,5.44,5.54,5.64,5.69,5.74,5.79,5.84,5.89,5.94,5.99,6.44,6.49,6.54,6.61,6.68,6.74,6.8},{0,10,20,30,40,50,60,62,64,66,68,70,72,74,76,78,80,85,90,95,100})</f>
        <v>64</v>
      </c>
      <c r="T558" s="5"/>
      <c r="U558" s="5"/>
      <c r="V558" s="5">
        <f t="shared" si="252"/>
        <v>64</v>
      </c>
      <c r="W558" s="5"/>
      <c r="X558" s="13">
        <f t="shared" si="253"/>
        <v>51.8</v>
      </c>
      <c r="Y558" s="13">
        <f t="shared" si="254"/>
        <v>74</v>
      </c>
      <c r="Z558" s="19"/>
    </row>
    <row r="559" ht="15.6" hidden="1" outlineLevel="2" spans="1:26">
      <c r="A559" s="5">
        <v>312</v>
      </c>
      <c r="B559" s="5">
        <v>37</v>
      </c>
      <c r="C559" s="9" t="s">
        <v>612</v>
      </c>
      <c r="D559" s="9" t="s">
        <v>46</v>
      </c>
      <c r="E559" s="5">
        <v>15.5</v>
      </c>
      <c r="F559" s="7">
        <f>LOOKUP(E559,{0,1.5,2.3,3.1,3.9,4.7,5.5,6.8,8.1,9.4,10.7,12,13.3,14.6,15.9,17.2,18.5,20.2,21.9,23.6,25.3},{0,10,20,30,40,50,60,62,64,66,68,70,72,74,76,78,80,85,90,95,100})</f>
        <v>74</v>
      </c>
      <c r="G559" s="5">
        <v>178</v>
      </c>
      <c r="H559" s="7">
        <f>LOOKUP(G559,{0,125,130,135,140,145,150,153,156,159,162,165,168,171,174,177,180,187,194,200,206},{0,10,20,30,40,50,60,62,64,66,68,70,72,74,76,78,80,85,90,95,100})</f>
        <v>78</v>
      </c>
      <c r="I559" s="5">
        <v>40</v>
      </c>
      <c r="J559" s="7">
        <f>LOOKUP(I559,{0,15,17,19,21,23,25,27,29,31,33,35,37,39,41,43,45,48,51,53,55},{0,10,20,30,40,50,60,62,64,66,68,70,72,74,76,78,80,85,90,95,100})</f>
        <v>74</v>
      </c>
      <c r="K559" s="5"/>
      <c r="L559" s="5"/>
      <c r="M559" s="5">
        <f t="shared" si="249"/>
        <v>74</v>
      </c>
      <c r="N559" s="5">
        <v>9.9</v>
      </c>
      <c r="O559" s="10">
        <f t="shared" si="250"/>
        <v>8.1</v>
      </c>
      <c r="P559" s="7">
        <f>LOOKUP(O559,{0,6.6,6.8,7,7.2,7.4,7.6,7.8,8,8.2,8.4,8.6,8.8,9,9.2,9.4,9.6,9.9,10.2,10.3,10.4},{0,10,20,30,40,50,60,62,64,66,68,70,72,74,76,78,80,85,90,95,100})</f>
        <v>64</v>
      </c>
      <c r="Q559" s="5">
        <v>5.13</v>
      </c>
      <c r="R559" s="10">
        <f t="shared" si="251"/>
        <v>4.87</v>
      </c>
      <c r="S559" s="7">
        <f>LOOKUP(R559,{0,4.74,4.84,4.94,5.44,5.54,5.64,5.69,5.74,5.79,5.84,5.89,5.94,5.99,6.44,6.49,6.54,6.61,6.68,6.74,6.8},{0,10,20,30,40,50,60,62,64,66,68,70,72,74,76,78,80,85,90,95,100})</f>
        <v>20</v>
      </c>
      <c r="T559" s="5"/>
      <c r="U559" s="5"/>
      <c r="V559" s="5">
        <f t="shared" si="252"/>
        <v>20</v>
      </c>
      <c r="W559" s="5"/>
      <c r="X559" s="13">
        <f t="shared" si="253"/>
        <v>39.4</v>
      </c>
      <c r="Y559" s="13">
        <f t="shared" si="254"/>
        <v>56.2857142857143</v>
      </c>
      <c r="Z559" s="20"/>
    </row>
    <row r="560" ht="15.6" hidden="1" outlineLevel="2" spans="1:26">
      <c r="A560" s="5">
        <v>312</v>
      </c>
      <c r="B560" s="5">
        <v>38</v>
      </c>
      <c r="C560" s="9" t="s">
        <v>613</v>
      </c>
      <c r="D560" s="9" t="s">
        <v>46</v>
      </c>
      <c r="E560" s="5">
        <v>8.5</v>
      </c>
      <c r="F560" s="7">
        <f>LOOKUP(E560,{0,1.5,2.3,3.1,3.9,4.7,5.5,6.8,8.1,9.4,10.7,12,13.3,14.6,15.9,17.2,18.5,20.2,21.9,23.6,25.3},{0,10,20,30,40,50,60,62,64,66,68,70,72,74,76,78,80,85,90,95,100})</f>
        <v>64</v>
      </c>
      <c r="G560" s="5">
        <v>173</v>
      </c>
      <c r="H560" s="7">
        <f>LOOKUP(G560,{0,125,130,135,140,145,150,153,156,159,162,165,168,171,174,177,180,187,194,200,206},{0,10,20,30,40,50,60,62,64,66,68,70,72,74,76,78,80,85,90,95,100})</f>
        <v>74</v>
      </c>
      <c r="I560" s="5">
        <v>42</v>
      </c>
      <c r="J560" s="7">
        <f>LOOKUP(I560,{0,15,17,19,21,23,25,27,29,31,33,35,37,39,41,43,45,48,51,53,55},{0,10,20,30,40,50,60,62,64,66,68,70,72,74,76,78,80,85,90,95,100})</f>
        <v>76</v>
      </c>
      <c r="K560" s="5"/>
      <c r="L560" s="5"/>
      <c r="M560" s="5">
        <f t="shared" si="249"/>
        <v>76</v>
      </c>
      <c r="N560" s="5">
        <v>9.4</v>
      </c>
      <c r="O560" s="10">
        <f t="shared" si="250"/>
        <v>8.6</v>
      </c>
      <c r="P560" s="7">
        <f>LOOKUP(O560,{0,6.6,6.8,7,7.2,7.4,7.6,7.8,8,8.2,8.4,8.6,8.8,9,9.2,9.4,9.6,9.9,10.2,10.3,10.4},{0,10,20,30,40,50,60,62,64,66,68,70,72,74,76,78,80,85,90,95,100})</f>
        <v>70</v>
      </c>
      <c r="Q560" s="5">
        <v>4.23</v>
      </c>
      <c r="R560" s="10">
        <f t="shared" si="251"/>
        <v>5.77</v>
      </c>
      <c r="S560" s="7">
        <f>LOOKUP(R560,{0,4.74,4.84,4.94,5.44,5.54,5.64,5.69,5.74,5.79,5.84,5.89,5.94,5.99,6.44,6.49,6.54,6.61,6.68,6.74,6.8},{0,10,20,30,40,50,60,62,64,66,68,70,72,74,76,78,80,85,90,95,100})</f>
        <v>64</v>
      </c>
      <c r="T560" s="5"/>
      <c r="U560" s="5"/>
      <c r="V560" s="5">
        <f t="shared" si="252"/>
        <v>64</v>
      </c>
      <c r="W560" s="5"/>
      <c r="X560" s="13">
        <f t="shared" si="253"/>
        <v>48.2</v>
      </c>
      <c r="Y560" s="13">
        <f t="shared" si="254"/>
        <v>68.8571428571429</v>
      </c>
      <c r="Z560" s="19"/>
    </row>
    <row r="561" ht="15.6" hidden="1" outlineLevel="2" spans="1:26">
      <c r="A561" s="5">
        <v>312</v>
      </c>
      <c r="B561" s="5">
        <v>39</v>
      </c>
      <c r="C561" s="9" t="s">
        <v>614</v>
      </c>
      <c r="D561" s="9" t="s">
        <v>46</v>
      </c>
      <c r="E561" s="5">
        <v>9.7</v>
      </c>
      <c r="F561" s="7">
        <f>LOOKUP(E561,{0,1.5,2.3,3.1,3.9,4.7,5.5,6.8,8.1,9.4,10.7,12,13.3,14.6,15.9,17.2,18.5,20.2,21.9,23.6,25.3},{0,10,20,30,40,50,60,62,64,66,68,70,72,74,76,78,80,85,90,95,100})</f>
        <v>66</v>
      </c>
      <c r="G561" s="5">
        <v>182</v>
      </c>
      <c r="H561" s="7">
        <f>LOOKUP(G561,{0,125,130,135,140,145,150,153,156,159,162,165,168,171,174,177,180,187,194,200,206},{0,10,20,30,40,50,60,62,64,66,68,70,72,74,76,78,80,85,90,95,100})</f>
        <v>80</v>
      </c>
      <c r="I561" s="5">
        <v>45</v>
      </c>
      <c r="J561" s="7">
        <f>LOOKUP(I561,{0,15,17,19,21,23,25,27,29,31,33,35,37,39,41,43,45,48,51,53,55},{0,10,20,30,40,50,60,62,64,66,68,70,72,74,76,78,80,85,90,95,100})</f>
        <v>80</v>
      </c>
      <c r="K561" s="5"/>
      <c r="L561" s="5"/>
      <c r="M561" s="5">
        <f t="shared" si="249"/>
        <v>80</v>
      </c>
      <c r="N561" s="5">
        <v>9.2</v>
      </c>
      <c r="O561" s="10">
        <f t="shared" si="250"/>
        <v>8.8</v>
      </c>
      <c r="P561" s="7">
        <f>LOOKUP(O561,{0,6.6,6.8,7,7.2,7.4,7.6,7.8,8,8.2,8.4,8.6,8.8,9,9.2,9.4,9.6,9.9,10.2,10.3,10.4},{0,10,20,30,40,50,60,62,64,66,68,70,72,74,76,78,80,85,90,95,100})</f>
        <v>72</v>
      </c>
      <c r="Q561" s="5">
        <v>5.01</v>
      </c>
      <c r="R561" s="10">
        <f t="shared" si="251"/>
        <v>4.99</v>
      </c>
      <c r="S561" s="7">
        <f>LOOKUP(R561,{0,4.74,4.84,4.94,5.44,5.54,5.64,5.69,5.74,5.79,5.84,5.89,5.94,5.99,6.44,6.49,6.54,6.61,6.68,6.74,6.8},{0,10,20,30,40,50,60,62,64,66,68,70,72,74,76,78,80,85,90,95,100})</f>
        <v>30</v>
      </c>
      <c r="T561" s="5"/>
      <c r="U561" s="5"/>
      <c r="V561" s="5">
        <f t="shared" si="252"/>
        <v>30</v>
      </c>
      <c r="W561" s="5"/>
      <c r="X561" s="13">
        <f t="shared" si="253"/>
        <v>43</v>
      </c>
      <c r="Y561" s="13">
        <f t="shared" si="254"/>
        <v>61.4285714285714</v>
      </c>
      <c r="Z561" s="19"/>
    </row>
    <row r="562" ht="15.6" hidden="1" outlineLevel="2" spans="1:26">
      <c r="A562" s="5">
        <v>312</v>
      </c>
      <c r="B562" s="5">
        <v>40</v>
      </c>
      <c r="C562" s="9" t="s">
        <v>615</v>
      </c>
      <c r="D562" s="9" t="s">
        <v>46</v>
      </c>
      <c r="E562" s="5">
        <v>24</v>
      </c>
      <c r="F562" s="7">
        <f>LOOKUP(E562,{0,1.5,2.3,3.1,3.9,4.7,5.5,6.8,8.1,9.4,10.7,12,13.3,14.6,15.9,17.2,18.5,20.2,21.9,23.6,25.3},{0,10,20,30,40,50,60,62,64,66,68,70,72,74,76,78,80,85,90,95,100})</f>
        <v>95</v>
      </c>
      <c r="G562" s="5">
        <v>165</v>
      </c>
      <c r="H562" s="7">
        <f>LOOKUP(G562,{0,125,130,135,140,145,150,153,156,159,162,165,168,171,174,177,180,187,194,200,206},{0,10,20,30,40,50,60,62,64,66,68,70,72,74,76,78,80,85,90,95,100})</f>
        <v>70</v>
      </c>
      <c r="I562" s="5">
        <v>37</v>
      </c>
      <c r="J562" s="7">
        <f>LOOKUP(I562,{0,15,17,19,21,23,25,27,29,31,33,35,37,39,41,43,45,48,51,53,55},{0,10,20,30,40,50,60,62,64,66,68,70,72,74,76,78,80,85,90,95,100})</f>
        <v>72</v>
      </c>
      <c r="K562" s="5"/>
      <c r="L562" s="5"/>
      <c r="M562" s="5">
        <f t="shared" si="249"/>
        <v>72</v>
      </c>
      <c r="N562" s="5">
        <v>8.6</v>
      </c>
      <c r="O562" s="10">
        <f t="shared" si="250"/>
        <v>9.4</v>
      </c>
      <c r="P562" s="7">
        <f>LOOKUP(O562,{0,6.6,6.8,7,7.2,7.4,7.6,7.8,8,8.2,8.4,8.6,8.8,9,9.2,9.4,9.6,9.9,10.2,10.3,10.4},{0,10,20,30,40,50,60,62,64,66,68,70,72,74,76,78,80,85,90,95,100})</f>
        <v>78</v>
      </c>
      <c r="Q562" s="5">
        <v>4.35</v>
      </c>
      <c r="R562" s="10">
        <f t="shared" si="251"/>
        <v>5.65</v>
      </c>
      <c r="S562" s="7">
        <f>LOOKUP(R562,{0,4.74,4.84,4.94,5.44,5.54,5.64,5.69,5.74,5.79,5.84,5.89,5.94,5.99,6.44,6.49,6.54,6.61,6.68,6.74,6.8},{0,10,20,30,40,50,60,62,64,66,68,70,72,74,76,78,80,85,90,95,100})</f>
        <v>60</v>
      </c>
      <c r="T562" s="5"/>
      <c r="U562" s="5"/>
      <c r="V562" s="5">
        <f t="shared" si="252"/>
        <v>60</v>
      </c>
      <c r="W562" s="5"/>
      <c r="X562" s="13">
        <f t="shared" si="253"/>
        <v>51.3</v>
      </c>
      <c r="Y562" s="13">
        <f t="shared" si="254"/>
        <v>73.2857142857143</v>
      </c>
      <c r="Z562" s="19"/>
    </row>
    <row r="563" ht="15.6" hidden="1" outlineLevel="2" spans="1:26">
      <c r="A563" s="5">
        <v>312</v>
      </c>
      <c r="B563" s="5">
        <v>41</v>
      </c>
      <c r="C563" s="9" t="s">
        <v>616</v>
      </c>
      <c r="D563" s="9" t="s">
        <v>46</v>
      </c>
      <c r="E563" s="5">
        <v>8.5</v>
      </c>
      <c r="F563" s="7">
        <f>LOOKUP(E563,{0,1.5,2.3,3.1,3.9,4.7,5.5,6.8,8.1,9.4,10.7,12,13.3,14.6,15.9,17.2,18.5,20.2,21.9,23.6,25.3},{0,10,20,30,40,50,60,62,64,66,68,70,72,74,76,78,80,85,90,95,100})</f>
        <v>64</v>
      </c>
      <c r="G563" s="5">
        <v>180</v>
      </c>
      <c r="H563" s="7">
        <f>LOOKUP(G563,{0,125,130,135,140,145,150,153,156,159,162,165,168,171,174,177,180,187,194,200,206},{0,10,20,30,40,50,60,62,64,66,68,70,72,74,76,78,80,85,90,95,100})</f>
        <v>80</v>
      </c>
      <c r="I563" s="5">
        <v>30</v>
      </c>
      <c r="J563" s="7">
        <f>LOOKUP(I563,{0,15,17,19,21,23,25,27,29,31,33,35,37,39,41,43,45,48,51,53,55},{0,10,20,30,40,50,60,62,64,66,68,70,72,74,76,78,80,85,90,95,100})</f>
        <v>64</v>
      </c>
      <c r="K563" s="5"/>
      <c r="L563" s="5"/>
      <c r="M563" s="5">
        <f t="shared" si="249"/>
        <v>64</v>
      </c>
      <c r="N563" s="5">
        <v>8.4</v>
      </c>
      <c r="O563" s="10">
        <f t="shared" si="250"/>
        <v>9.6</v>
      </c>
      <c r="P563" s="7">
        <f>LOOKUP(O563,{0,6.6,6.8,7,7.2,7.4,7.6,7.8,8,8.2,8.4,8.6,8.8,9,9.2,9.4,9.6,9.9,10.2,10.3,10.4},{0,10,20,30,40,50,60,62,64,66,68,70,72,74,76,78,80,85,90,95,100})</f>
        <v>80</v>
      </c>
      <c r="Q563" s="5">
        <v>5</v>
      </c>
      <c r="R563" s="10">
        <f t="shared" si="251"/>
        <v>5</v>
      </c>
      <c r="S563" s="7">
        <f>LOOKUP(R563,{0,4.74,4.84,4.94,5.44,5.54,5.64,5.69,5.74,5.79,5.84,5.89,5.94,5.99,6.44,6.49,6.54,6.61,6.68,6.74,6.8},{0,10,20,30,40,50,60,62,64,66,68,70,72,74,76,78,80,85,90,95,100})</f>
        <v>30</v>
      </c>
      <c r="T563" s="5"/>
      <c r="U563" s="5"/>
      <c r="V563" s="5">
        <f t="shared" si="252"/>
        <v>30</v>
      </c>
      <c r="W563" s="5"/>
      <c r="X563" s="13">
        <f t="shared" si="253"/>
        <v>42.8</v>
      </c>
      <c r="Y563" s="13">
        <f t="shared" si="254"/>
        <v>61.1428571428571</v>
      </c>
      <c r="Z563" s="19"/>
    </row>
    <row r="564" ht="15.6" hidden="1" outlineLevel="2" spans="1:26">
      <c r="A564" s="5">
        <v>312</v>
      </c>
      <c r="B564" s="5">
        <v>42</v>
      </c>
      <c r="C564" s="8" t="s">
        <v>618</v>
      </c>
      <c r="D564" s="9" t="s">
        <v>46</v>
      </c>
      <c r="E564" s="5">
        <v>24</v>
      </c>
      <c r="F564" s="7">
        <f>LOOKUP(E564,{0,1.5,2.3,3.1,3.9,4.7,5.5,6.8,8.1,9.4,10.7,12,13.3,14.6,15.9,17.2,18.5,20.2,21.9,23.6,25.3},{0,10,20,30,40,50,60,62,64,66,68,70,72,74,76,78,80,85,90,95,100})</f>
        <v>95</v>
      </c>
      <c r="G564" s="5">
        <v>147</v>
      </c>
      <c r="H564" s="7">
        <f>LOOKUP(G564,{0,125,130,135,140,145,150,153,156,159,162,165,168,171,174,177,180,187,194,200,206},{0,10,20,30,40,50,60,62,64,66,68,70,72,74,76,78,80,85,90,95,100})</f>
        <v>50</v>
      </c>
      <c r="I564" s="5">
        <v>38</v>
      </c>
      <c r="J564" s="7">
        <f>LOOKUP(I564,{0,15,17,19,21,23,25,27,29,31,33,35,37,39,41,43,45,48,51,53,55},{0,10,20,30,40,50,60,62,64,66,68,70,72,74,76,78,80,85,90,95,100})</f>
        <v>72</v>
      </c>
      <c r="K564" s="5"/>
      <c r="L564" s="5"/>
      <c r="M564" s="5">
        <f t="shared" si="249"/>
        <v>72</v>
      </c>
      <c r="N564" s="5">
        <v>9.5</v>
      </c>
      <c r="O564" s="10">
        <f t="shared" si="250"/>
        <v>8.5</v>
      </c>
      <c r="P564" s="7">
        <f>LOOKUP(O564,{0,6.6,6.8,7,7.2,7.4,7.6,7.8,8,8.2,8.4,8.6,8.8,9,9.2,9.4,9.6,9.9,10.2,10.3,10.4},{0,10,20,30,40,50,60,62,64,66,68,70,72,74,76,78,80,85,90,95,100})</f>
        <v>68</v>
      </c>
      <c r="Q564" s="5">
        <v>5.05</v>
      </c>
      <c r="R564" s="10">
        <f t="shared" si="251"/>
        <v>4.95</v>
      </c>
      <c r="S564" s="7">
        <f>LOOKUP(R564,{0,4.74,4.84,4.94,5.44,5.54,5.64,5.69,5.74,5.79,5.84,5.89,5.94,5.99,6.44,6.49,6.54,6.61,6.68,6.74,6.8},{0,10,20,30,40,50,60,62,64,66,68,70,72,74,76,78,80,85,90,95,100})</f>
        <v>30</v>
      </c>
      <c r="T564" s="5"/>
      <c r="U564" s="5"/>
      <c r="V564" s="5">
        <f t="shared" si="252"/>
        <v>30</v>
      </c>
      <c r="W564" s="5"/>
      <c r="X564" s="13">
        <f t="shared" si="253"/>
        <v>41.3</v>
      </c>
      <c r="Y564" s="13">
        <f t="shared" si="254"/>
        <v>59</v>
      </c>
      <c r="Z564" s="19"/>
    </row>
    <row r="565" ht="15.6" hidden="1" outlineLevel="2" spans="1:26">
      <c r="A565" s="5">
        <v>312</v>
      </c>
      <c r="B565" s="5">
        <v>43</v>
      </c>
      <c r="C565" s="9" t="s">
        <v>619</v>
      </c>
      <c r="D565" s="9" t="s">
        <v>46</v>
      </c>
      <c r="E565" s="5">
        <v>17</v>
      </c>
      <c r="F565" s="7">
        <f>LOOKUP(E565,{0,1.5,2.3,3.1,3.9,4.7,5.5,6.8,8.1,9.4,10.7,12,13.3,14.6,15.9,17.2,18.5,20.2,21.9,23.6,25.3},{0,10,20,30,40,50,60,62,64,66,68,70,72,74,76,78,80,85,90,95,100})</f>
        <v>76</v>
      </c>
      <c r="G565" s="5">
        <v>170</v>
      </c>
      <c r="H565" s="7">
        <f>LOOKUP(G565,{0,125,130,135,140,145,150,153,156,159,162,165,168,171,174,177,180,187,194,200,206},{0,10,20,30,40,50,60,62,64,66,68,70,72,74,76,78,80,85,90,95,100})</f>
        <v>72</v>
      </c>
      <c r="I565" s="5">
        <v>42</v>
      </c>
      <c r="J565" s="7">
        <f>LOOKUP(I565,{0,15,17,19,21,23,25,27,29,31,33,35,37,39,41,43,45,48,51,53,55},{0,10,20,30,40,50,60,62,64,66,68,70,72,74,76,78,80,85,90,95,100})</f>
        <v>76</v>
      </c>
      <c r="K565" s="5"/>
      <c r="L565" s="5"/>
      <c r="M565" s="5">
        <f t="shared" si="249"/>
        <v>76</v>
      </c>
      <c r="N565" s="5">
        <v>9.1</v>
      </c>
      <c r="O565" s="10">
        <f t="shared" si="250"/>
        <v>8.9</v>
      </c>
      <c r="P565" s="7">
        <f>LOOKUP(O565,{0,6.6,6.8,7,7.2,7.4,7.6,7.8,8,8.2,8.4,8.6,8.8,9,9.2,9.4,9.6,9.9,10.2,10.3,10.4},{0,10,20,30,40,50,60,62,64,66,68,70,72,74,76,78,80,85,90,95,100})</f>
        <v>72</v>
      </c>
      <c r="Q565" s="5">
        <v>4.03</v>
      </c>
      <c r="R565" s="10">
        <f t="shared" si="251"/>
        <v>5.97</v>
      </c>
      <c r="S565" s="7">
        <f>LOOKUP(R565,{0,4.74,4.84,4.94,5.44,5.54,5.64,5.69,5.74,5.79,5.84,5.89,5.94,5.99,6.44,6.49,6.54,6.61,6.68,6.74,6.8},{0,10,20,30,40,50,60,62,64,66,68,70,72,74,76,78,80,85,90,95,100})</f>
        <v>72</v>
      </c>
      <c r="T565" s="5"/>
      <c r="U565" s="5"/>
      <c r="V565" s="5">
        <f t="shared" si="252"/>
        <v>72</v>
      </c>
      <c r="W565" s="5"/>
      <c r="X565" s="13">
        <f t="shared" si="253"/>
        <v>51.2</v>
      </c>
      <c r="Y565" s="13">
        <f t="shared" si="254"/>
        <v>73.1428571428572</v>
      </c>
      <c r="Z565" s="19"/>
    </row>
    <row r="566" ht="15.6" hidden="1" outlineLevel="2" spans="1:26">
      <c r="A566" s="5">
        <v>312</v>
      </c>
      <c r="B566" s="5">
        <v>44</v>
      </c>
      <c r="C566" s="9" t="s">
        <v>620</v>
      </c>
      <c r="D566" s="9" t="s">
        <v>46</v>
      </c>
      <c r="E566" s="5">
        <v>21</v>
      </c>
      <c r="F566" s="7">
        <f>LOOKUP(E566,{0,1.5,2.3,3.1,3.9,4.7,5.5,6.8,8.1,9.4,10.7,12,13.3,14.6,15.9,17.2,18.5,20.2,21.9,23.6,25.3},{0,10,20,30,40,50,60,62,64,66,68,70,72,74,76,78,80,85,90,95,100})</f>
        <v>85</v>
      </c>
      <c r="G566" s="5">
        <v>167</v>
      </c>
      <c r="H566" s="7">
        <f>LOOKUP(G566,{0,125,130,135,140,145,150,153,156,159,162,165,168,171,174,177,180,187,194,200,206},{0,10,20,30,40,50,60,62,64,66,68,70,72,74,76,78,80,85,90,95,100})</f>
        <v>70</v>
      </c>
      <c r="I566" s="5">
        <v>53</v>
      </c>
      <c r="J566" s="7">
        <f>LOOKUP(I566,{0,15,17,19,21,23,25,27,29,31,33,35,37,39,41,43,45,48,51,53,55},{0,10,20,30,40,50,60,62,64,66,68,70,72,74,76,78,80,85,90,95,100})</f>
        <v>95</v>
      </c>
      <c r="K566" s="5"/>
      <c r="L566" s="16"/>
      <c r="M566" s="5">
        <f t="shared" si="249"/>
        <v>95</v>
      </c>
      <c r="N566" s="5">
        <v>8.6</v>
      </c>
      <c r="O566" s="10">
        <f t="shared" si="250"/>
        <v>9.4</v>
      </c>
      <c r="P566" s="7">
        <f>LOOKUP(O566,{0,6.6,6.8,7,7.2,7.4,7.6,7.8,8,8.2,8.4,8.6,8.8,9,9.2,9.4,9.6,9.9,10.2,10.3,10.4},{0,10,20,30,40,50,60,62,64,66,68,70,72,74,76,78,80,85,90,95,100})</f>
        <v>78</v>
      </c>
      <c r="Q566" s="5">
        <v>4.12</v>
      </c>
      <c r="R566" s="10">
        <f t="shared" si="251"/>
        <v>5.88</v>
      </c>
      <c r="S566" s="7">
        <f>LOOKUP(R566,{0,4.74,4.84,4.94,5.44,5.54,5.64,5.69,5.74,5.79,5.84,5.89,5.94,5.99,6.44,6.49,6.54,6.61,6.68,6.74,6.8},{0,10,20,30,40,50,60,62,64,66,68,70,72,74,76,78,80,85,90,95,100})</f>
        <v>68</v>
      </c>
      <c r="T566" s="5"/>
      <c r="U566" s="5"/>
      <c r="V566" s="5">
        <f t="shared" si="252"/>
        <v>68</v>
      </c>
      <c r="W566" s="5"/>
      <c r="X566" s="13">
        <f t="shared" si="253"/>
        <v>54.2</v>
      </c>
      <c r="Y566" s="13">
        <f t="shared" si="254"/>
        <v>77.4285714285714</v>
      </c>
      <c r="Z566" s="19"/>
    </row>
    <row r="567" ht="15.6" hidden="1" outlineLevel="2" spans="1:26">
      <c r="A567" s="5">
        <v>312</v>
      </c>
      <c r="B567" s="5">
        <v>45</v>
      </c>
      <c r="C567" s="9" t="s">
        <v>621</v>
      </c>
      <c r="D567" s="9" t="s">
        <v>46</v>
      </c>
      <c r="E567" s="5">
        <v>22</v>
      </c>
      <c r="F567" s="7">
        <f>LOOKUP(E567,{0,1.5,2.3,3.1,3.9,4.7,5.5,6.8,8.1,9.4,10.7,12,13.3,14.6,15.9,17.2,18.5,20.2,21.9,23.6,25.3},{0,10,20,30,40,50,60,62,64,66,68,70,72,74,76,78,80,85,90,95,100})</f>
        <v>90</v>
      </c>
      <c r="G567" s="5">
        <v>125</v>
      </c>
      <c r="H567" s="7">
        <f>LOOKUP(G567,{0,125,130,135,140,145,150,153,156,159,162,165,168,171,174,177,180,187,194,200,206},{0,10,20,30,40,50,60,62,64,66,68,70,72,74,76,78,80,85,90,95,100})</f>
        <v>10</v>
      </c>
      <c r="I567" s="5">
        <v>32</v>
      </c>
      <c r="J567" s="7">
        <f>LOOKUP(I567,{0,15,17,19,21,23,25,27,29,31,33,35,37,39,41,43,45,48,51,53,55},{0,10,20,30,40,50,60,62,64,66,68,70,72,74,76,78,80,85,90,95,100})</f>
        <v>66</v>
      </c>
      <c r="K567" s="5"/>
      <c r="L567" s="5"/>
      <c r="M567" s="5">
        <f t="shared" si="249"/>
        <v>66</v>
      </c>
      <c r="N567" s="5">
        <v>11.1</v>
      </c>
      <c r="O567" s="10">
        <f t="shared" si="250"/>
        <v>6.9</v>
      </c>
      <c r="P567" s="7">
        <f>LOOKUP(O567,{0,6.6,6.8,7,7.2,7.4,7.6,7.8,8,8.2,8.4,8.6,8.8,9,9.2,9.4,9.6,9.9,10.2,10.3,10.4},{0,10,20,30,40,50,60,62,64,66,68,70,72,74,76,78,80,85,90,95,100})</f>
        <v>20</v>
      </c>
      <c r="Q567" s="5">
        <v>5.12</v>
      </c>
      <c r="R567" s="10">
        <f t="shared" si="251"/>
        <v>4.88</v>
      </c>
      <c r="S567" s="7">
        <f>LOOKUP(R567,{0,4.74,4.84,4.94,5.44,5.54,5.64,5.69,5.74,5.79,5.84,5.89,5.94,5.99,6.44,6.49,6.54,6.61,6.68,6.74,6.8},{0,10,20,30,40,50,60,62,64,66,68,70,72,74,76,78,80,85,90,95,100})</f>
        <v>20</v>
      </c>
      <c r="T567" s="5"/>
      <c r="U567" s="5"/>
      <c r="V567" s="5">
        <f t="shared" si="252"/>
        <v>20</v>
      </c>
      <c r="W567" s="5"/>
      <c r="X567" s="13">
        <f t="shared" si="253"/>
        <v>24.6</v>
      </c>
      <c r="Y567" s="13">
        <f t="shared" si="254"/>
        <v>35.1428571428571</v>
      </c>
      <c r="Z567" s="19"/>
    </row>
    <row r="568" ht="15.6" hidden="1" outlineLevel="2" spans="1:26">
      <c r="A568" s="5">
        <v>312</v>
      </c>
      <c r="B568" s="5">
        <v>46</v>
      </c>
      <c r="C568" s="9" t="s">
        <v>622</v>
      </c>
      <c r="D568" s="9" t="s">
        <v>46</v>
      </c>
      <c r="E568" s="5">
        <v>20</v>
      </c>
      <c r="F568" s="7">
        <f>LOOKUP(E568,{0,1.5,2.3,3.1,3.9,4.7,5.5,6.8,8.1,9.4,10.7,12,13.3,14.6,15.9,17.2,18.5,20.2,21.9,23.6,25.3},{0,10,20,30,40,50,60,62,64,66,68,70,72,74,76,78,80,85,90,95,100})</f>
        <v>80</v>
      </c>
      <c r="G568" s="5">
        <v>155</v>
      </c>
      <c r="H568" s="7">
        <f>LOOKUP(G568,{0,125,130,135,140,145,150,153,156,159,162,165,168,171,174,177,180,187,194,200,206},{0,10,20,30,40,50,60,62,64,66,68,70,72,74,76,78,80,85,90,95,100})</f>
        <v>62</v>
      </c>
      <c r="I568" s="5">
        <v>56</v>
      </c>
      <c r="J568" s="7">
        <f>LOOKUP(I568,{0,15,17,19,21,23,25,27,29,31,33,35,37,39,41,43,45,48,51,53,55},{0,10,20,30,40,50,60,62,64,66,68,70,72,74,76,78,80,85,90,95,100})</f>
        <v>100</v>
      </c>
      <c r="K568" s="11">
        <f>I568-55</f>
        <v>1</v>
      </c>
      <c r="L568" s="7">
        <f>LOOKUP(K568,{0,2,4,6,7,8,9,10,11,12,13},{0,1,2,3,4,5,6,7,8,9,10})</f>
        <v>0</v>
      </c>
      <c r="M568" s="5">
        <f t="shared" si="249"/>
        <v>100</v>
      </c>
      <c r="N568" s="5">
        <v>9.9</v>
      </c>
      <c r="O568" s="10">
        <f t="shared" si="250"/>
        <v>8.1</v>
      </c>
      <c r="P568" s="7">
        <f>LOOKUP(O568,{0,6.6,6.8,7,7.2,7.4,7.6,7.8,8,8.2,8.4,8.6,8.8,9,9.2,9.4,9.6,9.9,10.2,10.3,10.4},{0,10,20,30,40,50,60,62,64,66,68,70,72,74,76,78,80,85,90,95,100})</f>
        <v>64</v>
      </c>
      <c r="Q568" s="5">
        <v>4.02</v>
      </c>
      <c r="R568" s="10">
        <f t="shared" si="251"/>
        <v>5.98</v>
      </c>
      <c r="S568" s="7">
        <f>LOOKUP(R568,{0,4.74,4.84,4.94,5.44,5.54,5.64,5.69,5.74,5.79,5.84,5.89,5.94,5.99,6.44,6.49,6.54,6.61,6.68,6.74,6.8},{0,10,20,30,40,50,60,62,64,66,68,70,72,74,76,78,80,85,90,95,100})</f>
        <v>72</v>
      </c>
      <c r="T568" s="5"/>
      <c r="U568" s="5"/>
      <c r="V568" s="5">
        <f t="shared" si="252"/>
        <v>72</v>
      </c>
      <c r="W568" s="5"/>
      <c r="X568" s="13">
        <f t="shared" si="253"/>
        <v>51.4</v>
      </c>
      <c r="Y568" s="13">
        <f t="shared" si="254"/>
        <v>73.4285714285714</v>
      </c>
      <c r="Z568" s="19"/>
    </row>
    <row r="569" ht="15.6" hidden="1" outlineLevel="2" spans="1:26">
      <c r="A569" s="5">
        <v>312</v>
      </c>
      <c r="B569" s="5">
        <v>47</v>
      </c>
      <c r="C569" s="9" t="s">
        <v>623</v>
      </c>
      <c r="D569" s="9" t="s">
        <v>46</v>
      </c>
      <c r="E569" s="5">
        <v>5</v>
      </c>
      <c r="F569" s="7">
        <f>LOOKUP(E569,{0,1.5,2.3,3.1,3.9,4.7,5.5,6.8,8.1,9.4,10.7,12,13.3,14.6,15.9,17.2,18.5,20.2,21.9,23.6,25.3},{0,10,20,30,40,50,60,62,64,66,68,70,72,74,76,78,80,85,90,95,100})</f>
        <v>50</v>
      </c>
      <c r="G569" s="5">
        <v>146</v>
      </c>
      <c r="H569" s="7">
        <f>LOOKUP(G569,{0,125,130,135,140,145,150,153,156,159,162,165,168,171,174,177,180,187,194,200,206},{0,10,20,30,40,50,60,62,64,66,68,70,72,74,76,78,80,85,90,95,100})</f>
        <v>50</v>
      </c>
      <c r="I569" s="5">
        <v>31</v>
      </c>
      <c r="J569" s="7">
        <f>LOOKUP(I569,{0,15,17,19,21,23,25,27,29,31,33,35,37,39,41,43,45,48,51,53,55},{0,10,20,30,40,50,60,62,64,66,68,70,72,74,76,78,80,85,90,95,100})</f>
        <v>66</v>
      </c>
      <c r="K569" s="5"/>
      <c r="L569" s="5"/>
      <c r="M569" s="5">
        <f t="shared" si="249"/>
        <v>66</v>
      </c>
      <c r="N569" s="5">
        <v>10.6</v>
      </c>
      <c r="O569" s="10">
        <f t="shared" si="250"/>
        <v>7.4</v>
      </c>
      <c r="P569" s="7">
        <f>LOOKUP(O569,{0,6.6,6.8,7,7.2,7.4,7.6,7.8,8,8.2,8.4,8.6,8.8,9,9.2,9.4,9.6,9.9,10.2,10.3,10.4},{0,10,20,30,40,50,60,62,64,66,68,70,72,74,76,78,80,85,90,95,100})</f>
        <v>50</v>
      </c>
      <c r="Q569" s="5"/>
      <c r="R569" s="5"/>
      <c r="S569" s="5"/>
      <c r="T569" s="5"/>
      <c r="U569" s="5"/>
      <c r="V569" s="5"/>
      <c r="W569" s="5">
        <v>50</v>
      </c>
      <c r="X569" s="13"/>
      <c r="Y569" s="13">
        <v>50</v>
      </c>
      <c r="Z569" s="19"/>
    </row>
    <row r="570" ht="15.6" hidden="1" outlineLevel="2" spans="1:26">
      <c r="A570" s="5">
        <v>312</v>
      </c>
      <c r="B570" s="5">
        <v>48</v>
      </c>
      <c r="C570" s="9" t="s">
        <v>624</v>
      </c>
      <c r="D570" s="9" t="s">
        <v>46</v>
      </c>
      <c r="E570" s="5">
        <v>25</v>
      </c>
      <c r="F570" s="7">
        <f>LOOKUP(E570,{0,1.5,2.3,3.1,3.9,4.7,5.5,6.8,8.1,9.4,10.7,12,13.3,14.6,15.9,17.2,18.5,20.2,21.9,23.6,25.3},{0,10,20,30,40,50,60,62,64,66,68,70,72,74,76,78,80,85,90,95,100})</f>
        <v>95</v>
      </c>
      <c r="G570" s="5">
        <v>165</v>
      </c>
      <c r="H570" s="7">
        <f>LOOKUP(G570,{0,125,130,135,140,145,150,153,156,159,162,165,168,171,174,177,180,187,194,200,206},{0,10,20,30,40,50,60,62,64,66,68,70,72,74,76,78,80,85,90,95,100})</f>
        <v>70</v>
      </c>
      <c r="I570" s="5">
        <v>51</v>
      </c>
      <c r="J570" s="7">
        <f>LOOKUP(I570,{0,15,17,19,21,23,25,27,29,31,33,35,37,39,41,43,45,48,51,53,55},{0,10,20,30,40,50,60,62,64,66,68,70,72,74,76,78,80,85,90,95,100})</f>
        <v>90</v>
      </c>
      <c r="K570" s="5"/>
      <c r="L570" s="5"/>
      <c r="M570" s="5">
        <f t="shared" si="249"/>
        <v>90</v>
      </c>
      <c r="N570" s="5">
        <v>10.6</v>
      </c>
      <c r="O570" s="10">
        <f t="shared" si="250"/>
        <v>7.4</v>
      </c>
      <c r="P570" s="7">
        <f>LOOKUP(O570,{0,6.6,6.8,7,7.2,7.4,7.6,7.8,8,8.2,8.4,8.6,8.8,9,9.2,9.4,9.6,9.9,10.2,10.3,10.4},{0,10,20,30,40,50,60,62,64,66,68,70,72,74,76,78,80,85,90,95,100})</f>
        <v>50</v>
      </c>
      <c r="Q570" s="5">
        <v>5.11</v>
      </c>
      <c r="R570" s="10">
        <f>10-Q570</f>
        <v>4.89</v>
      </c>
      <c r="S570" s="7">
        <f>LOOKUP(R570,{0,4.74,4.84,4.94,5.44,5.54,5.64,5.69,5.74,5.79,5.84,5.89,5.94,5.99,6.44,6.49,6.54,6.61,6.68,6.74,6.8},{0,10,20,30,40,50,60,62,64,66,68,70,72,74,76,78,80,85,90,95,100})</f>
        <v>20</v>
      </c>
      <c r="T570" s="5"/>
      <c r="U570" s="5"/>
      <c r="V570" s="5">
        <f>S570+U570</f>
        <v>20</v>
      </c>
      <c r="W570" s="5"/>
      <c r="X570" s="13">
        <f>F570*0.1+H570*0.1+J570*0.1+P570*0.2+S570*0.2</f>
        <v>39.5</v>
      </c>
      <c r="Y570" s="13">
        <f>X570/0.7+L570+U570</f>
        <v>56.4285714285714</v>
      </c>
      <c r="Z570" s="19"/>
    </row>
    <row r="571" hidden="1" outlineLevel="2" spans="1:26">
      <c r="A571" s="5">
        <v>312</v>
      </c>
      <c r="B571" s="5">
        <v>49</v>
      </c>
      <c r="C571" s="9" t="s">
        <v>625</v>
      </c>
      <c r="D571" s="9" t="s">
        <v>46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>
        <v>50</v>
      </c>
      <c r="X571" s="13"/>
      <c r="Y571" s="13">
        <v>50</v>
      </c>
      <c r="Z571" s="19"/>
    </row>
    <row r="572" outlineLevel="1" collapsed="1" spans="1:26">
      <c r="A572" s="6" t="s">
        <v>863</v>
      </c>
      <c r="B572" s="5"/>
      <c r="C572" s="9"/>
      <c r="D572" s="9"/>
      <c r="E572" s="5"/>
      <c r="F572" s="5">
        <f>SUBTOTAL(1,F524:F571)</f>
        <v>76.6190476190476</v>
      </c>
      <c r="G572" s="5"/>
      <c r="H572" s="5">
        <f>SUBTOTAL(1,H524:H571)</f>
        <v>70.9285714285714</v>
      </c>
      <c r="I572" s="5"/>
      <c r="J572" s="5">
        <f>SUBTOTAL(1,J524:J571)</f>
        <v>60.9047619047619</v>
      </c>
      <c r="K572" s="5"/>
      <c r="L572" s="5"/>
      <c r="M572" s="5">
        <f>SUBTOTAL(1,M524:M571)</f>
        <v>61.5952380952381</v>
      </c>
      <c r="N572" s="5"/>
      <c r="O572" s="5"/>
      <c r="P572" s="5">
        <f>SUBTOTAL(1,P524:P571)</f>
        <v>74.5476190476191</v>
      </c>
      <c r="Q572" s="5"/>
      <c r="R572" s="5"/>
      <c r="S572" s="5">
        <f>SUBTOTAL(1,S524:S571)</f>
        <v>50</v>
      </c>
      <c r="T572" s="5"/>
      <c r="U572" s="5"/>
      <c r="V572" s="5">
        <f>SUBTOTAL(1,V524:V571)</f>
        <v>50</v>
      </c>
      <c r="W572" s="5"/>
      <c r="X572" s="13">
        <f>SUBTOTAL(1,X524:X571)</f>
        <v>45.9780487804878</v>
      </c>
      <c r="Y572" s="13">
        <f>SUBTOTAL(1,Y524:Y571)</f>
        <v>64</v>
      </c>
      <c r="Z572" s="19"/>
    </row>
    <row r="573" ht="15.6" hidden="1" outlineLevel="2" spans="1:26">
      <c r="A573" s="5">
        <v>313</v>
      </c>
      <c r="B573" s="5">
        <v>1</v>
      </c>
      <c r="C573" s="8" t="s">
        <v>627</v>
      </c>
      <c r="D573" s="9" t="s">
        <v>12</v>
      </c>
      <c r="E573" s="5">
        <v>15.5</v>
      </c>
      <c r="F573" s="7">
        <f>LOOKUP(E573,{0,-1.8,-0.8,0.2,1.2,2.2,3.2,4.6,6,7.4,8.8,10.2,11.6,13,14.4,15.8,17.2,19.1,21,22.8,24.6},{0,10,20,30,40,50,60,62,64,66,68,70,72,74,76,78,80,85,90,95,100})</f>
        <v>76</v>
      </c>
      <c r="G573" s="5">
        <v>220</v>
      </c>
      <c r="H573" s="7">
        <f>LOOKUP(G573,{0,180,185,190,195,200,205,209,213,217,221,225,229,233,237,241,245,253,260,265,270},{0,10,20,30,40,50,60,62,64,66,68,70,72,74,76,78,80,85,90,95,100})</f>
        <v>66</v>
      </c>
      <c r="I573" s="5">
        <v>0</v>
      </c>
      <c r="J573" s="7">
        <f>LOOKUP(I573,{0,4,5,6,7,8,9,10,11,12,13,14,15,16,17,18},{0,10,20,30,40,50,60,64,68,72,76,80,85,90,95,100})</f>
        <v>0</v>
      </c>
      <c r="K573" s="5"/>
      <c r="L573" s="5"/>
      <c r="M573" s="5">
        <f t="shared" ref="M573:M590" si="255">J573+L573</f>
        <v>0</v>
      </c>
      <c r="N573" s="5">
        <v>7.7</v>
      </c>
      <c r="O573" s="10">
        <f t="shared" ref="O573:O590" si="256">18-N573</f>
        <v>10.3</v>
      </c>
      <c r="P573" s="7">
        <f>LOOKUP(O573,{0,7.8,8,8.2,8.4,8.6,8.8,9,9.2,9.4,9.6,9.8,10,10.2,10.4,10.6,10.8,10.9,11,11.1,11.2},{0,10,20,30,40,50,60,62,64,66,68,70,72,74,76,78,80,85,90,95,100})</f>
        <v>74</v>
      </c>
      <c r="Q573" s="5">
        <v>5.09</v>
      </c>
      <c r="R573" s="10">
        <f t="shared" ref="R573:R590" si="257">10-Q573</f>
        <v>4.91</v>
      </c>
      <c r="S573" s="7">
        <f>LOOKUP(R573,{0,3.85,4.45,4.65,4.85,5.45,5.65,5.7,5.75,5.8,5.85,5.9,5.95,6,6.45,6.5,6.55,6.63,6.7,6.75,6.8},{0,10,20,30,40,50,60,62,64,66,68,70,72,74,76,78,80,85,90,95,100})</f>
        <v>40</v>
      </c>
      <c r="T573" s="5"/>
      <c r="U573" s="5"/>
      <c r="V573" s="5">
        <f t="shared" ref="V573:V590" si="258">S573+U573</f>
        <v>40</v>
      </c>
      <c r="W573" s="5"/>
      <c r="X573" s="13">
        <f t="shared" ref="X573:X590" si="259">F573*0.1+H573*0.1+J573*0.1+P573*0.2+S573*0.2</f>
        <v>37</v>
      </c>
      <c r="Y573" s="13">
        <f t="shared" ref="Y573:Y590" si="260">X573/0.7+L573+U573</f>
        <v>52.8571428571429</v>
      </c>
      <c r="Z573" s="19"/>
    </row>
    <row r="574" ht="15.6" hidden="1" outlineLevel="2" spans="1:26">
      <c r="A574" s="5">
        <v>313</v>
      </c>
      <c r="B574" s="5">
        <v>2</v>
      </c>
      <c r="C574" s="9" t="s">
        <v>628</v>
      </c>
      <c r="D574" s="9" t="s">
        <v>12</v>
      </c>
      <c r="E574" s="5"/>
      <c r="F574" s="7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>
        <v>50</v>
      </c>
      <c r="X574" s="13"/>
      <c r="Y574" s="13">
        <v>50</v>
      </c>
      <c r="Z574" s="19"/>
    </row>
    <row r="575" ht="15.6" hidden="1" outlineLevel="2" spans="1:26">
      <c r="A575" s="5">
        <v>313</v>
      </c>
      <c r="B575" s="5">
        <v>3</v>
      </c>
      <c r="C575" s="9" t="s">
        <v>629</v>
      </c>
      <c r="D575" s="9" t="s">
        <v>12</v>
      </c>
      <c r="E575" s="5"/>
      <c r="F575" s="7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>
        <v>50</v>
      </c>
      <c r="X575" s="13"/>
      <c r="Y575" s="13">
        <v>50</v>
      </c>
      <c r="Z575" s="19"/>
    </row>
    <row r="576" ht="15.6" hidden="1" outlineLevel="2" spans="1:26">
      <c r="A576" s="5">
        <v>313</v>
      </c>
      <c r="B576" s="5">
        <v>4</v>
      </c>
      <c r="C576" s="9" t="s">
        <v>630</v>
      </c>
      <c r="D576" s="9" t="s">
        <v>12</v>
      </c>
      <c r="E576" s="5">
        <v>20</v>
      </c>
      <c r="F576" s="7">
        <f>LOOKUP(E576,{0,-1.8,-0.8,0.2,1.2,2.2,3.2,4.6,6,7.4,8.8,10.2,11.6,13,14.4,15.8,17.2,19.1,21,22.8,24.6},{0,10,20,30,40,50,60,62,64,66,68,70,72,74,76,78,80,85,90,95,100})</f>
        <v>85</v>
      </c>
      <c r="G576" s="5">
        <v>240</v>
      </c>
      <c r="H576" s="7">
        <f>LOOKUP(G576,{0,180,185,190,195,200,205,209,213,217,221,225,229,233,237,241,245,253,260,265,270},{0,10,20,30,40,50,60,62,64,66,68,70,72,74,76,78,80,85,90,95,100})</f>
        <v>76</v>
      </c>
      <c r="I576" s="5">
        <v>1</v>
      </c>
      <c r="J576" s="7">
        <f>LOOKUP(I576,{0,4,5,6,7,8,9,10,11,12,13,14,15,16,17,18},{0,10,20,30,40,50,60,64,68,72,76,80,85,90,95,100})</f>
        <v>0</v>
      </c>
      <c r="K576" s="5"/>
      <c r="L576" s="5"/>
      <c r="M576" s="5">
        <f t="shared" si="255"/>
        <v>0</v>
      </c>
      <c r="N576" s="5">
        <v>7.1</v>
      </c>
      <c r="O576" s="10">
        <f t="shared" si="256"/>
        <v>10.9</v>
      </c>
      <c r="P576" s="7">
        <f>LOOKUP(O576,{0,7.8,8,8.2,8.4,8.6,8.8,9,9.2,9.4,9.6,9.8,10,10.2,10.4,10.6,10.8,10.9,11,11.1,11.2},{0,10,20,30,40,50,60,62,64,66,68,70,72,74,76,78,80,85,90,95,100})</f>
        <v>85</v>
      </c>
      <c r="Q576" s="5">
        <v>5.09</v>
      </c>
      <c r="R576" s="10">
        <f t="shared" si="257"/>
        <v>4.91</v>
      </c>
      <c r="S576" s="7">
        <f>LOOKUP(R576,{0,3.85,4.45,4.65,4.85,5.45,5.65,5.7,5.75,5.8,5.85,5.9,5.95,6,6.45,6.5,6.55,6.63,6.7,6.75,6.8},{0,10,20,30,40,50,60,62,64,66,68,70,72,74,76,78,80,85,90,95,100})</f>
        <v>40</v>
      </c>
      <c r="T576" s="5"/>
      <c r="U576" s="5"/>
      <c r="V576" s="5">
        <f t="shared" si="258"/>
        <v>40</v>
      </c>
      <c r="W576" s="5"/>
      <c r="X576" s="13">
        <f t="shared" si="259"/>
        <v>41.1</v>
      </c>
      <c r="Y576" s="13">
        <f t="shared" si="260"/>
        <v>58.7142857142857</v>
      </c>
      <c r="Z576" s="19"/>
    </row>
    <row r="577" ht="15.6" hidden="1" outlineLevel="2" spans="1:26">
      <c r="A577" s="5">
        <v>313</v>
      </c>
      <c r="B577" s="5">
        <v>5</v>
      </c>
      <c r="C577" s="9" t="s">
        <v>631</v>
      </c>
      <c r="D577" s="9" t="s">
        <v>12</v>
      </c>
      <c r="E577" s="5">
        <v>20.5</v>
      </c>
      <c r="F577" s="7">
        <f>LOOKUP(E577,{0,-1.8,-0.8,0.2,1.2,2.2,3.2,4.6,6,7.4,8.8,10.2,11.6,13,14.4,15.8,17.2,19.1,21,22.8,24.6},{0,10,20,30,40,50,60,62,64,66,68,70,72,74,76,78,80,85,90,95,100})</f>
        <v>85</v>
      </c>
      <c r="G577" s="5">
        <v>284</v>
      </c>
      <c r="H577" s="7">
        <f>LOOKUP(G577,{0,180,185,190,195,200,205,209,213,217,221,225,229,233,237,241,245,253,260,265,270},{0,10,20,30,40,50,60,62,64,66,68,70,72,74,76,78,80,85,90,95,100})</f>
        <v>100</v>
      </c>
      <c r="I577" s="5">
        <v>47</v>
      </c>
      <c r="J577" s="7">
        <f>LOOKUP(I577,{0,4,5,6,7,8,9,10,11,12,13,14,15,16,17,18},{0,10,20,30,40,50,60,64,68,72,76,80,85,90,95,100})</f>
        <v>100</v>
      </c>
      <c r="K577" s="5">
        <f>I577-18</f>
        <v>29</v>
      </c>
      <c r="L577" s="7">
        <f>LOOKUP(K577,{0,1,2,3,4,5,6,7,8,9,10},{0,1,2,3,4,5,6,7,8,9,10})</f>
        <v>10</v>
      </c>
      <c r="M577" s="5">
        <f t="shared" si="255"/>
        <v>110</v>
      </c>
      <c r="N577" s="5">
        <v>6.8</v>
      </c>
      <c r="O577" s="10">
        <f t="shared" si="256"/>
        <v>11.2</v>
      </c>
      <c r="P577" s="7">
        <f>LOOKUP(O577,{0,7.8,8,8.2,8.4,8.6,8.8,9,9.2,9.4,9.6,9.8,10,10.2,10.4,10.6,10.8,10.9,11,11.1,11.2},{0,10,20,30,40,50,60,62,64,66,68,70,72,74,76,78,80,85,90,95,100})</f>
        <v>100</v>
      </c>
      <c r="Q577" s="5">
        <v>3.33</v>
      </c>
      <c r="R577" s="10">
        <f t="shared" si="257"/>
        <v>6.67</v>
      </c>
      <c r="S577" s="7">
        <f>LOOKUP(R577,{0,3.85,4.45,4.65,4.85,5.45,5.65,5.7,5.75,5.8,5.85,5.9,5.95,6,6.45,6.5,6.55,6.63,6.7,6.75,6.8},{0,10,20,30,40,50,60,62,64,66,68,70,72,74,76,78,80,85,90,95,100})</f>
        <v>85</v>
      </c>
      <c r="T577" s="5"/>
      <c r="U577" s="5"/>
      <c r="V577" s="5">
        <f t="shared" si="258"/>
        <v>85</v>
      </c>
      <c r="W577" s="5"/>
      <c r="X577" s="13">
        <f t="shared" si="259"/>
        <v>65.5</v>
      </c>
      <c r="Y577" s="13">
        <f t="shared" si="260"/>
        <v>103.571428571429</v>
      </c>
      <c r="Z577" s="19"/>
    </row>
    <row r="578" ht="15.6" hidden="1" outlineLevel="2" spans="1:26">
      <c r="A578" s="5">
        <v>313</v>
      </c>
      <c r="B578" s="5">
        <v>6</v>
      </c>
      <c r="C578" s="9" t="s">
        <v>632</v>
      </c>
      <c r="D578" s="9" t="s">
        <v>12</v>
      </c>
      <c r="E578" s="5">
        <v>9.5</v>
      </c>
      <c r="F578" s="7">
        <f>LOOKUP(E578,{0,-1.8,-0.8,0.2,1.2,2.2,3.2,4.6,6,7.4,8.8,10.2,11.6,13,14.4,15.8,17.2,19.1,21,22.8,24.6},{0,10,20,30,40,50,60,62,64,66,68,70,72,74,76,78,80,85,90,95,100})</f>
        <v>68</v>
      </c>
      <c r="G578" s="5">
        <v>245</v>
      </c>
      <c r="H578" s="7">
        <f>LOOKUP(G578,{0,180,185,190,195,200,205,209,213,217,221,225,229,233,237,241,245,253,260,265,270},{0,10,20,30,40,50,60,62,64,66,68,70,72,74,76,78,80,85,90,95,100})</f>
        <v>80</v>
      </c>
      <c r="I578" s="5">
        <v>19</v>
      </c>
      <c r="J578" s="7">
        <f>LOOKUP(I578,{0,4,5,6,7,8,9,10,11,12,13,14,15,16,17,18},{0,10,20,30,40,50,60,64,68,72,76,80,85,90,95,100})</f>
        <v>100</v>
      </c>
      <c r="K578" s="5">
        <f>I578-18</f>
        <v>1</v>
      </c>
      <c r="L578" s="7">
        <f>LOOKUP(K578,{0,1,2,3,4,5,6,7,8,9,10},{0,1,2,3,4,5,6,7,8,9,10})</f>
        <v>1</v>
      </c>
      <c r="M578" s="5">
        <f t="shared" si="255"/>
        <v>101</v>
      </c>
      <c r="N578" s="5">
        <v>7.6</v>
      </c>
      <c r="O578" s="10">
        <f t="shared" si="256"/>
        <v>10.4</v>
      </c>
      <c r="P578" s="7">
        <f>LOOKUP(O578,{0,7.8,8,8.2,8.4,8.6,8.8,9,9.2,9.4,9.6,9.8,10,10.2,10.4,10.6,10.8,10.9,11,11.1,11.2},{0,10,20,30,40,50,60,62,64,66,68,70,72,74,76,78,80,85,90,95,100})</f>
        <v>76</v>
      </c>
      <c r="Q578" s="5">
        <v>5.09</v>
      </c>
      <c r="R578" s="10">
        <f t="shared" si="257"/>
        <v>4.91</v>
      </c>
      <c r="S578" s="7">
        <f>LOOKUP(R578,{0,3.85,4.45,4.65,4.85,5.45,5.65,5.7,5.75,5.8,5.85,5.9,5.95,6,6.45,6.5,6.55,6.63,6.7,6.75,6.8},{0,10,20,30,40,50,60,62,64,66,68,70,72,74,76,78,80,85,90,95,100})</f>
        <v>40</v>
      </c>
      <c r="T578" s="5"/>
      <c r="U578" s="5"/>
      <c r="V578" s="5">
        <f t="shared" si="258"/>
        <v>40</v>
      </c>
      <c r="W578" s="5"/>
      <c r="X578" s="13">
        <f t="shared" si="259"/>
        <v>48</v>
      </c>
      <c r="Y578" s="13">
        <f t="shared" si="260"/>
        <v>69.5714285714286</v>
      </c>
      <c r="Z578" s="19"/>
    </row>
    <row r="579" ht="15.6" hidden="1" outlineLevel="2" spans="1:26">
      <c r="A579" s="5">
        <v>313</v>
      </c>
      <c r="B579" s="5">
        <v>7</v>
      </c>
      <c r="C579" s="9" t="s">
        <v>633</v>
      </c>
      <c r="D579" s="9" t="s">
        <v>12</v>
      </c>
      <c r="E579" s="5">
        <v>16.5</v>
      </c>
      <c r="F579" s="7">
        <f>LOOKUP(E579,{0,-1.8,-0.8,0.2,1.2,2.2,3.2,4.6,6,7.4,8.8,10.2,11.6,13,14.4,15.8,17.2,19.1,21,22.8,24.6},{0,10,20,30,40,50,60,62,64,66,68,70,72,74,76,78,80,85,90,95,100})</f>
        <v>78</v>
      </c>
      <c r="G579" s="5">
        <v>260</v>
      </c>
      <c r="H579" s="7">
        <f>LOOKUP(G579,{0,180,185,190,195,200,205,209,213,217,221,225,229,233,237,241,245,253,260,265,270},{0,10,20,30,40,50,60,62,64,66,68,70,72,74,76,78,80,85,90,95,100})</f>
        <v>90</v>
      </c>
      <c r="I579" s="5">
        <v>16</v>
      </c>
      <c r="J579" s="7">
        <f>LOOKUP(I579,{0,4,5,6,7,8,9,10,11,12,13,14,15,16,17,18},{0,10,20,30,40,50,60,64,68,72,76,80,85,90,95,100})</f>
        <v>90</v>
      </c>
      <c r="K579" s="5"/>
      <c r="L579" s="5"/>
      <c r="M579" s="5">
        <f t="shared" si="255"/>
        <v>90</v>
      </c>
      <c r="N579" s="5">
        <v>6.6</v>
      </c>
      <c r="O579" s="10">
        <f t="shared" si="256"/>
        <v>11.4</v>
      </c>
      <c r="P579" s="7">
        <f>LOOKUP(O579,{0,7.8,8,8.2,8.4,8.6,8.8,9,9.2,9.4,9.6,9.8,10,10.2,10.4,10.6,10.8,10.9,11,11.1,11.2},{0,10,20,30,40,50,60,62,64,66,68,70,72,74,76,78,80,85,90,95,100})</f>
        <v>100</v>
      </c>
      <c r="Q579" s="5">
        <v>5.09</v>
      </c>
      <c r="R579" s="10">
        <f t="shared" si="257"/>
        <v>4.91</v>
      </c>
      <c r="S579" s="7">
        <f>LOOKUP(R579,{0,3.85,4.45,4.65,4.85,5.45,5.65,5.7,5.75,5.8,5.85,5.9,5.95,6,6.45,6.5,6.55,6.63,6.7,6.75,6.8},{0,10,20,30,40,50,60,62,64,66,68,70,72,74,76,78,80,85,90,95,100})</f>
        <v>40</v>
      </c>
      <c r="T579" s="5"/>
      <c r="U579" s="5"/>
      <c r="V579" s="5">
        <f t="shared" si="258"/>
        <v>40</v>
      </c>
      <c r="W579" s="5"/>
      <c r="X579" s="13">
        <f t="shared" si="259"/>
        <v>53.8</v>
      </c>
      <c r="Y579" s="13">
        <f t="shared" si="260"/>
        <v>76.8571428571429</v>
      </c>
      <c r="Z579" s="19"/>
    </row>
    <row r="580" ht="15.6" hidden="1" outlineLevel="2" spans="1:26">
      <c r="A580" s="5">
        <v>313</v>
      </c>
      <c r="B580" s="5">
        <v>8</v>
      </c>
      <c r="C580" s="9" t="s">
        <v>634</v>
      </c>
      <c r="D580" s="9" t="s">
        <v>12</v>
      </c>
      <c r="E580" s="5">
        <v>23</v>
      </c>
      <c r="F580" s="7">
        <f>LOOKUP(E580,{0,-1.8,-0.8,0.2,1.2,2.2,3.2,4.6,6,7.4,8.8,10.2,11.6,13,14.4,15.8,17.2,19.1,21,22.8,24.6},{0,10,20,30,40,50,60,62,64,66,68,70,72,74,76,78,80,85,90,95,100})</f>
        <v>95</v>
      </c>
      <c r="G580" s="5">
        <v>240</v>
      </c>
      <c r="H580" s="7">
        <f>LOOKUP(G580,{0,180,185,190,195,200,205,209,213,217,221,225,229,233,237,241,245,253,260,265,270},{0,10,20,30,40,50,60,62,64,66,68,70,72,74,76,78,80,85,90,95,100})</f>
        <v>76</v>
      </c>
      <c r="I580" s="5">
        <v>15</v>
      </c>
      <c r="J580" s="7">
        <f>LOOKUP(I580,{0,4,5,6,7,8,9,10,11,12,13,14,15,16,17,18},{0,10,20,30,40,50,60,64,68,72,76,80,85,90,95,100})</f>
        <v>85</v>
      </c>
      <c r="K580" s="5"/>
      <c r="L580" s="5"/>
      <c r="M580" s="5">
        <f t="shared" si="255"/>
        <v>85</v>
      </c>
      <c r="N580" s="5">
        <v>6.8</v>
      </c>
      <c r="O580" s="10">
        <f t="shared" si="256"/>
        <v>11.2</v>
      </c>
      <c r="P580" s="7">
        <f>LOOKUP(O580,{0,7.8,8,8.2,8.4,8.6,8.8,9,9.2,9.4,9.6,9.8,10,10.2,10.4,10.6,10.8,10.9,11,11.1,11.2},{0,10,20,30,40,50,60,62,64,66,68,70,72,74,76,78,80,85,90,95,100})</f>
        <v>100</v>
      </c>
      <c r="Q580" s="5">
        <v>3.33</v>
      </c>
      <c r="R580" s="10">
        <f t="shared" si="257"/>
        <v>6.67</v>
      </c>
      <c r="S580" s="7">
        <f>LOOKUP(R580,{0,3.85,4.45,4.65,4.85,5.45,5.65,5.7,5.75,5.8,5.85,5.9,5.95,6,6.45,6.5,6.55,6.63,6.7,6.75,6.8},{0,10,20,30,40,50,60,62,64,66,68,70,72,74,76,78,80,85,90,95,100})</f>
        <v>85</v>
      </c>
      <c r="T580" s="5"/>
      <c r="U580" s="5"/>
      <c r="V580" s="5">
        <f t="shared" si="258"/>
        <v>85</v>
      </c>
      <c r="W580" s="5"/>
      <c r="X580" s="13">
        <f t="shared" si="259"/>
        <v>62.6</v>
      </c>
      <c r="Y580" s="13">
        <f t="shared" si="260"/>
        <v>89.4285714285714</v>
      </c>
      <c r="Z580" s="19"/>
    </row>
    <row r="581" ht="15.6" hidden="1" outlineLevel="2" spans="1:26">
      <c r="A581" s="5">
        <v>313</v>
      </c>
      <c r="B581" s="5">
        <v>9</v>
      </c>
      <c r="C581" s="8" t="s">
        <v>636</v>
      </c>
      <c r="D581" s="9" t="s">
        <v>12</v>
      </c>
      <c r="E581" s="5">
        <v>7.5</v>
      </c>
      <c r="F581" s="7">
        <f>LOOKUP(E581,{0,-1.8,-0.8,0.2,1.2,2.2,3.2,4.6,6,7.4,8.8,10.2,11.6,13,14.4,15.8,17.2,19.1,21,22.8,24.6},{0,10,20,30,40,50,60,62,64,66,68,70,72,74,76,78,80,85,90,95,100})</f>
        <v>66</v>
      </c>
      <c r="G581" s="5">
        <v>214</v>
      </c>
      <c r="H581" s="7">
        <f>LOOKUP(G581,{0,180,185,190,195,200,205,209,213,217,221,225,229,233,237,241,245,253,260,265,270},{0,10,20,30,40,50,60,62,64,66,68,70,72,74,76,78,80,85,90,95,100})</f>
        <v>64</v>
      </c>
      <c r="I581" s="5">
        <v>10</v>
      </c>
      <c r="J581" s="7">
        <f>LOOKUP(I581,{0,4,5,6,7,8,9,10,11,12,13,14,15,16,17,18},{0,10,20,30,40,50,60,64,68,72,76,80,85,90,95,100})</f>
        <v>64</v>
      </c>
      <c r="K581" s="5"/>
      <c r="L581" s="5"/>
      <c r="M581" s="5">
        <f t="shared" si="255"/>
        <v>64</v>
      </c>
      <c r="N581" s="5">
        <v>7.3</v>
      </c>
      <c r="O581" s="10">
        <f t="shared" si="256"/>
        <v>10.7</v>
      </c>
      <c r="P581" s="7">
        <f>LOOKUP(O581,{0,7.8,8,8.2,8.4,8.6,8.8,9,9.2,9.4,9.6,9.8,10,10.2,10.4,10.6,10.8,10.9,11,11.1,11.2},{0,10,20,30,40,50,60,62,64,66,68,70,72,74,76,78,80,85,90,95,100})</f>
        <v>78</v>
      </c>
      <c r="Q581" s="5">
        <v>5.09</v>
      </c>
      <c r="R581" s="10">
        <f t="shared" si="257"/>
        <v>4.91</v>
      </c>
      <c r="S581" s="7">
        <f>LOOKUP(R581,{0,3.85,4.45,4.65,4.85,5.45,5.65,5.7,5.75,5.8,5.85,5.9,5.95,6,6.45,6.5,6.55,6.63,6.7,6.75,6.8},{0,10,20,30,40,50,60,62,64,66,68,70,72,74,76,78,80,85,90,95,100})</f>
        <v>40</v>
      </c>
      <c r="T581" s="5"/>
      <c r="U581" s="5"/>
      <c r="V581" s="5">
        <f t="shared" si="258"/>
        <v>40</v>
      </c>
      <c r="W581" s="5"/>
      <c r="X581" s="13">
        <f t="shared" si="259"/>
        <v>43</v>
      </c>
      <c r="Y581" s="13">
        <f t="shared" si="260"/>
        <v>61.4285714285714</v>
      </c>
      <c r="Z581" s="22"/>
    </row>
    <row r="582" ht="15.6" hidden="1" outlineLevel="2" spans="1:26">
      <c r="A582" s="5">
        <v>313</v>
      </c>
      <c r="B582" s="5">
        <v>10</v>
      </c>
      <c r="C582" s="9" t="s">
        <v>637</v>
      </c>
      <c r="D582" s="9" t="s">
        <v>12</v>
      </c>
      <c r="E582" s="5">
        <v>12</v>
      </c>
      <c r="F582" s="7">
        <f>LOOKUP(E582,{0,-1.8,-0.8,0.2,1.2,2.2,3.2,4.6,6,7.4,8.8,10.2,11.6,13,14.4,15.8,17.2,19.1,21,22.8,24.6},{0,10,20,30,40,50,60,62,64,66,68,70,72,74,76,78,80,85,90,95,100})</f>
        <v>72</v>
      </c>
      <c r="G582" s="5">
        <v>257</v>
      </c>
      <c r="H582" s="7">
        <f>LOOKUP(G582,{0,180,185,190,195,200,205,209,213,217,221,225,229,233,237,241,245,253,260,265,270},{0,10,20,30,40,50,60,62,64,66,68,70,72,74,76,78,80,85,90,95,100})</f>
        <v>85</v>
      </c>
      <c r="I582" s="5">
        <v>18</v>
      </c>
      <c r="J582" s="7">
        <f>LOOKUP(I582,{0,4,5,6,7,8,9,10,11,12,13,14,15,16,17,18},{0,10,20,30,40,50,60,64,68,72,76,80,85,90,95,100})</f>
        <v>100</v>
      </c>
      <c r="K582" s="5"/>
      <c r="L582" s="5"/>
      <c r="M582" s="5">
        <f t="shared" si="255"/>
        <v>100</v>
      </c>
      <c r="N582" s="5">
        <v>6.9</v>
      </c>
      <c r="O582" s="10">
        <f t="shared" si="256"/>
        <v>11.1</v>
      </c>
      <c r="P582" s="7">
        <f>LOOKUP(O582,{0,7.8,8,8.2,8.4,8.6,8.8,9,9.2,9.4,9.6,9.8,10,10.2,10.4,10.6,10.8,10.9,11,11.1,11.2},{0,10,20,30,40,50,60,62,64,66,68,70,72,74,76,78,80,85,90,95,100})</f>
        <v>95</v>
      </c>
      <c r="Q582" s="5">
        <v>5.09</v>
      </c>
      <c r="R582" s="10">
        <f t="shared" si="257"/>
        <v>4.91</v>
      </c>
      <c r="S582" s="7">
        <f>LOOKUP(R582,{0,3.85,4.45,4.65,4.85,5.45,5.65,5.7,5.75,5.8,5.85,5.9,5.95,6,6.45,6.5,6.55,6.63,6.7,6.75,6.8},{0,10,20,30,40,50,60,62,64,66,68,70,72,74,76,78,80,85,90,95,100})</f>
        <v>40</v>
      </c>
      <c r="T582" s="5"/>
      <c r="U582" s="5"/>
      <c r="V582" s="5">
        <f t="shared" si="258"/>
        <v>40</v>
      </c>
      <c r="W582" s="5"/>
      <c r="X582" s="13">
        <f t="shared" si="259"/>
        <v>52.7</v>
      </c>
      <c r="Y582" s="13">
        <f t="shared" si="260"/>
        <v>75.2857142857143</v>
      </c>
      <c r="Z582" s="20"/>
    </row>
    <row r="583" ht="15.6" hidden="1" outlineLevel="2" spans="1:26">
      <c r="A583" s="5">
        <v>313</v>
      </c>
      <c r="B583" s="5">
        <v>11</v>
      </c>
      <c r="C583" s="9" t="s">
        <v>638</v>
      </c>
      <c r="D583" s="9" t="s">
        <v>12</v>
      </c>
      <c r="E583" s="5">
        <v>11</v>
      </c>
      <c r="F583" s="7">
        <f>LOOKUP(E583,{0,-1.8,-0.8,0.2,1.2,2.2,3.2,4.6,6,7.4,8.8,10.2,11.6,13,14.4,15.8,17.2,19.1,21,22.8,24.6},{0,10,20,30,40,50,60,62,64,66,68,70,72,74,76,78,80,85,90,95,100})</f>
        <v>70</v>
      </c>
      <c r="G583" s="5">
        <v>260</v>
      </c>
      <c r="H583" s="7">
        <f>LOOKUP(G583,{0,180,185,190,195,200,205,209,213,217,221,225,229,233,237,241,245,253,260,265,270},{0,10,20,30,40,50,60,62,64,66,68,70,72,74,76,78,80,85,90,95,100})</f>
        <v>90</v>
      </c>
      <c r="I583" s="5">
        <v>10</v>
      </c>
      <c r="J583" s="7">
        <f>LOOKUP(I583,{0,4,5,6,7,8,9,10,11,12,13,14,15,16,17,18},{0,10,20,30,40,50,60,64,68,72,76,80,85,90,95,100})</f>
        <v>64</v>
      </c>
      <c r="K583" s="5"/>
      <c r="L583" s="5"/>
      <c r="M583" s="5">
        <f t="shared" si="255"/>
        <v>64</v>
      </c>
      <c r="N583" s="5">
        <v>7.1</v>
      </c>
      <c r="O583" s="10">
        <f t="shared" si="256"/>
        <v>10.9</v>
      </c>
      <c r="P583" s="7">
        <f>LOOKUP(O583,{0,7.8,8,8.2,8.4,8.6,8.8,9,9.2,9.4,9.6,9.8,10,10.2,10.4,10.6,10.8,10.9,11,11.1,11.2},{0,10,20,30,40,50,60,62,64,66,68,70,72,74,76,78,80,85,90,95,100})</f>
        <v>85</v>
      </c>
      <c r="Q583" s="5">
        <v>5.09</v>
      </c>
      <c r="R583" s="10">
        <f t="shared" si="257"/>
        <v>4.91</v>
      </c>
      <c r="S583" s="7">
        <f>LOOKUP(R583,{0,3.85,4.45,4.65,4.85,5.45,5.65,5.7,5.75,5.8,5.85,5.9,5.95,6,6.45,6.5,6.55,6.63,6.7,6.75,6.8},{0,10,20,30,40,50,60,62,64,66,68,70,72,74,76,78,80,85,90,95,100})</f>
        <v>40</v>
      </c>
      <c r="T583" s="5"/>
      <c r="U583" s="5"/>
      <c r="V583" s="5">
        <f t="shared" si="258"/>
        <v>40</v>
      </c>
      <c r="W583" s="5"/>
      <c r="X583" s="13">
        <f t="shared" si="259"/>
        <v>47.4</v>
      </c>
      <c r="Y583" s="13">
        <f t="shared" si="260"/>
        <v>67.7142857142857</v>
      </c>
      <c r="Z583" s="19"/>
    </row>
    <row r="584" ht="15.6" hidden="1" outlineLevel="2" spans="1:26">
      <c r="A584" s="5">
        <v>313</v>
      </c>
      <c r="B584" s="5">
        <v>12</v>
      </c>
      <c r="C584" s="9" t="s">
        <v>639</v>
      </c>
      <c r="D584" s="9" t="s">
        <v>12</v>
      </c>
      <c r="E584" s="5">
        <v>19.7</v>
      </c>
      <c r="F584" s="7">
        <f>LOOKUP(E584,{0,-1.8,-0.8,0.2,1.2,2.2,3.2,4.6,6,7.4,8.8,10.2,11.6,13,14.4,15.8,17.2,19.1,21,22.8,24.6},{0,10,20,30,40,50,60,62,64,66,68,70,72,74,76,78,80,85,90,95,100})</f>
        <v>85</v>
      </c>
      <c r="G584" s="5">
        <v>205</v>
      </c>
      <c r="H584" s="7">
        <f>LOOKUP(G584,{0,180,185,190,195,200,205,209,213,217,221,225,229,233,237,241,245,253,260,265,270},{0,10,20,30,40,50,60,62,64,66,68,70,72,74,76,78,80,85,90,95,100})</f>
        <v>60</v>
      </c>
      <c r="I584" s="5">
        <v>0</v>
      </c>
      <c r="J584" s="7">
        <f>LOOKUP(I584,{0,4,5,6,7,8,9,10,11,12,13,14,15,16,17,18},{0,10,20,30,40,50,60,64,68,72,76,80,85,90,95,100})</f>
        <v>0</v>
      </c>
      <c r="K584" s="5"/>
      <c r="L584" s="5"/>
      <c r="M584" s="5">
        <f t="shared" si="255"/>
        <v>0</v>
      </c>
      <c r="N584" s="5">
        <v>8.2</v>
      </c>
      <c r="O584" s="10">
        <f t="shared" si="256"/>
        <v>9.8</v>
      </c>
      <c r="P584" s="7">
        <f>LOOKUP(O584,{0,7.8,8,8.2,8.4,8.6,8.8,9,9.2,9.4,9.6,9.8,10,10.2,10.4,10.6,10.8,10.9,11,11.1,11.2},{0,10,20,30,40,50,60,62,64,66,68,70,72,74,76,78,80,85,90,95,100})</f>
        <v>70</v>
      </c>
      <c r="Q584" s="5">
        <v>4.05</v>
      </c>
      <c r="R584" s="10">
        <f t="shared" si="257"/>
        <v>5.95</v>
      </c>
      <c r="S584" s="7">
        <f>LOOKUP(R584,{0,3.85,4.45,4.65,4.85,5.45,5.65,5.7,5.75,5.8,5.85,5.9,5.95,6,6.45,6.5,6.55,6.63,6.7,6.75,6.8},{0,10,20,30,40,50,60,62,64,66,68,70,72,74,76,78,80,85,90,95,100})</f>
        <v>72</v>
      </c>
      <c r="T584" s="5"/>
      <c r="U584" s="5"/>
      <c r="V584" s="5">
        <f t="shared" si="258"/>
        <v>72</v>
      </c>
      <c r="W584" s="5"/>
      <c r="X584" s="13">
        <f t="shared" si="259"/>
        <v>42.9</v>
      </c>
      <c r="Y584" s="13">
        <f t="shared" si="260"/>
        <v>61.2857142857143</v>
      </c>
      <c r="Z584" s="19"/>
    </row>
    <row r="585" ht="15.6" hidden="1" outlineLevel="2" spans="1:26">
      <c r="A585" s="5">
        <v>313</v>
      </c>
      <c r="B585" s="5">
        <v>13</v>
      </c>
      <c r="C585" s="9" t="s">
        <v>640</v>
      </c>
      <c r="D585" s="9" t="s">
        <v>12</v>
      </c>
      <c r="E585" s="5">
        <v>18</v>
      </c>
      <c r="F585" s="7">
        <f>LOOKUP(E585,{0,-1.8,-0.8,0.2,1.2,2.2,3.2,4.6,6,7.4,8.8,10.2,11.6,13,14.4,15.8,17.2,19.1,21,22.8,24.6},{0,10,20,30,40,50,60,62,64,66,68,70,72,74,76,78,80,85,90,95,100})</f>
        <v>80</v>
      </c>
      <c r="G585" s="5">
        <v>204</v>
      </c>
      <c r="H585" s="7">
        <f>LOOKUP(G585,{0,180,185,190,195,200,205,209,213,217,221,225,229,233,237,241,245,253,260,265,270},{0,10,20,30,40,50,60,62,64,66,68,70,72,74,76,78,80,85,90,95,100})</f>
        <v>50</v>
      </c>
      <c r="I585" s="5">
        <v>0</v>
      </c>
      <c r="J585" s="7">
        <f>LOOKUP(I585,{0,4,5,6,7,8,9,10,11,12,13,14,15,16,17,18},{0,10,20,30,40,50,60,64,68,72,76,80,85,90,95,100})</f>
        <v>0</v>
      </c>
      <c r="K585" s="5"/>
      <c r="L585" s="5"/>
      <c r="M585" s="5">
        <f t="shared" si="255"/>
        <v>0</v>
      </c>
      <c r="N585" s="5">
        <v>8.2</v>
      </c>
      <c r="O585" s="10">
        <f t="shared" si="256"/>
        <v>9.8</v>
      </c>
      <c r="P585" s="7">
        <f>LOOKUP(O585,{0,7.8,8,8.2,8.4,8.6,8.8,9,9.2,9.4,9.6,9.8,10,10.2,10.4,10.6,10.8,10.9,11,11.1,11.2},{0,10,20,30,40,50,60,62,64,66,68,70,72,74,76,78,80,85,90,95,100})</f>
        <v>70</v>
      </c>
      <c r="Q585" s="5">
        <v>5.09</v>
      </c>
      <c r="R585" s="10">
        <f t="shared" si="257"/>
        <v>4.91</v>
      </c>
      <c r="S585" s="7">
        <f>LOOKUP(R585,{0,3.85,4.45,4.65,4.85,5.45,5.65,5.7,5.75,5.8,5.85,5.9,5.95,6,6.45,6.5,6.55,6.63,6.7,6.75,6.8},{0,10,20,30,40,50,60,62,64,66,68,70,72,74,76,78,80,85,90,95,100})</f>
        <v>40</v>
      </c>
      <c r="T585" s="5"/>
      <c r="U585" s="5"/>
      <c r="V585" s="5">
        <f t="shared" si="258"/>
        <v>40</v>
      </c>
      <c r="W585" s="5"/>
      <c r="X585" s="13">
        <f t="shared" si="259"/>
        <v>35</v>
      </c>
      <c r="Y585" s="13">
        <f t="shared" si="260"/>
        <v>50</v>
      </c>
      <c r="Z585" s="20"/>
    </row>
    <row r="586" ht="15.6" hidden="1" outlineLevel="2" spans="1:26">
      <c r="A586" s="5">
        <v>313</v>
      </c>
      <c r="B586" s="5">
        <v>14</v>
      </c>
      <c r="C586" s="9" t="s">
        <v>641</v>
      </c>
      <c r="D586" s="9" t="s">
        <v>12</v>
      </c>
      <c r="E586" s="5">
        <v>22.3</v>
      </c>
      <c r="F586" s="7">
        <f>LOOKUP(E586,{0,-1.8,-0.8,0.2,1.2,2.2,3.2,4.6,6,7.4,8.8,10.2,11.6,13,14.4,15.8,17.2,19.1,21,22.8,24.6},{0,10,20,30,40,50,60,62,64,66,68,70,72,74,76,78,80,85,90,95,100})</f>
        <v>90</v>
      </c>
      <c r="G586" s="5">
        <v>230</v>
      </c>
      <c r="H586" s="7">
        <f>LOOKUP(G586,{0,180,185,190,195,200,205,209,213,217,221,225,229,233,237,241,245,253,260,265,270},{0,10,20,30,40,50,60,62,64,66,68,70,72,74,76,78,80,85,90,95,100})</f>
        <v>72</v>
      </c>
      <c r="I586" s="5">
        <v>0</v>
      </c>
      <c r="J586" s="7">
        <f>LOOKUP(I586,{0,4,5,6,7,8,9,10,11,12,13,14,15,16,17,18},{0,10,20,30,40,50,60,64,68,72,76,80,85,90,95,100})</f>
        <v>0</v>
      </c>
      <c r="K586" s="5"/>
      <c r="L586" s="5"/>
      <c r="M586" s="5">
        <f t="shared" si="255"/>
        <v>0</v>
      </c>
      <c r="N586" s="5">
        <v>7.8</v>
      </c>
      <c r="O586" s="10">
        <f t="shared" si="256"/>
        <v>10.2</v>
      </c>
      <c r="P586" s="7">
        <f>LOOKUP(O586,{0,7.8,8,8.2,8.4,8.6,8.8,9,9.2,9.4,9.6,9.8,10,10.2,10.4,10.6,10.8,10.9,11,11.1,11.2},{0,10,20,30,40,50,60,62,64,66,68,70,72,74,76,78,80,85,90,95,100})</f>
        <v>74</v>
      </c>
      <c r="Q586" s="5">
        <v>3.51</v>
      </c>
      <c r="R586" s="10">
        <f t="shared" si="257"/>
        <v>6.49</v>
      </c>
      <c r="S586" s="7">
        <f>LOOKUP(R586,{0,3.85,4.45,4.65,4.85,5.45,5.65,5.7,5.75,5.8,5.85,5.9,5.95,6,6.45,6.5,6.55,6.63,6.7,6.75,6.8},{0,10,20,30,40,50,60,62,64,66,68,70,72,74,76,78,80,85,90,95,100})</f>
        <v>76</v>
      </c>
      <c r="T586" s="5"/>
      <c r="U586" s="5"/>
      <c r="V586" s="5">
        <f t="shared" si="258"/>
        <v>76</v>
      </c>
      <c r="W586" s="5"/>
      <c r="X586" s="13">
        <f t="shared" si="259"/>
        <v>46.2</v>
      </c>
      <c r="Y586" s="13">
        <f t="shared" si="260"/>
        <v>66</v>
      </c>
      <c r="Z586" s="19"/>
    </row>
    <row r="587" ht="15.6" hidden="1" outlineLevel="2" spans="1:26">
      <c r="A587" s="5">
        <v>313</v>
      </c>
      <c r="B587" s="5">
        <v>15</v>
      </c>
      <c r="C587" s="9" t="s">
        <v>642</v>
      </c>
      <c r="D587" s="9" t="s">
        <v>12</v>
      </c>
      <c r="E587" s="5">
        <v>17</v>
      </c>
      <c r="F587" s="7">
        <f>LOOKUP(E587,{0,-1.8,-0.8,0.2,1.2,2.2,3.2,4.6,6,7.4,8.8,10.2,11.6,13,14.4,15.8,17.2,19.1,21,22.8,24.6},{0,10,20,30,40,50,60,62,64,66,68,70,72,74,76,78,80,85,90,95,100})</f>
        <v>78</v>
      </c>
      <c r="G587" s="5">
        <v>239</v>
      </c>
      <c r="H587" s="7">
        <f>LOOKUP(G587,{0,180,185,190,195,200,205,209,213,217,221,225,229,233,237,241,245,253,260,265,270},{0,10,20,30,40,50,60,62,64,66,68,70,72,74,76,78,80,85,90,95,100})</f>
        <v>76</v>
      </c>
      <c r="I587" s="5">
        <v>4</v>
      </c>
      <c r="J587" s="7">
        <f>LOOKUP(I587,{0,4,5,6,7,8,9,10,11,12,13,14,15,16,17,18},{0,10,20,30,40,50,60,64,68,72,76,80,85,90,95,100})</f>
        <v>10</v>
      </c>
      <c r="K587" s="5"/>
      <c r="L587" s="5"/>
      <c r="M587" s="5">
        <f t="shared" si="255"/>
        <v>10</v>
      </c>
      <c r="N587" s="5">
        <v>7.5</v>
      </c>
      <c r="O587" s="10">
        <f t="shared" si="256"/>
        <v>10.5</v>
      </c>
      <c r="P587" s="7">
        <f>LOOKUP(O587,{0,7.8,8,8.2,8.4,8.6,8.8,9,9.2,9.4,9.6,9.8,10,10.2,10.4,10.6,10.8,10.9,11,11.1,11.2},{0,10,20,30,40,50,60,62,64,66,68,70,72,74,76,78,80,85,90,95,100})</f>
        <v>76</v>
      </c>
      <c r="Q587" s="5">
        <v>5.09</v>
      </c>
      <c r="R587" s="10">
        <f t="shared" si="257"/>
        <v>4.91</v>
      </c>
      <c r="S587" s="7">
        <f>LOOKUP(R587,{0,3.85,4.45,4.65,4.85,5.45,5.65,5.7,5.75,5.8,5.85,5.9,5.95,6,6.45,6.5,6.55,6.63,6.7,6.75,6.8},{0,10,20,30,40,50,60,62,64,66,68,70,72,74,76,78,80,85,90,95,100})</f>
        <v>40</v>
      </c>
      <c r="T587" s="5"/>
      <c r="U587" s="5"/>
      <c r="V587" s="5">
        <f t="shared" si="258"/>
        <v>40</v>
      </c>
      <c r="W587" s="5"/>
      <c r="X587" s="13">
        <f t="shared" si="259"/>
        <v>39.6</v>
      </c>
      <c r="Y587" s="13">
        <f t="shared" si="260"/>
        <v>56.5714285714286</v>
      </c>
      <c r="Z587" s="19"/>
    </row>
    <row r="588" ht="15.6" hidden="1" outlineLevel="2" spans="1:26">
      <c r="A588" s="5">
        <v>313</v>
      </c>
      <c r="B588" s="5">
        <v>16</v>
      </c>
      <c r="C588" s="9" t="s">
        <v>643</v>
      </c>
      <c r="D588" s="9" t="s">
        <v>12</v>
      </c>
      <c r="E588" s="5">
        <v>13</v>
      </c>
      <c r="F588" s="7">
        <f>LOOKUP(E588,{0,-1.8,-0.8,0.2,1.2,2.2,3.2,4.6,6,7.4,8.8,10.2,11.6,13,14.4,15.8,17.2,19.1,21,22.8,24.6},{0,10,20,30,40,50,60,62,64,66,68,70,72,74,76,78,80,85,90,95,100})</f>
        <v>74</v>
      </c>
      <c r="G588" s="5">
        <v>254</v>
      </c>
      <c r="H588" s="7">
        <f>LOOKUP(G588,{0,180,185,190,195,200,205,209,213,217,221,225,229,233,237,241,245,253,260,265,270},{0,10,20,30,40,50,60,62,64,66,68,70,72,74,76,78,80,85,90,95,100})</f>
        <v>85</v>
      </c>
      <c r="I588" s="5">
        <v>18</v>
      </c>
      <c r="J588" s="7">
        <f>LOOKUP(I588,{0,4,5,6,7,8,9,10,11,12,13,14,15,16,17,18},{0,10,20,30,40,50,60,64,68,72,76,80,85,90,95,100})</f>
        <v>100</v>
      </c>
      <c r="K588" s="5"/>
      <c r="L588" s="5"/>
      <c r="M588" s="5">
        <f t="shared" si="255"/>
        <v>100</v>
      </c>
      <c r="N588" s="5">
        <v>6.9</v>
      </c>
      <c r="O588" s="10">
        <f t="shared" si="256"/>
        <v>11.1</v>
      </c>
      <c r="P588" s="7">
        <f>LOOKUP(O588,{0,7.8,8,8.2,8.4,8.6,8.8,9,9.2,9.4,9.6,9.8,10,10.2,10.4,10.6,10.8,10.9,11,11.1,11.2},{0,10,20,30,40,50,60,62,64,66,68,70,72,74,76,78,80,85,90,95,100})</f>
        <v>95</v>
      </c>
      <c r="Q588" s="5">
        <v>5.09</v>
      </c>
      <c r="R588" s="10">
        <f t="shared" si="257"/>
        <v>4.91</v>
      </c>
      <c r="S588" s="7">
        <f>LOOKUP(R588,{0,3.85,4.45,4.65,4.85,5.45,5.65,5.7,5.75,5.8,5.85,5.9,5.95,6,6.45,6.5,6.55,6.63,6.7,6.75,6.8},{0,10,20,30,40,50,60,62,64,66,68,70,72,74,76,78,80,85,90,95,100})</f>
        <v>40</v>
      </c>
      <c r="T588" s="5"/>
      <c r="U588" s="5"/>
      <c r="V588" s="5">
        <f t="shared" si="258"/>
        <v>40</v>
      </c>
      <c r="W588" s="5"/>
      <c r="X588" s="13">
        <f t="shared" si="259"/>
        <v>52.9</v>
      </c>
      <c r="Y588" s="13">
        <f t="shared" si="260"/>
        <v>75.5714285714286</v>
      </c>
      <c r="Z588" s="19"/>
    </row>
    <row r="589" ht="15.6" hidden="1" outlineLevel="2" spans="1:26">
      <c r="A589" s="5">
        <v>313</v>
      </c>
      <c r="B589" s="5">
        <v>17</v>
      </c>
      <c r="C589" s="8" t="s">
        <v>645</v>
      </c>
      <c r="D589" s="9" t="s">
        <v>46</v>
      </c>
      <c r="E589" s="5">
        <v>21.7</v>
      </c>
      <c r="F589" s="7">
        <f>LOOKUP(E589,{0,1.5,2.3,3.1,3.9,4.7,5.5,6.8,8.1,9.4,10.7,12,13.3,14.6,15.9,17.2,18.5,20.2,21.9,23.6,25.3},{0,10,20,30,40,50,60,62,64,66,68,70,72,74,76,78,80,85,90,95,100})</f>
        <v>85</v>
      </c>
      <c r="G589" s="5">
        <v>185</v>
      </c>
      <c r="H589" s="7">
        <f>LOOKUP(G589,{0,125,130,135,140,145,150,153,156,159,162,165,168,171,174,177,180,187,194,200,206},{0,10,20,30,40,50,60,62,64,66,68,70,72,74,76,78,80,85,90,95,100})</f>
        <v>80</v>
      </c>
      <c r="I589" s="5">
        <v>47</v>
      </c>
      <c r="J589" s="7">
        <f>LOOKUP(I589,{0,15,17,19,21,23,25,27,29,31,33,35,37,39,41,43,45,48,51,53,55},{0,10,20,30,40,50,60,62,64,66,68,70,72,74,76,78,80,85,90,95,100})</f>
        <v>80</v>
      </c>
      <c r="K589" s="5"/>
      <c r="L589" s="5"/>
      <c r="M589" s="5">
        <f t="shared" si="255"/>
        <v>80</v>
      </c>
      <c r="N589" s="5">
        <v>8.3</v>
      </c>
      <c r="O589" s="10">
        <f t="shared" si="256"/>
        <v>9.7</v>
      </c>
      <c r="P589" s="7">
        <f>LOOKUP(O589,{0,6.6,6.8,7,7.2,7.4,7.6,7.8,8,8.2,8.4,8.6,8.8,9,9.2,9.4,9.6,9.9,10.2,10.3,10.4},{0,10,20,30,40,50,60,62,64,66,68,70,72,74,76,78,80,85,90,95,100})</f>
        <v>80</v>
      </c>
      <c r="Q589" s="5">
        <v>3.18</v>
      </c>
      <c r="R589" s="10">
        <f t="shared" si="257"/>
        <v>6.82</v>
      </c>
      <c r="S589" s="7">
        <f>LOOKUP(R589,{0,4.74,4.84,4.94,5.44,5.54,5.64,5.69,5.74,5.79,5.84,5.89,5.94,5.99,6.44,6.49,6.54,6.61,6.68,6.74,6.8},{0,10,20,30,40,50,60,62,64,66,68,70,72,74,76,78,80,85,90,95,100})</f>
        <v>100</v>
      </c>
      <c r="T589" s="10">
        <f>3.2-Q589</f>
        <v>0.02</v>
      </c>
      <c r="U589" s="7">
        <f>LOOKUP(T589,{0,0.05,0.1,0.15,0.2,0.25,0.3,0.35,0.4,0.45,0.5},{0,1,2,3,4,5,6,7,8,9,10})</f>
        <v>0</v>
      </c>
      <c r="V589" s="5">
        <f t="shared" si="258"/>
        <v>100</v>
      </c>
      <c r="W589" s="5"/>
      <c r="X589" s="13">
        <f t="shared" si="259"/>
        <v>60.5</v>
      </c>
      <c r="Y589" s="13">
        <f t="shared" si="260"/>
        <v>86.4285714285714</v>
      </c>
      <c r="Z589" s="19"/>
    </row>
    <row r="590" ht="15.6" hidden="1" outlineLevel="2" spans="1:26">
      <c r="A590" s="5">
        <v>313</v>
      </c>
      <c r="B590" s="5">
        <v>18</v>
      </c>
      <c r="C590" s="9" t="s">
        <v>646</v>
      </c>
      <c r="D590" s="9" t="s">
        <v>46</v>
      </c>
      <c r="E590" s="5">
        <v>27</v>
      </c>
      <c r="F590" s="7">
        <f>LOOKUP(E590,{0,1.5,2.3,3.1,3.9,4.7,5.5,6.8,8.1,9.4,10.7,12,13.3,14.6,15.9,17.2,18.5,20.2,21.9,23.6,25.3},{0,10,20,30,40,50,60,62,64,66,68,70,72,74,76,78,80,85,90,95,100})</f>
        <v>100</v>
      </c>
      <c r="G590" s="5">
        <v>188</v>
      </c>
      <c r="H590" s="7">
        <f>LOOKUP(G590,{0,125,130,135,140,145,150,153,156,159,162,165,168,171,174,177,180,187,194,200,206},{0,10,20,30,40,50,60,62,64,66,68,70,72,74,76,78,80,85,90,95,100})</f>
        <v>85</v>
      </c>
      <c r="I590" s="5">
        <v>50</v>
      </c>
      <c r="J590" s="7">
        <f>LOOKUP(I590,{0,15,17,19,21,23,25,27,29,31,33,35,37,39,41,43,45,48,51,53,55},{0,10,20,30,40,50,60,62,64,66,68,70,72,74,76,78,80,85,90,95,100})</f>
        <v>85</v>
      </c>
      <c r="K590" s="5"/>
      <c r="L590" s="5"/>
      <c r="M590" s="5">
        <f t="shared" si="255"/>
        <v>85</v>
      </c>
      <c r="N590" s="5">
        <v>9.1</v>
      </c>
      <c r="O590" s="10">
        <f t="shared" si="256"/>
        <v>8.9</v>
      </c>
      <c r="P590" s="7">
        <f>LOOKUP(O590,{0,6.6,6.8,7,7.2,7.4,7.6,7.8,8,8.2,8.4,8.6,8.8,9,9.2,9.4,9.6,9.9,10.2,10.3,10.4},{0,10,20,30,40,50,60,62,64,66,68,70,72,74,76,78,80,85,90,95,100})</f>
        <v>72</v>
      </c>
      <c r="Q590" s="5">
        <v>4.18</v>
      </c>
      <c r="R590" s="10">
        <f t="shared" si="257"/>
        <v>5.82</v>
      </c>
      <c r="S590" s="7">
        <f>LOOKUP(R590,{0,4.74,4.84,4.94,5.44,5.54,5.64,5.69,5.74,5.79,5.84,5.89,5.94,5.99,6.44,6.49,6.54,6.61,6.68,6.74,6.8},{0,10,20,30,40,50,60,62,64,66,68,70,72,74,76,78,80,85,90,95,100})</f>
        <v>66</v>
      </c>
      <c r="T590" s="5"/>
      <c r="U590" s="5"/>
      <c r="V590" s="5">
        <f t="shared" si="258"/>
        <v>66</v>
      </c>
      <c r="W590" s="5"/>
      <c r="X590" s="13">
        <f t="shared" si="259"/>
        <v>54.6</v>
      </c>
      <c r="Y590" s="13">
        <f t="shared" si="260"/>
        <v>78</v>
      </c>
      <c r="Z590" s="19"/>
    </row>
    <row r="591" hidden="1" outlineLevel="2" spans="1:26">
      <c r="A591" s="5">
        <v>313</v>
      </c>
      <c r="B591" s="5">
        <v>19</v>
      </c>
      <c r="C591" s="9" t="s">
        <v>647</v>
      </c>
      <c r="D591" s="9" t="s">
        <v>46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>
        <v>50</v>
      </c>
      <c r="X591" s="18"/>
      <c r="Y591" s="13">
        <v>50</v>
      </c>
      <c r="Z591" s="19"/>
    </row>
    <row r="592" hidden="1" outlineLevel="2" spans="1:26">
      <c r="A592" s="5">
        <v>313</v>
      </c>
      <c r="B592" s="5">
        <v>20</v>
      </c>
      <c r="C592" s="9" t="s">
        <v>648</v>
      </c>
      <c r="D592" s="9" t="s">
        <v>46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>
        <v>50</v>
      </c>
      <c r="X592" s="13"/>
      <c r="Y592" s="13">
        <v>50</v>
      </c>
      <c r="Z592" s="19"/>
    </row>
    <row r="593" ht="15.6" hidden="1" outlineLevel="2" spans="1:26">
      <c r="A593" s="5">
        <v>313</v>
      </c>
      <c r="B593" s="5">
        <v>21</v>
      </c>
      <c r="C593" s="9" t="s">
        <v>649</v>
      </c>
      <c r="D593" s="9" t="s">
        <v>46</v>
      </c>
      <c r="E593" s="5">
        <v>18.5</v>
      </c>
      <c r="F593" s="7">
        <f>LOOKUP(E593,{0,1.5,2.3,3.1,3.9,4.7,5.5,6.8,8.1,9.4,10.7,12,13.3,14.6,15.9,17.2,18.5,20.2,21.9,23.6,25.3},{0,10,20,30,40,50,60,62,64,66,68,70,72,74,76,78,80,85,90,95,100})</f>
        <v>80</v>
      </c>
      <c r="G593" s="5">
        <v>175</v>
      </c>
      <c r="H593" s="7">
        <f>LOOKUP(G593,{0,125,130,135,140,145,150,153,156,159,162,165,168,171,174,177,180,187,194,200,206},{0,10,20,30,40,50,60,62,64,66,68,70,72,74,76,78,80,85,90,95,100})</f>
        <v>76</v>
      </c>
      <c r="I593" s="5">
        <v>44</v>
      </c>
      <c r="J593" s="7">
        <f>LOOKUP(I593,{0,15,17,19,21,23,25,27,29,31,33,35,37,39,41,43,45,48,51,53,55},{0,10,20,30,40,50,60,62,64,66,68,70,72,74,76,78,80,85,90,95,100})</f>
        <v>78</v>
      </c>
      <c r="K593" s="5"/>
      <c r="L593" s="5"/>
      <c r="M593" s="5">
        <f t="shared" ref="M593:M601" si="261">J593+L593</f>
        <v>78</v>
      </c>
      <c r="N593" s="5">
        <v>8.7</v>
      </c>
      <c r="O593" s="10">
        <f t="shared" ref="O593:O601" si="262">18-N593</f>
        <v>9.3</v>
      </c>
      <c r="P593" s="7">
        <f>LOOKUP(O593,{0,6.6,6.8,7,7.2,7.4,7.6,7.8,8,8.2,8.4,8.6,8.8,9,9.2,9.4,9.6,9.9,10.2,10.3,10.4},{0,10,20,30,40,50,60,62,64,66,68,70,72,74,76,78,80,85,90,95,100})</f>
        <v>76</v>
      </c>
      <c r="Q593" s="5">
        <v>3.47</v>
      </c>
      <c r="R593" s="10">
        <f t="shared" ref="R593:R601" si="263">10-Q593</f>
        <v>6.53</v>
      </c>
      <c r="S593" s="7">
        <f>LOOKUP(R593,{0,4.74,4.84,4.94,5.44,5.54,5.64,5.69,5.74,5.79,5.84,5.89,5.94,5.99,6.44,6.49,6.54,6.61,6.68,6.74,6.8},{0,10,20,30,40,50,60,62,64,66,68,70,72,74,76,78,80,85,90,95,100})</f>
        <v>78</v>
      </c>
      <c r="T593" s="5"/>
      <c r="U593" s="5"/>
      <c r="V593" s="5">
        <f t="shared" ref="V593:V601" si="264">S593+U593</f>
        <v>78</v>
      </c>
      <c r="W593" s="5"/>
      <c r="X593" s="13">
        <f t="shared" ref="X593:X601" si="265">F593*0.1+H593*0.1+J593*0.1+P593*0.2+S593*0.2</f>
        <v>54.2</v>
      </c>
      <c r="Y593" s="13">
        <f t="shared" ref="Y593:Y601" si="266">X593/0.7+L593+U593</f>
        <v>77.4285714285714</v>
      </c>
      <c r="Z593" s="19"/>
    </row>
    <row r="594" ht="15.6" hidden="1" outlineLevel="2" spans="1:26">
      <c r="A594" s="5">
        <v>313</v>
      </c>
      <c r="B594" s="5">
        <v>22</v>
      </c>
      <c r="C594" s="9" t="s">
        <v>650</v>
      </c>
      <c r="D594" s="9" t="s">
        <v>46</v>
      </c>
      <c r="E594" s="5">
        <v>15.1</v>
      </c>
      <c r="F594" s="7">
        <f>LOOKUP(E594,{0,1.5,2.3,3.1,3.9,4.7,5.5,6.8,8.1,9.4,10.7,12,13.3,14.6,15.9,17.2,18.5,20.2,21.9,23.6,25.3},{0,10,20,30,40,50,60,62,64,66,68,70,72,74,76,78,80,85,90,95,100})</f>
        <v>74</v>
      </c>
      <c r="G594" s="5">
        <v>169</v>
      </c>
      <c r="H594" s="7">
        <f>LOOKUP(G594,{0,125,130,135,140,145,150,153,156,159,162,165,168,171,174,177,180,187,194,200,206},{0,10,20,30,40,50,60,62,64,66,68,70,72,74,76,78,80,85,90,95,100})</f>
        <v>72</v>
      </c>
      <c r="I594" s="5">
        <v>48</v>
      </c>
      <c r="J594" s="7">
        <f>LOOKUP(I594,{0,15,17,19,21,23,25,27,29,31,33,35,37,39,41,43,45,48,51,53,55},{0,10,20,30,40,50,60,62,64,66,68,70,72,74,76,78,80,85,90,95,100})</f>
        <v>85</v>
      </c>
      <c r="K594" s="5"/>
      <c r="L594" s="5"/>
      <c r="M594" s="5">
        <f t="shared" si="261"/>
        <v>85</v>
      </c>
      <c r="N594" s="5">
        <v>8.7</v>
      </c>
      <c r="O594" s="10">
        <f t="shared" si="262"/>
        <v>9.3</v>
      </c>
      <c r="P594" s="7">
        <f>LOOKUP(O594,{0,6.6,6.8,7,7.2,7.4,7.6,7.8,8,8.2,8.4,8.6,8.8,9,9.2,9.4,9.6,9.9,10.2,10.3,10.4},{0,10,20,30,40,50,60,62,64,66,68,70,72,74,76,78,80,85,90,95,100})</f>
        <v>76</v>
      </c>
      <c r="Q594" s="5">
        <v>3.51</v>
      </c>
      <c r="R594" s="10">
        <f t="shared" si="263"/>
        <v>6.49</v>
      </c>
      <c r="S594" s="7">
        <f>LOOKUP(R594,{0,4.74,4.84,4.94,5.44,5.54,5.64,5.69,5.74,5.79,5.84,5.89,5.94,5.99,6.44,6.49,6.54,6.61,6.68,6.74,6.8},{0,10,20,30,40,50,60,62,64,66,68,70,72,74,76,78,80,85,90,95,100})</f>
        <v>78</v>
      </c>
      <c r="T594" s="5"/>
      <c r="U594" s="5"/>
      <c r="V594" s="5">
        <f t="shared" si="264"/>
        <v>78</v>
      </c>
      <c r="W594" s="5"/>
      <c r="X594" s="13">
        <f t="shared" si="265"/>
        <v>53.9</v>
      </c>
      <c r="Y594" s="13">
        <f t="shared" si="266"/>
        <v>77</v>
      </c>
      <c r="Z594" s="19"/>
    </row>
    <row r="595" ht="15.6" hidden="1" outlineLevel="2" spans="1:26">
      <c r="A595" s="5">
        <v>313</v>
      </c>
      <c r="B595" s="5">
        <v>23</v>
      </c>
      <c r="C595" s="9" t="s">
        <v>651</v>
      </c>
      <c r="D595" s="9" t="s">
        <v>46</v>
      </c>
      <c r="E595" s="5">
        <v>13.4</v>
      </c>
      <c r="F595" s="7">
        <f>LOOKUP(E595,{0,1.5,2.3,3.1,3.9,4.7,5.5,6.8,8.1,9.4,10.7,12,13.3,14.6,15.9,17.2,18.5,20.2,21.9,23.6,25.3},{0,10,20,30,40,50,60,62,64,66,68,70,72,74,76,78,80,85,90,95,100})</f>
        <v>72</v>
      </c>
      <c r="G595" s="5">
        <v>175</v>
      </c>
      <c r="H595" s="7">
        <f>LOOKUP(G595,{0,125,130,135,140,145,150,153,156,159,162,165,168,171,174,177,180,187,194,200,206},{0,10,20,30,40,50,60,62,64,66,68,70,72,74,76,78,80,85,90,95,100})</f>
        <v>76</v>
      </c>
      <c r="I595" s="5">
        <v>57</v>
      </c>
      <c r="J595" s="7">
        <f>LOOKUP(I595,{0,15,17,19,21,23,25,27,29,31,33,35,37,39,41,43,45,48,51,53,55},{0,10,20,30,40,50,60,62,64,66,68,70,72,74,76,78,80,85,90,95,100})</f>
        <v>100</v>
      </c>
      <c r="K595" s="11">
        <f>I595-55</f>
        <v>2</v>
      </c>
      <c r="L595" s="7">
        <f>LOOKUP(K595,{0,2,4,6,7,8,9,10,11,12,13},{0,1,2,3,4,5,6,7,8,9,10})</f>
        <v>1</v>
      </c>
      <c r="M595" s="5">
        <f t="shared" si="261"/>
        <v>101</v>
      </c>
      <c r="N595" s="5">
        <v>8.9</v>
      </c>
      <c r="O595" s="10">
        <f t="shared" si="262"/>
        <v>9.1</v>
      </c>
      <c r="P595" s="7">
        <f>LOOKUP(O595,{0,6.6,6.8,7,7.2,7.4,7.6,7.8,8,8.2,8.4,8.6,8.8,9,9.2,9.4,9.6,9.9,10.2,10.3,10.4},{0,10,20,30,40,50,60,62,64,66,68,70,72,74,76,78,80,85,90,95,100})</f>
        <v>74</v>
      </c>
      <c r="Q595" s="5">
        <v>4.17</v>
      </c>
      <c r="R595" s="10">
        <f t="shared" si="263"/>
        <v>5.83</v>
      </c>
      <c r="S595" s="7">
        <f>LOOKUP(R595,{0,4.74,4.84,4.94,5.44,5.54,5.64,5.69,5.74,5.79,5.84,5.89,5.94,5.99,6.44,6.49,6.54,6.61,6.68,6.74,6.8},{0,10,20,30,40,50,60,62,64,66,68,70,72,74,76,78,80,85,90,95,100})</f>
        <v>66</v>
      </c>
      <c r="T595" s="5"/>
      <c r="U595" s="5"/>
      <c r="V595" s="5">
        <f t="shared" si="264"/>
        <v>66</v>
      </c>
      <c r="W595" s="5"/>
      <c r="X595" s="13">
        <f t="shared" si="265"/>
        <v>52.8</v>
      </c>
      <c r="Y595" s="13">
        <f t="shared" si="266"/>
        <v>76.4285714285714</v>
      </c>
      <c r="Z595" s="19"/>
    </row>
    <row r="596" ht="15.6" hidden="1" outlineLevel="2" spans="1:26">
      <c r="A596" s="5">
        <v>313</v>
      </c>
      <c r="B596" s="5">
        <v>24</v>
      </c>
      <c r="C596" s="9" t="s">
        <v>652</v>
      </c>
      <c r="D596" s="9" t="s">
        <v>46</v>
      </c>
      <c r="E596" s="5">
        <v>24</v>
      </c>
      <c r="F596" s="7">
        <f>LOOKUP(E596,{0,1.5,2.3,3.1,3.9,4.7,5.5,6.8,8.1,9.4,10.7,12,13.3,14.6,15.9,17.2,18.5,20.2,21.9,23.6,25.3},{0,10,20,30,40,50,60,62,64,66,68,70,72,74,76,78,80,85,90,95,100})</f>
        <v>95</v>
      </c>
      <c r="G596" s="5">
        <v>180</v>
      </c>
      <c r="H596" s="7">
        <f>LOOKUP(G596,{0,125,130,135,140,145,150,153,156,159,162,165,168,171,174,177,180,187,194,200,206},{0,10,20,30,40,50,60,62,64,66,68,70,72,74,76,78,80,85,90,95,100})</f>
        <v>80</v>
      </c>
      <c r="I596" s="5">
        <v>42</v>
      </c>
      <c r="J596" s="7">
        <f>LOOKUP(I596,{0,15,17,19,21,23,25,27,29,31,33,35,37,39,41,43,45,48,51,53,55},{0,10,20,30,40,50,60,62,64,66,68,70,72,74,76,78,80,85,90,95,100})</f>
        <v>76</v>
      </c>
      <c r="K596" s="5"/>
      <c r="L596" s="5"/>
      <c r="M596" s="5">
        <f t="shared" si="261"/>
        <v>76</v>
      </c>
      <c r="N596" s="5">
        <v>9.2</v>
      </c>
      <c r="O596" s="10">
        <f t="shared" si="262"/>
        <v>8.8</v>
      </c>
      <c r="P596" s="7">
        <f>LOOKUP(O596,{0,6.6,6.8,7,7.2,7.4,7.6,7.8,8,8.2,8.4,8.6,8.8,9,9.2,9.4,9.6,9.9,10.2,10.3,10.4},{0,10,20,30,40,50,60,62,64,66,68,70,72,74,76,78,80,85,90,95,100})</f>
        <v>72</v>
      </c>
      <c r="Q596" s="5">
        <v>4.3</v>
      </c>
      <c r="R596" s="10">
        <f t="shared" si="263"/>
        <v>5.7</v>
      </c>
      <c r="S596" s="7">
        <f>LOOKUP(R596,{0,4.74,4.84,4.94,5.44,5.54,5.64,5.69,5.74,5.79,5.84,5.89,5.94,5.99,6.44,6.49,6.54,6.61,6.68,6.74,6.8},{0,10,20,30,40,50,60,62,64,66,68,70,72,74,76,78,80,85,90,95,100})</f>
        <v>62</v>
      </c>
      <c r="T596" s="5"/>
      <c r="U596" s="5"/>
      <c r="V596" s="5">
        <f t="shared" si="264"/>
        <v>62</v>
      </c>
      <c r="W596" s="5"/>
      <c r="X596" s="13">
        <f t="shared" si="265"/>
        <v>51.9</v>
      </c>
      <c r="Y596" s="13">
        <f t="shared" si="266"/>
        <v>74.1428571428571</v>
      </c>
      <c r="Z596" s="19"/>
    </row>
    <row r="597" ht="15.6" hidden="1" outlineLevel="2" spans="1:26">
      <c r="A597" s="5">
        <v>313</v>
      </c>
      <c r="B597" s="5">
        <v>25</v>
      </c>
      <c r="C597" s="9" t="s">
        <v>653</v>
      </c>
      <c r="D597" s="9" t="s">
        <v>46</v>
      </c>
      <c r="E597" s="5">
        <v>10</v>
      </c>
      <c r="F597" s="7">
        <f>LOOKUP(E597,{0,1.5,2.3,3.1,3.9,4.7,5.5,6.8,8.1,9.4,10.7,12,13.3,14.6,15.9,17.2,18.5,20.2,21.9,23.6,25.3},{0,10,20,30,40,50,60,62,64,66,68,70,72,74,76,78,80,85,90,95,100})</f>
        <v>66</v>
      </c>
      <c r="G597" s="5">
        <v>150</v>
      </c>
      <c r="H597" s="7">
        <f>LOOKUP(G597,{0,125,130,135,140,145,150,153,156,159,162,165,168,171,174,177,180,187,194,200,206},{0,10,20,30,40,50,60,62,64,66,68,70,72,74,76,78,80,85,90,95,100})</f>
        <v>60</v>
      </c>
      <c r="I597" s="5">
        <v>30</v>
      </c>
      <c r="J597" s="7">
        <f>LOOKUP(I597,{0,15,17,19,21,23,25,27,29,31,33,35,37,39,41,43,45,48,51,53,55},{0,10,20,30,40,50,60,62,64,66,68,70,72,74,76,78,80,85,90,95,100})</f>
        <v>64</v>
      </c>
      <c r="K597" s="5"/>
      <c r="L597" s="5"/>
      <c r="M597" s="5">
        <f t="shared" si="261"/>
        <v>64</v>
      </c>
      <c r="N597" s="5">
        <v>9.3</v>
      </c>
      <c r="O597" s="10">
        <f t="shared" si="262"/>
        <v>8.7</v>
      </c>
      <c r="P597" s="7">
        <f>LOOKUP(O597,{0,6.6,6.8,7,7.2,7.4,7.6,7.8,8,8.2,8.4,8.6,8.8,9,9.2,9.4,9.6,9.9,10.2,10.3,10.4},{0,10,20,30,40,50,60,62,64,66,68,70,72,74,76,78,80,85,90,95,100})</f>
        <v>70</v>
      </c>
      <c r="Q597" s="5">
        <v>4.38</v>
      </c>
      <c r="R597" s="10">
        <f t="shared" si="263"/>
        <v>5.62</v>
      </c>
      <c r="S597" s="7">
        <f>LOOKUP(R597,{0,4.74,4.84,4.94,5.44,5.54,5.64,5.69,5.74,5.79,5.84,5.89,5.94,5.99,6.44,6.49,6.54,6.61,6.68,6.74,6.8},{0,10,20,30,40,50,60,62,64,66,68,70,72,74,76,78,80,85,90,95,100})</f>
        <v>50</v>
      </c>
      <c r="T597" s="5"/>
      <c r="U597" s="5"/>
      <c r="V597" s="5">
        <f t="shared" si="264"/>
        <v>50</v>
      </c>
      <c r="W597" s="5"/>
      <c r="X597" s="13">
        <f t="shared" si="265"/>
        <v>43</v>
      </c>
      <c r="Y597" s="13">
        <f t="shared" si="266"/>
        <v>61.4285714285714</v>
      </c>
      <c r="Z597" s="20"/>
    </row>
    <row r="598" ht="15.6" hidden="1" outlineLevel="2" spans="1:26">
      <c r="A598" s="5">
        <v>313</v>
      </c>
      <c r="B598" s="5">
        <v>26</v>
      </c>
      <c r="C598" s="9" t="s">
        <v>654</v>
      </c>
      <c r="D598" s="9" t="s">
        <v>46</v>
      </c>
      <c r="E598" s="5">
        <v>4.2</v>
      </c>
      <c r="F598" s="7">
        <f>LOOKUP(E598,{0,1.5,2.3,3.1,3.9,4.7,5.5,6.8,8.1,9.4,10.7,12,13.3,14.6,15.9,17.2,18.5,20.2,21.9,23.6,25.3},{0,10,20,30,40,50,60,62,64,66,68,70,72,74,76,78,80,85,90,95,100})</f>
        <v>40</v>
      </c>
      <c r="G598" s="5">
        <v>148</v>
      </c>
      <c r="H598" s="7">
        <f>LOOKUP(G598,{0,125,130,135,140,145,150,153,156,159,162,165,168,171,174,177,180,187,194,200,206},{0,10,20,30,40,50,60,62,64,66,68,70,72,74,76,78,80,85,90,95,100})</f>
        <v>50</v>
      </c>
      <c r="I598" s="5">
        <v>35</v>
      </c>
      <c r="J598" s="7">
        <f>LOOKUP(I598,{0,15,17,19,21,23,25,27,29,31,33,35,37,39,41,43,45,48,51,53,55},{0,10,20,30,40,50,60,62,64,66,68,70,72,74,76,78,80,85,90,95,100})</f>
        <v>70</v>
      </c>
      <c r="K598" s="5"/>
      <c r="L598" s="5"/>
      <c r="M598" s="5">
        <f t="shared" si="261"/>
        <v>70</v>
      </c>
      <c r="N598" s="5">
        <v>9.1</v>
      </c>
      <c r="O598" s="10">
        <f t="shared" si="262"/>
        <v>8.9</v>
      </c>
      <c r="P598" s="7">
        <f>LOOKUP(O598,{0,6.6,6.8,7,7.2,7.4,7.6,7.8,8,8.2,8.4,8.6,8.8,9,9.2,9.4,9.6,9.9,10.2,10.3,10.4},{0,10,20,30,40,50,60,62,64,66,68,70,72,74,76,78,80,85,90,95,100})</f>
        <v>72</v>
      </c>
      <c r="Q598" s="5">
        <v>4.29</v>
      </c>
      <c r="R598" s="10">
        <f t="shared" si="263"/>
        <v>5.71</v>
      </c>
      <c r="S598" s="7">
        <f>LOOKUP(R598,{0,4.74,4.84,4.94,5.44,5.54,5.64,5.69,5.74,5.79,5.84,5.89,5.94,5.99,6.44,6.49,6.54,6.61,6.68,6.74,6.8},{0,10,20,30,40,50,60,62,64,66,68,70,72,74,76,78,80,85,90,95,100})</f>
        <v>62</v>
      </c>
      <c r="T598" s="5"/>
      <c r="U598" s="5"/>
      <c r="V598" s="5">
        <f t="shared" si="264"/>
        <v>62</v>
      </c>
      <c r="W598" s="5"/>
      <c r="X598" s="13">
        <f t="shared" si="265"/>
        <v>42.8</v>
      </c>
      <c r="Y598" s="13">
        <f t="shared" si="266"/>
        <v>61.1428571428571</v>
      </c>
      <c r="Z598" s="19"/>
    </row>
    <row r="599" ht="15.6" hidden="1" outlineLevel="2" spans="1:26">
      <c r="A599" s="5">
        <v>313</v>
      </c>
      <c r="B599" s="5">
        <v>27</v>
      </c>
      <c r="C599" s="9" t="s">
        <v>655</v>
      </c>
      <c r="D599" s="9" t="s">
        <v>46</v>
      </c>
      <c r="E599" s="5">
        <v>21.4</v>
      </c>
      <c r="F599" s="7">
        <f>LOOKUP(E599,{0,1.5,2.3,3.1,3.9,4.7,5.5,6.8,8.1,9.4,10.7,12,13.3,14.6,15.9,17.2,18.5,20.2,21.9,23.6,25.3},{0,10,20,30,40,50,60,62,64,66,68,70,72,74,76,78,80,85,90,95,100})</f>
        <v>85</v>
      </c>
      <c r="G599" s="5">
        <v>235</v>
      </c>
      <c r="H599" s="7">
        <f>LOOKUP(G599,{0,125,130,135,140,145,150,153,156,159,162,165,168,171,174,177,180,187,194,200,206},{0,10,20,30,40,50,60,62,64,66,68,70,72,74,76,78,80,85,90,95,100})</f>
        <v>100</v>
      </c>
      <c r="I599" s="5">
        <v>57</v>
      </c>
      <c r="J599" s="7">
        <f>LOOKUP(I599,{0,15,17,19,21,23,25,27,29,31,33,35,37,39,41,43,45,48,51,53,55},{0,10,20,30,40,50,60,62,64,66,68,70,72,74,76,78,80,85,90,95,100})</f>
        <v>100</v>
      </c>
      <c r="K599" s="11">
        <f>I599-55</f>
        <v>2</v>
      </c>
      <c r="L599" s="7">
        <f>LOOKUP(K599,{0,2,4,6,7,8,9,10,11,12,13},{0,1,2,3,4,5,6,7,8,9,10})</f>
        <v>1</v>
      </c>
      <c r="M599" s="5">
        <f t="shared" si="261"/>
        <v>101</v>
      </c>
      <c r="N599" s="5">
        <v>7.7</v>
      </c>
      <c r="O599" s="10">
        <f t="shared" si="262"/>
        <v>10.3</v>
      </c>
      <c r="P599" s="7">
        <f>LOOKUP(O599,{0,6.6,6.8,7,7.2,7.4,7.6,7.8,8,8.2,8.4,8.6,8.8,9,9.2,9.4,9.6,9.9,10.2,10.3,10.4},{0,10,20,30,40,50,60,62,64,66,68,70,72,74,76,78,80,85,90,95,100})</f>
        <v>95</v>
      </c>
      <c r="Q599" s="5">
        <v>3.07</v>
      </c>
      <c r="R599" s="10">
        <f t="shared" si="263"/>
        <v>6.93</v>
      </c>
      <c r="S599" s="7">
        <f>LOOKUP(R599,{0,4.74,4.84,4.94,5.44,5.54,5.64,5.69,5.74,5.79,5.84,5.89,5.94,5.99,6.44,6.49,6.54,6.61,6.68,6.74,6.8},{0,10,20,30,40,50,60,62,64,66,68,70,72,74,76,78,80,85,90,95,100})</f>
        <v>100</v>
      </c>
      <c r="T599" s="10">
        <f>3.2-Q599</f>
        <v>0.13</v>
      </c>
      <c r="U599" s="7">
        <f>LOOKUP(T599,{0,0.05,0.1,0.15,0.2,0.25,0.3,0.35,0.4,0.45,0.5},{0,1,2,3,4,5,6,7,8,9,10})</f>
        <v>2</v>
      </c>
      <c r="V599" s="5">
        <f t="shared" si="264"/>
        <v>102</v>
      </c>
      <c r="W599" s="5"/>
      <c r="X599" s="13">
        <f t="shared" si="265"/>
        <v>67.5</v>
      </c>
      <c r="Y599" s="13">
        <f t="shared" si="266"/>
        <v>99.4285714285714</v>
      </c>
      <c r="Z599" s="20"/>
    </row>
    <row r="600" ht="15.6" hidden="1" outlineLevel="2" spans="1:26">
      <c r="A600" s="5">
        <v>313</v>
      </c>
      <c r="B600" s="5">
        <v>28</v>
      </c>
      <c r="C600" s="8" t="s">
        <v>657</v>
      </c>
      <c r="D600" s="9" t="s">
        <v>46</v>
      </c>
      <c r="E600" s="5">
        <v>14.1</v>
      </c>
      <c r="F600" s="7">
        <f>LOOKUP(E600,{0,1.5,2.3,3.1,3.9,4.7,5.5,6.8,8.1,9.4,10.7,12,13.3,14.6,15.9,17.2,18.5,20.2,21.9,23.6,25.3},{0,10,20,30,40,50,60,62,64,66,68,70,72,74,76,78,80,85,90,95,100})</f>
        <v>72</v>
      </c>
      <c r="G600" s="5">
        <v>175</v>
      </c>
      <c r="H600" s="7">
        <f>LOOKUP(G600,{0,125,130,135,140,145,150,153,156,159,162,165,168,171,174,177,180,187,194,200,206},{0,10,20,30,40,50,60,62,64,66,68,70,72,74,76,78,80,85,90,95,100})</f>
        <v>76</v>
      </c>
      <c r="I600" s="5">
        <v>45</v>
      </c>
      <c r="J600" s="7">
        <f>LOOKUP(I600,{0,15,17,19,21,23,25,27,29,31,33,35,37,39,41,43,45,48,51,53,55},{0,10,20,30,40,50,60,62,64,66,68,70,72,74,76,78,80,85,90,95,100})</f>
        <v>80</v>
      </c>
      <c r="K600" s="5"/>
      <c r="L600" s="5"/>
      <c r="M600" s="5">
        <f t="shared" si="261"/>
        <v>80</v>
      </c>
      <c r="N600" s="5">
        <v>9.4</v>
      </c>
      <c r="O600" s="10">
        <f t="shared" si="262"/>
        <v>8.6</v>
      </c>
      <c r="P600" s="7">
        <f>LOOKUP(O600,{0,6.6,6.8,7,7.2,7.4,7.6,7.8,8,8.2,8.4,8.6,8.8,9,9.2,9.4,9.6,9.9,10.2,10.3,10.4},{0,10,20,30,40,50,60,62,64,66,68,70,72,74,76,78,80,85,90,95,100})</f>
        <v>70</v>
      </c>
      <c r="Q600" s="5">
        <v>4.4</v>
      </c>
      <c r="R600" s="10">
        <f t="shared" si="263"/>
        <v>5.6</v>
      </c>
      <c r="S600" s="7">
        <f>LOOKUP(R600,{0,4.74,4.84,4.94,5.44,5.54,5.64,5.69,5.74,5.79,5.84,5.89,5.94,5.99,6.44,6.49,6.54,6.61,6.68,6.74,6.8},{0,10,20,30,40,50,60,62,64,66,68,70,72,74,76,78,80,85,90,95,100})</f>
        <v>50</v>
      </c>
      <c r="T600" s="5"/>
      <c r="U600" s="5"/>
      <c r="V600" s="5">
        <f t="shared" si="264"/>
        <v>50</v>
      </c>
      <c r="W600" s="5"/>
      <c r="X600" s="13">
        <f t="shared" si="265"/>
        <v>46.8</v>
      </c>
      <c r="Y600" s="13">
        <f t="shared" si="266"/>
        <v>66.8571428571429</v>
      </c>
      <c r="Z600" s="19"/>
    </row>
    <row r="601" ht="15.6" hidden="1" outlineLevel="2" spans="1:26">
      <c r="A601" s="5">
        <v>313</v>
      </c>
      <c r="B601" s="5">
        <v>29</v>
      </c>
      <c r="C601" s="9" t="s">
        <v>658</v>
      </c>
      <c r="D601" s="9" t="s">
        <v>46</v>
      </c>
      <c r="E601" s="5">
        <v>15</v>
      </c>
      <c r="F601" s="7">
        <f>LOOKUP(E601,{0,1.5,2.3,3.1,3.9,4.7,5.5,6.8,8.1,9.4,10.7,12,13.3,14.6,15.9,17.2,18.5,20.2,21.9,23.6,25.3},{0,10,20,30,40,50,60,62,64,66,68,70,72,74,76,78,80,85,90,95,100})</f>
        <v>74</v>
      </c>
      <c r="G601" s="5">
        <v>165</v>
      </c>
      <c r="H601" s="7">
        <f>LOOKUP(G601,{0,125,130,135,140,145,150,153,156,159,162,165,168,171,174,177,180,187,194,200,206},{0,10,20,30,40,50,60,62,64,66,68,70,72,74,76,78,80,85,90,95,100})</f>
        <v>70</v>
      </c>
      <c r="I601" s="5">
        <v>40</v>
      </c>
      <c r="J601" s="7">
        <f>LOOKUP(I601,{0,15,17,19,21,23,25,27,29,31,33,35,37,39,41,43,45,48,51,53,55},{0,10,20,30,40,50,60,62,64,66,68,70,72,74,76,78,80,85,90,95,100})</f>
        <v>74</v>
      </c>
      <c r="K601" s="5"/>
      <c r="L601" s="5"/>
      <c r="M601" s="5">
        <f t="shared" si="261"/>
        <v>74</v>
      </c>
      <c r="N601" s="5">
        <v>9.7</v>
      </c>
      <c r="O601" s="10">
        <f t="shared" si="262"/>
        <v>8.3</v>
      </c>
      <c r="P601" s="7">
        <f>LOOKUP(O601,{0,6.6,6.8,7,7.2,7.4,7.6,7.8,8,8.2,8.4,8.6,8.8,9,9.2,9.4,9.6,9.9,10.2,10.3,10.4},{0,10,20,30,40,50,60,62,64,66,68,70,72,74,76,78,80,85,90,95,100})</f>
        <v>66</v>
      </c>
      <c r="Q601" s="5">
        <v>4</v>
      </c>
      <c r="R601" s="10">
        <f t="shared" si="263"/>
        <v>6</v>
      </c>
      <c r="S601" s="7">
        <f>LOOKUP(R601,{0,4.74,4.84,4.94,5.44,5.54,5.64,5.69,5.74,5.79,5.84,5.89,5.94,5.99,6.44,6.49,6.54,6.61,6.68,6.74,6.8},{0,10,20,30,40,50,60,62,64,66,68,70,72,74,76,78,80,85,90,95,100})</f>
        <v>74</v>
      </c>
      <c r="T601" s="5"/>
      <c r="U601" s="5"/>
      <c r="V601" s="5">
        <f t="shared" si="264"/>
        <v>74</v>
      </c>
      <c r="W601" s="5"/>
      <c r="X601" s="13">
        <f t="shared" si="265"/>
        <v>49.8</v>
      </c>
      <c r="Y601" s="13">
        <f t="shared" si="266"/>
        <v>71.1428571428571</v>
      </c>
      <c r="Z601" s="19"/>
    </row>
    <row r="602" hidden="1" outlineLevel="2" spans="1:26">
      <c r="A602" s="5">
        <v>313</v>
      </c>
      <c r="B602" s="5">
        <v>30</v>
      </c>
      <c r="C602" s="9" t="s">
        <v>659</v>
      </c>
      <c r="D602" s="9" t="s">
        <v>46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>
        <v>50</v>
      </c>
      <c r="X602" s="13"/>
      <c r="Y602" s="13">
        <v>50</v>
      </c>
      <c r="Z602" s="19"/>
    </row>
    <row r="603" ht="15.6" hidden="1" outlineLevel="2" spans="1:26">
      <c r="A603" s="5">
        <v>313</v>
      </c>
      <c r="B603" s="5">
        <v>31</v>
      </c>
      <c r="C603" s="9" t="s">
        <v>660</v>
      </c>
      <c r="D603" s="9" t="s">
        <v>46</v>
      </c>
      <c r="E603" s="5">
        <v>12</v>
      </c>
      <c r="F603" s="7">
        <f>LOOKUP(E603,{0,1.5,2.3,3.1,3.9,4.7,5.5,6.8,8.1,9.4,10.7,12,13.3,14.6,15.9,17.2,18.5,20.2,21.9,23.6,25.3},{0,10,20,30,40,50,60,62,64,66,68,70,72,74,76,78,80,85,90,95,100})</f>
        <v>70</v>
      </c>
      <c r="G603" s="5">
        <v>165</v>
      </c>
      <c r="H603" s="7">
        <f>LOOKUP(G603,{0,125,130,135,140,145,150,153,156,159,162,165,168,171,174,177,180,187,194,200,206},{0,10,20,30,40,50,60,62,64,66,68,70,72,74,76,78,80,85,90,95,100})</f>
        <v>70</v>
      </c>
      <c r="I603" s="5">
        <v>47</v>
      </c>
      <c r="J603" s="7">
        <f>LOOKUP(I603,{0,15,17,19,21,23,25,27,29,31,33,35,37,39,41,43,45,48,51,53,55},{0,10,20,30,40,50,60,62,64,66,68,70,72,74,76,78,80,85,90,95,100})</f>
        <v>80</v>
      </c>
      <c r="K603" s="5"/>
      <c r="L603" s="5"/>
      <c r="M603" s="5">
        <f t="shared" ref="M603:M605" si="267">J603+L603</f>
        <v>80</v>
      </c>
      <c r="N603" s="5">
        <v>9.7</v>
      </c>
      <c r="O603" s="10">
        <f t="shared" ref="O603:O605" si="268">18-N603</f>
        <v>8.3</v>
      </c>
      <c r="P603" s="7">
        <f>LOOKUP(O603,{0,6.6,6.8,7,7.2,7.4,7.6,7.8,8,8.2,8.4,8.6,8.8,9,9.2,9.4,9.6,9.9,10.2,10.3,10.4},{0,10,20,30,40,50,60,62,64,66,68,70,72,74,76,78,80,85,90,95,100})</f>
        <v>66</v>
      </c>
      <c r="Q603" s="5">
        <v>4.39</v>
      </c>
      <c r="R603" s="10">
        <f t="shared" ref="R603:R605" si="269">10-Q603</f>
        <v>5.61</v>
      </c>
      <c r="S603" s="7">
        <f>LOOKUP(R603,{0,4.74,4.84,4.94,5.44,5.54,5.64,5.69,5.74,5.79,5.84,5.89,5.94,5.99,6.44,6.49,6.54,6.61,6.68,6.74,6.8},{0,10,20,30,40,50,60,62,64,66,68,70,72,74,76,78,80,85,90,95,100})</f>
        <v>50</v>
      </c>
      <c r="T603" s="5"/>
      <c r="U603" s="5"/>
      <c r="V603" s="5">
        <f t="shared" ref="V603:V605" si="270">S603+U603</f>
        <v>50</v>
      </c>
      <c r="W603" s="5"/>
      <c r="X603" s="13">
        <f t="shared" ref="X603:X605" si="271">F603*0.1+H603*0.1+J603*0.1+P603*0.2+S603*0.2</f>
        <v>45.2</v>
      </c>
      <c r="Y603" s="13">
        <f t="shared" ref="Y603:Y605" si="272">X603/0.7+L603+U603</f>
        <v>64.5714285714286</v>
      </c>
      <c r="Z603" s="19"/>
    </row>
    <row r="604" ht="15.6" hidden="1" outlineLevel="2" spans="1:26">
      <c r="A604" s="5">
        <v>313</v>
      </c>
      <c r="B604" s="5">
        <v>32</v>
      </c>
      <c r="C604" s="9" t="s">
        <v>661</v>
      </c>
      <c r="D604" s="9" t="s">
        <v>46</v>
      </c>
      <c r="E604" s="5">
        <v>13</v>
      </c>
      <c r="F604" s="7">
        <f>LOOKUP(E604,{0,1.5,2.3,3.1,3.9,4.7,5.5,6.8,8.1,9.4,10.7,12,13.3,14.6,15.9,17.2,18.5,20.2,21.9,23.6,25.3},{0,10,20,30,40,50,60,62,64,66,68,70,72,74,76,78,80,85,90,95,100})</f>
        <v>70</v>
      </c>
      <c r="G604" s="5">
        <v>185</v>
      </c>
      <c r="H604" s="7">
        <f>LOOKUP(G604,{0,125,130,135,140,145,150,153,156,159,162,165,168,171,174,177,180,187,194,200,206},{0,10,20,30,40,50,60,62,64,66,68,70,72,74,76,78,80,85,90,95,100})</f>
        <v>80</v>
      </c>
      <c r="I604" s="5">
        <v>35</v>
      </c>
      <c r="J604" s="7">
        <f>LOOKUP(I604,{0,15,17,19,21,23,25,27,29,31,33,35,37,39,41,43,45,48,51,53,55},{0,10,20,30,40,50,60,62,64,66,68,70,72,74,76,78,80,85,90,95,100})</f>
        <v>70</v>
      </c>
      <c r="K604" s="5"/>
      <c r="L604" s="5"/>
      <c r="M604" s="5">
        <f t="shared" si="267"/>
        <v>70</v>
      </c>
      <c r="N604" s="5">
        <v>9.1</v>
      </c>
      <c r="O604" s="10">
        <f t="shared" si="268"/>
        <v>8.9</v>
      </c>
      <c r="P604" s="7">
        <f>LOOKUP(O604,{0,6.6,6.8,7,7.2,7.4,7.6,7.8,8,8.2,8.4,8.6,8.8,9,9.2,9.4,9.6,9.9,10.2,10.3,10.4},{0,10,20,30,40,50,60,62,64,66,68,70,72,74,76,78,80,85,90,95,100})</f>
        <v>72</v>
      </c>
      <c r="Q604" s="5">
        <v>3.57</v>
      </c>
      <c r="R604" s="10">
        <f t="shared" si="269"/>
        <v>6.43</v>
      </c>
      <c r="S604" s="7">
        <f>LOOKUP(R604,{0,4.74,4.84,4.94,5.44,5.54,5.64,5.69,5.74,5.79,5.84,5.89,5.94,5.99,6.44,6.49,6.54,6.61,6.68,6.74,6.8},{0,10,20,30,40,50,60,62,64,66,68,70,72,74,76,78,80,85,90,95,100})</f>
        <v>74</v>
      </c>
      <c r="T604" s="5"/>
      <c r="U604" s="5"/>
      <c r="V604" s="5">
        <f t="shared" si="270"/>
        <v>74</v>
      </c>
      <c r="W604" s="5"/>
      <c r="X604" s="13">
        <f t="shared" si="271"/>
        <v>51.2</v>
      </c>
      <c r="Y604" s="13">
        <f t="shared" si="272"/>
        <v>73.1428571428572</v>
      </c>
      <c r="Z604" s="19"/>
    </row>
    <row r="605" ht="15.6" hidden="1" outlineLevel="2" spans="1:26">
      <c r="A605" s="5">
        <v>313</v>
      </c>
      <c r="B605" s="5">
        <v>33</v>
      </c>
      <c r="C605" s="9" t="s">
        <v>662</v>
      </c>
      <c r="D605" s="9" t="s">
        <v>46</v>
      </c>
      <c r="E605" s="5">
        <v>15</v>
      </c>
      <c r="F605" s="7">
        <f>LOOKUP(E605,{0,1.5,2.3,3.1,3.9,4.7,5.5,6.8,8.1,9.4,10.7,12,13.3,14.6,15.9,17.2,18.5,20.2,21.9,23.6,25.3},{0,10,20,30,40,50,60,62,64,66,68,70,72,74,76,78,80,85,90,95,100})</f>
        <v>74</v>
      </c>
      <c r="G605" s="5">
        <v>150</v>
      </c>
      <c r="H605" s="7">
        <f>LOOKUP(G605,{0,125,130,135,140,145,150,153,156,159,162,165,168,171,174,177,180,187,194,200,206},{0,10,20,30,40,50,60,62,64,66,68,70,72,74,76,78,80,85,90,95,100})</f>
        <v>60</v>
      </c>
      <c r="I605" s="5">
        <v>30</v>
      </c>
      <c r="J605" s="7">
        <f>LOOKUP(I605,{0,15,17,19,21,23,25,27,29,31,33,35,37,39,41,43,45,48,51,53,55},{0,10,20,30,40,50,60,62,64,66,68,70,72,74,76,78,80,85,90,95,100})</f>
        <v>64</v>
      </c>
      <c r="K605" s="5"/>
      <c r="L605" s="5"/>
      <c r="M605" s="5">
        <f t="shared" si="267"/>
        <v>64</v>
      </c>
      <c r="N605" s="5">
        <v>11.3</v>
      </c>
      <c r="O605" s="10">
        <f t="shared" si="268"/>
        <v>6.7</v>
      </c>
      <c r="P605" s="7">
        <f>LOOKUP(O605,{0,6.6,6.8,7,7.2,7.4,7.6,7.8,8,8.2,8.4,8.6,8.8,9,9.2,9.4,9.6,9.9,10.2,10.3,10.4},{0,10,20,30,40,50,60,62,64,66,68,70,72,74,76,78,80,85,90,95,100})</f>
        <v>10</v>
      </c>
      <c r="Q605" s="5">
        <v>5.12</v>
      </c>
      <c r="R605" s="10">
        <f t="shared" si="269"/>
        <v>4.88</v>
      </c>
      <c r="S605" s="7">
        <f>LOOKUP(R605,{0,4.74,4.84,4.94,5.44,5.54,5.64,5.69,5.74,5.79,5.84,5.89,5.94,5.99,6.44,6.49,6.54,6.61,6.68,6.74,6.8},{0,10,20,30,40,50,60,62,64,66,68,70,72,74,76,78,80,85,90,95,100})</f>
        <v>20</v>
      </c>
      <c r="T605" s="5"/>
      <c r="U605" s="5"/>
      <c r="V605" s="5">
        <f t="shared" si="270"/>
        <v>20</v>
      </c>
      <c r="W605" s="5"/>
      <c r="X605" s="13">
        <f t="shared" si="271"/>
        <v>25.8</v>
      </c>
      <c r="Y605" s="13">
        <f t="shared" si="272"/>
        <v>36.8571428571429</v>
      </c>
      <c r="Z605" s="19"/>
    </row>
    <row r="606" hidden="1" outlineLevel="2" spans="1:26">
      <c r="A606" s="5">
        <v>313</v>
      </c>
      <c r="B606" s="5">
        <v>34</v>
      </c>
      <c r="C606" s="9" t="s">
        <v>663</v>
      </c>
      <c r="D606" s="9" t="s">
        <v>46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>
        <v>50</v>
      </c>
      <c r="X606" s="13"/>
      <c r="Y606" s="13">
        <v>50</v>
      </c>
      <c r="Z606" s="19"/>
    </row>
    <row r="607" ht="15.6" hidden="1" outlineLevel="2" spans="1:26">
      <c r="A607" s="5">
        <v>313</v>
      </c>
      <c r="B607" s="5">
        <v>35</v>
      </c>
      <c r="C607" s="9" t="s">
        <v>664</v>
      </c>
      <c r="D607" s="9" t="s">
        <v>46</v>
      </c>
      <c r="E607" s="5">
        <v>13.3</v>
      </c>
      <c r="F607" s="7">
        <f>LOOKUP(E607,{0,1.5,2.3,3.1,3.9,4.7,5.5,6.8,8.1,9.4,10.7,12,13.3,14.6,15.9,17.2,18.5,20.2,21.9,23.6,25.3},{0,10,20,30,40,50,60,62,64,66,68,70,72,74,76,78,80,85,90,95,100})</f>
        <v>72</v>
      </c>
      <c r="G607" s="5">
        <v>160</v>
      </c>
      <c r="H607" s="7">
        <f>LOOKUP(G607,{0,125,130,135,140,145,150,153,156,159,162,165,168,171,174,177,180,187,194,200,206},{0,10,20,30,40,50,60,62,64,66,68,70,72,74,76,78,80,85,90,95,100})</f>
        <v>66</v>
      </c>
      <c r="I607" s="5">
        <v>44</v>
      </c>
      <c r="J607" s="7">
        <f>LOOKUP(I607,{0,15,17,19,21,23,25,27,29,31,33,35,37,39,41,43,45,48,51,53,55},{0,10,20,30,40,50,60,62,64,66,68,70,72,74,76,78,80,85,90,95,100})</f>
        <v>78</v>
      </c>
      <c r="K607" s="5"/>
      <c r="L607" s="5"/>
      <c r="M607" s="5">
        <f t="shared" ref="M607:M609" si="273">J607+L607</f>
        <v>78</v>
      </c>
      <c r="N607" s="5">
        <v>9.6</v>
      </c>
      <c r="O607" s="10">
        <f t="shared" ref="O607:O609" si="274">18-N607</f>
        <v>8.4</v>
      </c>
      <c r="P607" s="7">
        <f>LOOKUP(O607,{0,6.6,6.8,7,7.2,7.4,7.6,7.8,8,8.2,8.4,8.6,8.8,9,9.2,9.4,9.6,9.9,10.2,10.3,10.4},{0,10,20,30,40,50,60,62,64,66,68,70,72,74,76,78,80,85,90,95,100})</f>
        <v>68</v>
      </c>
      <c r="Q607" s="5">
        <v>4.27</v>
      </c>
      <c r="R607" s="10">
        <f t="shared" ref="R607:R609" si="275">10-Q607</f>
        <v>5.73</v>
      </c>
      <c r="S607" s="7">
        <f>LOOKUP(R607,{0,4.74,4.84,4.94,5.44,5.54,5.64,5.69,5.74,5.79,5.84,5.89,5.94,5.99,6.44,6.49,6.54,6.61,6.68,6.74,6.8},{0,10,20,30,40,50,60,62,64,66,68,70,72,74,76,78,80,85,90,95,100})</f>
        <v>62</v>
      </c>
      <c r="T607" s="5"/>
      <c r="U607" s="5"/>
      <c r="V607" s="5">
        <f t="shared" ref="V607:V609" si="276">S607+U607</f>
        <v>62</v>
      </c>
      <c r="W607" s="5"/>
      <c r="X607" s="13">
        <f t="shared" ref="X607:X609" si="277">F607*0.1+H607*0.1+J607*0.1+P607*0.2+S607*0.2</f>
        <v>47.6</v>
      </c>
      <c r="Y607" s="13">
        <f t="shared" ref="Y607:Y609" si="278">X607/0.7+L607+U607</f>
        <v>68</v>
      </c>
      <c r="Z607" s="19"/>
    </row>
    <row r="608" ht="15.6" hidden="1" outlineLevel="2" spans="1:26">
      <c r="A608" s="5">
        <v>313</v>
      </c>
      <c r="B608" s="5">
        <v>36</v>
      </c>
      <c r="C608" s="9" t="s">
        <v>665</v>
      </c>
      <c r="D608" s="9" t="s">
        <v>46</v>
      </c>
      <c r="E608" s="5">
        <v>19.1</v>
      </c>
      <c r="F608" s="7">
        <f>LOOKUP(E608,{0,1.5,2.3,3.1,3.9,4.7,5.5,6.8,8.1,9.4,10.7,12,13.3,14.6,15.9,17.2,18.5,20.2,21.9,23.6,25.3},{0,10,20,30,40,50,60,62,64,66,68,70,72,74,76,78,80,85,90,95,100})</f>
        <v>80</v>
      </c>
      <c r="G608" s="5">
        <v>175</v>
      </c>
      <c r="H608" s="7">
        <f>LOOKUP(G608,{0,125,130,135,140,145,150,153,156,159,162,165,168,171,174,177,180,187,194,200,206},{0,10,20,30,40,50,60,62,64,66,68,70,72,74,76,78,80,85,90,95,100})</f>
        <v>76</v>
      </c>
      <c r="I608" s="5">
        <v>50</v>
      </c>
      <c r="J608" s="7">
        <f>LOOKUP(I608,{0,15,17,19,21,23,25,27,29,31,33,35,37,39,41,43,45,48,51,53,55},{0,10,20,30,40,50,60,62,64,66,68,70,72,74,76,78,80,85,90,95,100})</f>
        <v>85</v>
      </c>
      <c r="K608" s="5"/>
      <c r="L608" s="5"/>
      <c r="M608" s="5">
        <f t="shared" si="273"/>
        <v>85</v>
      </c>
      <c r="N608" s="5">
        <v>8.7</v>
      </c>
      <c r="O608" s="10">
        <f t="shared" si="274"/>
        <v>9.3</v>
      </c>
      <c r="P608" s="7">
        <f>LOOKUP(O608,{0,6.6,6.8,7,7.2,7.4,7.6,7.8,8,8.2,8.4,8.6,8.8,9,9.2,9.4,9.6,9.9,10.2,10.3,10.4},{0,10,20,30,40,50,60,62,64,66,68,70,72,74,76,78,80,85,90,95,100})</f>
        <v>76</v>
      </c>
      <c r="Q608" s="5">
        <v>3.44</v>
      </c>
      <c r="R608" s="10">
        <f t="shared" si="275"/>
        <v>6.56</v>
      </c>
      <c r="S608" s="7">
        <f>LOOKUP(R608,{0,4.74,4.84,4.94,5.44,5.54,5.64,5.69,5.74,5.79,5.84,5.89,5.94,5.99,6.44,6.49,6.54,6.61,6.68,6.74,6.8},{0,10,20,30,40,50,60,62,64,66,68,70,72,74,76,78,80,85,90,95,100})</f>
        <v>80</v>
      </c>
      <c r="T608" s="5"/>
      <c r="U608" s="5"/>
      <c r="V608" s="5">
        <f t="shared" si="276"/>
        <v>80</v>
      </c>
      <c r="W608" s="5"/>
      <c r="X608" s="13">
        <f t="shared" si="277"/>
        <v>55.3</v>
      </c>
      <c r="Y608" s="13">
        <f t="shared" si="278"/>
        <v>79</v>
      </c>
      <c r="Z608" s="19"/>
    </row>
    <row r="609" ht="15.6" hidden="1" outlineLevel="2" spans="1:26">
      <c r="A609" s="5">
        <v>313</v>
      </c>
      <c r="B609" s="5">
        <v>37</v>
      </c>
      <c r="C609" s="9" t="s">
        <v>666</v>
      </c>
      <c r="D609" s="9" t="s">
        <v>46</v>
      </c>
      <c r="E609" s="5">
        <v>13</v>
      </c>
      <c r="F609" s="7">
        <f>LOOKUP(E609,{0,1.5,2.3,3.1,3.9,4.7,5.5,6.8,8.1,9.4,10.7,12,13.3,14.6,15.9,17.2,18.5,20.2,21.9,23.6,25.3},{0,10,20,30,40,50,60,62,64,66,68,70,72,74,76,78,80,85,90,95,100})</f>
        <v>70</v>
      </c>
      <c r="G609" s="5">
        <v>170</v>
      </c>
      <c r="H609" s="7">
        <f>LOOKUP(G609,{0,125,130,135,140,145,150,153,156,159,162,165,168,171,174,177,180,187,194,200,206},{0,10,20,30,40,50,60,62,64,66,68,70,72,74,76,78,80,85,90,95,100})</f>
        <v>72</v>
      </c>
      <c r="I609" s="5">
        <v>47</v>
      </c>
      <c r="J609" s="7">
        <f>LOOKUP(I609,{0,15,17,19,21,23,25,27,29,31,33,35,37,39,41,43,45,48,51,53,55},{0,10,20,30,40,50,60,62,64,66,68,70,72,74,76,78,80,85,90,95,100})</f>
        <v>80</v>
      </c>
      <c r="K609" s="5"/>
      <c r="L609" s="5"/>
      <c r="M609" s="5">
        <f t="shared" si="273"/>
        <v>80</v>
      </c>
      <c r="N609" s="5">
        <v>8.7</v>
      </c>
      <c r="O609" s="10">
        <f t="shared" si="274"/>
        <v>9.3</v>
      </c>
      <c r="P609" s="7">
        <f>LOOKUP(O609,{0,6.6,6.8,7,7.2,7.4,7.6,7.8,8,8.2,8.4,8.6,8.8,9,9.2,9.4,9.6,9.9,10.2,10.3,10.4},{0,10,20,30,40,50,60,62,64,66,68,70,72,74,76,78,80,85,90,95,100})</f>
        <v>76</v>
      </c>
      <c r="Q609" s="5">
        <v>4.39</v>
      </c>
      <c r="R609" s="10">
        <f t="shared" si="275"/>
        <v>5.61</v>
      </c>
      <c r="S609" s="7">
        <f>LOOKUP(R609,{0,4.74,4.84,4.94,5.44,5.54,5.64,5.69,5.74,5.79,5.84,5.89,5.94,5.99,6.44,6.49,6.54,6.61,6.68,6.74,6.8},{0,10,20,30,40,50,60,62,64,66,68,70,72,74,76,78,80,85,90,95,100})</f>
        <v>50</v>
      </c>
      <c r="T609" s="5"/>
      <c r="U609" s="5"/>
      <c r="V609" s="5">
        <f t="shared" si="276"/>
        <v>50</v>
      </c>
      <c r="W609" s="5"/>
      <c r="X609" s="13">
        <f t="shared" si="277"/>
        <v>47.4</v>
      </c>
      <c r="Y609" s="13">
        <f t="shared" si="278"/>
        <v>67.7142857142857</v>
      </c>
      <c r="Z609" s="19"/>
    </row>
    <row r="610" hidden="1" outlineLevel="2" spans="1:26">
      <c r="A610" s="5">
        <v>313</v>
      </c>
      <c r="B610" s="5">
        <v>38</v>
      </c>
      <c r="C610" s="9" t="s">
        <v>667</v>
      </c>
      <c r="D610" s="9" t="s">
        <v>46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>
        <v>50</v>
      </c>
      <c r="X610" s="13"/>
      <c r="Y610" s="13">
        <v>50</v>
      </c>
      <c r="Z610" s="20"/>
    </row>
    <row r="611" ht="15.6" hidden="1" outlineLevel="2" spans="1:26">
      <c r="A611" s="5">
        <v>313</v>
      </c>
      <c r="B611" s="5">
        <v>39</v>
      </c>
      <c r="C611" s="8" t="s">
        <v>669</v>
      </c>
      <c r="D611" s="9" t="s">
        <v>46</v>
      </c>
      <c r="E611" s="5">
        <v>22.5</v>
      </c>
      <c r="F611" s="7">
        <f>LOOKUP(E611,{0,1.5,2.3,3.1,3.9,4.7,5.5,6.8,8.1,9.4,10.7,12,13.3,14.6,15.9,17.2,18.5,20.2,21.9,23.6,25.3},{0,10,20,30,40,50,60,62,64,66,68,70,72,74,76,78,80,85,90,95,100})</f>
        <v>90</v>
      </c>
      <c r="G611" s="5">
        <v>180</v>
      </c>
      <c r="H611" s="7">
        <f>LOOKUP(G611,{0,125,130,135,140,145,150,153,156,159,162,165,168,171,174,177,180,187,194,200,206},{0,10,20,30,40,50,60,62,64,66,68,70,72,74,76,78,80,85,90,95,100})</f>
        <v>80</v>
      </c>
      <c r="I611" s="5">
        <v>46</v>
      </c>
      <c r="J611" s="7">
        <f>LOOKUP(I611,{0,15,17,19,21,23,25,27,29,31,33,35,37,39,41,43,45,48,51,53,55},{0,10,20,30,40,50,60,62,64,66,68,70,72,74,76,78,80,85,90,95,100})</f>
        <v>80</v>
      </c>
      <c r="K611" s="5"/>
      <c r="L611" s="16"/>
      <c r="M611" s="5">
        <f t="shared" ref="M611:M613" si="279">J611+L611</f>
        <v>80</v>
      </c>
      <c r="N611" s="5">
        <v>8.9</v>
      </c>
      <c r="O611" s="10">
        <f t="shared" ref="O611:O613" si="280">18-N611</f>
        <v>9.1</v>
      </c>
      <c r="P611" s="7">
        <f>LOOKUP(O611,{0,6.6,6.8,7,7.2,7.4,7.6,7.8,8,8.2,8.4,8.6,8.8,9,9.2,9.4,9.6,9.9,10.2,10.3,10.4},{0,10,20,30,40,50,60,62,64,66,68,70,72,74,76,78,80,85,90,95,100})</f>
        <v>74</v>
      </c>
      <c r="Q611" s="5">
        <v>3.56</v>
      </c>
      <c r="R611" s="10">
        <f t="shared" ref="R611:R613" si="281">10-Q611</f>
        <v>6.44</v>
      </c>
      <c r="S611" s="7">
        <f>LOOKUP(R611,{0,4.74,4.84,4.94,5.44,5.54,5.64,5.69,5.74,5.79,5.84,5.89,5.94,5.99,6.44,6.49,6.54,6.61,6.68,6.74,6.8},{0,10,20,30,40,50,60,62,64,66,68,70,72,74,76,78,80,85,90,95,100})</f>
        <v>76</v>
      </c>
      <c r="T611" s="5"/>
      <c r="U611" s="5"/>
      <c r="V611" s="5">
        <f t="shared" ref="V611:V613" si="282">S611+U611</f>
        <v>76</v>
      </c>
      <c r="W611" s="5"/>
      <c r="X611" s="13">
        <f t="shared" ref="X611:X613" si="283">F611*0.1+H611*0.1+J611*0.1+P611*0.2+S611*0.2</f>
        <v>55</v>
      </c>
      <c r="Y611" s="13">
        <f t="shared" ref="Y611:Y613" si="284">X611/0.7+L611+U611</f>
        <v>78.5714285714286</v>
      </c>
      <c r="Z611" s="19"/>
    </row>
    <row r="612" ht="15.6" hidden="1" outlineLevel="2" spans="1:26">
      <c r="A612" s="5">
        <v>313</v>
      </c>
      <c r="B612" s="5">
        <v>40</v>
      </c>
      <c r="C612" s="9" t="s">
        <v>670</v>
      </c>
      <c r="D612" s="9" t="s">
        <v>46</v>
      </c>
      <c r="E612" s="5">
        <v>14.5</v>
      </c>
      <c r="F612" s="7">
        <f>LOOKUP(E612,{0,1.5,2.3,3.1,3.9,4.7,5.5,6.8,8.1,9.4,10.7,12,13.3,14.6,15.9,17.2,18.5,20.2,21.9,23.6,25.3},{0,10,20,30,40,50,60,62,64,66,68,70,72,74,76,78,80,85,90,95,100})</f>
        <v>72</v>
      </c>
      <c r="G612" s="5">
        <v>145</v>
      </c>
      <c r="H612" s="7">
        <f>LOOKUP(G612,{0,125,130,135,140,145,150,153,156,159,162,165,168,171,174,177,180,187,194,200,206},{0,10,20,30,40,50,60,62,64,66,68,70,72,74,76,78,80,85,90,95,100})</f>
        <v>50</v>
      </c>
      <c r="I612" s="5">
        <v>38</v>
      </c>
      <c r="J612" s="7">
        <f>LOOKUP(I612,{0,15,17,19,21,23,25,27,29,31,33,35,37,39,41,43,45,48,51,53,55},{0,10,20,30,40,50,60,62,64,66,68,70,72,74,76,78,80,85,90,95,100})</f>
        <v>72</v>
      </c>
      <c r="K612" s="5"/>
      <c r="L612" s="5"/>
      <c r="M612" s="5">
        <f t="shared" si="279"/>
        <v>72</v>
      </c>
      <c r="N612" s="5">
        <v>10.3</v>
      </c>
      <c r="O612" s="10">
        <f t="shared" si="280"/>
        <v>7.7</v>
      </c>
      <c r="P612" s="7">
        <f>LOOKUP(O612,{0,6.6,6.8,7,7.2,7.4,7.6,7.8,8,8.2,8.4,8.6,8.8,9,9.2,9.4,9.6,9.9,10.2,10.3,10.4},{0,10,20,30,40,50,60,62,64,66,68,70,72,74,76,78,80,85,90,95,100})</f>
        <v>60</v>
      </c>
      <c r="Q612" s="5">
        <v>4.09</v>
      </c>
      <c r="R612" s="10">
        <f t="shared" si="281"/>
        <v>5.91</v>
      </c>
      <c r="S612" s="7">
        <f>LOOKUP(R612,{0,4.74,4.84,4.94,5.44,5.54,5.64,5.69,5.74,5.79,5.84,5.89,5.94,5.99,6.44,6.49,6.54,6.61,6.68,6.74,6.8},{0,10,20,30,40,50,60,62,64,66,68,70,72,74,76,78,80,85,90,95,100})</f>
        <v>70</v>
      </c>
      <c r="T612" s="5"/>
      <c r="U612" s="5"/>
      <c r="V612" s="5">
        <f t="shared" si="282"/>
        <v>70</v>
      </c>
      <c r="W612" s="5"/>
      <c r="X612" s="13">
        <f t="shared" si="283"/>
        <v>45.4</v>
      </c>
      <c r="Y612" s="13">
        <f t="shared" si="284"/>
        <v>64.8571428571429</v>
      </c>
      <c r="Z612" s="19"/>
    </row>
    <row r="613" ht="15.6" hidden="1" outlineLevel="2" spans="1:26">
      <c r="A613" s="5">
        <v>313</v>
      </c>
      <c r="B613" s="5">
        <v>41</v>
      </c>
      <c r="C613" s="9" t="s">
        <v>671</v>
      </c>
      <c r="D613" s="9" t="s">
        <v>46</v>
      </c>
      <c r="E613" s="5">
        <v>18</v>
      </c>
      <c r="F613" s="7">
        <f>LOOKUP(E613,{0,1.5,2.3,3.1,3.9,4.7,5.5,6.8,8.1,9.4,10.7,12,13.3,14.6,15.9,17.2,18.5,20.2,21.9,23.6,25.3},{0,10,20,30,40,50,60,62,64,66,68,70,72,74,76,78,80,85,90,95,100})</f>
        <v>78</v>
      </c>
      <c r="G613" s="5">
        <v>155</v>
      </c>
      <c r="H613" s="7">
        <f>LOOKUP(G613,{0,125,130,135,140,145,150,153,156,159,162,165,168,171,174,177,180,187,194,200,206},{0,10,20,30,40,50,60,62,64,66,68,70,72,74,76,78,80,85,90,95,100})</f>
        <v>62</v>
      </c>
      <c r="I613" s="5">
        <v>38</v>
      </c>
      <c r="J613" s="7">
        <f>LOOKUP(I613,{0,15,17,19,21,23,25,27,29,31,33,35,37,39,41,43,45,48,51,53,55},{0,10,20,30,40,50,60,62,64,66,68,70,72,74,76,78,80,85,90,95,100})</f>
        <v>72</v>
      </c>
      <c r="K613" s="5"/>
      <c r="L613" s="5"/>
      <c r="M613" s="5">
        <f t="shared" si="279"/>
        <v>72</v>
      </c>
      <c r="N613" s="5">
        <v>9.6</v>
      </c>
      <c r="O613" s="10">
        <f t="shared" si="280"/>
        <v>8.4</v>
      </c>
      <c r="P613" s="7">
        <f>LOOKUP(O613,{0,6.6,6.8,7,7.2,7.4,7.6,7.8,8,8.2,8.4,8.6,8.8,9,9.2,9.4,9.6,9.9,10.2,10.3,10.4},{0,10,20,30,40,50,60,62,64,66,68,70,72,74,76,78,80,85,90,95,100})</f>
        <v>68</v>
      </c>
      <c r="Q613" s="5">
        <v>4.29</v>
      </c>
      <c r="R613" s="10">
        <f t="shared" si="281"/>
        <v>5.71</v>
      </c>
      <c r="S613" s="7">
        <f>LOOKUP(R613,{0,4.74,4.84,4.94,5.44,5.54,5.64,5.69,5.74,5.79,5.84,5.89,5.94,5.99,6.44,6.49,6.54,6.61,6.68,6.74,6.8},{0,10,20,30,40,50,60,62,64,66,68,70,72,74,76,78,80,85,90,95,100})</f>
        <v>62</v>
      </c>
      <c r="T613" s="5"/>
      <c r="U613" s="5"/>
      <c r="V613" s="5">
        <f t="shared" si="282"/>
        <v>62</v>
      </c>
      <c r="W613" s="5"/>
      <c r="X613" s="13">
        <f t="shared" si="283"/>
        <v>47.2</v>
      </c>
      <c r="Y613" s="13">
        <f t="shared" si="284"/>
        <v>67.4285714285714</v>
      </c>
      <c r="Z613" s="19"/>
    </row>
    <row r="614" hidden="1" outlineLevel="2" spans="1:26">
      <c r="A614" s="5">
        <v>313</v>
      </c>
      <c r="B614" s="5">
        <v>42</v>
      </c>
      <c r="C614" s="9" t="s">
        <v>672</v>
      </c>
      <c r="D614" s="9" t="s">
        <v>46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>
        <v>50</v>
      </c>
      <c r="X614" s="13"/>
      <c r="Y614" s="13">
        <v>50</v>
      </c>
      <c r="Z614" s="19"/>
    </row>
    <row r="615" ht="15.6" hidden="1" outlineLevel="2" spans="1:26">
      <c r="A615" s="5">
        <v>313</v>
      </c>
      <c r="B615" s="5">
        <v>43</v>
      </c>
      <c r="C615" s="9" t="s">
        <v>673</v>
      </c>
      <c r="D615" s="9" t="s">
        <v>46</v>
      </c>
      <c r="E615" s="5">
        <v>16</v>
      </c>
      <c r="F615" s="7">
        <f>LOOKUP(E615,{0,1.5,2.3,3.1,3.9,4.7,5.5,6.8,8.1,9.4,10.7,12,13.3,14.6,15.9,17.2,18.5,20.2,21.9,23.6,25.3},{0,10,20,30,40,50,60,62,64,66,68,70,72,74,76,78,80,85,90,95,100})</f>
        <v>76</v>
      </c>
      <c r="G615" s="5">
        <v>164</v>
      </c>
      <c r="H615" s="7">
        <f>LOOKUP(G615,{0,125,130,135,140,145,150,153,156,159,162,165,168,171,174,177,180,187,194,200,206},{0,10,20,30,40,50,60,62,64,66,68,70,72,74,76,78,80,85,90,95,100})</f>
        <v>68</v>
      </c>
      <c r="I615" s="5">
        <v>21</v>
      </c>
      <c r="J615" s="7">
        <f>LOOKUP(I615,{0,15,17,19,21,23,25,27,29,31,33,35,37,39,41,43,45,48,51,53,55},{0,10,20,30,40,50,60,62,64,66,68,70,72,74,76,78,80,85,90,95,100})</f>
        <v>40</v>
      </c>
      <c r="K615" s="5"/>
      <c r="L615" s="5"/>
      <c r="M615" s="5">
        <f t="shared" ref="M615:M619" si="285">J615+L615</f>
        <v>40</v>
      </c>
      <c r="N615" s="5">
        <v>9.3</v>
      </c>
      <c r="O615" s="10">
        <f t="shared" ref="O615:O619" si="286">18-N615</f>
        <v>8.7</v>
      </c>
      <c r="P615" s="7">
        <f>LOOKUP(O615,{0,6.6,6.8,7,7.2,7.4,7.6,7.8,8,8.2,8.4,8.6,8.8,9,9.2,9.4,9.6,9.9,10.2,10.3,10.4},{0,10,20,30,40,50,60,62,64,66,68,70,72,74,76,78,80,85,90,95,100})</f>
        <v>70</v>
      </c>
      <c r="Q615" s="5">
        <v>4.12</v>
      </c>
      <c r="R615" s="10">
        <f t="shared" ref="R615:R619" si="287">10-Q615</f>
        <v>5.88</v>
      </c>
      <c r="S615" s="7">
        <f>LOOKUP(R615,{0,4.74,4.84,4.94,5.44,5.54,5.64,5.69,5.74,5.79,5.84,5.89,5.94,5.99,6.44,6.49,6.54,6.61,6.68,6.74,6.8},{0,10,20,30,40,50,60,62,64,66,68,70,72,74,76,78,80,85,90,95,100})</f>
        <v>68</v>
      </c>
      <c r="T615" s="5"/>
      <c r="U615" s="5"/>
      <c r="V615" s="5">
        <f t="shared" ref="V615:V619" si="288">S615+U615</f>
        <v>68</v>
      </c>
      <c r="W615" s="5"/>
      <c r="X615" s="13">
        <f t="shared" ref="X615:X619" si="289">F615*0.1+H615*0.1+J615*0.1+P615*0.2+S615*0.2</f>
        <v>46</v>
      </c>
      <c r="Y615" s="13">
        <f t="shared" ref="Y615:Y619" si="290">X615/0.7+L615+U615</f>
        <v>65.7142857142857</v>
      </c>
      <c r="Z615" s="19"/>
    </row>
    <row r="616" ht="15.6" hidden="1" outlineLevel="2" spans="1:26">
      <c r="A616" s="5">
        <v>313</v>
      </c>
      <c r="B616" s="5">
        <v>44</v>
      </c>
      <c r="C616" s="9" t="s">
        <v>674</v>
      </c>
      <c r="D616" s="9" t="s">
        <v>46</v>
      </c>
      <c r="E616" s="5">
        <v>14.7</v>
      </c>
      <c r="F616" s="7">
        <f>LOOKUP(E616,{0,1.5,2.3,3.1,3.9,4.7,5.5,6.8,8.1,9.4,10.7,12,13.3,14.6,15.9,17.2,18.5,20.2,21.9,23.6,25.3},{0,10,20,30,40,50,60,62,64,66,68,70,72,74,76,78,80,85,90,95,100})</f>
        <v>74</v>
      </c>
      <c r="G616" s="5">
        <v>165</v>
      </c>
      <c r="H616" s="7">
        <f>LOOKUP(G616,{0,125,130,135,140,145,150,153,156,159,162,165,168,171,174,177,180,187,194,200,206},{0,10,20,30,40,50,60,62,64,66,68,70,72,74,76,78,80,85,90,95,100})</f>
        <v>70</v>
      </c>
      <c r="I616" s="5">
        <v>45</v>
      </c>
      <c r="J616" s="7">
        <f>LOOKUP(I616,{0,15,17,19,21,23,25,27,29,31,33,35,37,39,41,43,45,48,51,53,55},{0,10,20,30,40,50,60,62,64,66,68,70,72,74,76,78,80,85,90,95,100})</f>
        <v>80</v>
      </c>
      <c r="K616" s="5"/>
      <c r="L616" s="5"/>
      <c r="M616" s="5">
        <f t="shared" si="285"/>
        <v>80</v>
      </c>
      <c r="N616" s="5"/>
      <c r="O616" s="5"/>
      <c r="P616" s="5"/>
      <c r="Q616" s="5"/>
      <c r="R616" s="5"/>
      <c r="S616" s="5"/>
      <c r="T616" s="5"/>
      <c r="U616" s="5"/>
      <c r="V616" s="5"/>
      <c r="W616" s="5">
        <v>50</v>
      </c>
      <c r="X616" s="13"/>
      <c r="Y616" s="13">
        <v>50</v>
      </c>
      <c r="Z616" s="19"/>
    </row>
    <row r="617" ht="15.6" hidden="1" outlineLevel="2" spans="1:26">
      <c r="A617" s="5">
        <v>313</v>
      </c>
      <c r="B617" s="5">
        <v>45</v>
      </c>
      <c r="C617" s="9" t="s">
        <v>675</v>
      </c>
      <c r="D617" s="9" t="s">
        <v>46</v>
      </c>
      <c r="E617" s="5">
        <v>12</v>
      </c>
      <c r="F617" s="7">
        <f>LOOKUP(E617,{0,1.5,2.3,3.1,3.9,4.7,5.5,6.8,8.1,9.4,10.7,12,13.3,14.6,15.9,17.2,18.5,20.2,21.9,23.6,25.3},{0,10,20,30,40,50,60,62,64,66,68,70,72,74,76,78,80,85,90,95,100})</f>
        <v>70</v>
      </c>
      <c r="G617" s="5">
        <v>165</v>
      </c>
      <c r="H617" s="7">
        <f>LOOKUP(G617,{0,125,130,135,140,145,150,153,156,159,162,165,168,171,174,177,180,187,194,200,206},{0,10,20,30,40,50,60,62,64,66,68,70,72,74,76,78,80,85,90,95,100})</f>
        <v>70</v>
      </c>
      <c r="I617" s="5">
        <v>43</v>
      </c>
      <c r="J617" s="7">
        <f>LOOKUP(I617,{0,15,17,19,21,23,25,27,29,31,33,35,37,39,41,43,45,48,51,53,55},{0,10,20,30,40,50,60,62,64,66,68,70,72,74,76,78,80,85,90,95,100})</f>
        <v>78</v>
      </c>
      <c r="K617" s="5"/>
      <c r="L617" s="5"/>
      <c r="M617" s="5">
        <f t="shared" si="285"/>
        <v>78</v>
      </c>
      <c r="N617" s="5">
        <v>8.8</v>
      </c>
      <c r="O617" s="10">
        <f t="shared" si="286"/>
        <v>9.2</v>
      </c>
      <c r="P617" s="7">
        <f>LOOKUP(O617,{0,6.6,6.8,7,7.2,7.4,7.6,7.8,8,8.2,8.4,8.6,8.8,9,9.2,9.4,9.6,9.9,10.2,10.3,10.4},{0,10,20,30,40,50,60,62,64,66,68,70,72,74,76,78,80,85,90,95,100})</f>
        <v>76</v>
      </c>
      <c r="Q617" s="5">
        <v>3.57</v>
      </c>
      <c r="R617" s="10">
        <f t="shared" si="287"/>
        <v>6.43</v>
      </c>
      <c r="S617" s="7">
        <f>LOOKUP(R617,{0,4.74,4.84,4.94,5.44,5.54,5.64,5.69,5.74,5.79,5.84,5.89,5.94,5.99,6.44,6.49,6.54,6.61,6.68,6.74,6.8},{0,10,20,30,40,50,60,62,64,66,68,70,72,74,76,78,80,85,90,95,100})</f>
        <v>74</v>
      </c>
      <c r="T617" s="5"/>
      <c r="U617" s="5"/>
      <c r="V617" s="5">
        <f t="shared" si="288"/>
        <v>74</v>
      </c>
      <c r="W617" s="5"/>
      <c r="X617" s="13">
        <f t="shared" si="289"/>
        <v>51.8</v>
      </c>
      <c r="Y617" s="13">
        <f t="shared" si="290"/>
        <v>74</v>
      </c>
      <c r="Z617" s="20"/>
    </row>
    <row r="618" ht="15.6" hidden="1" outlineLevel="2" spans="1:26">
      <c r="A618" s="5">
        <v>313</v>
      </c>
      <c r="B618" s="5">
        <v>46</v>
      </c>
      <c r="C618" s="9" t="s">
        <v>676</v>
      </c>
      <c r="D618" s="9" t="s">
        <v>46</v>
      </c>
      <c r="E618" s="5">
        <v>16.5</v>
      </c>
      <c r="F618" s="7">
        <f>LOOKUP(E618,{0,1.5,2.3,3.1,3.9,4.7,5.5,6.8,8.1,9.4,10.7,12,13.3,14.6,15.9,17.2,18.5,20.2,21.9,23.6,25.3},{0,10,20,30,40,50,60,62,64,66,68,70,72,74,76,78,80,85,90,95,100})</f>
        <v>76</v>
      </c>
      <c r="G618" s="5"/>
      <c r="H618" s="5"/>
      <c r="I618" s="5">
        <v>49</v>
      </c>
      <c r="J618" s="7">
        <f>LOOKUP(I618,{0,15,17,19,21,23,25,27,29,31,33,35,37,39,41,43,45,48,51,53,55},{0,10,20,30,40,50,60,62,64,66,68,70,72,74,76,78,80,85,90,95,100})</f>
        <v>85</v>
      </c>
      <c r="K618" s="5"/>
      <c r="L618" s="5"/>
      <c r="M618" s="5">
        <f t="shared" si="285"/>
        <v>85</v>
      </c>
      <c r="N618" s="5"/>
      <c r="O618" s="5"/>
      <c r="P618" s="5"/>
      <c r="Q618" s="5"/>
      <c r="R618" s="5"/>
      <c r="S618" s="5"/>
      <c r="T618" s="5"/>
      <c r="U618" s="5"/>
      <c r="V618" s="5"/>
      <c r="W618" s="5">
        <v>50</v>
      </c>
      <c r="X618" s="13"/>
      <c r="Y618" s="13">
        <v>50</v>
      </c>
      <c r="Z618" s="19"/>
    </row>
    <row r="619" ht="15.6" hidden="1" outlineLevel="2" spans="1:26">
      <c r="A619" s="5">
        <v>313</v>
      </c>
      <c r="B619" s="5">
        <v>47</v>
      </c>
      <c r="C619" s="9" t="s">
        <v>677</v>
      </c>
      <c r="D619" s="9" t="s">
        <v>46</v>
      </c>
      <c r="E619" s="5">
        <v>3</v>
      </c>
      <c r="F619" s="7">
        <f>LOOKUP(E619,{0,1.5,2.3,3.1,3.9,4.7,5.5,6.8,8.1,9.4,10.7,12,13.3,14.6,15.9,17.2,18.5,20.2,21.9,23.6,25.3},{0,10,20,30,40,50,60,62,64,66,68,70,72,74,76,78,80,85,90,95,100})</f>
        <v>20</v>
      </c>
      <c r="G619" s="5">
        <v>161</v>
      </c>
      <c r="H619" s="7">
        <f>LOOKUP(G619,{0,125,130,135,140,145,150,153,156,159,162,165,168,171,174,177,180,187,194,200,206},{0,10,20,30,40,50,60,62,64,66,68,70,72,74,76,78,80,85,90,95,100})</f>
        <v>66</v>
      </c>
      <c r="I619" s="5">
        <v>35</v>
      </c>
      <c r="J619" s="7">
        <f>LOOKUP(I619,{0,15,17,19,21,23,25,27,29,31,33,35,37,39,41,43,45,48,51,53,55},{0,10,20,30,40,50,60,62,64,66,68,70,72,74,76,78,80,85,90,95,100})</f>
        <v>70</v>
      </c>
      <c r="K619" s="5"/>
      <c r="L619" s="5"/>
      <c r="M619" s="5">
        <f t="shared" si="285"/>
        <v>70</v>
      </c>
      <c r="N619" s="5">
        <v>8.6</v>
      </c>
      <c r="O619" s="10">
        <f t="shared" si="286"/>
        <v>9.4</v>
      </c>
      <c r="P619" s="7">
        <f>LOOKUP(O619,{0,6.6,6.8,7,7.2,7.4,7.6,7.8,8,8.2,8.4,8.6,8.8,9,9.2,9.4,9.6,9.9,10.2,10.3,10.4},{0,10,20,30,40,50,60,62,64,66,68,70,72,74,76,78,80,85,90,95,100})</f>
        <v>78</v>
      </c>
      <c r="Q619" s="5">
        <v>4.55</v>
      </c>
      <c r="R619" s="10">
        <f t="shared" si="287"/>
        <v>5.45</v>
      </c>
      <c r="S619" s="7">
        <f>LOOKUP(R619,{0,4.74,4.84,4.94,5.44,5.54,5.64,5.69,5.74,5.79,5.84,5.89,5.94,5.99,6.44,6.49,6.54,6.61,6.68,6.74,6.8},{0,10,20,30,40,50,60,62,64,66,68,70,72,74,76,78,80,85,90,95,100})</f>
        <v>40</v>
      </c>
      <c r="T619" s="5"/>
      <c r="U619" s="5"/>
      <c r="V619" s="5">
        <f t="shared" si="288"/>
        <v>40</v>
      </c>
      <c r="W619" s="5"/>
      <c r="X619" s="13">
        <f t="shared" si="289"/>
        <v>39.2</v>
      </c>
      <c r="Y619" s="13">
        <f t="shared" si="290"/>
        <v>56</v>
      </c>
      <c r="Z619" s="19"/>
    </row>
    <row r="620" hidden="1" outlineLevel="2" spans="1:26">
      <c r="A620" s="5">
        <v>313</v>
      </c>
      <c r="B620" s="5">
        <v>48</v>
      </c>
      <c r="C620" s="9" t="s">
        <v>678</v>
      </c>
      <c r="D620" s="9" t="s">
        <v>46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>
        <v>50</v>
      </c>
      <c r="X620" s="13"/>
      <c r="Y620" s="13">
        <v>50</v>
      </c>
      <c r="Z620" s="19"/>
    </row>
    <row r="621" ht="15.6" hidden="1" outlineLevel="2" spans="1:26">
      <c r="A621" s="5">
        <v>313</v>
      </c>
      <c r="B621" s="5">
        <v>49</v>
      </c>
      <c r="C621" s="9" t="s">
        <v>679</v>
      </c>
      <c r="D621" s="9" t="s">
        <v>46</v>
      </c>
      <c r="E621" s="5">
        <v>9.7</v>
      </c>
      <c r="F621" s="7">
        <f>LOOKUP(E621,{0,1.5,2.3,3.1,3.9,4.7,5.5,6.8,8.1,9.4,10.7,12,13.3,14.6,15.9,17.2,18.5,20.2,21.9,23.6,25.3},{0,10,20,30,40,50,60,62,64,66,68,70,72,74,76,78,80,85,90,95,100})</f>
        <v>66</v>
      </c>
      <c r="G621" s="5">
        <v>154</v>
      </c>
      <c r="H621" s="7">
        <f>LOOKUP(G621,{0,125,130,135,140,145,150,153,156,159,162,165,168,171,174,177,180,187,194,200,206},{0,10,20,30,40,50,60,62,64,66,68,70,72,74,76,78,80,85,90,95,100})</f>
        <v>62</v>
      </c>
      <c r="I621" s="5">
        <v>42</v>
      </c>
      <c r="J621" s="7">
        <f>LOOKUP(I621,{0,15,17,19,21,23,25,27,29,31,33,35,37,39,41,43,45,48,51,53,55},{0,10,20,30,40,50,60,62,64,66,68,70,72,74,76,78,80,85,90,95,100})</f>
        <v>76</v>
      </c>
      <c r="K621" s="5"/>
      <c r="L621" s="16"/>
      <c r="M621" s="5">
        <f>J621+L621</f>
        <v>76</v>
      </c>
      <c r="N621" s="5">
        <v>8.8</v>
      </c>
      <c r="O621" s="10">
        <f>18-N621</f>
        <v>9.2</v>
      </c>
      <c r="P621" s="7">
        <f>LOOKUP(O621,{0,6.6,6.8,7,7.2,7.4,7.6,7.8,8,8.2,8.4,8.6,8.8,9,9.2,9.4,9.6,9.9,10.2,10.3,10.4},{0,10,20,30,40,50,60,62,64,66,68,70,72,74,76,78,80,85,90,95,100})</f>
        <v>76</v>
      </c>
      <c r="Q621" s="5">
        <v>4.26</v>
      </c>
      <c r="R621" s="10">
        <f>10-Q621</f>
        <v>5.74</v>
      </c>
      <c r="S621" s="7">
        <f>LOOKUP(R621,{0,4.74,4.84,4.94,5.44,5.54,5.64,5.69,5.74,5.79,5.84,5.89,5.94,5.99,6.44,6.49,6.54,6.61,6.68,6.74,6.8},{0,10,20,30,40,50,60,62,64,66,68,70,72,74,76,78,80,85,90,95,100})</f>
        <v>64</v>
      </c>
      <c r="T621" s="5"/>
      <c r="U621" s="5"/>
      <c r="V621" s="5">
        <f>S621+U621</f>
        <v>64</v>
      </c>
      <c r="W621" s="5"/>
      <c r="X621" s="13">
        <f>F621*0.1+H621*0.1+J621*0.1+P621*0.2+S621*0.2</f>
        <v>48.4</v>
      </c>
      <c r="Y621" s="13">
        <f>X621/0.7+L621+U621</f>
        <v>69.1428571428572</v>
      </c>
      <c r="Z621" s="19"/>
    </row>
    <row r="622" ht="15.6" hidden="1" outlineLevel="2" spans="1:26">
      <c r="A622" s="5">
        <v>313</v>
      </c>
      <c r="B622" s="5">
        <v>50</v>
      </c>
      <c r="C622" s="9" t="s">
        <v>680</v>
      </c>
      <c r="D622" s="9" t="s">
        <v>46</v>
      </c>
      <c r="E622" s="5">
        <v>23</v>
      </c>
      <c r="F622" s="7">
        <f>LOOKUP(E622,{0,1.5,2.3,3.1,3.9,4.7,5.5,6.8,8.1,9.4,10.7,12,13.3,14.6,15.9,17.2,18.5,20.2,21.9,23.6,25.3},{0,10,20,30,40,50,60,62,64,66,68,70,72,74,76,78,80,85,90,95,100})</f>
        <v>90</v>
      </c>
      <c r="G622" s="5">
        <v>180</v>
      </c>
      <c r="H622" s="7">
        <f>LOOKUP(G622,{0,125,130,135,140,145,150,153,156,159,162,165,168,171,174,177,180,187,194,200,206},{0,10,20,30,40,50,60,62,64,66,68,70,72,74,76,78,80,85,90,95,100})</f>
        <v>80</v>
      </c>
      <c r="I622" s="5">
        <v>42</v>
      </c>
      <c r="J622" s="7">
        <f>LOOKUP(I622,{0,15,17,19,21,23,25,27,29,31,33,35,37,39,41,43,45,48,51,53,55},{0,10,20,30,40,50,60,62,64,66,68,70,72,74,76,78,80,85,90,95,100})</f>
        <v>76</v>
      </c>
      <c r="K622" s="5"/>
      <c r="L622" s="5"/>
      <c r="M622" s="5">
        <f>J622+L622</f>
        <v>76</v>
      </c>
      <c r="N622" s="5">
        <v>9.4</v>
      </c>
      <c r="O622" s="10">
        <f>18-N622</f>
        <v>8.6</v>
      </c>
      <c r="P622" s="7">
        <f>LOOKUP(O622,{0,6.6,6.8,7,7.2,7.4,7.6,7.8,8,8.2,8.4,8.6,8.8,9,9.2,9.4,9.6,9.9,10.2,10.3,10.4},{0,10,20,30,40,50,60,62,64,66,68,70,72,74,76,78,80,85,90,95,100})</f>
        <v>70</v>
      </c>
      <c r="Q622" s="5">
        <v>4.18</v>
      </c>
      <c r="R622" s="10">
        <f>10-Q622</f>
        <v>5.82</v>
      </c>
      <c r="S622" s="7">
        <f>LOOKUP(R622,{0,4.74,4.84,4.94,5.44,5.54,5.64,5.69,5.74,5.79,5.84,5.89,5.94,5.99,6.44,6.49,6.54,6.61,6.68,6.74,6.8},{0,10,20,30,40,50,60,62,64,66,68,70,72,74,76,78,80,85,90,95,100})</f>
        <v>66</v>
      </c>
      <c r="T622" s="5"/>
      <c r="U622" s="5"/>
      <c r="V622" s="5">
        <f>S622+U622</f>
        <v>66</v>
      </c>
      <c r="W622" s="5"/>
      <c r="X622" s="13">
        <f>F622*0.1+H622*0.1+J622*0.1+P622*0.2+S622*0.2</f>
        <v>51.8</v>
      </c>
      <c r="Y622" s="13">
        <f>X622/0.7+L622+U622</f>
        <v>74</v>
      </c>
      <c r="Z622" s="19"/>
    </row>
    <row r="623" ht="15.6" outlineLevel="1" collapsed="1" spans="1:26">
      <c r="A623" s="6" t="s">
        <v>864</v>
      </c>
      <c r="B623" s="5"/>
      <c r="C623" s="9"/>
      <c r="D623" s="9"/>
      <c r="E623" s="5"/>
      <c r="F623" s="7">
        <f>SUBTOTAL(1,F573:F622)</f>
        <v>75.4390243902439</v>
      </c>
      <c r="G623" s="5"/>
      <c r="H623" s="7">
        <f>SUBTOTAL(1,H573:H622)</f>
        <v>73.175</v>
      </c>
      <c r="I623" s="5"/>
      <c r="J623" s="7">
        <f>SUBTOTAL(1,J573:J622)</f>
        <v>68.0731707317073</v>
      </c>
      <c r="K623" s="5"/>
      <c r="L623" s="5"/>
      <c r="M623" s="5">
        <f>SUBTOTAL(1,M573:M622)</f>
        <v>68.390243902439</v>
      </c>
      <c r="N623" s="5"/>
      <c r="O623" s="10"/>
      <c r="P623" s="7">
        <f>SUBTOTAL(1,P573:P622)</f>
        <v>75.4102564102564</v>
      </c>
      <c r="Q623" s="5"/>
      <c r="R623" s="10"/>
      <c r="S623" s="7">
        <f>SUBTOTAL(1,S573:S622)</f>
        <v>60.5128205128205</v>
      </c>
      <c r="T623" s="5"/>
      <c r="U623" s="5"/>
      <c r="V623" s="5">
        <f>SUBTOTAL(1,V573:V622)</f>
        <v>60.5641025641026</v>
      </c>
      <c r="W623" s="5"/>
      <c r="X623" s="13">
        <f>SUBTOTAL(1,X573:X622)</f>
        <v>48.7897435897436</v>
      </c>
      <c r="Y623" s="13">
        <f>SUBTOTAL(1,Y573:Y622)</f>
        <v>65.6657142857143</v>
      </c>
      <c r="Z623" s="19"/>
    </row>
    <row r="624" ht="15.6" hidden="1" outlineLevel="2" spans="1:26">
      <c r="A624" s="5">
        <v>314</v>
      </c>
      <c r="B624" s="5">
        <v>1</v>
      </c>
      <c r="C624" s="8" t="s">
        <v>682</v>
      </c>
      <c r="D624" s="9" t="s">
        <v>12</v>
      </c>
      <c r="E624" s="5">
        <v>14.5</v>
      </c>
      <c r="F624" s="7">
        <f>LOOKUP(E624,{0,-1.8,-0.8,0.2,1.2,2.2,3.2,4.6,6,7.4,8.8,10.2,11.6,13,14.4,15.8,17.2,19.1,21,22.8,24.6},{0,10,20,30,40,50,60,62,64,66,68,70,72,74,76,78,80,85,90,95,100})</f>
        <v>76</v>
      </c>
      <c r="G624" s="5">
        <v>215</v>
      </c>
      <c r="H624" s="7">
        <f>LOOKUP(G624,{0,180,185,190,195,200,205,209,213,217,221,225,229,233,237,241,245,253,260,265,270},{0,10,20,30,40,50,60,62,64,66,68,70,72,74,76,78,80,85,90,95,100})</f>
        <v>64</v>
      </c>
      <c r="I624" s="5">
        <v>0</v>
      </c>
      <c r="J624" s="7">
        <f>LOOKUP(I624,{0,4,5,6,7,8,9,10,11,12,13,14,15,16,17,18},{0,10,20,30,40,50,60,64,68,72,76,80,85,90,95,100})</f>
        <v>0</v>
      </c>
      <c r="K624" s="5"/>
      <c r="L624" s="5"/>
      <c r="M624" s="5">
        <f t="shared" ref="M624:M636" si="291">J624+L624</f>
        <v>0</v>
      </c>
      <c r="N624" s="5">
        <v>7.3</v>
      </c>
      <c r="O624" s="10">
        <f t="shared" ref="O624:O635" si="292">18-N624</f>
        <v>10.7</v>
      </c>
      <c r="P624" s="7">
        <f>LOOKUP(O624,{0,7.8,8,8.2,8.4,8.6,8.8,9,9.2,9.4,9.6,9.8,10,10.2,10.4,10.6,10.8,10.9,11,11.1,11.2},{0,10,20,30,40,50,60,62,64,66,68,70,72,74,76,78,80,85,90,95,100})</f>
        <v>78</v>
      </c>
      <c r="Q624" s="5">
        <v>5.26</v>
      </c>
      <c r="R624" s="10">
        <f t="shared" ref="R624:R635" si="293">10-Q624</f>
        <v>4.74</v>
      </c>
      <c r="S624" s="7">
        <f>LOOKUP(R624,{0,3.85,4.45,4.65,4.85,5.45,5.65,5.7,5.75,5.8,5.85,5.9,5.95,6,6.45,6.5,6.55,6.63,6.7,6.75,6.8},{0,10,20,30,40,50,60,62,64,66,68,70,72,74,76,78,80,85,90,95,100})</f>
        <v>30</v>
      </c>
      <c r="T624" s="5"/>
      <c r="U624" s="5"/>
      <c r="V624" s="5">
        <f t="shared" ref="V624:V635" si="294">S624+U624</f>
        <v>30</v>
      </c>
      <c r="W624" s="5"/>
      <c r="X624" s="13">
        <f t="shared" ref="X624:X635" si="295">F624*0.1+H624*0.1+J624*0.1+P624*0.2+S624*0.2</f>
        <v>35.6</v>
      </c>
      <c r="Y624" s="13">
        <f t="shared" ref="Y624:Y635" si="296">X624/0.7+L624+U624</f>
        <v>50.8571428571429</v>
      </c>
      <c r="Z624" s="19"/>
    </row>
    <row r="625" ht="15.6" hidden="1" outlineLevel="2" spans="1:26">
      <c r="A625" s="5">
        <v>314</v>
      </c>
      <c r="B625" s="5">
        <v>3</v>
      </c>
      <c r="C625" s="9" t="s">
        <v>683</v>
      </c>
      <c r="D625" s="9" t="s">
        <v>12</v>
      </c>
      <c r="E625" s="5">
        <v>5.5</v>
      </c>
      <c r="F625" s="7">
        <f>LOOKUP(E625,{0,-1.8,-0.8,0.2,1.2,2.2,3.2,4.6,6,7.4,8.8,10.2,11.6,13,14.4,15.8,17.2,19.1,21,22.8,24.6},{0,10,20,30,40,50,60,62,64,66,68,70,72,74,76,78,80,85,90,95,100})</f>
        <v>62</v>
      </c>
      <c r="G625" s="5">
        <v>180</v>
      </c>
      <c r="H625" s="7">
        <f>LOOKUP(G625,{0,180,185,190,195,200,205,209,213,217,221,225,229,233,237,241,245,253,260,265,270},{0,10,20,30,40,50,60,62,64,66,68,70,72,74,76,78,80,85,90,95,100})</f>
        <v>10</v>
      </c>
      <c r="I625" s="5">
        <v>0</v>
      </c>
      <c r="J625" s="7">
        <f>LOOKUP(I625,{0,4,5,6,7,8,9,10,11,12,13,14,15,16,17,18},{0,10,20,30,40,50,60,64,68,72,76,80,85,90,95,100})</f>
        <v>0</v>
      </c>
      <c r="K625" s="5"/>
      <c r="L625" s="5"/>
      <c r="M625" s="5">
        <f t="shared" si="291"/>
        <v>0</v>
      </c>
      <c r="N625" s="5">
        <v>7.5</v>
      </c>
      <c r="O625" s="10">
        <f t="shared" si="292"/>
        <v>10.5</v>
      </c>
      <c r="P625" s="7">
        <f>LOOKUP(O625,{0,7.8,8,8.2,8.4,8.6,8.8,9,9.2,9.4,9.6,9.8,10,10.2,10.4,10.6,10.8,10.9,11,11.1,11.2},{0,10,20,30,40,50,60,62,64,66,68,70,72,74,76,78,80,85,90,95,100})</f>
        <v>76</v>
      </c>
      <c r="Q625" s="5">
        <v>5.34</v>
      </c>
      <c r="R625" s="10">
        <f t="shared" si="293"/>
        <v>4.66</v>
      </c>
      <c r="S625" s="7">
        <f>LOOKUP(R625,{0,3.85,4.45,4.65,4.85,5.45,5.65,5.7,5.75,5.8,5.85,5.9,5.95,6,6.45,6.5,6.55,6.63,6.7,6.75,6.8},{0,10,20,30,40,50,60,62,64,66,68,70,72,74,76,78,80,85,90,95,100})</f>
        <v>30</v>
      </c>
      <c r="T625" s="5"/>
      <c r="U625" s="5"/>
      <c r="V625" s="5">
        <f t="shared" si="294"/>
        <v>30</v>
      </c>
      <c r="W625" s="5"/>
      <c r="X625" s="13">
        <f t="shared" si="295"/>
        <v>28.4</v>
      </c>
      <c r="Y625" s="13">
        <f t="shared" si="296"/>
        <v>40.5714285714286</v>
      </c>
      <c r="Z625" s="19"/>
    </row>
    <row r="626" ht="15.6" hidden="1" outlineLevel="2" spans="1:26">
      <c r="A626" s="5">
        <v>314</v>
      </c>
      <c r="B626" s="5">
        <v>4</v>
      </c>
      <c r="C626" s="9" t="s">
        <v>684</v>
      </c>
      <c r="D626" s="9" t="s">
        <v>12</v>
      </c>
      <c r="E626" s="5">
        <v>-5.5</v>
      </c>
      <c r="F626" s="7">
        <v>0</v>
      </c>
      <c r="G626" s="5">
        <v>190</v>
      </c>
      <c r="H626" s="7">
        <f>LOOKUP(G626,{0,180,185,190,195,200,205,209,213,217,221,225,229,233,237,241,245,253,260,265,270},{0,10,20,30,40,50,60,62,64,66,68,70,72,74,76,78,80,85,90,95,100})</f>
        <v>30</v>
      </c>
      <c r="I626" s="5">
        <v>18</v>
      </c>
      <c r="J626" s="7">
        <f>LOOKUP(I626,{0,4,5,6,7,8,9,10,11,12,13,14,15,16,17,18},{0,10,20,30,40,50,60,64,68,72,76,80,85,90,95,100})</f>
        <v>100</v>
      </c>
      <c r="K626" s="5"/>
      <c r="L626" s="16"/>
      <c r="M626" s="5">
        <f t="shared" si="291"/>
        <v>100</v>
      </c>
      <c r="N626" s="5">
        <v>8</v>
      </c>
      <c r="O626" s="10">
        <f t="shared" si="292"/>
        <v>10</v>
      </c>
      <c r="P626" s="7">
        <f>LOOKUP(O626,{0,7.8,8,8.2,8.4,8.6,8.8,9,9.2,9.4,9.6,9.8,10,10.2,10.4,10.6,10.8,10.9,11,11.1,11.2},{0,10,20,30,40,50,60,62,64,66,68,70,72,74,76,78,80,85,90,95,100})</f>
        <v>72</v>
      </c>
      <c r="Q626" s="5">
        <v>4.18</v>
      </c>
      <c r="R626" s="10">
        <f t="shared" si="293"/>
        <v>5.82</v>
      </c>
      <c r="S626" s="7">
        <f>LOOKUP(R626,{0,3.85,4.45,4.65,4.85,5.45,5.65,5.7,5.75,5.8,5.85,5.9,5.95,6,6.45,6.5,6.55,6.63,6.7,6.75,6.8},{0,10,20,30,40,50,60,62,64,66,68,70,72,74,76,78,80,85,90,95,100})</f>
        <v>66</v>
      </c>
      <c r="T626" s="5"/>
      <c r="U626" s="5"/>
      <c r="V626" s="5">
        <f t="shared" si="294"/>
        <v>66</v>
      </c>
      <c r="W626" s="5"/>
      <c r="X626" s="13">
        <f t="shared" si="295"/>
        <v>40.6</v>
      </c>
      <c r="Y626" s="13">
        <f t="shared" si="296"/>
        <v>58</v>
      </c>
      <c r="Z626" s="19"/>
    </row>
    <row r="627" ht="15.6" hidden="1" outlineLevel="2" spans="1:26">
      <c r="A627" s="5">
        <v>314</v>
      </c>
      <c r="B627" s="5">
        <v>5</v>
      </c>
      <c r="C627" s="9" t="s">
        <v>685</v>
      </c>
      <c r="D627" s="9" t="s">
        <v>12</v>
      </c>
      <c r="E627" s="5">
        <v>12</v>
      </c>
      <c r="F627" s="7">
        <f>LOOKUP(E627,{0,-1.8,-0.8,0.2,1.2,2.2,3.2,4.6,6,7.4,8.8,10.2,11.6,13,14.4,15.8,17.2,19.1,21,22.8,24.6},{0,10,20,30,40,50,60,62,64,66,68,70,72,74,76,78,80,85,90,95,100})</f>
        <v>72</v>
      </c>
      <c r="G627" s="5">
        <v>235</v>
      </c>
      <c r="H627" s="7">
        <f>LOOKUP(G627,{0,180,185,190,195,200,205,209,213,217,221,225,229,233,237,241,245,253,260,265,270},{0,10,20,30,40,50,60,62,64,66,68,70,72,74,76,78,80,85,90,95,100})</f>
        <v>74</v>
      </c>
      <c r="I627" s="5">
        <v>12</v>
      </c>
      <c r="J627" s="7">
        <f>LOOKUP(I627,{0,4,5,6,7,8,9,10,11,12,13,14,15,16,17,18},{0,10,20,30,40,50,60,64,68,72,76,80,85,90,95,100})</f>
        <v>72</v>
      </c>
      <c r="K627" s="5"/>
      <c r="L627" s="5"/>
      <c r="M627" s="5">
        <f t="shared" si="291"/>
        <v>72</v>
      </c>
      <c r="N627" s="5">
        <v>6.9</v>
      </c>
      <c r="O627" s="10">
        <f t="shared" si="292"/>
        <v>11.1</v>
      </c>
      <c r="P627" s="7">
        <f>LOOKUP(O627,{0,7.8,8,8.2,8.4,8.6,8.8,9,9.2,9.4,9.6,9.8,10,10.2,10.4,10.6,10.8,10.9,11,11.1,11.2},{0,10,20,30,40,50,60,62,64,66,68,70,72,74,76,78,80,85,90,95,100})</f>
        <v>95</v>
      </c>
      <c r="Q627" s="5">
        <v>5.2</v>
      </c>
      <c r="R627" s="10">
        <f t="shared" si="293"/>
        <v>4.8</v>
      </c>
      <c r="S627" s="7">
        <f>LOOKUP(R627,{0,3.85,4.45,4.65,4.85,5.45,5.65,5.7,5.75,5.8,5.85,5.9,5.95,6,6.45,6.5,6.55,6.63,6.7,6.75,6.8},{0,10,20,30,40,50,60,62,64,66,68,70,72,74,76,78,80,85,90,95,100})</f>
        <v>30</v>
      </c>
      <c r="T627" s="5"/>
      <c r="U627" s="5"/>
      <c r="V627" s="5">
        <f t="shared" si="294"/>
        <v>30</v>
      </c>
      <c r="W627" s="5"/>
      <c r="X627" s="13">
        <f t="shared" si="295"/>
        <v>46.8</v>
      </c>
      <c r="Y627" s="13">
        <f t="shared" si="296"/>
        <v>66.8571428571429</v>
      </c>
      <c r="Z627" s="19"/>
    </row>
    <row r="628" ht="15.6" hidden="1" outlineLevel="2" spans="1:26">
      <c r="A628" s="5">
        <v>314</v>
      </c>
      <c r="B628" s="5">
        <v>6</v>
      </c>
      <c r="C628" s="9" t="s">
        <v>686</v>
      </c>
      <c r="D628" s="9" t="s">
        <v>12</v>
      </c>
      <c r="E628" s="5">
        <v>-2</v>
      </c>
      <c r="F628" s="7">
        <v>0</v>
      </c>
      <c r="G628" s="5">
        <v>200</v>
      </c>
      <c r="H628" s="7">
        <f>LOOKUP(G628,{0,180,185,190,195,200,205,209,213,217,221,225,229,233,237,241,245,253,260,265,270},{0,10,20,30,40,50,60,62,64,66,68,70,72,74,76,78,80,85,90,95,100})</f>
        <v>50</v>
      </c>
      <c r="I628" s="5">
        <v>0</v>
      </c>
      <c r="J628" s="7">
        <f>LOOKUP(I628,{0,4,5,6,7,8,9,10,11,12,13,14,15,16,17,18},{0,10,20,30,40,50,60,64,68,72,76,80,85,90,95,100})</f>
        <v>0</v>
      </c>
      <c r="K628" s="5"/>
      <c r="L628" s="5"/>
      <c r="M628" s="5">
        <f t="shared" si="291"/>
        <v>0</v>
      </c>
      <c r="N628" s="5">
        <v>8.4</v>
      </c>
      <c r="O628" s="10">
        <f t="shared" si="292"/>
        <v>9.6</v>
      </c>
      <c r="P628" s="7">
        <f>LOOKUP(O628,{0,7.8,8,8.2,8.4,8.6,8.8,9,9.2,9.4,9.6,9.8,10,10.2,10.4,10.6,10.8,10.9,11,11.1,11.2},{0,10,20,30,40,50,60,62,64,66,68,70,72,74,76,78,80,85,90,95,100})</f>
        <v>68</v>
      </c>
      <c r="Q628" s="5">
        <v>5.28</v>
      </c>
      <c r="R628" s="10">
        <f t="shared" si="293"/>
        <v>4.72</v>
      </c>
      <c r="S628" s="7">
        <f>LOOKUP(R628,{0,3.85,4.45,4.65,4.85,5.45,5.65,5.7,5.75,5.8,5.85,5.9,5.95,6,6.45,6.5,6.55,6.63,6.7,6.75,6.8},{0,10,20,30,40,50,60,62,64,66,68,70,72,74,76,78,80,85,90,95,100})</f>
        <v>30</v>
      </c>
      <c r="T628" s="5"/>
      <c r="U628" s="5"/>
      <c r="V628" s="5">
        <f t="shared" si="294"/>
        <v>30</v>
      </c>
      <c r="W628" s="5"/>
      <c r="X628" s="13">
        <f t="shared" si="295"/>
        <v>24.6</v>
      </c>
      <c r="Y628" s="13">
        <f t="shared" si="296"/>
        <v>35.1428571428571</v>
      </c>
      <c r="Z628" s="19"/>
    </row>
    <row r="629" ht="15.6" hidden="1" outlineLevel="2" spans="1:26">
      <c r="A629" s="5">
        <v>314</v>
      </c>
      <c r="B629" s="5">
        <v>7</v>
      </c>
      <c r="C629" s="8" t="s">
        <v>688</v>
      </c>
      <c r="D629" s="9" t="s">
        <v>46</v>
      </c>
      <c r="E629" s="5">
        <v>20</v>
      </c>
      <c r="F629" s="7">
        <f>LOOKUP(E629,{0,1.5,2.3,3.1,3.9,4.7,5.5,6.8,8.1,9.4,10.7,12,13.3,14.6,15.9,17.2,18.5,20.2,21.9,23.6,25.3},{0,10,20,30,40,50,60,62,64,66,68,70,72,74,76,78,80,85,90,95,100})</f>
        <v>80</v>
      </c>
      <c r="G629" s="5">
        <v>145</v>
      </c>
      <c r="H629" s="7">
        <f>LOOKUP(G629,{0,125,130,135,140,145,150,153,156,159,162,165,168,171,174,177,180,187,194,200,206},{0,10,20,30,40,50,60,62,64,66,68,70,72,74,76,78,80,85,90,95,100})</f>
        <v>50</v>
      </c>
      <c r="I629" s="5">
        <v>30</v>
      </c>
      <c r="J629" s="7">
        <f>LOOKUP(I629,{0,15,17,19,21,23,25,27,29,31,33,35,37,39,41,43,45,48,51,53,55},{0,10,20,30,40,50,60,62,64,66,68,70,72,74,76,78,80,85,90,95,100})</f>
        <v>64</v>
      </c>
      <c r="K629" s="5"/>
      <c r="L629" s="5"/>
      <c r="M629" s="5">
        <f t="shared" si="291"/>
        <v>64</v>
      </c>
      <c r="N629" s="5">
        <v>9.7</v>
      </c>
      <c r="O629" s="10">
        <f t="shared" si="292"/>
        <v>8.3</v>
      </c>
      <c r="P629" s="7">
        <f>LOOKUP(O629,{0,6.6,6.8,7,7.2,7.4,7.6,7.8,8,8.2,8.4,8.6,8.8,9,9.2,9.4,9.6,9.9,10.2,10.3,10.4},{0,10,20,30,40,50,60,62,64,66,68,70,72,74,76,78,80,85,90,95,100})</f>
        <v>66</v>
      </c>
      <c r="Q629" s="5">
        <v>4.34</v>
      </c>
      <c r="R629" s="10">
        <f t="shared" si="293"/>
        <v>5.66</v>
      </c>
      <c r="S629" s="7">
        <f>LOOKUP(R629,{0,4.74,4.84,4.94,5.44,5.54,5.64,5.69,5.74,5.79,5.84,5.89,5.94,5.99,6.44,6.49,6.54,6.61,6.68,6.74,6.8},{0,10,20,30,40,50,60,62,64,66,68,70,72,74,76,78,80,85,90,95,100})</f>
        <v>60</v>
      </c>
      <c r="T629" s="5"/>
      <c r="U629" s="5"/>
      <c r="V629" s="5">
        <f t="shared" si="294"/>
        <v>60</v>
      </c>
      <c r="W629" s="5"/>
      <c r="X629" s="13">
        <f t="shared" si="295"/>
        <v>44.6</v>
      </c>
      <c r="Y629" s="13">
        <f t="shared" si="296"/>
        <v>63.7142857142857</v>
      </c>
      <c r="Z629" s="19"/>
    </row>
    <row r="630" ht="15.6" hidden="1" outlineLevel="2" spans="1:26">
      <c r="A630" s="5">
        <v>314</v>
      </c>
      <c r="B630" s="5">
        <v>8</v>
      </c>
      <c r="C630" s="9" t="s">
        <v>689</v>
      </c>
      <c r="D630" s="9" t="s">
        <v>46</v>
      </c>
      <c r="E630" s="5">
        <v>28.5</v>
      </c>
      <c r="F630" s="7">
        <f>LOOKUP(E630,{0,1.5,2.3,3.1,3.9,4.7,5.5,6.8,8.1,9.4,10.7,12,13.3,14.6,15.9,17.2,18.5,20.2,21.9,23.6,25.3},{0,10,20,30,40,50,60,62,64,66,68,70,72,74,76,78,80,85,90,95,100})</f>
        <v>100</v>
      </c>
      <c r="G630" s="5">
        <v>175</v>
      </c>
      <c r="H630" s="7">
        <f>LOOKUP(G630,{0,125,130,135,140,145,150,153,156,159,162,165,168,171,174,177,180,187,194,200,206},{0,10,20,30,40,50,60,62,64,66,68,70,72,74,76,78,80,85,90,95,100})</f>
        <v>76</v>
      </c>
      <c r="I630" s="5">
        <v>39</v>
      </c>
      <c r="J630" s="7">
        <f>LOOKUP(I630,{0,15,17,19,21,23,25,27,29,31,33,35,37,39,41,43,45,48,51,53,55},{0,10,20,30,40,50,60,62,64,66,68,70,72,74,76,78,80,85,90,95,100})</f>
        <v>74</v>
      </c>
      <c r="K630" s="5"/>
      <c r="L630" s="5"/>
      <c r="M630" s="5">
        <f t="shared" si="291"/>
        <v>74</v>
      </c>
      <c r="N630" s="5">
        <v>9.8</v>
      </c>
      <c r="O630" s="10">
        <f t="shared" si="292"/>
        <v>8.2</v>
      </c>
      <c r="P630" s="7">
        <f>LOOKUP(O630,{0,6.6,6.8,7,7.2,7.4,7.6,7.8,8,8.2,8.4,8.6,8.8,9,9.2,9.4,9.6,9.9,10.2,10.3,10.4},{0,10,20,30,40,50,60,62,64,66,68,70,72,74,76,78,80,85,90,95,100})</f>
        <v>66</v>
      </c>
      <c r="Q630" s="5">
        <v>4.3</v>
      </c>
      <c r="R630" s="10">
        <f t="shared" si="293"/>
        <v>5.7</v>
      </c>
      <c r="S630" s="7">
        <f>LOOKUP(R630,{0,4.74,4.84,4.94,5.44,5.54,5.64,5.69,5.74,5.79,5.84,5.89,5.94,5.99,6.44,6.49,6.54,6.61,6.68,6.74,6.8},{0,10,20,30,40,50,60,62,64,66,68,70,72,74,76,78,80,85,90,95,100})</f>
        <v>62</v>
      </c>
      <c r="T630" s="5"/>
      <c r="U630" s="5"/>
      <c r="V630" s="5">
        <f t="shared" si="294"/>
        <v>62</v>
      </c>
      <c r="W630" s="5"/>
      <c r="X630" s="13">
        <f t="shared" si="295"/>
        <v>50.6</v>
      </c>
      <c r="Y630" s="13">
        <f t="shared" si="296"/>
        <v>72.2857142857143</v>
      </c>
      <c r="Z630" s="19"/>
    </row>
    <row r="631" ht="15.6" hidden="1" outlineLevel="2" spans="1:26">
      <c r="A631" s="5">
        <v>314</v>
      </c>
      <c r="B631" s="5">
        <v>9</v>
      </c>
      <c r="C631" s="9" t="s">
        <v>690</v>
      </c>
      <c r="D631" s="9" t="s">
        <v>46</v>
      </c>
      <c r="E631" s="5">
        <v>10</v>
      </c>
      <c r="F631" s="7">
        <f>LOOKUP(E631,{0,1.5,2.3,3.1,3.9,4.7,5.5,6.8,8.1,9.4,10.7,12,13.3,14.6,15.9,17.2,18.5,20.2,21.9,23.6,25.3},{0,10,20,30,40,50,60,62,64,66,68,70,72,74,76,78,80,85,90,95,100})</f>
        <v>66</v>
      </c>
      <c r="G631" s="5">
        <v>155</v>
      </c>
      <c r="H631" s="7">
        <f>LOOKUP(G631,{0,125,130,135,140,145,150,153,156,159,162,165,168,171,174,177,180,187,194,200,206},{0,10,20,30,40,50,60,62,64,66,68,70,72,74,76,78,80,85,90,95,100})</f>
        <v>62</v>
      </c>
      <c r="I631" s="5">
        <v>52</v>
      </c>
      <c r="J631" s="7">
        <f>LOOKUP(I631,{0,15,17,19,21,23,25,27,29,31,33,35,37,39,41,43,45,48,51,53,55},{0,10,20,30,40,50,60,62,64,66,68,70,72,74,76,78,80,85,90,95,100})</f>
        <v>90</v>
      </c>
      <c r="K631" s="5"/>
      <c r="L631" s="5"/>
      <c r="M631" s="5">
        <f t="shared" si="291"/>
        <v>90</v>
      </c>
      <c r="N631" s="5">
        <v>8.9</v>
      </c>
      <c r="O631" s="10">
        <f t="shared" si="292"/>
        <v>9.1</v>
      </c>
      <c r="P631" s="7">
        <f>LOOKUP(O631,{0,6.6,6.8,7,7.2,7.4,7.6,7.8,8,8.2,8.4,8.6,8.8,9,9.2,9.4,9.6,9.9,10.2,10.3,10.4},{0,10,20,30,40,50,60,62,64,66,68,70,72,74,76,78,80,85,90,95,100})</f>
        <v>74</v>
      </c>
      <c r="Q631" s="5">
        <v>4.58</v>
      </c>
      <c r="R631" s="10">
        <f t="shared" si="293"/>
        <v>5.42</v>
      </c>
      <c r="S631" s="7">
        <f>LOOKUP(R631,{0,4.74,4.84,4.94,5.44,5.54,5.64,5.69,5.74,5.79,5.84,5.89,5.94,5.99,6.44,6.49,6.54,6.61,6.68,6.74,6.8},{0,10,20,30,40,50,60,62,64,66,68,70,72,74,76,78,80,85,90,95,100})</f>
        <v>30</v>
      </c>
      <c r="T631" s="5"/>
      <c r="U631" s="5"/>
      <c r="V631" s="5">
        <f t="shared" si="294"/>
        <v>30</v>
      </c>
      <c r="W631" s="5"/>
      <c r="X631" s="13">
        <f t="shared" si="295"/>
        <v>42.6</v>
      </c>
      <c r="Y631" s="13">
        <f t="shared" si="296"/>
        <v>60.8571428571429</v>
      </c>
      <c r="Z631" s="20"/>
    </row>
    <row r="632" ht="15.6" hidden="1" outlineLevel="2" spans="1:26">
      <c r="A632" s="5">
        <v>314</v>
      </c>
      <c r="B632" s="5">
        <v>10</v>
      </c>
      <c r="C632" s="9" t="s">
        <v>691</v>
      </c>
      <c r="D632" s="9" t="s">
        <v>46</v>
      </c>
      <c r="E632" s="5">
        <v>11</v>
      </c>
      <c r="F632" s="7">
        <f>LOOKUP(E632,{0,1.5,2.3,3.1,3.9,4.7,5.5,6.8,8.1,9.4,10.7,12,13.3,14.6,15.9,17.2,18.5,20.2,21.9,23.6,25.3},{0,10,20,30,40,50,60,62,64,66,68,70,72,74,76,78,80,85,90,95,100})</f>
        <v>68</v>
      </c>
      <c r="G632" s="5">
        <v>160</v>
      </c>
      <c r="H632" s="7">
        <f>LOOKUP(G632,{0,125,130,135,140,145,150,153,156,159,162,165,168,171,174,177,180,187,194,200,206},{0,10,20,30,40,50,60,62,64,66,68,70,72,74,76,78,80,85,90,95,100})</f>
        <v>66</v>
      </c>
      <c r="I632" s="5">
        <v>35</v>
      </c>
      <c r="J632" s="7">
        <f>LOOKUP(I632,{0,15,17,19,21,23,25,27,29,31,33,35,37,39,41,43,45,48,51,53,55},{0,10,20,30,40,50,60,62,64,66,68,70,72,74,76,78,80,85,90,95,100})</f>
        <v>70</v>
      </c>
      <c r="K632" s="5"/>
      <c r="L632" s="5"/>
      <c r="M632" s="5">
        <f t="shared" si="291"/>
        <v>70</v>
      </c>
      <c r="N632" s="5">
        <v>9.1</v>
      </c>
      <c r="O632" s="10">
        <f t="shared" si="292"/>
        <v>8.9</v>
      </c>
      <c r="P632" s="7">
        <f>LOOKUP(O632,{0,6.6,6.8,7,7.2,7.4,7.6,7.8,8,8.2,8.4,8.6,8.8,9,9.2,9.4,9.6,9.9,10.2,10.3,10.4},{0,10,20,30,40,50,60,62,64,66,68,70,72,74,76,78,80,85,90,95,100})</f>
        <v>72</v>
      </c>
      <c r="Q632" s="5">
        <v>3.5</v>
      </c>
      <c r="R632" s="10">
        <f t="shared" si="293"/>
        <v>6.5</v>
      </c>
      <c r="S632" s="7">
        <f>LOOKUP(R632,{0,4.74,4.84,4.94,5.44,5.54,5.64,5.69,5.74,5.79,5.84,5.89,5.94,5.99,6.44,6.49,6.54,6.61,6.68,6.74,6.8},{0,10,20,30,40,50,60,62,64,66,68,70,72,74,76,78,80,85,90,95,100})</f>
        <v>78</v>
      </c>
      <c r="T632" s="5"/>
      <c r="U632" s="5"/>
      <c r="V632" s="5">
        <f t="shared" si="294"/>
        <v>78</v>
      </c>
      <c r="W632" s="5"/>
      <c r="X632" s="13">
        <f t="shared" si="295"/>
        <v>50.4</v>
      </c>
      <c r="Y632" s="13">
        <f t="shared" si="296"/>
        <v>72</v>
      </c>
      <c r="Z632" s="19"/>
    </row>
    <row r="633" ht="15.6" hidden="1" outlineLevel="2" spans="1:26">
      <c r="A633" s="5">
        <v>314</v>
      </c>
      <c r="B633" s="5">
        <v>11</v>
      </c>
      <c r="C633" s="9" t="s">
        <v>692</v>
      </c>
      <c r="D633" s="9" t="s">
        <v>46</v>
      </c>
      <c r="E633" s="5">
        <v>11</v>
      </c>
      <c r="F633" s="7">
        <f>LOOKUP(E633,{0,1.5,2.3,3.1,3.9,4.7,5.5,6.8,8.1,9.4,10.7,12,13.3,14.6,15.9,17.2,18.5,20.2,21.9,23.6,25.3},{0,10,20,30,40,50,60,62,64,66,68,70,72,74,76,78,80,85,90,95,100})</f>
        <v>68</v>
      </c>
      <c r="G633" s="5">
        <v>160</v>
      </c>
      <c r="H633" s="7">
        <f>LOOKUP(G633,{0,125,130,135,140,145,150,153,156,159,162,165,168,171,174,177,180,187,194,200,206},{0,10,20,30,40,50,60,62,64,66,68,70,72,74,76,78,80,85,90,95,100})</f>
        <v>66</v>
      </c>
      <c r="I633" s="5">
        <v>41</v>
      </c>
      <c r="J633" s="7">
        <f>LOOKUP(I633,{0,15,17,19,21,23,25,27,29,31,33,35,37,39,41,43,45,48,51,53,55},{0,10,20,30,40,50,60,62,64,66,68,70,72,74,76,78,80,85,90,95,100})</f>
        <v>76</v>
      </c>
      <c r="K633" s="5"/>
      <c r="L633" s="5"/>
      <c r="M633" s="5">
        <f t="shared" si="291"/>
        <v>76</v>
      </c>
      <c r="N633" s="5">
        <v>9.8</v>
      </c>
      <c r="O633" s="10">
        <f t="shared" si="292"/>
        <v>8.2</v>
      </c>
      <c r="P633" s="7">
        <f>LOOKUP(O633,{0,6.6,6.8,7,7.2,7.4,7.6,7.8,8,8.2,8.4,8.6,8.8,9,9.2,9.4,9.6,9.9,10.2,10.3,10.4},{0,10,20,30,40,50,60,62,64,66,68,70,72,74,76,78,80,85,90,95,100})</f>
        <v>66</v>
      </c>
      <c r="Q633" s="5">
        <v>4.22</v>
      </c>
      <c r="R633" s="10">
        <f t="shared" si="293"/>
        <v>5.78</v>
      </c>
      <c r="S633" s="7">
        <f>LOOKUP(R633,{0,4.74,4.84,4.94,5.44,5.54,5.64,5.69,5.74,5.79,5.84,5.89,5.94,5.99,6.44,6.49,6.54,6.61,6.68,6.74,6.8},{0,10,20,30,40,50,60,62,64,66,68,70,72,74,76,78,80,85,90,95,100})</f>
        <v>64</v>
      </c>
      <c r="T633" s="5"/>
      <c r="U633" s="5"/>
      <c r="V633" s="5">
        <f t="shared" si="294"/>
        <v>64</v>
      </c>
      <c r="W633" s="5"/>
      <c r="X633" s="13">
        <f t="shared" si="295"/>
        <v>47</v>
      </c>
      <c r="Y633" s="13">
        <f t="shared" si="296"/>
        <v>67.1428571428572</v>
      </c>
      <c r="Z633" s="19"/>
    </row>
    <row r="634" ht="15.6" hidden="1" outlineLevel="2" spans="1:26">
      <c r="A634" s="5">
        <v>314</v>
      </c>
      <c r="B634" s="5">
        <v>12</v>
      </c>
      <c r="C634" s="9" t="s">
        <v>693</v>
      </c>
      <c r="D634" s="9" t="s">
        <v>46</v>
      </c>
      <c r="E634" s="5">
        <v>13.5</v>
      </c>
      <c r="F634" s="7">
        <f>LOOKUP(E634,{0,1.5,2.3,3.1,3.9,4.7,5.5,6.8,8.1,9.4,10.7,12,13.3,14.6,15.9,17.2,18.5,20.2,21.9,23.6,25.3},{0,10,20,30,40,50,60,62,64,66,68,70,72,74,76,78,80,85,90,95,100})</f>
        <v>72</v>
      </c>
      <c r="G634" s="5">
        <v>162</v>
      </c>
      <c r="H634" s="7">
        <f>LOOKUP(G634,{0,125,130,135,140,145,150,153,156,159,162,165,168,171,174,177,180,187,194,200,206},{0,10,20,30,40,50,60,62,64,66,68,70,72,74,76,78,80,85,90,95,100})</f>
        <v>68</v>
      </c>
      <c r="I634" s="5">
        <v>37</v>
      </c>
      <c r="J634" s="7">
        <f>LOOKUP(I634,{0,15,17,19,21,23,25,27,29,31,33,35,37,39,41,43,45,48,51,53,55},{0,10,20,30,40,50,60,62,64,66,68,70,72,74,76,78,80,85,90,95,100})</f>
        <v>72</v>
      </c>
      <c r="K634" s="5"/>
      <c r="L634" s="5"/>
      <c r="M634" s="5">
        <f t="shared" si="291"/>
        <v>72</v>
      </c>
      <c r="N634" s="5">
        <v>9.5</v>
      </c>
      <c r="O634" s="10">
        <f t="shared" si="292"/>
        <v>8.5</v>
      </c>
      <c r="P634" s="7">
        <f>LOOKUP(O634,{0,6.6,6.8,7,7.2,7.4,7.6,7.8,8,8.2,8.4,8.6,8.8,9,9.2,9.4,9.6,9.9,10.2,10.3,10.4},{0,10,20,30,40,50,60,62,64,66,68,70,72,74,76,78,80,85,90,95,100})</f>
        <v>68</v>
      </c>
      <c r="Q634" s="5">
        <v>4.29</v>
      </c>
      <c r="R634" s="10">
        <f t="shared" si="293"/>
        <v>5.71</v>
      </c>
      <c r="S634" s="7">
        <f>LOOKUP(R634,{0,4.74,4.84,4.94,5.44,5.54,5.64,5.69,5.74,5.79,5.84,5.89,5.94,5.99,6.44,6.49,6.54,6.61,6.68,6.74,6.8},{0,10,20,30,40,50,60,62,64,66,68,70,72,74,76,78,80,85,90,95,100})</f>
        <v>62</v>
      </c>
      <c r="T634" s="5"/>
      <c r="U634" s="5"/>
      <c r="V634" s="5">
        <f t="shared" si="294"/>
        <v>62</v>
      </c>
      <c r="W634" s="5"/>
      <c r="X634" s="13">
        <f t="shared" si="295"/>
        <v>47.2</v>
      </c>
      <c r="Y634" s="13">
        <f t="shared" si="296"/>
        <v>67.4285714285714</v>
      </c>
      <c r="Z634" s="19"/>
    </row>
    <row r="635" ht="15.6" hidden="1" outlineLevel="2" spans="1:26">
      <c r="A635" s="5">
        <v>314</v>
      </c>
      <c r="B635" s="5">
        <v>13</v>
      </c>
      <c r="C635" s="9" t="s">
        <v>694</v>
      </c>
      <c r="D635" s="9" t="s">
        <v>46</v>
      </c>
      <c r="E635" s="5">
        <v>11.5</v>
      </c>
      <c r="F635" s="7">
        <f>LOOKUP(E635,{0,1.5,2.3,3.1,3.9,4.7,5.5,6.8,8.1,9.4,10.7,12,13.3,14.6,15.9,17.2,18.5,20.2,21.9,23.6,25.3},{0,10,20,30,40,50,60,62,64,66,68,70,72,74,76,78,80,85,90,95,100})</f>
        <v>68</v>
      </c>
      <c r="G635" s="5">
        <v>165</v>
      </c>
      <c r="H635" s="7">
        <f>LOOKUP(G635,{0,125,130,135,140,145,150,153,156,159,162,165,168,171,174,177,180,187,194,200,206},{0,10,20,30,40,50,60,62,64,66,68,70,72,74,76,78,80,85,90,95,100})</f>
        <v>70</v>
      </c>
      <c r="I635" s="5">
        <v>45</v>
      </c>
      <c r="J635" s="7">
        <f>LOOKUP(I635,{0,15,17,19,21,23,25,27,29,31,33,35,37,39,41,43,45,48,51,53,55},{0,10,20,30,40,50,60,62,64,66,68,70,72,74,76,78,80,85,90,95,100})</f>
        <v>80</v>
      </c>
      <c r="K635" s="5"/>
      <c r="L635" s="5"/>
      <c r="M635" s="5">
        <f t="shared" si="291"/>
        <v>80</v>
      </c>
      <c r="N635" s="5">
        <v>10.9</v>
      </c>
      <c r="O635" s="10">
        <f t="shared" si="292"/>
        <v>7.1</v>
      </c>
      <c r="P635" s="7">
        <f>LOOKUP(O635,{0,6.6,6.8,7,7.2,7.4,7.6,7.8,8,8.2,8.4,8.6,8.8,9,9.2,9.4,9.6,9.9,10.2,10.3,10.4},{0,10,20,30,40,50,60,62,64,66,68,70,72,74,76,78,80,85,90,95,100})</f>
        <v>30</v>
      </c>
      <c r="Q635" s="5">
        <v>4.4</v>
      </c>
      <c r="R635" s="10">
        <f t="shared" si="293"/>
        <v>5.6</v>
      </c>
      <c r="S635" s="7">
        <f>LOOKUP(R635,{0,4.74,4.84,4.94,5.44,5.54,5.64,5.69,5.74,5.79,5.84,5.89,5.94,5.99,6.44,6.49,6.54,6.61,6.68,6.74,6.8},{0,10,20,30,40,50,60,62,64,66,68,70,72,74,76,78,80,85,90,95,100})</f>
        <v>50</v>
      </c>
      <c r="T635" s="5"/>
      <c r="U635" s="5"/>
      <c r="V635" s="5">
        <f t="shared" si="294"/>
        <v>50</v>
      </c>
      <c r="W635" s="5"/>
      <c r="X635" s="13">
        <f t="shared" si="295"/>
        <v>37.8</v>
      </c>
      <c r="Y635" s="13">
        <f t="shared" si="296"/>
        <v>54</v>
      </c>
      <c r="Z635" s="19"/>
    </row>
    <row r="636" ht="15.6" hidden="1" outlineLevel="2" spans="1:26">
      <c r="A636" s="5">
        <v>314</v>
      </c>
      <c r="B636" s="5">
        <v>14</v>
      </c>
      <c r="C636" s="9" t="s">
        <v>695</v>
      </c>
      <c r="D636" s="9" t="s">
        <v>46</v>
      </c>
      <c r="E636" s="5">
        <v>5</v>
      </c>
      <c r="F636" s="7">
        <f>LOOKUP(E636,{0,1.5,2.3,3.1,3.9,4.7,5.5,6.8,8.1,9.4,10.7,12,13.3,14.6,15.9,17.2,18.5,20.2,21.9,23.6,25.3},{0,10,20,30,40,50,60,62,64,66,68,70,72,74,76,78,80,85,90,95,100})</f>
        <v>50</v>
      </c>
      <c r="G636" s="5">
        <v>150</v>
      </c>
      <c r="H636" s="7">
        <f>LOOKUP(G636,{0,125,130,135,140,145,150,153,156,159,162,165,168,171,174,177,180,187,194,200,206},{0,10,20,30,40,50,60,62,64,66,68,70,72,74,76,78,80,85,90,95,100})</f>
        <v>60</v>
      </c>
      <c r="I636" s="5">
        <v>34</v>
      </c>
      <c r="J636" s="7">
        <f>LOOKUP(I636,{0,15,17,19,21,23,25,27,29,31,33,35,37,39,41,43,45,48,51,53,55},{0,10,20,30,40,50,60,62,64,66,68,70,72,74,76,78,80,85,90,95,100})</f>
        <v>68</v>
      </c>
      <c r="K636" s="5"/>
      <c r="L636" s="5"/>
      <c r="M636" s="5">
        <f t="shared" si="291"/>
        <v>68</v>
      </c>
      <c r="N636" s="5"/>
      <c r="O636" s="5"/>
      <c r="P636" s="5"/>
      <c r="Q636" s="5"/>
      <c r="R636" s="5"/>
      <c r="S636" s="5"/>
      <c r="T636" s="5"/>
      <c r="U636" s="5"/>
      <c r="V636" s="5"/>
      <c r="W636" s="5">
        <v>50</v>
      </c>
      <c r="X636" s="13"/>
      <c r="Y636" s="13">
        <v>50</v>
      </c>
      <c r="Z636" s="19"/>
    </row>
    <row r="637" ht="15.6" hidden="1" outlineLevel="2" spans="1:26">
      <c r="A637" s="5">
        <v>314</v>
      </c>
      <c r="B637" s="5">
        <v>15</v>
      </c>
      <c r="C637" s="9" t="s">
        <v>696</v>
      </c>
      <c r="D637" s="9" t="s">
        <v>46</v>
      </c>
      <c r="E637" s="5">
        <v>12</v>
      </c>
      <c r="F637" s="7">
        <f>LOOKUP(E637,{0,1.5,2.3,3.1,3.9,4.7,5.5,6.8,8.1,9.4,10.7,12,13.3,14.6,15.9,17.2,18.5,20.2,21.9,23.6,25.3},{0,10,20,30,40,50,60,62,64,66,68,70,72,74,76,78,80,85,90,95,100})</f>
        <v>70</v>
      </c>
      <c r="G637" s="5">
        <v>145</v>
      </c>
      <c r="H637" s="7">
        <f>LOOKUP(G637,{0,125,130,135,140,145,150,153,156,159,162,165,168,171,174,177,180,187,194,200,206},{0,10,20,30,40,50,60,62,64,66,68,70,72,74,76,78,80,85,90,95,100})</f>
        <v>50</v>
      </c>
      <c r="I637" s="5"/>
      <c r="J637" s="5"/>
      <c r="K637" s="5"/>
      <c r="L637" s="5"/>
      <c r="M637" s="5"/>
      <c r="N637" s="5">
        <v>9.9</v>
      </c>
      <c r="O637" s="10">
        <f t="shared" ref="O637:O644" si="297">18-N637</f>
        <v>8.1</v>
      </c>
      <c r="P637" s="7">
        <f>LOOKUP(O637,{0,6.6,6.8,7,7.2,7.4,7.6,7.8,8,8.2,8.4,8.6,8.8,9,9.2,9.4,9.6,9.9,10.2,10.3,10.4},{0,10,20,30,40,50,60,62,64,66,68,70,72,74,76,78,80,85,90,95,100})</f>
        <v>64</v>
      </c>
      <c r="Q637" s="5">
        <v>5.16</v>
      </c>
      <c r="R637" s="10">
        <f t="shared" ref="R637:R642" si="298">10-Q637</f>
        <v>4.84</v>
      </c>
      <c r="S637" s="7">
        <f>LOOKUP(R637,{0,4.74,4.84,4.94,5.44,5.54,5.64,5.69,5.74,5.79,5.84,5.89,5.94,5.99,6.44,6.49,6.54,6.61,6.68,6.74,6.8},{0,10,20,30,40,50,60,62,64,66,68,70,72,74,76,78,80,85,90,95,100})</f>
        <v>20</v>
      </c>
      <c r="T637" s="5"/>
      <c r="U637" s="5"/>
      <c r="V637" s="5">
        <f t="shared" ref="V637:V642" si="299">S637+U637</f>
        <v>20</v>
      </c>
      <c r="W637" s="14">
        <v>50</v>
      </c>
      <c r="X637" s="13">
        <f t="shared" ref="X637:X644" si="300">F637*0.1+H637*0.1+J637*0.1+P637*0.2+S637*0.2</f>
        <v>28.8</v>
      </c>
      <c r="Y637" s="13">
        <v>50</v>
      </c>
      <c r="Z637" s="19"/>
    </row>
    <row r="638" ht="15.6" hidden="1" outlineLevel="2" spans="1:26">
      <c r="A638" s="5">
        <v>314</v>
      </c>
      <c r="B638" s="5">
        <v>16</v>
      </c>
      <c r="C638" s="9" t="s">
        <v>697</v>
      </c>
      <c r="D638" s="9" t="s">
        <v>46</v>
      </c>
      <c r="E638" s="5">
        <v>17</v>
      </c>
      <c r="F638" s="7">
        <f>LOOKUP(E638,{0,1.5,2.3,3.1,3.9,4.7,5.5,6.8,8.1,9.4,10.7,12,13.3,14.6,15.9,17.2,18.5,20.2,21.9,23.6,25.3},{0,10,20,30,40,50,60,62,64,66,68,70,72,74,76,78,80,85,90,95,100})</f>
        <v>76</v>
      </c>
      <c r="G638" s="5">
        <v>160</v>
      </c>
      <c r="H638" s="7">
        <f>LOOKUP(G638,{0,125,130,135,140,145,150,153,156,159,162,165,168,171,174,177,180,187,194,200,206},{0,10,20,30,40,50,60,62,64,66,68,70,72,74,76,78,80,85,90,95,100})</f>
        <v>66</v>
      </c>
      <c r="I638" s="5">
        <v>48</v>
      </c>
      <c r="J638" s="7">
        <f>LOOKUP(I638,{0,15,17,19,21,23,25,27,29,31,33,35,37,39,41,43,45,48,51,53,55},{0,10,20,30,40,50,60,62,64,66,68,70,72,74,76,78,80,85,90,95,100})</f>
        <v>85</v>
      </c>
      <c r="K638" s="5"/>
      <c r="L638" s="5"/>
      <c r="M638" s="5">
        <f t="shared" ref="M638:M644" si="301">J638+L638</f>
        <v>85</v>
      </c>
      <c r="N638" s="5">
        <v>8.4</v>
      </c>
      <c r="O638" s="10">
        <f t="shared" si="297"/>
        <v>9.6</v>
      </c>
      <c r="P638" s="7">
        <f>LOOKUP(O638,{0,6.6,6.8,7,7.2,7.4,7.6,7.8,8,8.2,8.4,8.6,8.8,9,9.2,9.4,9.6,9.9,10.2,10.3,10.4},{0,10,20,30,40,50,60,62,64,66,68,70,72,74,76,78,80,85,90,95,100})</f>
        <v>80</v>
      </c>
      <c r="Q638" s="5">
        <v>4.35</v>
      </c>
      <c r="R638" s="10">
        <f t="shared" si="298"/>
        <v>5.65</v>
      </c>
      <c r="S638" s="7">
        <f>LOOKUP(R638,{0,4.74,4.84,4.94,5.44,5.54,5.64,5.69,5.74,5.79,5.84,5.89,5.94,5.99,6.44,6.49,6.54,6.61,6.68,6.74,6.8},{0,10,20,30,40,50,60,62,64,66,68,70,72,74,76,78,80,85,90,95,100})</f>
        <v>60</v>
      </c>
      <c r="T638" s="5"/>
      <c r="U638" s="5"/>
      <c r="V638" s="5">
        <f t="shared" si="299"/>
        <v>60</v>
      </c>
      <c r="W638" s="5"/>
      <c r="X638" s="13">
        <f t="shared" si="300"/>
        <v>50.7</v>
      </c>
      <c r="Y638" s="13">
        <f t="shared" ref="Y638:Y642" si="302">X638/0.7+L638+U638</f>
        <v>72.4285714285714</v>
      </c>
      <c r="Z638" s="19"/>
    </row>
    <row r="639" ht="15.6" hidden="1" outlineLevel="2" spans="1:26">
      <c r="A639" s="5">
        <v>314</v>
      </c>
      <c r="B639" s="5">
        <v>17</v>
      </c>
      <c r="C639" s="8" t="s">
        <v>699</v>
      </c>
      <c r="D639" s="9" t="s">
        <v>46</v>
      </c>
      <c r="E639" s="5">
        <v>16.5</v>
      </c>
      <c r="F639" s="7">
        <f>LOOKUP(E639,{0,1.5,2.3,3.1,3.9,4.7,5.5,6.8,8.1,9.4,10.7,12,13.3,14.6,15.9,17.2,18.5,20.2,21.9,23.6,25.3},{0,10,20,30,40,50,60,62,64,66,68,70,72,74,76,78,80,85,90,95,100})</f>
        <v>76</v>
      </c>
      <c r="G639" s="5">
        <v>176</v>
      </c>
      <c r="H639" s="7">
        <f>LOOKUP(G639,{0,125,130,135,140,145,150,153,156,159,162,165,168,171,174,177,180,187,194,200,206},{0,10,20,30,40,50,60,62,64,66,68,70,72,74,76,78,80,85,90,95,100})</f>
        <v>76</v>
      </c>
      <c r="I639" s="5">
        <v>53</v>
      </c>
      <c r="J639" s="7">
        <f>LOOKUP(I639,{0,15,17,19,21,23,25,27,29,31,33,35,37,39,41,43,45,48,51,53,55},{0,10,20,30,40,50,60,62,64,66,68,70,72,74,76,78,80,85,90,95,100})</f>
        <v>95</v>
      </c>
      <c r="K639" s="5"/>
      <c r="L639" s="5"/>
      <c r="M639" s="5">
        <f t="shared" si="301"/>
        <v>95</v>
      </c>
      <c r="N639" s="5">
        <v>8.9</v>
      </c>
      <c r="O639" s="10">
        <f t="shared" si="297"/>
        <v>9.1</v>
      </c>
      <c r="P639" s="7">
        <f>LOOKUP(O639,{0,6.6,6.8,7,7.2,7.4,7.6,7.8,8,8.2,8.4,8.6,8.8,9,9.2,9.4,9.6,9.9,10.2,10.3,10.4},{0,10,20,30,40,50,60,62,64,66,68,70,72,74,76,78,80,85,90,95,100})</f>
        <v>74</v>
      </c>
      <c r="Q639" s="5">
        <v>3.42</v>
      </c>
      <c r="R639" s="10">
        <f t="shared" si="298"/>
        <v>6.58</v>
      </c>
      <c r="S639" s="7">
        <f>LOOKUP(R639,{0,4.74,4.84,4.94,5.44,5.54,5.64,5.69,5.74,5.79,5.84,5.89,5.94,5.99,6.44,6.49,6.54,6.61,6.68,6.74,6.8},{0,10,20,30,40,50,60,62,64,66,68,70,72,74,76,78,80,85,90,95,100})</f>
        <v>80</v>
      </c>
      <c r="T639" s="5"/>
      <c r="U639" s="5"/>
      <c r="V639" s="5">
        <f t="shared" si="299"/>
        <v>80</v>
      </c>
      <c r="W639" s="5"/>
      <c r="X639" s="13">
        <f t="shared" si="300"/>
        <v>55.5</v>
      </c>
      <c r="Y639" s="13">
        <f t="shared" si="302"/>
        <v>79.2857142857143</v>
      </c>
      <c r="Z639" s="19"/>
    </row>
    <row r="640" ht="15.6" hidden="1" outlineLevel="2" spans="1:26">
      <c r="A640" s="5">
        <v>314</v>
      </c>
      <c r="B640" s="5">
        <v>18</v>
      </c>
      <c r="C640" s="9" t="s">
        <v>700</v>
      </c>
      <c r="D640" s="9" t="s">
        <v>46</v>
      </c>
      <c r="E640" s="5">
        <v>28</v>
      </c>
      <c r="F640" s="7">
        <f>LOOKUP(E640,{0,1.5,2.3,3.1,3.9,4.7,5.5,6.8,8.1,9.4,10.7,12,13.3,14.6,15.9,17.2,18.5,20.2,21.9,23.6,25.3},{0,10,20,30,40,50,60,62,64,66,68,70,72,74,76,78,80,85,90,95,100})</f>
        <v>100</v>
      </c>
      <c r="G640" s="5">
        <v>155</v>
      </c>
      <c r="H640" s="7">
        <f>LOOKUP(G640,{0,125,130,135,140,145,150,153,156,159,162,165,168,171,174,177,180,187,194,200,206},{0,10,20,30,40,50,60,62,64,66,68,70,72,74,76,78,80,85,90,95,100})</f>
        <v>62</v>
      </c>
      <c r="I640" s="5">
        <v>42</v>
      </c>
      <c r="J640" s="7">
        <f>LOOKUP(I640,{0,15,17,19,21,23,25,27,29,31,33,35,37,39,41,43,45,48,51,53,55},{0,10,20,30,40,50,60,62,64,66,68,70,72,74,76,78,80,85,90,95,100})</f>
        <v>76</v>
      </c>
      <c r="K640" s="5"/>
      <c r="L640" s="5"/>
      <c r="M640" s="5">
        <f t="shared" si="301"/>
        <v>76</v>
      </c>
      <c r="N640" s="5">
        <v>9.4</v>
      </c>
      <c r="O640" s="10">
        <f t="shared" si="297"/>
        <v>8.6</v>
      </c>
      <c r="P640" s="7">
        <f>LOOKUP(O640,{0,6.6,6.8,7,7.2,7.4,7.6,7.8,8,8.2,8.4,8.6,8.8,9,9.2,9.4,9.6,9.9,10.2,10.3,10.4},{0,10,20,30,40,50,60,62,64,66,68,70,72,74,76,78,80,85,90,95,100})</f>
        <v>70</v>
      </c>
      <c r="Q640" s="5">
        <v>4.35</v>
      </c>
      <c r="R640" s="10">
        <f t="shared" si="298"/>
        <v>5.65</v>
      </c>
      <c r="S640" s="7">
        <f>LOOKUP(R640,{0,4.74,4.84,4.94,5.44,5.54,5.64,5.69,5.74,5.79,5.84,5.89,5.94,5.99,6.44,6.49,6.54,6.61,6.68,6.74,6.8},{0,10,20,30,40,50,60,62,64,66,68,70,72,74,76,78,80,85,90,95,100})</f>
        <v>60</v>
      </c>
      <c r="T640" s="5"/>
      <c r="U640" s="5"/>
      <c r="V640" s="5">
        <f t="shared" si="299"/>
        <v>60</v>
      </c>
      <c r="W640" s="5"/>
      <c r="X640" s="13">
        <f t="shared" si="300"/>
        <v>49.8</v>
      </c>
      <c r="Y640" s="13">
        <f t="shared" si="302"/>
        <v>71.1428571428571</v>
      </c>
      <c r="Z640" s="19"/>
    </row>
    <row r="641" ht="15.6" hidden="1" outlineLevel="2" spans="1:26">
      <c r="A641" s="5">
        <v>314</v>
      </c>
      <c r="B641" s="5">
        <v>19</v>
      </c>
      <c r="C641" s="9" t="s">
        <v>701</v>
      </c>
      <c r="D641" s="9" t="s">
        <v>46</v>
      </c>
      <c r="E641" s="5">
        <v>22.5</v>
      </c>
      <c r="F641" s="7">
        <f>LOOKUP(E641,{0,1.5,2.3,3.1,3.9,4.7,5.5,6.8,8.1,9.4,10.7,12,13.3,14.6,15.9,17.2,18.5,20.2,21.9,23.6,25.3},{0,10,20,30,40,50,60,62,64,66,68,70,72,74,76,78,80,85,90,95,100})</f>
        <v>90</v>
      </c>
      <c r="G641" s="5">
        <v>154</v>
      </c>
      <c r="H641" s="7">
        <f>LOOKUP(G641,{0,125,130,135,140,145,150,153,156,159,162,165,168,171,174,177,180,187,194,200,206},{0,10,20,30,40,50,60,62,64,66,68,70,72,74,76,78,80,85,90,95,100})</f>
        <v>62</v>
      </c>
      <c r="I641" s="5">
        <v>41</v>
      </c>
      <c r="J641" s="7">
        <f>LOOKUP(I641,{0,15,17,19,21,23,25,27,29,31,33,35,37,39,41,43,45,48,51,53,55},{0,10,20,30,40,50,60,62,64,66,68,70,72,74,76,78,80,85,90,95,100})</f>
        <v>76</v>
      </c>
      <c r="K641" s="5"/>
      <c r="L641" s="5"/>
      <c r="M641" s="5">
        <f t="shared" si="301"/>
        <v>76</v>
      </c>
      <c r="N641" s="5">
        <v>9.2</v>
      </c>
      <c r="O641" s="10">
        <f t="shared" si="297"/>
        <v>8.8</v>
      </c>
      <c r="P641" s="7">
        <f>LOOKUP(O641,{0,6.6,6.8,7,7.2,7.4,7.6,7.8,8,8.2,8.4,8.6,8.8,9,9.2,9.4,9.6,9.9,10.2,10.3,10.4},{0,10,20,30,40,50,60,62,64,66,68,70,72,74,76,78,80,85,90,95,100})</f>
        <v>72</v>
      </c>
      <c r="Q641" s="5">
        <v>4.4</v>
      </c>
      <c r="R641" s="10">
        <f t="shared" si="298"/>
        <v>5.6</v>
      </c>
      <c r="S641" s="7">
        <f>LOOKUP(R641,{0,4.74,4.84,4.94,5.44,5.54,5.64,5.69,5.74,5.79,5.84,5.89,5.94,5.99,6.44,6.49,6.54,6.61,6.68,6.74,6.8},{0,10,20,30,40,50,60,62,64,66,68,70,72,74,76,78,80,85,90,95,100})</f>
        <v>50</v>
      </c>
      <c r="T641" s="5"/>
      <c r="U641" s="5"/>
      <c r="V641" s="5">
        <f t="shared" si="299"/>
        <v>50</v>
      </c>
      <c r="W641" s="5"/>
      <c r="X641" s="13">
        <f t="shared" si="300"/>
        <v>47.2</v>
      </c>
      <c r="Y641" s="13">
        <f t="shared" si="302"/>
        <v>67.4285714285714</v>
      </c>
      <c r="Z641" s="19"/>
    </row>
    <row r="642" ht="15.6" hidden="1" outlineLevel="2" spans="1:26">
      <c r="A642" s="5">
        <v>314</v>
      </c>
      <c r="B642" s="5">
        <v>20</v>
      </c>
      <c r="C642" s="9" t="s">
        <v>702</v>
      </c>
      <c r="D642" s="9" t="s">
        <v>46</v>
      </c>
      <c r="E642" s="5">
        <v>8.5</v>
      </c>
      <c r="F642" s="7">
        <f>LOOKUP(E642,{0,1.5,2.3,3.1,3.9,4.7,5.5,6.8,8.1,9.4,10.7,12,13.3,14.6,15.9,17.2,18.5,20.2,21.9,23.6,25.3},{0,10,20,30,40,50,60,62,64,66,68,70,72,74,76,78,80,85,90,95,100})</f>
        <v>64</v>
      </c>
      <c r="G642" s="5">
        <v>153</v>
      </c>
      <c r="H642" s="7">
        <f>LOOKUP(G642,{0,125,130,135,140,145,150,153,156,159,162,165,168,171,174,177,180,187,194,200,206},{0,10,20,30,40,50,60,62,64,66,68,70,72,74,76,78,80,85,90,95,100})</f>
        <v>62</v>
      </c>
      <c r="I642" s="5">
        <v>52</v>
      </c>
      <c r="J642" s="7">
        <f>LOOKUP(I642,{0,15,17,19,21,23,25,27,29,31,33,35,37,39,41,43,45,48,51,53,55},{0,10,20,30,40,50,60,62,64,66,68,70,72,74,76,78,80,85,90,95,100})</f>
        <v>90</v>
      </c>
      <c r="K642" s="5"/>
      <c r="L642" s="5"/>
      <c r="M642" s="5">
        <f t="shared" si="301"/>
        <v>90</v>
      </c>
      <c r="N642" s="5">
        <v>9.2</v>
      </c>
      <c r="O642" s="10">
        <f t="shared" si="297"/>
        <v>8.8</v>
      </c>
      <c r="P642" s="7">
        <f>LOOKUP(O642,{0,6.6,6.8,7,7.2,7.4,7.6,7.8,8,8.2,8.4,8.6,8.8,9,9.2,9.4,9.6,9.9,10.2,10.3,10.4},{0,10,20,30,40,50,60,62,64,66,68,70,72,74,76,78,80,85,90,95,100})</f>
        <v>72</v>
      </c>
      <c r="Q642" s="5">
        <v>4.34</v>
      </c>
      <c r="R642" s="10">
        <f t="shared" si="298"/>
        <v>5.66</v>
      </c>
      <c r="S642" s="7">
        <f>LOOKUP(R642,{0,4.74,4.84,4.94,5.44,5.54,5.64,5.69,5.74,5.79,5.84,5.89,5.94,5.99,6.44,6.49,6.54,6.61,6.68,6.74,6.8},{0,10,20,30,40,50,60,62,64,66,68,70,72,74,76,78,80,85,90,95,100})</f>
        <v>60</v>
      </c>
      <c r="T642" s="5"/>
      <c r="U642" s="5"/>
      <c r="V642" s="5">
        <f t="shared" si="299"/>
        <v>60</v>
      </c>
      <c r="W642" s="5"/>
      <c r="X642" s="13">
        <f t="shared" si="300"/>
        <v>48</v>
      </c>
      <c r="Y642" s="13">
        <f t="shared" si="302"/>
        <v>68.5714285714286</v>
      </c>
      <c r="Z642" s="19"/>
    </row>
    <row r="643" ht="15.6" hidden="1" outlineLevel="2" spans="1:26">
      <c r="A643" s="5">
        <v>314</v>
      </c>
      <c r="B643" s="5">
        <v>21</v>
      </c>
      <c r="C643" s="9" t="s">
        <v>703</v>
      </c>
      <c r="D643" s="9" t="s">
        <v>46</v>
      </c>
      <c r="E643" s="5">
        <v>24</v>
      </c>
      <c r="F643" s="7">
        <f>LOOKUP(E643,{0,1.5,2.3,3.1,3.9,4.7,5.5,6.8,8.1,9.4,10.7,12,13.3,14.6,15.9,17.2,18.5,20.2,21.9,23.6,25.3},{0,10,20,30,40,50,60,62,64,66,68,70,72,74,76,78,80,85,90,95,100})</f>
        <v>95</v>
      </c>
      <c r="G643" s="5">
        <v>154</v>
      </c>
      <c r="H643" s="7">
        <f>LOOKUP(G643,{0,125,130,135,140,145,150,153,156,159,162,165,168,171,174,177,180,187,194,200,206},{0,10,20,30,40,50,60,62,64,66,68,70,72,74,76,78,80,85,90,95,100})</f>
        <v>62</v>
      </c>
      <c r="I643" s="5">
        <v>36</v>
      </c>
      <c r="J643" s="7">
        <f>LOOKUP(I643,{0,15,17,19,21,23,25,27,29,31,33,35,37,39,41,43,45,48,51,53,55},{0,10,20,30,40,50,60,62,64,66,68,70,72,74,76,78,80,85,90,95,100})</f>
        <v>70</v>
      </c>
      <c r="K643" s="5"/>
      <c r="L643" s="5"/>
      <c r="M643" s="5">
        <f t="shared" si="301"/>
        <v>70</v>
      </c>
      <c r="N643" s="5">
        <v>10.8</v>
      </c>
      <c r="O643" s="10">
        <f t="shared" si="297"/>
        <v>7.2</v>
      </c>
      <c r="P643" s="7">
        <f>LOOKUP(O643,{0,6.6,6.8,7,7.2,7.4,7.6,7.8,8,8.2,8.4,8.6,8.8,9,9.2,9.4,9.6,9.9,10.2,10.3,10.4},{0,10,20,30,40,50,60,62,64,66,68,70,72,74,76,78,80,85,90,95,100})</f>
        <v>40</v>
      </c>
      <c r="Q643" s="5" t="s">
        <v>77</v>
      </c>
      <c r="R643" s="5"/>
      <c r="S643" s="5"/>
      <c r="T643" s="5"/>
      <c r="U643" s="5"/>
      <c r="V643" s="5"/>
      <c r="W643" s="14">
        <v>50</v>
      </c>
      <c r="X643" s="13">
        <f t="shared" si="300"/>
        <v>30.7</v>
      </c>
      <c r="Y643" s="13">
        <v>50</v>
      </c>
      <c r="Z643" s="19"/>
    </row>
    <row r="644" ht="15.6" hidden="1" outlineLevel="2" spans="1:26">
      <c r="A644" s="5">
        <v>314</v>
      </c>
      <c r="B644" s="5">
        <v>22</v>
      </c>
      <c r="C644" s="9" t="s">
        <v>704</v>
      </c>
      <c r="D644" s="9" t="s">
        <v>46</v>
      </c>
      <c r="E644" s="5">
        <v>24</v>
      </c>
      <c r="F644" s="7">
        <f>LOOKUP(E644,{0,1.5,2.3,3.1,3.9,4.7,5.5,6.8,8.1,9.4,10.7,12,13.3,14.6,15.9,17.2,18.5,20.2,21.9,23.6,25.3},{0,10,20,30,40,50,60,62,64,66,68,70,72,74,76,78,80,85,90,95,100})</f>
        <v>95</v>
      </c>
      <c r="G644" s="5">
        <v>190</v>
      </c>
      <c r="H644" s="7">
        <f>LOOKUP(G644,{0,125,130,135,140,145,150,153,156,159,162,165,168,171,174,177,180,187,194,200,206},{0,10,20,30,40,50,60,62,64,66,68,70,72,74,76,78,80,85,90,95,100})</f>
        <v>85</v>
      </c>
      <c r="I644" s="5">
        <v>51</v>
      </c>
      <c r="J644" s="7">
        <f>LOOKUP(I644,{0,15,17,19,21,23,25,27,29,31,33,35,37,39,41,43,45,48,51,53,55},{0,10,20,30,40,50,60,62,64,66,68,70,72,74,76,78,80,85,90,95,100})</f>
        <v>90</v>
      </c>
      <c r="K644" s="5"/>
      <c r="L644" s="5"/>
      <c r="M644" s="5">
        <f t="shared" si="301"/>
        <v>90</v>
      </c>
      <c r="N644" s="5">
        <v>8.6</v>
      </c>
      <c r="O644" s="10">
        <f t="shared" si="297"/>
        <v>9.4</v>
      </c>
      <c r="P644" s="7">
        <f>LOOKUP(O644,{0,6.6,6.8,7,7.2,7.4,7.6,7.8,8,8.2,8.4,8.6,8.8,9,9.2,9.4,9.6,9.9,10.2,10.3,10.4},{0,10,20,30,40,50,60,62,64,66,68,70,72,74,76,78,80,85,90,95,100})</f>
        <v>78</v>
      </c>
      <c r="Q644" s="5">
        <v>4.32</v>
      </c>
      <c r="R644" s="10">
        <f t="shared" ref="R644:R648" si="303">10-Q644</f>
        <v>5.68</v>
      </c>
      <c r="S644" s="7">
        <f>LOOKUP(R644,{0,4.74,4.84,4.94,5.44,5.54,5.64,5.69,5.74,5.79,5.84,5.89,5.94,5.99,6.44,6.49,6.54,6.61,6.68,6.74,6.8},{0,10,20,30,40,50,60,62,64,66,68,70,72,74,76,78,80,85,90,95,100})</f>
        <v>60</v>
      </c>
      <c r="T644" s="5"/>
      <c r="U644" s="5"/>
      <c r="V644" s="5">
        <f t="shared" ref="V644:V648" si="304">S644+U644</f>
        <v>60</v>
      </c>
      <c r="W644" s="5"/>
      <c r="X644" s="13">
        <f t="shared" si="300"/>
        <v>54.6</v>
      </c>
      <c r="Y644" s="13">
        <f t="shared" ref="Y644:Y648" si="305">X644/0.7+L644+U644</f>
        <v>78</v>
      </c>
      <c r="Z644" s="19"/>
    </row>
    <row r="645" hidden="1" outlineLevel="2" spans="1:26">
      <c r="A645" s="5">
        <v>314</v>
      </c>
      <c r="B645" s="5">
        <v>23</v>
      </c>
      <c r="C645" s="9" t="s">
        <v>705</v>
      </c>
      <c r="D645" s="9" t="s">
        <v>46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>
        <v>50</v>
      </c>
      <c r="X645" s="13"/>
      <c r="Y645" s="13">
        <v>50</v>
      </c>
      <c r="Z645" s="19"/>
    </row>
    <row r="646" ht="15.6" hidden="1" outlineLevel="2" spans="1:26">
      <c r="A646" s="5">
        <v>314</v>
      </c>
      <c r="B646" s="5">
        <v>24</v>
      </c>
      <c r="C646" s="9" t="s">
        <v>706</v>
      </c>
      <c r="D646" s="9" t="s">
        <v>46</v>
      </c>
      <c r="E646" s="5">
        <v>17.5</v>
      </c>
      <c r="F646" s="7">
        <f>LOOKUP(E646,{0,1.5,2.3,3.1,3.9,4.7,5.5,6.8,8.1,9.4,10.7,12,13.3,14.6,15.9,17.2,18.5,20.2,21.9,23.6,25.3},{0,10,20,30,40,50,60,62,64,66,68,70,72,74,76,78,80,85,90,95,100})</f>
        <v>78</v>
      </c>
      <c r="G646" s="5">
        <v>189</v>
      </c>
      <c r="H646" s="7">
        <f>LOOKUP(G646,{0,125,130,135,140,145,150,153,156,159,162,165,168,171,174,177,180,187,194,200,206},{0,10,20,30,40,50,60,62,64,66,68,70,72,74,76,78,80,85,90,95,100})</f>
        <v>85</v>
      </c>
      <c r="I646" s="5">
        <v>40</v>
      </c>
      <c r="J646" s="7">
        <f>LOOKUP(I646,{0,15,17,19,21,23,25,27,29,31,33,35,37,39,41,43,45,48,51,53,55},{0,10,20,30,40,50,60,62,64,66,68,70,72,74,76,78,80,85,90,95,100})</f>
        <v>74</v>
      </c>
      <c r="K646" s="5"/>
      <c r="L646" s="5"/>
      <c r="M646" s="5">
        <f t="shared" ref="M646:M648" si="306">J646+L646</f>
        <v>74</v>
      </c>
      <c r="N646" s="5">
        <v>8.6</v>
      </c>
      <c r="O646" s="10">
        <f t="shared" ref="O646:O651" si="307">18-N646</f>
        <v>9.4</v>
      </c>
      <c r="P646" s="7">
        <f>LOOKUP(O646,{0,6.6,6.8,7,7.2,7.4,7.6,7.8,8,8.2,8.4,8.6,8.8,9,9.2,9.4,9.6,9.9,10.2,10.3,10.4},{0,10,20,30,40,50,60,62,64,66,68,70,72,74,76,78,80,85,90,95,100})</f>
        <v>78</v>
      </c>
      <c r="Q646" s="5">
        <v>4.34</v>
      </c>
      <c r="R646" s="10">
        <f t="shared" si="303"/>
        <v>5.66</v>
      </c>
      <c r="S646" s="7">
        <f>LOOKUP(R646,{0,4.74,4.84,4.94,5.44,5.54,5.64,5.69,5.74,5.79,5.84,5.89,5.94,5.99,6.44,6.49,6.54,6.61,6.68,6.74,6.8},{0,10,20,30,40,50,60,62,64,66,68,70,72,74,76,78,80,85,90,95,100})</f>
        <v>60</v>
      </c>
      <c r="T646" s="5"/>
      <c r="U646" s="5"/>
      <c r="V646" s="5">
        <f t="shared" si="304"/>
        <v>60</v>
      </c>
      <c r="W646" s="5"/>
      <c r="X646" s="13">
        <f t="shared" ref="X646:X648" si="308">F646*0.1+H646*0.1+J646*0.1+P646*0.2+S646*0.2</f>
        <v>51.3</v>
      </c>
      <c r="Y646" s="13">
        <f t="shared" si="305"/>
        <v>73.2857142857143</v>
      </c>
      <c r="Z646" s="19"/>
    </row>
    <row r="647" ht="15.6" hidden="1" outlineLevel="2" spans="1:26">
      <c r="A647" s="5">
        <v>314</v>
      </c>
      <c r="B647" s="5">
        <v>25</v>
      </c>
      <c r="C647" s="9" t="s">
        <v>707</v>
      </c>
      <c r="D647" s="9" t="s">
        <v>46</v>
      </c>
      <c r="E647" s="5">
        <v>19</v>
      </c>
      <c r="F647" s="7">
        <f>LOOKUP(E647,{0,1.5,2.3,3.1,3.9,4.7,5.5,6.8,8.1,9.4,10.7,12,13.3,14.6,15.9,17.2,18.5,20.2,21.9,23.6,25.3},{0,10,20,30,40,50,60,62,64,66,68,70,72,74,76,78,80,85,90,95,100})</f>
        <v>80</v>
      </c>
      <c r="G647" s="5">
        <v>169</v>
      </c>
      <c r="H647" s="7">
        <f>LOOKUP(G647,{0,125,130,135,140,145,150,153,156,159,162,165,168,171,174,177,180,187,194,200,206},{0,10,20,30,40,50,60,62,64,66,68,70,72,74,76,78,80,85,90,95,100})</f>
        <v>72</v>
      </c>
      <c r="I647" s="5">
        <v>36</v>
      </c>
      <c r="J647" s="7">
        <f>LOOKUP(I647,{0,15,17,19,21,23,25,27,29,31,33,35,37,39,41,43,45,48,51,53,55},{0,10,20,30,40,50,60,62,64,66,68,70,72,74,76,78,80,85,90,95,100})</f>
        <v>70</v>
      </c>
      <c r="K647" s="5"/>
      <c r="L647" s="5"/>
      <c r="M647" s="5">
        <f t="shared" si="306"/>
        <v>70</v>
      </c>
      <c r="N647" s="5" t="s">
        <v>77</v>
      </c>
      <c r="O647" s="5"/>
      <c r="P647" s="5"/>
      <c r="Q647" s="5" t="s">
        <v>77</v>
      </c>
      <c r="R647" s="5"/>
      <c r="S647" s="5"/>
      <c r="T647" s="5"/>
      <c r="U647" s="5"/>
      <c r="V647" s="5"/>
      <c r="W647" s="14">
        <v>50</v>
      </c>
      <c r="X647" s="13">
        <f t="shared" si="308"/>
        <v>22.2</v>
      </c>
      <c r="Y647" s="13">
        <v>50</v>
      </c>
      <c r="Z647" s="19"/>
    </row>
    <row r="648" ht="15.6" hidden="1" outlineLevel="2" spans="1:26">
      <c r="A648" s="5">
        <v>314</v>
      </c>
      <c r="B648" s="5">
        <v>26</v>
      </c>
      <c r="C648" s="9" t="s">
        <v>708</v>
      </c>
      <c r="D648" s="9" t="s">
        <v>46</v>
      </c>
      <c r="E648" s="5">
        <v>30.5</v>
      </c>
      <c r="F648" s="7">
        <f>LOOKUP(E648,{0,1.5,2.3,3.1,3.9,4.7,5.5,6.8,8.1,9.4,10.7,12,13.3,14.6,15.9,17.2,18.5,20.2,21.9,23.6,25.3},{0,10,20,30,40,50,60,62,64,66,68,70,72,74,76,78,80,85,90,95,100})</f>
        <v>100</v>
      </c>
      <c r="G648" s="5">
        <v>204</v>
      </c>
      <c r="H648" s="7">
        <f>LOOKUP(G648,{0,125,130,135,140,145,150,153,156,159,162,165,168,171,174,177,180,187,194,200,206},{0,10,20,30,40,50,60,62,64,66,68,70,72,74,76,78,80,85,90,95,100})</f>
        <v>95</v>
      </c>
      <c r="I648" s="5">
        <v>22</v>
      </c>
      <c r="J648" s="7">
        <f>LOOKUP(I648,{0,15,17,19,21,23,25,27,29,31,33,35,37,39,41,43,45,48,51,53,55},{0,10,20,30,40,50,60,62,64,66,68,70,72,74,76,78,80,85,90,95,100})</f>
        <v>40</v>
      </c>
      <c r="K648" s="5"/>
      <c r="L648" s="5"/>
      <c r="M648" s="5">
        <f t="shared" si="306"/>
        <v>40</v>
      </c>
      <c r="N648" s="5">
        <v>7.9</v>
      </c>
      <c r="O648" s="10">
        <f t="shared" si="307"/>
        <v>10.1</v>
      </c>
      <c r="P648" s="7">
        <f>LOOKUP(O648,{0,6.6,6.8,7,7.2,7.4,7.6,7.8,8,8.2,8.4,8.6,8.8,9,9.2,9.4,9.6,9.9,10.2,10.3,10.4},{0,10,20,30,40,50,60,62,64,66,68,70,72,74,76,78,80,85,90,95,100})</f>
        <v>85</v>
      </c>
      <c r="Q648" s="5">
        <v>3.31</v>
      </c>
      <c r="R648" s="10">
        <f t="shared" si="303"/>
        <v>6.69</v>
      </c>
      <c r="S648" s="7">
        <f>LOOKUP(R648,{0,4.74,4.84,4.94,5.44,5.54,5.64,5.69,5.74,5.79,5.84,5.89,5.94,5.99,6.44,6.49,6.54,6.61,6.68,6.74,6.8},{0,10,20,30,40,50,60,62,64,66,68,70,72,74,76,78,80,85,90,95,100})</f>
        <v>90</v>
      </c>
      <c r="T648" s="5"/>
      <c r="U648" s="5"/>
      <c r="V648" s="5">
        <f t="shared" si="304"/>
        <v>90</v>
      </c>
      <c r="W648" s="5"/>
      <c r="X648" s="13">
        <f t="shared" si="308"/>
        <v>58.5</v>
      </c>
      <c r="Y648" s="13">
        <f t="shared" si="305"/>
        <v>83.5714285714286</v>
      </c>
      <c r="Z648" s="19"/>
    </row>
    <row r="649" hidden="1" outlineLevel="2" spans="1:26">
      <c r="A649" s="5">
        <v>314</v>
      </c>
      <c r="B649" s="5">
        <v>27</v>
      </c>
      <c r="C649" s="8" t="s">
        <v>710</v>
      </c>
      <c r="D649" s="9" t="s">
        <v>46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>
        <v>50</v>
      </c>
      <c r="X649" s="13"/>
      <c r="Y649" s="13">
        <v>50</v>
      </c>
      <c r="Z649" s="19"/>
    </row>
    <row r="650" ht="15.6" hidden="1" outlineLevel="2" spans="1:26">
      <c r="A650" s="5">
        <v>314</v>
      </c>
      <c r="B650" s="5">
        <v>28</v>
      </c>
      <c r="C650" s="9" t="s">
        <v>711</v>
      </c>
      <c r="D650" s="9" t="s">
        <v>46</v>
      </c>
      <c r="E650" s="5">
        <v>19.5</v>
      </c>
      <c r="F650" s="7">
        <f>LOOKUP(E650,{0,1.5,2.3,3.1,3.9,4.7,5.5,6.8,8.1,9.4,10.7,12,13.3,14.6,15.9,17.2,18.5,20.2,21.9,23.6,25.3},{0,10,20,30,40,50,60,62,64,66,68,70,72,74,76,78,80,85,90,95,100})</f>
        <v>80</v>
      </c>
      <c r="G650" s="5">
        <v>160</v>
      </c>
      <c r="H650" s="7">
        <f>LOOKUP(G650,{0,125,130,135,140,145,150,153,156,159,162,165,168,171,174,177,180,187,194,200,206},{0,10,20,30,40,50,60,62,64,66,68,70,72,74,76,78,80,85,90,95,100})</f>
        <v>66</v>
      </c>
      <c r="I650" s="5">
        <v>47</v>
      </c>
      <c r="J650" s="7">
        <f>LOOKUP(I650,{0,15,17,19,21,23,25,27,29,31,33,35,37,39,41,43,45,48,51,53,55},{0,10,20,30,40,50,60,62,64,66,68,70,72,74,76,78,80,85,90,95,100})</f>
        <v>80</v>
      </c>
      <c r="K650" s="5"/>
      <c r="L650" s="5"/>
      <c r="M650" s="5">
        <f t="shared" ref="M650:M664" si="309">J650+L650</f>
        <v>80</v>
      </c>
      <c r="N650" s="5">
        <v>8.5</v>
      </c>
      <c r="O650" s="10">
        <f t="shared" si="307"/>
        <v>9.5</v>
      </c>
      <c r="P650" s="7">
        <f>LOOKUP(O650,{0,6.6,6.8,7,7.2,7.4,7.6,7.8,8,8.2,8.4,8.6,8.8,9,9.2,9.4,9.6,9.9,10.2,10.3,10.4},{0,10,20,30,40,50,60,62,64,66,68,70,72,74,76,78,80,85,90,95,100})</f>
        <v>78</v>
      </c>
      <c r="Q650" s="5">
        <v>4.35</v>
      </c>
      <c r="R650" s="10">
        <f t="shared" ref="R650:R664" si="310">10-Q650</f>
        <v>5.65</v>
      </c>
      <c r="S650" s="7">
        <f>LOOKUP(R650,{0,4.74,4.84,4.94,5.44,5.54,5.64,5.69,5.74,5.79,5.84,5.89,5.94,5.99,6.44,6.49,6.54,6.61,6.68,6.74,6.8},{0,10,20,30,40,50,60,62,64,66,68,70,72,74,76,78,80,85,90,95,100})</f>
        <v>60</v>
      </c>
      <c r="T650" s="5"/>
      <c r="U650" s="5"/>
      <c r="V650" s="5">
        <f t="shared" ref="V650:V664" si="311">S650+U650</f>
        <v>60</v>
      </c>
      <c r="W650" s="5"/>
      <c r="X650" s="13">
        <f t="shared" ref="X650:X664" si="312">F650*0.1+H650*0.1+J650*0.1+P650*0.2+S650*0.2</f>
        <v>50.2</v>
      </c>
      <c r="Y650" s="13">
        <f t="shared" ref="Y650:Y653" si="313">X650/0.7+L650+U650</f>
        <v>71.7142857142857</v>
      </c>
      <c r="Z650" s="19"/>
    </row>
    <row r="651" ht="15.6" hidden="1" outlineLevel="2" spans="1:26">
      <c r="A651" s="5">
        <v>314</v>
      </c>
      <c r="B651" s="5">
        <v>29</v>
      </c>
      <c r="C651" s="9" t="s">
        <v>712</v>
      </c>
      <c r="D651" s="9" t="s">
        <v>46</v>
      </c>
      <c r="E651" s="5">
        <v>20.5</v>
      </c>
      <c r="F651" s="7">
        <f>LOOKUP(E651,{0,1.5,2.3,3.1,3.9,4.7,5.5,6.8,8.1,9.4,10.7,12,13.3,14.6,15.9,17.2,18.5,20.2,21.9,23.6,25.3},{0,10,20,30,40,50,60,62,64,66,68,70,72,74,76,78,80,85,90,95,100})</f>
        <v>85</v>
      </c>
      <c r="G651" s="5">
        <v>207</v>
      </c>
      <c r="H651" s="7">
        <f>LOOKUP(G651,{0,125,130,135,140,145,150,153,156,159,162,165,168,171,174,177,180,187,194,200,206},{0,10,20,30,40,50,60,62,64,66,68,70,72,74,76,78,80,85,90,95,100})</f>
        <v>100</v>
      </c>
      <c r="I651" s="5">
        <v>0</v>
      </c>
      <c r="J651" s="7">
        <f>LOOKUP(I651,{0,15,17,19,21,23,25,27,29,31,33,35,37,39,41,43,45,48,51,53,55},{0,10,20,30,40,50,60,62,64,66,68,70,72,74,76,78,80,85,90,95,100})</f>
        <v>0</v>
      </c>
      <c r="K651" s="5"/>
      <c r="L651" s="5"/>
      <c r="M651" s="5">
        <f t="shared" si="309"/>
        <v>0</v>
      </c>
      <c r="N651" s="5">
        <v>7.6</v>
      </c>
      <c r="O651" s="10">
        <f t="shared" si="307"/>
        <v>10.4</v>
      </c>
      <c r="P651" s="7">
        <f>LOOKUP(O651,{0,6.6,6.8,7,7.2,7.4,7.6,7.8,8,8.2,8.4,8.6,8.8,9,9.2,9.4,9.6,9.9,10.2,10.3,10.4},{0,10,20,30,40,50,60,62,64,66,68,70,72,74,76,78,80,85,90,95,100})</f>
        <v>100</v>
      </c>
      <c r="Q651" s="5">
        <v>3.31</v>
      </c>
      <c r="R651" s="10">
        <f t="shared" si="310"/>
        <v>6.69</v>
      </c>
      <c r="S651" s="7">
        <f>LOOKUP(R651,{0,4.74,4.84,4.94,5.44,5.54,5.64,5.69,5.74,5.79,5.84,5.89,5.94,5.99,6.44,6.49,6.54,6.61,6.68,6.74,6.8},{0,10,20,30,40,50,60,62,64,66,68,70,72,74,76,78,80,85,90,95,100})</f>
        <v>90</v>
      </c>
      <c r="T651" s="5"/>
      <c r="U651" s="5"/>
      <c r="V651" s="5">
        <f t="shared" si="311"/>
        <v>90</v>
      </c>
      <c r="W651" s="5"/>
      <c r="X651" s="13">
        <f t="shared" si="312"/>
        <v>56.5</v>
      </c>
      <c r="Y651" s="13">
        <f t="shared" si="313"/>
        <v>80.7142857142857</v>
      </c>
      <c r="Z651" s="19"/>
    </row>
    <row r="652" ht="15.6" hidden="1" outlineLevel="2" spans="1:26">
      <c r="A652" s="5">
        <v>314</v>
      </c>
      <c r="B652" s="5">
        <v>30</v>
      </c>
      <c r="C652" s="9" t="s">
        <v>713</v>
      </c>
      <c r="D652" s="9" t="s">
        <v>46</v>
      </c>
      <c r="E652" s="5">
        <v>25.5</v>
      </c>
      <c r="F652" s="7">
        <f>LOOKUP(E652,{0,1.5,2.3,3.1,3.9,4.7,5.5,6.8,8.1,9.4,10.7,12,13.3,14.6,15.9,17.2,18.5,20.2,21.9,23.6,25.3},{0,10,20,30,40,50,60,62,64,66,68,70,72,74,76,78,80,85,90,95,100})</f>
        <v>100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>
        <v>50</v>
      </c>
      <c r="X652" s="13"/>
      <c r="Y652" s="13">
        <v>50</v>
      </c>
      <c r="Z652" s="19"/>
    </row>
    <row r="653" ht="15.6" hidden="1" outlineLevel="2" spans="1:26">
      <c r="A653" s="5">
        <v>314</v>
      </c>
      <c r="B653" s="5">
        <v>31</v>
      </c>
      <c r="C653" s="9" t="s">
        <v>714</v>
      </c>
      <c r="D653" s="9" t="s">
        <v>46</v>
      </c>
      <c r="E653" s="5">
        <v>11</v>
      </c>
      <c r="F653" s="7">
        <f>LOOKUP(E653,{0,1.5,2.3,3.1,3.9,4.7,5.5,6.8,8.1,9.4,10.7,12,13.3,14.6,15.9,17.2,18.5,20.2,21.9,23.6,25.3},{0,10,20,30,40,50,60,62,64,66,68,70,72,74,76,78,80,85,90,95,100})</f>
        <v>68</v>
      </c>
      <c r="G653" s="5">
        <v>220</v>
      </c>
      <c r="H653" s="7">
        <f>LOOKUP(G653,{0,125,130,135,140,145,150,153,156,159,162,165,168,171,174,177,180,187,194,200,206},{0,10,20,30,40,50,60,62,64,66,68,70,72,74,76,78,80,85,90,95,100})</f>
        <v>100</v>
      </c>
      <c r="I653" s="5">
        <v>38</v>
      </c>
      <c r="J653" s="7">
        <f>LOOKUP(I653,{0,15,17,19,21,23,25,27,29,31,33,35,37,39,41,43,45,48,51,53,55},{0,10,20,30,40,50,60,62,64,66,68,70,72,74,76,78,80,85,90,95,100})</f>
        <v>72</v>
      </c>
      <c r="K653" s="5"/>
      <c r="L653" s="5"/>
      <c r="M653" s="5">
        <f t="shared" si="309"/>
        <v>72</v>
      </c>
      <c r="N653" s="5">
        <v>7.9</v>
      </c>
      <c r="O653" s="10">
        <f>18-N653</f>
        <v>10.1</v>
      </c>
      <c r="P653" s="7">
        <f>LOOKUP(O653,{0,6.6,6.8,7,7.2,7.4,7.6,7.8,8,8.2,8.4,8.6,8.8,9,9.2,9.4,9.6,9.9,10.2,10.3,10.4},{0,10,20,30,40,50,60,62,64,66,68,70,72,74,76,78,80,85,90,95,100})</f>
        <v>85</v>
      </c>
      <c r="Q653" s="5">
        <v>3.56</v>
      </c>
      <c r="R653" s="10">
        <f t="shared" si="310"/>
        <v>6.44</v>
      </c>
      <c r="S653" s="7">
        <f>LOOKUP(R653,{0,4.74,4.84,4.94,5.44,5.54,5.64,5.69,5.74,5.79,5.84,5.89,5.94,5.99,6.44,6.49,6.54,6.61,6.68,6.74,6.8},{0,10,20,30,40,50,60,62,64,66,68,70,72,74,76,78,80,85,90,95,100})</f>
        <v>76</v>
      </c>
      <c r="T653" s="5"/>
      <c r="U653" s="5"/>
      <c r="V653" s="5">
        <f t="shared" si="311"/>
        <v>76</v>
      </c>
      <c r="W653" s="5"/>
      <c r="X653" s="13">
        <f t="shared" si="312"/>
        <v>56.2</v>
      </c>
      <c r="Y653" s="13">
        <f t="shared" si="313"/>
        <v>80.2857142857143</v>
      </c>
      <c r="Z653" s="19"/>
    </row>
    <row r="654" ht="15.6" hidden="1" outlineLevel="2" spans="1:26">
      <c r="A654" s="5">
        <v>314</v>
      </c>
      <c r="B654" s="5">
        <v>32</v>
      </c>
      <c r="C654" s="9" t="s">
        <v>715</v>
      </c>
      <c r="D654" s="9" t="s">
        <v>46</v>
      </c>
      <c r="E654" s="5">
        <v>26.5</v>
      </c>
      <c r="F654" s="7">
        <f>LOOKUP(E654,{0,1.5,2.3,3.1,3.9,4.7,5.5,6.8,8.1,9.4,10.7,12,13.3,14.6,15.9,17.2,18.5,20.2,21.9,23.6,25.3},{0,10,20,30,40,50,60,62,64,66,68,70,72,74,76,78,80,85,90,95,100})</f>
        <v>100</v>
      </c>
      <c r="G654" s="5">
        <v>185</v>
      </c>
      <c r="H654" s="7">
        <f>LOOKUP(G654,{0,125,130,135,140,145,150,153,156,159,162,165,168,171,174,177,180,187,194,200,206},{0,10,20,30,40,50,60,62,64,66,68,70,72,74,76,78,80,85,90,95,100})</f>
        <v>80</v>
      </c>
      <c r="I654" s="5">
        <v>0</v>
      </c>
      <c r="J654" s="7">
        <f>LOOKUP(I654,{0,15,17,19,21,23,25,27,29,31,33,35,37,39,41,43,45,48,51,53,55},{0,10,20,30,40,50,60,62,64,66,68,70,72,74,76,78,80,85,90,95,100})</f>
        <v>0</v>
      </c>
      <c r="K654" s="5"/>
      <c r="L654" s="5"/>
      <c r="M654" s="5">
        <f t="shared" si="309"/>
        <v>0</v>
      </c>
      <c r="N654" s="5"/>
      <c r="O654" s="5"/>
      <c r="P654" s="5"/>
      <c r="Q654" s="5">
        <v>4.47</v>
      </c>
      <c r="R654" s="10">
        <f t="shared" si="310"/>
        <v>5.53</v>
      </c>
      <c r="S654" s="7">
        <f>LOOKUP(R654,{0,4.74,4.84,4.94,5.44,5.54,5.64,5.69,5.74,5.79,5.84,5.89,5.94,5.99,6.44,6.49,6.54,6.61,6.68,6.74,6.8},{0,10,20,30,40,50,60,62,64,66,68,70,72,74,76,78,80,85,90,95,100})</f>
        <v>40</v>
      </c>
      <c r="T654" s="5"/>
      <c r="U654" s="5"/>
      <c r="V654" s="5">
        <f t="shared" si="311"/>
        <v>40</v>
      </c>
      <c r="W654" s="14">
        <v>50</v>
      </c>
      <c r="X654" s="13">
        <f t="shared" si="312"/>
        <v>26</v>
      </c>
      <c r="Y654" s="13">
        <v>50</v>
      </c>
      <c r="Z654" s="19"/>
    </row>
    <row r="655" ht="15.6" hidden="1" outlineLevel="2" spans="1:26">
      <c r="A655" s="5">
        <v>314</v>
      </c>
      <c r="B655" s="5">
        <v>33</v>
      </c>
      <c r="C655" s="9" t="s">
        <v>716</v>
      </c>
      <c r="D655" s="9" t="s">
        <v>46</v>
      </c>
      <c r="E655" s="5">
        <v>9</v>
      </c>
      <c r="F655" s="7">
        <f>LOOKUP(E655,{0,1.5,2.3,3.1,3.9,4.7,5.5,6.8,8.1,9.4,10.7,12,13.3,14.6,15.9,17.2,18.5,20.2,21.9,23.6,25.3},{0,10,20,30,40,50,60,62,64,66,68,70,72,74,76,78,80,85,90,95,100})</f>
        <v>64</v>
      </c>
      <c r="G655" s="5">
        <v>175</v>
      </c>
      <c r="H655" s="7">
        <f>LOOKUP(G655,{0,125,130,135,140,145,150,153,156,159,162,165,168,171,174,177,180,187,194,200,206},{0,10,20,30,40,50,60,62,64,66,68,70,72,74,76,78,80,85,90,95,100})</f>
        <v>76</v>
      </c>
      <c r="I655" s="5">
        <v>47</v>
      </c>
      <c r="J655" s="7">
        <f>LOOKUP(I655,{0,15,17,19,21,23,25,27,29,31,33,35,37,39,41,43,45,48,51,53,55},{0,10,20,30,40,50,60,62,64,66,68,70,72,74,76,78,80,85,90,95,100})</f>
        <v>80</v>
      </c>
      <c r="K655" s="5"/>
      <c r="L655" s="5"/>
      <c r="M655" s="5">
        <f t="shared" si="309"/>
        <v>80</v>
      </c>
      <c r="N655" s="5">
        <v>8.8</v>
      </c>
      <c r="O655" s="10">
        <f t="shared" ref="O655:O664" si="314">18-N655</f>
        <v>9.2</v>
      </c>
      <c r="P655" s="7">
        <f>LOOKUP(O655,{0,6.6,6.8,7,7.2,7.4,7.6,7.8,8,8.2,8.4,8.6,8.8,9,9.2,9.4,9.6,9.9,10.2,10.3,10.4},{0,10,20,30,40,50,60,62,64,66,68,70,72,74,76,78,80,85,90,95,100})</f>
        <v>76</v>
      </c>
      <c r="Q655" s="5">
        <v>4.33</v>
      </c>
      <c r="R655" s="10">
        <f t="shared" si="310"/>
        <v>5.67</v>
      </c>
      <c r="S655" s="7">
        <f>LOOKUP(R655,{0,4.74,4.84,4.94,5.44,5.54,5.64,5.69,5.74,5.79,5.84,5.89,5.94,5.99,6.44,6.49,6.54,6.61,6.68,6.74,6.8},{0,10,20,30,40,50,60,62,64,66,68,70,72,74,76,78,80,85,90,95,100})</f>
        <v>60</v>
      </c>
      <c r="T655" s="5"/>
      <c r="U655" s="5"/>
      <c r="V655" s="5">
        <f t="shared" si="311"/>
        <v>60</v>
      </c>
      <c r="W655" s="5"/>
      <c r="X655" s="13">
        <f t="shared" si="312"/>
        <v>49.2</v>
      </c>
      <c r="Y655" s="13">
        <f t="shared" ref="Y655:Y664" si="315">X655/0.7+L655+U655</f>
        <v>70.2857142857143</v>
      </c>
      <c r="Z655" s="19"/>
    </row>
    <row r="656" ht="15.6" hidden="1" outlineLevel="2" spans="1:26">
      <c r="A656" s="5">
        <v>314</v>
      </c>
      <c r="B656" s="5">
        <v>34</v>
      </c>
      <c r="C656" s="9" t="s">
        <v>717</v>
      </c>
      <c r="D656" s="9" t="s">
        <v>46</v>
      </c>
      <c r="E656" s="5">
        <v>18.5</v>
      </c>
      <c r="F656" s="7">
        <f>LOOKUP(E656,{0,1.5,2.3,3.1,3.9,4.7,5.5,6.8,8.1,9.4,10.7,12,13.3,14.6,15.9,17.2,18.5,20.2,21.9,23.6,25.3},{0,10,20,30,40,50,60,62,64,66,68,70,72,74,76,78,80,85,90,95,100})</f>
        <v>80</v>
      </c>
      <c r="G656" s="5">
        <v>190</v>
      </c>
      <c r="H656" s="7">
        <f>LOOKUP(G656,{0,125,130,135,140,145,150,153,156,159,162,165,168,171,174,177,180,187,194,200,206},{0,10,20,30,40,50,60,62,64,66,68,70,72,74,76,78,80,85,90,95,100})</f>
        <v>85</v>
      </c>
      <c r="I656" s="5">
        <v>0</v>
      </c>
      <c r="J656" s="7">
        <f>LOOKUP(I656,{0,15,17,19,21,23,25,27,29,31,33,35,37,39,41,43,45,48,51,53,55},{0,10,20,30,40,50,60,62,64,66,68,70,72,74,76,78,80,85,90,95,100})</f>
        <v>0</v>
      </c>
      <c r="K656" s="5"/>
      <c r="L656" s="5"/>
      <c r="M656" s="5">
        <f t="shared" si="309"/>
        <v>0</v>
      </c>
      <c r="N656" s="5"/>
      <c r="O656" s="5"/>
      <c r="P656" s="5"/>
      <c r="Q656" s="5">
        <v>3.55</v>
      </c>
      <c r="R656" s="10">
        <f t="shared" si="310"/>
        <v>6.45</v>
      </c>
      <c r="S656" s="7">
        <f>LOOKUP(R656,{0,4.74,4.84,4.94,5.44,5.54,5.64,5.69,5.74,5.79,5.84,5.89,5.94,5.99,6.44,6.49,6.54,6.61,6.68,6.74,6.8},{0,10,20,30,40,50,60,62,64,66,68,70,72,74,76,78,80,85,90,95,100})</f>
        <v>76</v>
      </c>
      <c r="T656" s="5"/>
      <c r="U656" s="5"/>
      <c r="V656" s="5">
        <f t="shared" si="311"/>
        <v>76</v>
      </c>
      <c r="W656" s="14">
        <v>50</v>
      </c>
      <c r="X656" s="13">
        <f t="shared" si="312"/>
        <v>31.7</v>
      </c>
      <c r="Y656" s="13">
        <v>50</v>
      </c>
      <c r="Z656" s="19"/>
    </row>
    <row r="657" ht="15.6" hidden="1" outlineLevel="2" spans="1:26">
      <c r="A657" s="5">
        <v>314</v>
      </c>
      <c r="B657" s="5">
        <v>35</v>
      </c>
      <c r="C657" s="9" t="s">
        <v>718</v>
      </c>
      <c r="D657" s="9" t="s">
        <v>46</v>
      </c>
      <c r="E657" s="5">
        <v>11.4</v>
      </c>
      <c r="F657" s="7">
        <f>LOOKUP(E657,{0,1.5,2.3,3.1,3.9,4.7,5.5,6.8,8.1,9.4,10.7,12,13.3,14.6,15.9,17.2,18.5,20.2,21.9,23.6,25.3},{0,10,20,30,40,50,60,62,64,66,68,70,72,74,76,78,80,85,90,95,100})</f>
        <v>68</v>
      </c>
      <c r="G657" s="5">
        <v>210</v>
      </c>
      <c r="H657" s="7">
        <f>LOOKUP(G657,{0,125,130,135,140,145,150,153,156,159,162,165,168,171,174,177,180,187,194,200,206},{0,10,20,30,40,50,60,62,64,66,68,70,72,74,76,78,80,85,90,95,100})</f>
        <v>100</v>
      </c>
      <c r="I657" s="5">
        <v>57</v>
      </c>
      <c r="J657" s="7">
        <f>LOOKUP(I657,{0,15,17,19,21,23,25,27,29,31,33,35,37,39,41,43,45,48,51,53,55},{0,10,20,30,40,50,60,62,64,66,68,70,72,74,76,78,80,85,90,95,100})</f>
        <v>100</v>
      </c>
      <c r="K657" s="11">
        <f>I657-55</f>
        <v>2</v>
      </c>
      <c r="L657" s="7">
        <f>LOOKUP(K657,{0,2,4,6,7,8,9,10,11,12,13},{0,1,2,3,4,5,6,7,8,9,10})</f>
        <v>1</v>
      </c>
      <c r="M657" s="5">
        <f t="shared" si="309"/>
        <v>101</v>
      </c>
      <c r="N657" s="5"/>
      <c r="O657" s="5"/>
      <c r="P657" s="5"/>
      <c r="Q657" s="5">
        <v>4.44</v>
      </c>
      <c r="R657" s="10">
        <f t="shared" si="310"/>
        <v>5.56</v>
      </c>
      <c r="S657" s="7">
        <f>LOOKUP(R657,{0,4.74,4.84,4.94,5.44,5.54,5.64,5.69,5.74,5.79,5.84,5.89,5.94,5.99,6.44,6.49,6.54,6.61,6.68,6.74,6.8},{0,10,20,30,40,50,60,62,64,66,68,70,72,74,76,78,80,85,90,95,100})</f>
        <v>50</v>
      </c>
      <c r="T657" s="5"/>
      <c r="U657" s="5"/>
      <c r="V657" s="5">
        <f t="shared" si="311"/>
        <v>50</v>
      </c>
      <c r="W657" s="5"/>
      <c r="X657" s="13">
        <f t="shared" si="312"/>
        <v>36.8</v>
      </c>
      <c r="Y657" s="13">
        <f t="shared" si="315"/>
        <v>53.5714285714286</v>
      </c>
      <c r="Z657" s="19"/>
    </row>
    <row r="658" ht="15.6" hidden="1" outlineLevel="2" spans="1:26">
      <c r="A658" s="5">
        <v>314</v>
      </c>
      <c r="B658" s="5">
        <v>36</v>
      </c>
      <c r="C658" s="9" t="s">
        <v>719</v>
      </c>
      <c r="D658" s="9" t="s">
        <v>46</v>
      </c>
      <c r="E658" s="5">
        <v>20.4</v>
      </c>
      <c r="F658" s="7">
        <f>LOOKUP(E658,{0,1.5,2.3,3.1,3.9,4.7,5.5,6.8,8.1,9.4,10.7,12,13.3,14.6,15.9,17.2,18.5,20.2,21.9,23.6,25.3},{0,10,20,30,40,50,60,62,64,66,68,70,72,74,76,78,80,85,90,95,100})</f>
        <v>85</v>
      </c>
      <c r="G658" s="5">
        <v>185</v>
      </c>
      <c r="H658" s="7">
        <f>LOOKUP(G658,{0,125,130,135,140,145,150,153,156,159,162,165,168,171,174,177,180,187,194,200,206},{0,10,20,30,40,50,60,62,64,66,68,70,72,74,76,78,80,85,90,95,100})</f>
        <v>80</v>
      </c>
      <c r="I658" s="5">
        <v>0</v>
      </c>
      <c r="J658" s="7">
        <f>LOOKUP(I658,{0,15,17,19,21,23,25,27,29,31,33,35,37,39,41,43,45,48,51,53,55},{0,10,20,30,40,50,60,62,64,66,68,70,72,74,76,78,80,85,90,95,100})</f>
        <v>0</v>
      </c>
      <c r="K658" s="5"/>
      <c r="L658" s="5"/>
      <c r="M658" s="5">
        <f t="shared" si="309"/>
        <v>0</v>
      </c>
      <c r="N658" s="5"/>
      <c r="O658" s="5"/>
      <c r="P658" s="5"/>
      <c r="Q658" s="5">
        <v>3.54</v>
      </c>
      <c r="R658" s="10">
        <f t="shared" si="310"/>
        <v>6.46</v>
      </c>
      <c r="S658" s="7">
        <f>LOOKUP(R658,{0,4.74,4.84,4.94,5.44,5.54,5.64,5.69,5.74,5.79,5.84,5.89,5.94,5.99,6.44,6.49,6.54,6.61,6.68,6.74,6.8},{0,10,20,30,40,50,60,62,64,66,68,70,72,74,76,78,80,85,90,95,100})</f>
        <v>76</v>
      </c>
      <c r="T658" s="5"/>
      <c r="U658" s="5"/>
      <c r="V658" s="5">
        <f t="shared" si="311"/>
        <v>76</v>
      </c>
      <c r="W658" s="14">
        <v>50</v>
      </c>
      <c r="X658" s="13">
        <f t="shared" si="312"/>
        <v>31.7</v>
      </c>
      <c r="Y658" s="13">
        <v>50</v>
      </c>
      <c r="Z658" s="19"/>
    </row>
    <row r="659" ht="15.6" hidden="1" outlineLevel="2" spans="1:26">
      <c r="A659" s="5">
        <v>314</v>
      </c>
      <c r="B659" s="5">
        <v>37</v>
      </c>
      <c r="C659" s="9" t="s">
        <v>720</v>
      </c>
      <c r="D659" s="9" t="s">
        <v>46</v>
      </c>
      <c r="E659" s="5">
        <v>20</v>
      </c>
      <c r="F659" s="7">
        <f>LOOKUP(E659,{0,1.5,2.3,3.1,3.9,4.7,5.5,6.8,8.1,9.4,10.7,12,13.3,14.6,15.9,17.2,18.5,20.2,21.9,23.6,25.3},{0,10,20,30,40,50,60,62,64,66,68,70,72,74,76,78,80,85,90,95,100})</f>
        <v>80</v>
      </c>
      <c r="G659" s="5">
        <v>175</v>
      </c>
      <c r="H659" s="7">
        <f>LOOKUP(G659,{0,125,130,135,140,145,150,153,156,159,162,165,168,171,174,177,180,187,194,200,206},{0,10,20,30,40,50,60,62,64,66,68,70,72,74,76,78,80,85,90,95,100})</f>
        <v>76</v>
      </c>
      <c r="I659" s="5">
        <v>0</v>
      </c>
      <c r="J659" s="7">
        <f>LOOKUP(I659,{0,15,17,19,21,23,25,27,29,31,33,35,37,39,41,43,45,48,51,53,55},{0,10,20,30,40,50,60,62,64,66,68,70,72,74,76,78,80,85,90,95,100})</f>
        <v>0</v>
      </c>
      <c r="K659" s="5"/>
      <c r="L659" s="5"/>
      <c r="M659" s="5">
        <f t="shared" si="309"/>
        <v>0</v>
      </c>
      <c r="N659" s="5">
        <v>8.4</v>
      </c>
      <c r="O659" s="10">
        <f t="shared" si="314"/>
        <v>9.6</v>
      </c>
      <c r="P659" s="7">
        <f>LOOKUP(O659,{0,6.6,6.8,7,7.2,7.4,7.6,7.8,8,8.2,8.4,8.6,8.8,9,9.2,9.4,9.6,9.9,10.2,10.3,10.4},{0,10,20,30,40,50,60,62,64,66,68,70,72,74,76,78,80,85,90,95,100})</f>
        <v>80</v>
      </c>
      <c r="Q659" s="5">
        <v>4.2</v>
      </c>
      <c r="R659" s="10">
        <f t="shared" si="310"/>
        <v>5.8</v>
      </c>
      <c r="S659" s="7">
        <f>LOOKUP(R659,{0,4.74,4.84,4.94,5.44,5.54,5.64,5.69,5.74,5.79,5.84,5.89,5.94,5.99,6.44,6.49,6.54,6.61,6.68,6.74,6.8},{0,10,20,30,40,50,60,62,64,66,68,70,72,74,76,78,80,85,90,95,100})</f>
        <v>66</v>
      </c>
      <c r="T659" s="5"/>
      <c r="U659" s="5"/>
      <c r="V659" s="5">
        <f t="shared" si="311"/>
        <v>66</v>
      </c>
      <c r="W659" s="5"/>
      <c r="X659" s="13">
        <f t="shared" si="312"/>
        <v>44.8</v>
      </c>
      <c r="Y659" s="13">
        <f t="shared" si="315"/>
        <v>64</v>
      </c>
      <c r="Z659" s="19"/>
    </row>
    <row r="660" ht="15.6" hidden="1" outlineLevel="2" spans="1:26">
      <c r="A660" s="5">
        <v>314</v>
      </c>
      <c r="B660" s="5">
        <v>38</v>
      </c>
      <c r="C660" s="8" t="s">
        <v>722</v>
      </c>
      <c r="D660" s="9" t="s">
        <v>46</v>
      </c>
      <c r="E660" s="5">
        <v>24.5</v>
      </c>
      <c r="F660" s="7">
        <f>LOOKUP(E660,{0,1.5,2.3,3.1,3.9,4.7,5.5,6.8,8.1,9.4,10.7,12,13.3,14.6,15.9,17.2,18.5,20.2,21.9,23.6,25.3},{0,10,20,30,40,50,60,62,64,66,68,70,72,74,76,78,80,85,90,95,100})</f>
        <v>95</v>
      </c>
      <c r="G660" s="5">
        <v>175</v>
      </c>
      <c r="H660" s="7">
        <f>LOOKUP(G660,{0,125,130,135,140,145,150,153,156,159,162,165,168,171,174,177,180,187,194,200,206},{0,10,20,30,40,50,60,62,64,66,68,70,72,74,76,78,80,85,90,95,100})</f>
        <v>76</v>
      </c>
      <c r="I660" s="5">
        <v>33</v>
      </c>
      <c r="J660" s="7">
        <f>LOOKUP(I660,{0,15,17,19,21,23,25,27,29,31,33,35,37,39,41,43,45,48,51,53,55},{0,10,20,30,40,50,60,62,64,66,68,70,72,74,76,78,80,85,90,95,100})</f>
        <v>68</v>
      </c>
      <c r="K660" s="5"/>
      <c r="L660" s="5"/>
      <c r="M660" s="5">
        <f t="shared" si="309"/>
        <v>68</v>
      </c>
      <c r="N660" s="5">
        <v>9.4</v>
      </c>
      <c r="O660" s="10">
        <f t="shared" si="314"/>
        <v>8.6</v>
      </c>
      <c r="P660" s="7">
        <f>LOOKUP(O660,{0,6.6,6.8,7,7.2,7.4,7.6,7.8,8,8.2,8.4,8.6,8.8,9,9.2,9.4,9.6,9.9,10.2,10.3,10.4},{0,10,20,30,40,50,60,62,64,66,68,70,72,74,76,78,80,85,90,95,100})</f>
        <v>70</v>
      </c>
      <c r="Q660" s="5">
        <v>5.01</v>
      </c>
      <c r="R660" s="10">
        <f t="shared" si="310"/>
        <v>4.99</v>
      </c>
      <c r="S660" s="7">
        <f>LOOKUP(R660,{0,4.74,4.84,4.94,5.44,5.54,5.64,5.69,5.74,5.79,5.84,5.89,5.94,5.99,6.44,6.49,6.54,6.61,6.68,6.74,6.8},{0,10,20,30,40,50,60,62,64,66,68,70,72,74,76,78,80,85,90,95,100})</f>
        <v>30</v>
      </c>
      <c r="T660" s="5"/>
      <c r="U660" s="5"/>
      <c r="V660" s="5">
        <f t="shared" si="311"/>
        <v>30</v>
      </c>
      <c r="W660" s="5"/>
      <c r="X660" s="13">
        <f t="shared" si="312"/>
        <v>43.9</v>
      </c>
      <c r="Y660" s="13">
        <f t="shared" si="315"/>
        <v>62.7142857142857</v>
      </c>
      <c r="Z660" s="20"/>
    </row>
    <row r="661" ht="15.6" hidden="1" outlineLevel="2" spans="1:26">
      <c r="A661" s="5">
        <v>314</v>
      </c>
      <c r="B661" s="5">
        <v>39</v>
      </c>
      <c r="C661" s="9" t="s">
        <v>723</v>
      </c>
      <c r="D661" s="9" t="s">
        <v>46</v>
      </c>
      <c r="E661" s="5">
        <v>11</v>
      </c>
      <c r="F661" s="7">
        <f>LOOKUP(E661,{0,1.5,2.3,3.1,3.9,4.7,5.5,6.8,8.1,9.4,10.7,12,13.3,14.6,15.9,17.2,18.5,20.2,21.9,23.6,25.3},{0,10,20,30,40,50,60,62,64,66,68,70,72,74,76,78,80,85,90,95,100})</f>
        <v>68</v>
      </c>
      <c r="G661" s="5">
        <v>169</v>
      </c>
      <c r="H661" s="7">
        <f>LOOKUP(G661,{0,125,130,135,140,145,150,153,156,159,162,165,168,171,174,177,180,187,194,200,206},{0,10,20,30,40,50,60,62,64,66,68,70,72,74,76,78,80,85,90,95,100})</f>
        <v>72</v>
      </c>
      <c r="I661" s="5">
        <v>35</v>
      </c>
      <c r="J661" s="7">
        <f>LOOKUP(I661,{0,15,17,19,21,23,25,27,29,31,33,35,37,39,41,43,45,48,51,53,55},{0,10,20,30,40,50,60,62,64,66,68,70,72,74,76,78,80,85,90,95,100})</f>
        <v>70</v>
      </c>
      <c r="K661" s="5"/>
      <c r="L661" s="5"/>
      <c r="M661" s="5">
        <f t="shared" si="309"/>
        <v>70</v>
      </c>
      <c r="N661" s="5">
        <v>9.8</v>
      </c>
      <c r="O661" s="10">
        <f t="shared" si="314"/>
        <v>8.2</v>
      </c>
      <c r="P661" s="7">
        <f>LOOKUP(O661,{0,6.6,6.8,7,7.2,7.4,7.6,7.8,8,8.2,8.4,8.6,8.8,9,9.2,9.4,9.6,9.9,10.2,10.3,10.4},{0,10,20,30,40,50,60,62,64,66,68,70,72,74,76,78,80,85,90,95,100})</f>
        <v>66</v>
      </c>
      <c r="Q661" s="5">
        <v>4.42</v>
      </c>
      <c r="R661" s="10">
        <f t="shared" si="310"/>
        <v>5.58</v>
      </c>
      <c r="S661" s="7">
        <f>LOOKUP(R661,{0,4.74,4.84,4.94,5.44,5.54,5.64,5.69,5.74,5.79,5.84,5.89,5.94,5.99,6.44,6.49,6.54,6.61,6.68,6.74,6.8},{0,10,20,30,40,50,60,62,64,66,68,70,72,74,76,78,80,85,90,95,100})</f>
        <v>50</v>
      </c>
      <c r="T661" s="5"/>
      <c r="U661" s="5"/>
      <c r="V661" s="5">
        <f t="shared" si="311"/>
        <v>50</v>
      </c>
      <c r="W661" s="5"/>
      <c r="X661" s="13">
        <f t="shared" si="312"/>
        <v>44.2</v>
      </c>
      <c r="Y661" s="13">
        <f t="shared" si="315"/>
        <v>63.1428571428572</v>
      </c>
      <c r="Z661" s="19"/>
    </row>
    <row r="662" ht="15.6" hidden="1" outlineLevel="2" spans="1:26">
      <c r="A662" s="5">
        <v>314</v>
      </c>
      <c r="B662" s="5">
        <v>40</v>
      </c>
      <c r="C662" s="9" t="s">
        <v>724</v>
      </c>
      <c r="D662" s="9" t="s">
        <v>46</v>
      </c>
      <c r="E662" s="5">
        <v>7</v>
      </c>
      <c r="F662" s="7">
        <f>LOOKUP(E662,{0,1.5,2.3,3.1,3.9,4.7,5.5,6.8,8.1,9.4,10.7,12,13.3,14.6,15.9,17.2,18.5,20.2,21.9,23.6,25.3},{0,10,20,30,40,50,60,62,64,66,68,70,72,74,76,78,80,85,90,95,100})</f>
        <v>62</v>
      </c>
      <c r="G662" s="5">
        <v>183</v>
      </c>
      <c r="H662" s="7">
        <f>LOOKUP(G662,{0,125,130,135,140,145,150,153,156,159,162,165,168,171,174,177,180,187,194,200,206},{0,10,20,30,40,50,60,62,64,66,68,70,72,74,76,78,80,85,90,95,100})</f>
        <v>80</v>
      </c>
      <c r="I662" s="5">
        <v>36</v>
      </c>
      <c r="J662" s="7">
        <f>LOOKUP(I662,{0,15,17,19,21,23,25,27,29,31,33,35,37,39,41,43,45,48,51,53,55},{0,10,20,30,40,50,60,62,64,66,68,70,72,74,76,78,80,85,90,95,100})</f>
        <v>70</v>
      </c>
      <c r="K662" s="5"/>
      <c r="L662" s="5"/>
      <c r="M662" s="5">
        <f t="shared" si="309"/>
        <v>70</v>
      </c>
      <c r="N662" s="5">
        <v>8.8</v>
      </c>
      <c r="O662" s="10">
        <f t="shared" si="314"/>
        <v>9.2</v>
      </c>
      <c r="P662" s="7">
        <f>LOOKUP(O662,{0,6.6,6.8,7,7.2,7.4,7.6,7.8,8,8.2,8.4,8.6,8.8,9,9.2,9.4,9.6,9.9,10.2,10.3,10.4},{0,10,20,30,40,50,60,62,64,66,68,70,72,74,76,78,80,85,90,95,100})</f>
        <v>76</v>
      </c>
      <c r="Q662" s="5">
        <v>4.14</v>
      </c>
      <c r="R662" s="10">
        <f t="shared" si="310"/>
        <v>5.86</v>
      </c>
      <c r="S662" s="7">
        <f>LOOKUP(R662,{0,4.74,4.84,4.94,5.44,5.54,5.64,5.69,5.74,5.79,5.84,5.89,5.94,5.99,6.44,6.49,6.54,6.61,6.68,6.74,6.8},{0,10,20,30,40,50,60,62,64,66,68,70,72,74,76,78,80,85,90,95,100})</f>
        <v>68</v>
      </c>
      <c r="T662" s="5"/>
      <c r="U662" s="5"/>
      <c r="V662" s="5">
        <f t="shared" si="311"/>
        <v>68</v>
      </c>
      <c r="W662" s="5"/>
      <c r="X662" s="13">
        <f t="shared" si="312"/>
        <v>50</v>
      </c>
      <c r="Y662" s="13">
        <f t="shared" si="315"/>
        <v>71.4285714285714</v>
      </c>
      <c r="Z662" s="19"/>
    </row>
    <row r="663" ht="15.6" hidden="1" outlineLevel="2" spans="1:26">
      <c r="A663" s="5">
        <v>314</v>
      </c>
      <c r="B663" s="5">
        <v>41</v>
      </c>
      <c r="C663" s="9" t="s">
        <v>725</v>
      </c>
      <c r="D663" s="9" t="s">
        <v>46</v>
      </c>
      <c r="E663" s="5">
        <v>22</v>
      </c>
      <c r="F663" s="7">
        <f>LOOKUP(E663,{0,1.5,2.3,3.1,3.9,4.7,5.5,6.8,8.1,9.4,10.7,12,13.3,14.6,15.9,17.2,18.5,20.2,21.9,23.6,25.3},{0,10,20,30,40,50,60,62,64,66,68,70,72,74,76,78,80,85,90,95,100})</f>
        <v>90</v>
      </c>
      <c r="G663" s="5">
        <v>170</v>
      </c>
      <c r="H663" s="7">
        <f>LOOKUP(G663,{0,125,130,135,140,145,150,153,156,159,162,165,168,171,174,177,180,187,194,200,206},{0,10,20,30,40,50,60,62,64,66,68,70,72,74,76,78,80,85,90,95,100})</f>
        <v>72</v>
      </c>
      <c r="I663" s="5">
        <v>27</v>
      </c>
      <c r="J663" s="7">
        <f>LOOKUP(I663,{0,15,17,19,21,23,25,27,29,31,33,35,37,39,41,43,45,48,51,53,55},{0,10,20,30,40,50,60,62,64,66,68,70,72,74,76,78,80,85,90,95,100})</f>
        <v>62</v>
      </c>
      <c r="K663" s="5"/>
      <c r="L663" s="5"/>
      <c r="M663" s="5">
        <f t="shared" si="309"/>
        <v>62</v>
      </c>
      <c r="N663" s="5">
        <v>10</v>
      </c>
      <c r="O663" s="10">
        <f t="shared" si="314"/>
        <v>8</v>
      </c>
      <c r="P663" s="7">
        <f>LOOKUP(O663,{0,6.6,6.8,7,7.2,7.4,7.6,7.8,8,8.2,8.4,8.6,8.8,9,9.2,9.4,9.6,9.9,10.2,10.3,10.4},{0,10,20,30,40,50,60,62,64,66,68,70,72,74,76,78,80,85,90,95,100})</f>
        <v>64</v>
      </c>
      <c r="Q663" s="5">
        <v>5.18</v>
      </c>
      <c r="R663" s="10">
        <f t="shared" si="310"/>
        <v>4.82</v>
      </c>
      <c r="S663" s="7">
        <f>LOOKUP(R663,{0,4.74,4.84,4.94,5.44,5.54,5.64,5.69,5.74,5.79,5.84,5.89,5.94,5.99,6.44,6.49,6.54,6.61,6.68,6.74,6.8},{0,10,20,30,40,50,60,62,64,66,68,70,72,74,76,78,80,85,90,95,100})</f>
        <v>10</v>
      </c>
      <c r="T663" s="5"/>
      <c r="U663" s="5"/>
      <c r="V663" s="5">
        <f t="shared" si="311"/>
        <v>10</v>
      </c>
      <c r="W663" s="5"/>
      <c r="X663" s="13">
        <f t="shared" si="312"/>
        <v>37.2</v>
      </c>
      <c r="Y663" s="13">
        <f t="shared" si="315"/>
        <v>53.1428571428572</v>
      </c>
      <c r="Z663" s="19"/>
    </row>
    <row r="664" ht="15.6" hidden="1" outlineLevel="2" spans="1:26">
      <c r="A664" s="5">
        <v>314</v>
      </c>
      <c r="B664" s="5">
        <v>42</v>
      </c>
      <c r="C664" s="9" t="s">
        <v>726</v>
      </c>
      <c r="D664" s="9" t="s">
        <v>46</v>
      </c>
      <c r="E664" s="5">
        <v>14</v>
      </c>
      <c r="F664" s="7">
        <f>LOOKUP(E664,{0,1.5,2.3,3.1,3.9,4.7,5.5,6.8,8.1,9.4,10.7,12,13.3,14.6,15.9,17.2,18.5,20.2,21.9,23.6,25.3},{0,10,20,30,40,50,60,62,64,66,68,70,72,74,76,78,80,85,90,95,100})</f>
        <v>72</v>
      </c>
      <c r="G664" s="5">
        <v>160</v>
      </c>
      <c r="H664" s="7">
        <f>LOOKUP(G664,{0,125,130,135,140,145,150,153,156,159,162,165,168,171,174,177,180,187,194,200,206},{0,10,20,30,40,50,60,62,64,66,68,70,72,74,76,78,80,85,90,95,100})</f>
        <v>66</v>
      </c>
      <c r="I664" s="5">
        <v>38</v>
      </c>
      <c r="J664" s="7">
        <f>LOOKUP(I664,{0,15,17,19,21,23,25,27,29,31,33,35,37,39,41,43,45,48,51,53,55},{0,10,20,30,40,50,60,62,64,66,68,70,72,74,76,78,80,85,90,95,100})</f>
        <v>72</v>
      </c>
      <c r="K664" s="5"/>
      <c r="L664" s="5"/>
      <c r="M664" s="5">
        <f t="shared" si="309"/>
        <v>72</v>
      </c>
      <c r="N664" s="5">
        <v>9.7</v>
      </c>
      <c r="O664" s="10">
        <f t="shared" si="314"/>
        <v>8.3</v>
      </c>
      <c r="P664" s="7">
        <f>LOOKUP(O664,{0,6.6,6.8,7,7.2,7.4,7.6,7.8,8,8.2,8.4,8.6,8.8,9,9.2,9.4,9.6,9.9,10.2,10.3,10.4},{0,10,20,30,40,50,60,62,64,66,68,70,72,74,76,78,80,85,90,95,100})</f>
        <v>66</v>
      </c>
      <c r="Q664" s="5">
        <v>4.23</v>
      </c>
      <c r="R664" s="10">
        <f t="shared" si="310"/>
        <v>5.77</v>
      </c>
      <c r="S664" s="7">
        <f>LOOKUP(R664,{0,4.74,4.84,4.94,5.44,5.54,5.64,5.69,5.74,5.79,5.84,5.89,5.94,5.99,6.44,6.49,6.54,6.61,6.68,6.74,6.8},{0,10,20,30,40,50,60,62,64,66,68,70,72,74,76,78,80,85,90,95,100})</f>
        <v>64</v>
      </c>
      <c r="T664" s="5"/>
      <c r="U664" s="5"/>
      <c r="V664" s="5">
        <f t="shared" si="311"/>
        <v>64</v>
      </c>
      <c r="W664" s="5"/>
      <c r="X664" s="13">
        <f t="shared" si="312"/>
        <v>47</v>
      </c>
      <c r="Y664" s="13">
        <f t="shared" si="315"/>
        <v>67.1428571428572</v>
      </c>
      <c r="Z664" s="19"/>
    </row>
    <row r="665" hidden="1" outlineLevel="2" spans="1:26">
      <c r="A665" s="5">
        <v>314</v>
      </c>
      <c r="B665" s="5">
        <v>43</v>
      </c>
      <c r="C665" s="9" t="s">
        <v>727</v>
      </c>
      <c r="D665" s="9" t="s">
        <v>46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>
        <v>50</v>
      </c>
      <c r="X665" s="13"/>
      <c r="Y665" s="13">
        <v>50</v>
      </c>
      <c r="Z665" s="19"/>
    </row>
    <row r="666" ht="15.6" hidden="1" outlineLevel="2" spans="1:26">
      <c r="A666" s="5">
        <v>314</v>
      </c>
      <c r="B666" s="5">
        <v>44</v>
      </c>
      <c r="C666" s="9" t="s">
        <v>728</v>
      </c>
      <c r="D666" s="9" t="s">
        <v>46</v>
      </c>
      <c r="E666" s="5">
        <v>16.5</v>
      </c>
      <c r="F666" s="7">
        <f>LOOKUP(E666,{0,1.5,2.3,3.1,3.9,4.7,5.5,6.8,8.1,9.4,10.7,12,13.3,14.6,15.9,17.2,18.5,20.2,21.9,23.6,25.3},{0,10,20,30,40,50,60,62,64,66,68,70,72,74,76,78,80,85,90,95,100})</f>
        <v>76</v>
      </c>
      <c r="G666" s="5">
        <v>182</v>
      </c>
      <c r="H666" s="7">
        <f>LOOKUP(G666,{0,125,130,135,140,145,150,153,156,159,162,165,168,171,174,177,180,187,194,200,206},{0,10,20,30,40,50,60,62,64,66,68,70,72,74,76,78,80,85,90,95,100})</f>
        <v>80</v>
      </c>
      <c r="I666" s="5">
        <v>45</v>
      </c>
      <c r="J666" s="7">
        <f>LOOKUP(I666,{0,15,17,19,21,23,25,27,29,31,33,35,37,39,41,43,45,48,51,53,55},{0,10,20,30,40,50,60,62,64,66,68,70,72,74,76,78,80,85,90,95,100})</f>
        <v>80</v>
      </c>
      <c r="K666" s="5"/>
      <c r="L666" s="5"/>
      <c r="M666" s="5">
        <f t="shared" ref="M666:M669" si="316">J666+L666</f>
        <v>80</v>
      </c>
      <c r="N666" s="5">
        <v>9.4</v>
      </c>
      <c r="O666" s="10">
        <f t="shared" ref="O666:O669" si="317">18-N666</f>
        <v>8.6</v>
      </c>
      <c r="P666" s="7">
        <f>LOOKUP(O666,{0,6.6,6.8,7,7.2,7.4,7.6,7.8,8,8.2,8.4,8.6,8.8,9,9.2,9.4,9.6,9.9,10.2,10.3,10.4},{0,10,20,30,40,50,60,62,64,66,68,70,72,74,76,78,80,85,90,95,100})</f>
        <v>70</v>
      </c>
      <c r="Q666" s="5">
        <v>4.22</v>
      </c>
      <c r="R666" s="10">
        <f t="shared" ref="R666:R669" si="318">10-Q666</f>
        <v>5.78</v>
      </c>
      <c r="S666" s="7">
        <f>LOOKUP(R666,{0,4.74,4.84,4.94,5.44,5.54,5.64,5.69,5.74,5.79,5.84,5.89,5.94,5.99,6.44,6.49,6.54,6.61,6.68,6.74,6.8},{0,10,20,30,40,50,60,62,64,66,68,70,72,74,76,78,80,85,90,95,100})</f>
        <v>64</v>
      </c>
      <c r="T666" s="5"/>
      <c r="U666" s="5"/>
      <c r="V666" s="5">
        <f t="shared" ref="V666:V669" si="319">S666+U666</f>
        <v>64</v>
      </c>
      <c r="W666" s="5"/>
      <c r="X666" s="13">
        <f t="shared" ref="X666:X669" si="320">F666*0.1+H666*0.1+J666*0.1+P666*0.2+S666*0.2</f>
        <v>50.4</v>
      </c>
      <c r="Y666" s="13">
        <f t="shared" ref="Y666:Y669" si="321">X666/0.7+L666+U666</f>
        <v>72</v>
      </c>
      <c r="Z666" s="19"/>
    </row>
    <row r="667" ht="15.6" hidden="1" outlineLevel="2" spans="1:26">
      <c r="A667" s="5">
        <v>314</v>
      </c>
      <c r="B667" s="5">
        <v>45</v>
      </c>
      <c r="C667" s="9" t="s">
        <v>729</v>
      </c>
      <c r="D667" s="9" t="s">
        <v>46</v>
      </c>
      <c r="E667" s="5">
        <v>17</v>
      </c>
      <c r="F667" s="7">
        <f>LOOKUP(E667,{0,1.5,2.3,3.1,3.9,4.7,5.5,6.8,8.1,9.4,10.7,12,13.3,14.6,15.9,17.2,18.5,20.2,21.9,23.6,25.3},{0,10,20,30,40,50,60,62,64,66,68,70,72,74,76,78,80,85,90,95,100})</f>
        <v>76</v>
      </c>
      <c r="G667" s="5">
        <v>174</v>
      </c>
      <c r="H667" s="7">
        <f>LOOKUP(G667,{0,125,130,135,140,145,150,153,156,159,162,165,168,171,174,177,180,187,194,200,206},{0,10,20,30,40,50,60,62,64,66,68,70,72,74,76,78,80,85,90,95,100})</f>
        <v>76</v>
      </c>
      <c r="I667" s="5">
        <v>16</v>
      </c>
      <c r="J667" s="7">
        <f>LOOKUP(I667,{0,15,17,19,21,23,25,27,29,31,33,35,37,39,41,43,45,48,51,53,55},{0,10,20,30,40,50,60,62,64,66,68,70,72,74,76,78,80,85,90,95,100})</f>
        <v>10</v>
      </c>
      <c r="K667" s="5"/>
      <c r="L667" s="5"/>
      <c r="M667" s="5">
        <f t="shared" si="316"/>
        <v>10</v>
      </c>
      <c r="N667" s="5">
        <v>12.1</v>
      </c>
      <c r="O667" s="10">
        <f t="shared" si="317"/>
        <v>5.9</v>
      </c>
      <c r="P667" s="7">
        <f>LOOKUP(O667,{0,6.6,6.8,7,7.2,7.4,7.6,7.8,8,8.2,8.4,8.6,8.8,9,9.2,9.4,9.6,9.9,10.2,10.3,10.4},{0,10,20,30,40,50,60,62,64,66,68,70,72,74,76,78,80,85,90,95,100})</f>
        <v>0</v>
      </c>
      <c r="Q667" s="5">
        <v>5.19</v>
      </c>
      <c r="R667" s="10">
        <f t="shared" si="318"/>
        <v>4.81</v>
      </c>
      <c r="S667" s="7">
        <f>LOOKUP(R667,{0,4.74,4.84,4.94,5.44,5.54,5.64,5.69,5.74,5.79,5.84,5.89,5.94,5.99,6.44,6.49,6.54,6.61,6.68,6.74,6.8},{0,10,20,30,40,50,60,62,64,66,68,70,72,74,76,78,80,85,90,95,100})</f>
        <v>10</v>
      </c>
      <c r="T667" s="5"/>
      <c r="U667" s="5"/>
      <c r="V667" s="5">
        <f t="shared" si="319"/>
        <v>10</v>
      </c>
      <c r="W667" s="5"/>
      <c r="X667" s="13">
        <f t="shared" si="320"/>
        <v>18.2</v>
      </c>
      <c r="Y667" s="13">
        <f t="shared" si="321"/>
        <v>26</v>
      </c>
      <c r="Z667" s="19"/>
    </row>
    <row r="668" ht="15.6" hidden="1" outlineLevel="2" spans="1:26">
      <c r="A668" s="5">
        <v>314</v>
      </c>
      <c r="B668" s="5">
        <v>46</v>
      </c>
      <c r="C668" s="9" t="s">
        <v>730</v>
      </c>
      <c r="D668" s="9" t="s">
        <v>46</v>
      </c>
      <c r="E668" s="5">
        <v>8.5</v>
      </c>
      <c r="F668" s="7">
        <f>LOOKUP(E668,{0,1.5,2.3,3.1,3.9,4.7,5.5,6.8,8.1,9.4,10.7,12,13.3,14.6,15.9,17.2,18.5,20.2,21.9,23.6,25.3},{0,10,20,30,40,50,60,62,64,66,68,70,72,74,76,78,80,85,90,95,100})</f>
        <v>64</v>
      </c>
      <c r="G668" s="5">
        <v>160</v>
      </c>
      <c r="H668" s="7">
        <f>LOOKUP(G668,{0,125,130,135,140,145,150,153,156,159,162,165,168,171,174,177,180,187,194,200,206},{0,10,20,30,40,50,60,62,64,66,68,70,72,74,76,78,80,85,90,95,100})</f>
        <v>66</v>
      </c>
      <c r="I668" s="5">
        <v>60</v>
      </c>
      <c r="J668" s="7">
        <f>LOOKUP(I668,{0,15,17,19,21,23,25,27,29,31,33,35,37,39,41,43,45,48,51,53,55},{0,10,20,30,40,50,60,62,64,66,68,70,72,74,76,78,80,85,90,95,100})</f>
        <v>100</v>
      </c>
      <c r="K668" s="11">
        <f>I668-55</f>
        <v>5</v>
      </c>
      <c r="L668" s="7">
        <f>LOOKUP(K668,{0,2,4,6,7,8,9,10,11,12,13},{0,1,2,3,4,5,6,7,8,9,10})</f>
        <v>2</v>
      </c>
      <c r="M668" s="5">
        <f t="shared" si="316"/>
        <v>102</v>
      </c>
      <c r="N668" s="5">
        <v>8.7</v>
      </c>
      <c r="O668" s="10">
        <f t="shared" si="317"/>
        <v>9.3</v>
      </c>
      <c r="P668" s="7">
        <f>LOOKUP(O668,{0,6.6,6.8,7,7.2,7.4,7.6,7.8,8,8.2,8.4,8.6,8.8,9,9.2,9.4,9.6,9.9,10.2,10.3,10.4},{0,10,20,30,40,50,60,62,64,66,68,70,72,74,76,78,80,85,90,95,100})</f>
        <v>76</v>
      </c>
      <c r="Q668" s="5" t="s">
        <v>77</v>
      </c>
      <c r="R668" s="5"/>
      <c r="S668" s="5"/>
      <c r="T668" s="5"/>
      <c r="U668" s="5"/>
      <c r="V668" s="5"/>
      <c r="W668" s="5"/>
      <c r="X668" s="13">
        <f t="shared" si="320"/>
        <v>38.2</v>
      </c>
      <c r="Y668" s="13">
        <f t="shared" si="321"/>
        <v>56.5714285714286</v>
      </c>
      <c r="Z668" s="19"/>
    </row>
    <row r="669" ht="15.6" hidden="1" outlineLevel="2" spans="1:26">
      <c r="A669" s="5">
        <v>314</v>
      </c>
      <c r="B669" s="5">
        <v>47</v>
      </c>
      <c r="C669" s="9" t="s">
        <v>731</v>
      </c>
      <c r="D669" s="9" t="s">
        <v>46</v>
      </c>
      <c r="E669" s="5">
        <v>19</v>
      </c>
      <c r="F669" s="7">
        <f>LOOKUP(E669,{0,1.5,2.3,3.1,3.9,4.7,5.5,6.8,8.1,9.4,10.7,12,13.3,14.6,15.9,17.2,18.5,20.2,21.9,23.6,25.3},{0,10,20,30,40,50,60,62,64,66,68,70,72,74,76,78,80,85,90,95,100})</f>
        <v>80</v>
      </c>
      <c r="G669" s="5">
        <v>166</v>
      </c>
      <c r="H669" s="7">
        <f>LOOKUP(G669,{0,125,130,135,140,145,150,153,156,159,162,165,168,171,174,177,180,187,194,200,206},{0,10,20,30,40,50,60,62,64,66,68,70,72,74,76,78,80,85,90,95,100})</f>
        <v>70</v>
      </c>
      <c r="I669" s="5">
        <v>50</v>
      </c>
      <c r="J669" s="7">
        <f>LOOKUP(I669,{0,15,17,19,21,23,25,27,29,31,33,35,37,39,41,43,45,48,51,53,55},{0,10,20,30,40,50,60,62,64,66,68,70,72,74,76,78,80,85,90,95,100})</f>
        <v>85</v>
      </c>
      <c r="K669" s="5"/>
      <c r="L669" s="5"/>
      <c r="M669" s="5">
        <f t="shared" si="316"/>
        <v>85</v>
      </c>
      <c r="N669" s="5">
        <v>9.4</v>
      </c>
      <c r="O669" s="10">
        <f t="shared" si="317"/>
        <v>8.6</v>
      </c>
      <c r="P669" s="7">
        <f>LOOKUP(O669,{0,6.6,6.8,7,7.2,7.4,7.6,7.8,8,8.2,8.4,8.6,8.8,9,9.2,9.4,9.6,9.9,10.2,10.3,10.4},{0,10,20,30,40,50,60,62,64,66,68,70,72,74,76,78,80,85,90,95,100})</f>
        <v>70</v>
      </c>
      <c r="Q669" s="5">
        <v>4.38</v>
      </c>
      <c r="R669" s="10">
        <f t="shared" si="318"/>
        <v>5.62</v>
      </c>
      <c r="S669" s="7">
        <f>LOOKUP(R669,{0,4.74,4.84,4.94,5.44,5.54,5.64,5.69,5.74,5.79,5.84,5.89,5.94,5.99,6.44,6.49,6.54,6.61,6.68,6.74,6.8},{0,10,20,30,40,50,60,62,64,66,68,70,72,74,76,78,80,85,90,95,100})</f>
        <v>50</v>
      </c>
      <c r="T669" s="5"/>
      <c r="U669" s="5"/>
      <c r="V669" s="5">
        <f t="shared" si="319"/>
        <v>50</v>
      </c>
      <c r="W669" s="5"/>
      <c r="X669" s="13">
        <f t="shared" si="320"/>
        <v>47.5</v>
      </c>
      <c r="Y669" s="13">
        <f t="shared" si="321"/>
        <v>67.8571428571429</v>
      </c>
      <c r="Z669" s="19"/>
    </row>
    <row r="670" hidden="1" outlineLevel="2" spans="1:26">
      <c r="A670" s="5">
        <v>314</v>
      </c>
      <c r="B670" s="5">
        <v>48</v>
      </c>
      <c r="C670" s="9" t="s">
        <v>732</v>
      </c>
      <c r="D670" s="9" t="s">
        <v>46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>
        <v>50</v>
      </c>
      <c r="X670" s="13"/>
      <c r="Y670" s="13">
        <v>50</v>
      </c>
      <c r="Z670" s="19"/>
    </row>
    <row r="671" outlineLevel="1" collapsed="1" spans="1:26">
      <c r="A671" s="6" t="s">
        <v>865</v>
      </c>
      <c r="B671" s="5"/>
      <c r="C671" s="9"/>
      <c r="D671" s="9"/>
      <c r="E671" s="5"/>
      <c r="F671" s="5">
        <f>SUBTOTAL(1,F624:F670)</f>
        <v>74.3953488372093</v>
      </c>
      <c r="G671" s="5"/>
      <c r="H671" s="5">
        <f>SUBTOTAL(1,H624:H670)</f>
        <v>70.0952380952381</v>
      </c>
      <c r="I671" s="5"/>
      <c r="J671" s="5">
        <f>SUBTOTAL(1,J624:J670)</f>
        <v>60.5121951219512</v>
      </c>
      <c r="K671" s="5"/>
      <c r="L671" s="5"/>
      <c r="M671" s="5">
        <f>SUBTOTAL(1,M624:M670)</f>
        <v>60.5853658536585</v>
      </c>
      <c r="N671" s="5"/>
      <c r="O671" s="5"/>
      <c r="P671" s="5">
        <f>SUBTOTAL(1,P624:P670)</f>
        <v>70.0277777777778</v>
      </c>
      <c r="Q671" s="5"/>
      <c r="R671" s="5"/>
      <c r="S671" s="5">
        <f>SUBTOTAL(1,S624:S670)</f>
        <v>54.5263157894737</v>
      </c>
      <c r="T671" s="5"/>
      <c r="U671" s="5"/>
      <c r="V671" s="5">
        <f>SUBTOTAL(1,V624:V670)</f>
        <v>54.5263157894737</v>
      </c>
      <c r="W671" s="5"/>
      <c r="X671" s="13">
        <f>SUBTOTAL(1,X624:X670)</f>
        <v>42.7609756097561</v>
      </c>
      <c r="Y671" s="13">
        <f>SUBTOTAL(1,Y624:Y670)</f>
        <v>60.9179331306991</v>
      </c>
      <c r="Z671" s="19"/>
    </row>
    <row r="672" ht="15.6" hidden="1" outlineLevel="2" spans="1:26">
      <c r="A672" s="5">
        <v>315</v>
      </c>
      <c r="B672" s="5">
        <v>1</v>
      </c>
      <c r="C672" s="8" t="s">
        <v>734</v>
      </c>
      <c r="D672" s="9" t="s">
        <v>12</v>
      </c>
      <c r="E672" s="5">
        <v>16</v>
      </c>
      <c r="F672" s="7">
        <f>LOOKUP(E672,{0,-1.8,-0.8,0.2,1.2,2.2,3.2,4.6,6,7.4,8.8,10.2,11.6,13,14.4,15.8,17.2,19.1,21,22.8,24.6},{0,10,20,30,40,50,60,62,64,66,68,70,72,74,76,78,80,85,90,95,100})</f>
        <v>78</v>
      </c>
      <c r="G672" s="5">
        <v>225</v>
      </c>
      <c r="H672" s="7">
        <f>LOOKUP(G672,{0,180,185,190,195,200,205,209,213,217,221,225,229,233,237,241,245,253,260,265,270},{0,10,20,30,40,50,60,62,64,66,68,70,72,74,76,78,80,85,90,95,100})</f>
        <v>70</v>
      </c>
      <c r="I672" s="5">
        <v>6</v>
      </c>
      <c r="J672" s="7">
        <f>LOOKUP(I672,{0,4,5,6,7,8,9,10,11,12,13,14,15,16,17,18},{0,10,20,30,40,50,60,64,68,72,76,80,85,90,95,100})</f>
        <v>30</v>
      </c>
      <c r="K672" s="5"/>
      <c r="L672" s="5"/>
      <c r="M672" s="5">
        <f t="shared" ref="M672:M718" si="322">J672+L672</f>
        <v>30</v>
      </c>
      <c r="N672" s="5">
        <v>7.5</v>
      </c>
      <c r="O672" s="10">
        <f t="shared" ref="O672:O724" si="323">18-N672</f>
        <v>10.5</v>
      </c>
      <c r="P672" s="7">
        <f>LOOKUP(O672,{0,7.8,8,8.2,8.4,8.6,8.8,9,9.2,9.4,9.6,9.8,10,10.2,10.4,10.6,10.8,10.9,11,11.1,11.2},{0,10,20,30,40,50,60,62,64,66,68,70,72,74,76,78,80,85,90,95,100})</f>
        <v>76</v>
      </c>
      <c r="Q672" s="5">
        <v>5.07</v>
      </c>
      <c r="R672" s="10">
        <f t="shared" ref="R672:R713" si="324">10-Q672</f>
        <v>4.93</v>
      </c>
      <c r="S672" s="7">
        <f>LOOKUP(R672,{0,3.85,4.45,4.65,4.85,5.45,5.65,5.7,5.75,5.8,5.85,5.9,5.95,6,6.45,6.5,6.55,6.63,6.7,6.75,6.8},{0,10,20,30,40,50,60,62,64,66,68,70,72,74,76,78,80,85,90,95,100})</f>
        <v>40</v>
      </c>
      <c r="T672" s="5"/>
      <c r="U672" s="5"/>
      <c r="V672" s="5">
        <f t="shared" ref="V672:V713" si="325">S672+U672</f>
        <v>40</v>
      </c>
      <c r="W672" s="5"/>
      <c r="X672" s="13">
        <f t="shared" ref="X672:X724" si="326">F672*0.1+H672*0.1+J672*0.1+P672*0.2+S672*0.2</f>
        <v>41</v>
      </c>
      <c r="Y672" s="13">
        <f t="shared" ref="Y672:Y713" si="327">X672/0.7+L672+U672</f>
        <v>58.5714285714286</v>
      </c>
      <c r="Z672" s="19"/>
    </row>
    <row r="673" ht="15.6" hidden="1" outlineLevel="2" spans="1:26">
      <c r="A673" s="5">
        <v>315</v>
      </c>
      <c r="B673" s="5">
        <v>2</v>
      </c>
      <c r="C673" s="9" t="s">
        <v>735</v>
      </c>
      <c r="D673" s="9" t="s">
        <v>12</v>
      </c>
      <c r="E673" s="5">
        <v>2.5</v>
      </c>
      <c r="F673" s="7">
        <f>LOOKUP(E673,{0,-1.8,-0.8,0.2,1.2,2.2,3.2,4.6,6,7.4,8.8,10.2,11.6,13,14.4,15.8,17.2,19.1,21,22.8,24.6},{0,10,20,30,40,50,60,62,64,66,68,70,72,74,76,78,80,85,90,95,100})</f>
        <v>50</v>
      </c>
      <c r="G673" s="5">
        <v>220</v>
      </c>
      <c r="H673" s="7">
        <f>LOOKUP(G673,{0,180,185,190,195,200,205,209,213,217,221,225,229,233,237,241,245,253,260,265,270},{0,10,20,30,40,50,60,62,64,66,68,70,72,74,76,78,80,85,90,95,100})</f>
        <v>66</v>
      </c>
      <c r="I673" s="5">
        <v>6</v>
      </c>
      <c r="J673" s="7">
        <f>LOOKUP(I673,{0,4,5,6,7,8,9,10,11,12,13,14,15,16,17,18},{0,10,20,30,40,50,60,64,68,72,76,80,85,90,95,100})</f>
        <v>30</v>
      </c>
      <c r="K673" s="5"/>
      <c r="L673" s="5"/>
      <c r="M673" s="5">
        <f t="shared" si="322"/>
        <v>30</v>
      </c>
      <c r="N673" s="5">
        <v>7.8</v>
      </c>
      <c r="O673" s="10">
        <f t="shared" si="323"/>
        <v>10.2</v>
      </c>
      <c r="P673" s="7">
        <f>LOOKUP(O673,{0,7.8,8,8.2,8.4,8.6,8.8,9,9.2,9.4,9.6,9.8,10,10.2,10.4,10.6,10.8,10.9,11,11.1,11.2},{0,10,20,30,40,50,60,62,64,66,68,70,72,74,76,78,80,85,90,95,100})</f>
        <v>74</v>
      </c>
      <c r="Q673" s="5">
        <v>5.07</v>
      </c>
      <c r="R673" s="10">
        <f t="shared" si="324"/>
        <v>4.93</v>
      </c>
      <c r="S673" s="7">
        <f>LOOKUP(R673,{0,3.85,4.45,4.65,4.85,5.45,5.65,5.7,5.75,5.8,5.85,5.9,5.95,6,6.45,6.5,6.55,6.63,6.7,6.75,6.8},{0,10,20,30,40,50,60,62,64,66,68,70,72,74,76,78,80,85,90,95,100})</f>
        <v>40</v>
      </c>
      <c r="T673" s="5"/>
      <c r="U673" s="5"/>
      <c r="V673" s="5">
        <f t="shared" si="325"/>
        <v>40</v>
      </c>
      <c r="W673" s="5"/>
      <c r="X673" s="13">
        <f t="shared" si="326"/>
        <v>37.4</v>
      </c>
      <c r="Y673" s="13">
        <f t="shared" si="327"/>
        <v>53.4285714285714</v>
      </c>
      <c r="Z673" s="19"/>
    </row>
    <row r="674" ht="15.6" hidden="1" outlineLevel="2" spans="1:26">
      <c r="A674" s="5">
        <v>315</v>
      </c>
      <c r="B674" s="5">
        <v>3</v>
      </c>
      <c r="C674" s="9" t="s">
        <v>736</v>
      </c>
      <c r="D674" s="9" t="s">
        <v>12</v>
      </c>
      <c r="E674" s="5">
        <v>11.5</v>
      </c>
      <c r="F674" s="7">
        <f>LOOKUP(E674,{0,-1.8,-0.8,0.2,1.2,2.2,3.2,4.6,6,7.4,8.8,10.2,11.6,13,14.4,15.8,17.2,19.1,21,22.8,24.6},{0,10,20,30,40,50,60,62,64,66,68,70,72,74,76,78,80,85,90,95,100})</f>
        <v>70</v>
      </c>
      <c r="G674" s="5">
        <v>220</v>
      </c>
      <c r="H674" s="7">
        <f>LOOKUP(G674,{0,180,185,190,195,200,205,209,213,217,221,225,229,233,237,241,245,253,260,265,270},{0,10,20,30,40,50,60,62,64,66,68,70,72,74,76,78,80,85,90,95,100})</f>
        <v>66</v>
      </c>
      <c r="I674" s="5">
        <v>4</v>
      </c>
      <c r="J674" s="7">
        <f>LOOKUP(I674,{0,4,5,6,7,8,9,10,11,12,13,14,15,16,17,18},{0,10,20,30,40,50,60,64,68,72,76,80,85,90,95,100})</f>
        <v>10</v>
      </c>
      <c r="K674" s="5"/>
      <c r="L674" s="5"/>
      <c r="M674" s="5">
        <f t="shared" si="322"/>
        <v>10</v>
      </c>
      <c r="N674" s="5">
        <v>7.2</v>
      </c>
      <c r="O674" s="10">
        <f t="shared" si="323"/>
        <v>10.8</v>
      </c>
      <c r="P674" s="7">
        <f>LOOKUP(O674,{0,7.8,8,8.2,8.4,8.6,8.8,9,9.2,9.4,9.6,9.8,10,10.2,10.4,10.6,10.8,10.9,11,11.1,11.2},{0,10,20,30,40,50,60,62,64,66,68,70,72,74,76,78,80,85,90,95,100})</f>
        <v>80</v>
      </c>
      <c r="Q674" s="5">
        <v>4.52</v>
      </c>
      <c r="R674" s="10">
        <f t="shared" si="324"/>
        <v>5.48</v>
      </c>
      <c r="S674" s="7">
        <f>LOOKUP(R674,{0,3.85,4.45,4.65,4.85,5.45,5.65,5.7,5.75,5.8,5.85,5.9,5.95,6,6.45,6.5,6.55,6.63,6.7,6.75,6.8},{0,10,20,30,40,50,60,62,64,66,68,70,72,74,76,78,80,85,90,95,100})</f>
        <v>50</v>
      </c>
      <c r="T674" s="5"/>
      <c r="U674" s="5"/>
      <c r="V674" s="5">
        <f t="shared" si="325"/>
        <v>50</v>
      </c>
      <c r="W674" s="5"/>
      <c r="X674" s="13">
        <f t="shared" si="326"/>
        <v>40.6</v>
      </c>
      <c r="Y674" s="13">
        <f t="shared" si="327"/>
        <v>58</v>
      </c>
      <c r="Z674" s="19"/>
    </row>
    <row r="675" ht="15.6" hidden="1" outlineLevel="2" spans="1:26">
      <c r="A675" s="5">
        <v>315</v>
      </c>
      <c r="B675" s="5">
        <v>4</v>
      </c>
      <c r="C675" s="9" t="s">
        <v>737</v>
      </c>
      <c r="D675" s="9" t="s">
        <v>12</v>
      </c>
      <c r="E675" s="5">
        <v>17</v>
      </c>
      <c r="F675" s="7">
        <f>LOOKUP(E675,{0,-1.8,-0.8,0.2,1.2,2.2,3.2,4.6,6,7.4,8.8,10.2,11.6,13,14.4,15.8,17.2,19.1,21,22.8,24.6},{0,10,20,30,40,50,60,62,64,66,68,70,72,74,76,78,80,85,90,95,100})</f>
        <v>78</v>
      </c>
      <c r="G675" s="5">
        <v>215</v>
      </c>
      <c r="H675" s="7">
        <f>LOOKUP(G675,{0,180,185,190,195,200,205,209,213,217,221,225,229,233,237,241,245,253,260,265,270},{0,10,20,30,40,50,60,62,64,66,68,70,72,74,76,78,80,85,90,95,100})</f>
        <v>64</v>
      </c>
      <c r="I675" s="5">
        <v>4</v>
      </c>
      <c r="J675" s="7">
        <f>LOOKUP(I675,{0,4,5,6,7,8,9,10,11,12,13,14,15,16,17,18},{0,10,20,30,40,50,60,64,68,72,76,80,85,90,95,100})</f>
        <v>10</v>
      </c>
      <c r="K675" s="5"/>
      <c r="L675" s="5"/>
      <c r="M675" s="5">
        <f t="shared" si="322"/>
        <v>10</v>
      </c>
      <c r="N675" s="5">
        <v>8.2</v>
      </c>
      <c r="O675" s="10">
        <f t="shared" si="323"/>
        <v>9.8</v>
      </c>
      <c r="P675" s="7">
        <f>LOOKUP(O675,{0,7.8,8,8.2,8.4,8.6,8.8,9,9.2,9.4,9.6,9.8,10,10.2,10.4,10.6,10.8,10.9,11,11.1,11.2},{0,10,20,30,40,50,60,62,64,66,68,70,72,74,76,78,80,85,90,95,100})</f>
        <v>70</v>
      </c>
      <c r="Q675" s="5">
        <v>5.07</v>
      </c>
      <c r="R675" s="10">
        <f t="shared" si="324"/>
        <v>4.93</v>
      </c>
      <c r="S675" s="7">
        <f>LOOKUP(R675,{0,3.85,4.45,4.65,4.85,5.45,5.65,5.7,5.75,5.8,5.85,5.9,5.95,6,6.45,6.5,6.55,6.63,6.7,6.75,6.8},{0,10,20,30,40,50,60,62,64,66,68,70,72,74,76,78,80,85,90,95,100})</f>
        <v>40</v>
      </c>
      <c r="T675" s="5"/>
      <c r="U675" s="5"/>
      <c r="V675" s="5">
        <f t="shared" si="325"/>
        <v>40</v>
      </c>
      <c r="W675" s="5"/>
      <c r="X675" s="13">
        <f t="shared" si="326"/>
        <v>37.2</v>
      </c>
      <c r="Y675" s="13">
        <f t="shared" si="327"/>
        <v>53.1428571428572</v>
      </c>
      <c r="Z675" s="19"/>
    </row>
    <row r="676" ht="15.6" hidden="1" outlineLevel="2" spans="1:26">
      <c r="A676" s="5">
        <v>315</v>
      </c>
      <c r="B676" s="5">
        <v>5</v>
      </c>
      <c r="C676" s="9" t="s">
        <v>738</v>
      </c>
      <c r="D676" s="9" t="s">
        <v>12</v>
      </c>
      <c r="E676" s="5">
        <v>7.6</v>
      </c>
      <c r="F676" s="7">
        <f>LOOKUP(E676,{0,-1.8,-0.8,0.2,1.2,2.2,3.2,4.6,6,7.4,8.8,10.2,11.6,13,14.4,15.8,17.2,19.1,21,22.8,24.6},{0,10,20,30,40,50,60,62,64,66,68,70,72,74,76,78,80,85,90,95,100})</f>
        <v>66</v>
      </c>
      <c r="G676" s="5">
        <v>253</v>
      </c>
      <c r="H676" s="7">
        <f>LOOKUP(G676,{0,180,185,190,195,200,205,209,213,217,221,225,229,233,237,241,245,253,260,265,270},{0,10,20,30,40,50,60,62,64,66,68,70,72,74,76,78,80,85,90,95,100})</f>
        <v>85</v>
      </c>
      <c r="I676" s="5">
        <v>20</v>
      </c>
      <c r="J676" s="7">
        <f>LOOKUP(I676,{0,4,5,6,7,8,9,10,11,12,13,14,15,16,17,18},{0,10,20,30,40,50,60,64,68,72,76,80,85,90,95,100})</f>
        <v>100</v>
      </c>
      <c r="K676" s="5">
        <f>I676-18</f>
        <v>2</v>
      </c>
      <c r="L676" s="7">
        <f>LOOKUP(K676,{0,1,2,3,4,5,6,7,8,9,10},{0,1,2,3,4,5,6,7,8,9,10})</f>
        <v>2</v>
      </c>
      <c r="M676" s="5">
        <f t="shared" si="322"/>
        <v>102</v>
      </c>
      <c r="N676" s="5">
        <v>6.8</v>
      </c>
      <c r="O676" s="10">
        <f t="shared" si="323"/>
        <v>11.2</v>
      </c>
      <c r="P676" s="7">
        <f>LOOKUP(O676,{0,7.8,8,8.2,8.4,8.6,8.8,9,9.2,9.4,9.6,9.8,10,10.2,10.4,10.6,10.8,10.9,11,11.1,11.2},{0,10,20,30,40,50,60,62,64,66,68,70,72,74,76,78,80,85,90,95,100})</f>
        <v>100</v>
      </c>
      <c r="Q676" s="5">
        <v>4.44</v>
      </c>
      <c r="R676" s="10">
        <f t="shared" si="324"/>
        <v>5.56</v>
      </c>
      <c r="S676" s="7">
        <f>LOOKUP(R676,{0,3.85,4.45,4.65,4.85,5.45,5.65,5.7,5.75,5.8,5.85,5.9,5.95,6,6.45,6.5,6.55,6.63,6.7,6.75,6.8},{0,10,20,30,40,50,60,62,64,66,68,70,72,74,76,78,80,85,90,95,100})</f>
        <v>50</v>
      </c>
      <c r="T676" s="5"/>
      <c r="U676" s="5"/>
      <c r="V676" s="5">
        <f t="shared" si="325"/>
        <v>50</v>
      </c>
      <c r="W676" s="5"/>
      <c r="X676" s="13">
        <f t="shared" si="326"/>
        <v>55.1</v>
      </c>
      <c r="Y676" s="13">
        <f t="shared" si="327"/>
        <v>80.7142857142857</v>
      </c>
      <c r="Z676" s="19"/>
    </row>
    <row r="677" ht="15.6" hidden="1" outlineLevel="2" spans="1:26">
      <c r="A677" s="5">
        <v>315</v>
      </c>
      <c r="B677" s="5">
        <v>6</v>
      </c>
      <c r="C677" s="9" t="s">
        <v>739</v>
      </c>
      <c r="D677" s="9" t="s">
        <v>12</v>
      </c>
      <c r="E677" s="5">
        <v>20</v>
      </c>
      <c r="F677" s="7">
        <f>LOOKUP(E677,{0,-1.8,-0.8,0.2,1.2,2.2,3.2,4.6,6,7.4,8.8,10.2,11.6,13,14.4,15.8,17.2,19.1,21,22.8,24.6},{0,10,20,30,40,50,60,62,64,66,68,70,72,74,76,78,80,85,90,95,100})</f>
        <v>85</v>
      </c>
      <c r="G677" s="5">
        <v>255</v>
      </c>
      <c r="H677" s="7">
        <f>LOOKUP(G677,{0,180,185,190,195,200,205,209,213,217,221,225,229,233,237,241,245,253,260,265,270},{0,10,20,30,40,50,60,62,64,66,68,70,72,74,76,78,80,85,90,95,100})</f>
        <v>85</v>
      </c>
      <c r="I677" s="5">
        <v>11</v>
      </c>
      <c r="J677" s="7">
        <f>LOOKUP(I677,{0,4,5,6,7,8,9,10,11,12,13,14,15,16,17,18},{0,10,20,30,40,50,60,64,68,72,76,80,85,90,95,100})</f>
        <v>68</v>
      </c>
      <c r="K677" s="5"/>
      <c r="L677" s="5"/>
      <c r="M677" s="5">
        <f t="shared" si="322"/>
        <v>68</v>
      </c>
      <c r="N677" s="5">
        <v>6.5</v>
      </c>
      <c r="O677" s="10">
        <f t="shared" si="323"/>
        <v>11.5</v>
      </c>
      <c r="P677" s="7">
        <f>LOOKUP(O677,{0,7.8,8,8.2,8.4,8.6,8.8,9,9.2,9.4,9.6,9.8,10,10.2,10.4,10.6,10.8,10.9,11,11.1,11.2},{0,10,20,30,40,50,60,62,64,66,68,70,72,74,76,78,80,85,90,95,100})</f>
        <v>100</v>
      </c>
      <c r="Q677" s="5">
        <v>5.07</v>
      </c>
      <c r="R677" s="10">
        <f t="shared" si="324"/>
        <v>4.93</v>
      </c>
      <c r="S677" s="7">
        <f>LOOKUP(R677,{0,3.85,4.45,4.65,4.85,5.45,5.65,5.7,5.75,5.8,5.85,5.9,5.95,6,6.45,6.5,6.55,6.63,6.7,6.75,6.8},{0,10,20,30,40,50,60,62,64,66,68,70,72,74,76,78,80,85,90,95,100})</f>
        <v>40</v>
      </c>
      <c r="T677" s="5"/>
      <c r="U677" s="5"/>
      <c r="V677" s="5">
        <f t="shared" si="325"/>
        <v>40</v>
      </c>
      <c r="W677" s="5"/>
      <c r="X677" s="13">
        <f t="shared" si="326"/>
        <v>51.8</v>
      </c>
      <c r="Y677" s="13">
        <f t="shared" si="327"/>
        <v>74</v>
      </c>
      <c r="Z677" s="19"/>
    </row>
    <row r="678" ht="15.6" hidden="1" outlineLevel="2" spans="1:26">
      <c r="A678" s="5">
        <v>315</v>
      </c>
      <c r="B678" s="5">
        <v>7</v>
      </c>
      <c r="C678" s="9" t="s">
        <v>740</v>
      </c>
      <c r="D678" s="9" t="s">
        <v>12</v>
      </c>
      <c r="E678" s="5">
        <v>10.5</v>
      </c>
      <c r="F678" s="7">
        <f>LOOKUP(E678,{0,-1.8,-0.8,0.2,1.2,2.2,3.2,4.6,6,7.4,8.8,10.2,11.6,13,14.4,15.8,17.2,19.1,21,22.8,24.6},{0,10,20,30,40,50,60,62,64,66,68,70,72,74,76,78,80,85,90,95,100})</f>
        <v>70</v>
      </c>
      <c r="G678" s="5">
        <v>205</v>
      </c>
      <c r="H678" s="7">
        <f>LOOKUP(G678,{0,180,185,190,195,200,205,209,213,217,221,225,229,233,237,241,245,253,260,265,270},{0,10,20,30,40,50,60,62,64,66,68,70,72,74,76,78,80,85,90,95,100})</f>
        <v>60</v>
      </c>
      <c r="I678" s="5">
        <v>18</v>
      </c>
      <c r="J678" s="7">
        <f>LOOKUP(I678,{0,4,5,6,7,8,9,10,11,12,13,14,15,16,17,18},{0,10,20,30,40,50,60,64,68,72,76,80,85,90,95,100})</f>
        <v>100</v>
      </c>
      <c r="K678" s="5"/>
      <c r="L678" s="5"/>
      <c r="M678" s="5">
        <f t="shared" si="322"/>
        <v>100</v>
      </c>
      <c r="N678" s="5">
        <v>7.4</v>
      </c>
      <c r="O678" s="10">
        <f t="shared" si="323"/>
        <v>10.6</v>
      </c>
      <c r="P678" s="7">
        <f>LOOKUP(O678,{0,7.8,8,8.2,8.4,8.6,8.8,9,9.2,9.4,9.6,9.8,10,10.2,10.4,10.6,10.8,10.9,11,11.1,11.2},{0,10,20,30,40,50,60,62,64,66,68,70,72,74,76,78,80,85,90,95,100})</f>
        <v>78</v>
      </c>
      <c r="Q678" s="5">
        <v>5.07</v>
      </c>
      <c r="R678" s="10">
        <f t="shared" si="324"/>
        <v>4.93</v>
      </c>
      <c r="S678" s="7">
        <f>LOOKUP(R678,{0,3.85,4.45,4.65,4.85,5.45,5.65,5.7,5.75,5.8,5.85,5.9,5.95,6,6.45,6.5,6.55,6.63,6.7,6.75,6.8},{0,10,20,30,40,50,60,62,64,66,68,70,72,74,76,78,80,85,90,95,100})</f>
        <v>40</v>
      </c>
      <c r="T678" s="5"/>
      <c r="U678" s="5"/>
      <c r="V678" s="5">
        <f t="shared" si="325"/>
        <v>40</v>
      </c>
      <c r="W678" s="5"/>
      <c r="X678" s="13">
        <f t="shared" si="326"/>
        <v>46.6</v>
      </c>
      <c r="Y678" s="13">
        <f t="shared" si="327"/>
        <v>66.5714285714286</v>
      </c>
      <c r="Z678" s="19"/>
    </row>
    <row r="679" ht="15.6" hidden="1" outlineLevel="2" spans="1:26">
      <c r="A679" s="5">
        <v>315</v>
      </c>
      <c r="B679" s="5">
        <v>8</v>
      </c>
      <c r="C679" s="9" t="s">
        <v>741</v>
      </c>
      <c r="D679" s="9" t="s">
        <v>12</v>
      </c>
      <c r="E679" s="5">
        <v>12</v>
      </c>
      <c r="F679" s="7">
        <f>LOOKUP(E679,{0,-1.8,-0.8,0.2,1.2,2.2,3.2,4.6,6,7.4,8.8,10.2,11.6,13,14.4,15.8,17.2,19.1,21,22.8,24.6},{0,10,20,30,40,50,60,62,64,66,68,70,72,74,76,78,80,85,90,95,100})</f>
        <v>72</v>
      </c>
      <c r="G679" s="5">
        <v>215</v>
      </c>
      <c r="H679" s="7">
        <f>LOOKUP(G679,{0,180,185,190,195,200,205,209,213,217,221,225,229,233,237,241,245,253,260,265,270},{0,10,20,30,40,50,60,62,64,66,68,70,72,74,76,78,80,85,90,95,100})</f>
        <v>64</v>
      </c>
      <c r="I679" s="5">
        <v>1</v>
      </c>
      <c r="J679" s="7">
        <f>LOOKUP(I679,{0,4,5,6,7,8,9,10,11,12,13,14,15,16,17,18},{0,10,20,30,40,50,60,64,68,72,76,80,85,90,95,100})</f>
        <v>0</v>
      </c>
      <c r="K679" s="5"/>
      <c r="L679" s="16"/>
      <c r="M679" s="5">
        <f t="shared" si="322"/>
        <v>0</v>
      </c>
      <c r="N679" s="5">
        <v>7.3</v>
      </c>
      <c r="O679" s="10">
        <f t="shared" si="323"/>
        <v>10.7</v>
      </c>
      <c r="P679" s="7">
        <f>LOOKUP(O679,{0,7.8,8,8.2,8.4,8.6,8.8,9,9.2,9.4,9.6,9.8,10,10.2,10.4,10.6,10.8,10.9,11,11.1,11.2},{0,10,20,30,40,50,60,62,64,66,68,70,72,74,76,78,80,85,90,95,100})</f>
        <v>78</v>
      </c>
      <c r="Q679" s="5">
        <v>5.07</v>
      </c>
      <c r="R679" s="10">
        <f t="shared" si="324"/>
        <v>4.93</v>
      </c>
      <c r="S679" s="7">
        <f>LOOKUP(R679,{0,3.85,4.45,4.65,4.85,5.45,5.65,5.7,5.75,5.8,5.85,5.9,5.95,6,6.45,6.5,6.55,6.63,6.7,6.75,6.8},{0,10,20,30,40,50,60,62,64,66,68,70,72,74,76,78,80,85,90,95,100})</f>
        <v>40</v>
      </c>
      <c r="T679" s="5"/>
      <c r="U679" s="5"/>
      <c r="V679" s="5">
        <f t="shared" si="325"/>
        <v>40</v>
      </c>
      <c r="W679" s="5"/>
      <c r="X679" s="13">
        <f t="shared" si="326"/>
        <v>37.2</v>
      </c>
      <c r="Y679" s="13">
        <f t="shared" si="327"/>
        <v>53.1428571428572</v>
      </c>
      <c r="Z679" s="19"/>
    </row>
    <row r="680" ht="15.6" hidden="1" outlineLevel="2" spans="1:26">
      <c r="A680" s="5">
        <v>315</v>
      </c>
      <c r="B680" s="5">
        <v>9</v>
      </c>
      <c r="C680" s="9" t="s">
        <v>742</v>
      </c>
      <c r="D680" s="9" t="s">
        <v>12</v>
      </c>
      <c r="E680" s="5">
        <v>9.6</v>
      </c>
      <c r="F680" s="7">
        <f>LOOKUP(E680,{0,-1.8,-0.8,0.2,1.2,2.2,3.2,4.6,6,7.4,8.8,10.2,11.6,13,14.4,15.8,17.2,19.1,21,22.8,24.6},{0,10,20,30,40,50,60,62,64,66,68,70,72,74,76,78,80,85,90,95,100})</f>
        <v>68</v>
      </c>
      <c r="G680" s="5">
        <v>260</v>
      </c>
      <c r="H680" s="7">
        <f>LOOKUP(G680,{0,180,185,190,195,200,205,209,213,217,221,225,229,233,237,241,245,253,260,265,270},{0,10,20,30,40,50,60,62,64,66,68,70,72,74,76,78,80,85,90,95,100})</f>
        <v>90</v>
      </c>
      <c r="I680" s="5">
        <v>8</v>
      </c>
      <c r="J680" s="7">
        <f>LOOKUP(I680,{0,4,5,6,7,8,9,10,11,12,13,14,15,16,17,18},{0,10,20,30,40,50,60,64,68,72,76,80,85,90,95,100})</f>
        <v>50</v>
      </c>
      <c r="K680" s="5"/>
      <c r="L680" s="5"/>
      <c r="M680" s="5">
        <f t="shared" si="322"/>
        <v>50</v>
      </c>
      <c r="N680" s="5">
        <v>7</v>
      </c>
      <c r="O680" s="10">
        <f t="shared" si="323"/>
        <v>11</v>
      </c>
      <c r="P680" s="7">
        <f>LOOKUP(O680,{0,7.8,8,8.2,8.4,8.6,8.8,9,9.2,9.4,9.6,9.8,10,10.2,10.4,10.6,10.8,10.9,11,11.1,11.2},{0,10,20,30,40,50,60,62,64,66,68,70,72,74,76,78,80,85,90,95,100})</f>
        <v>90</v>
      </c>
      <c r="Q680" s="5">
        <v>5.07</v>
      </c>
      <c r="R680" s="10">
        <f t="shared" si="324"/>
        <v>4.93</v>
      </c>
      <c r="S680" s="7">
        <f>LOOKUP(R680,{0,3.85,4.45,4.65,4.85,5.45,5.65,5.7,5.75,5.8,5.85,5.9,5.95,6,6.45,6.5,6.55,6.63,6.7,6.75,6.8},{0,10,20,30,40,50,60,62,64,66,68,70,72,74,76,78,80,85,90,95,100})</f>
        <v>40</v>
      </c>
      <c r="T680" s="5"/>
      <c r="U680" s="5"/>
      <c r="V680" s="5">
        <f t="shared" si="325"/>
        <v>40</v>
      </c>
      <c r="W680" s="5"/>
      <c r="X680" s="13">
        <f t="shared" si="326"/>
        <v>46.8</v>
      </c>
      <c r="Y680" s="13">
        <f t="shared" si="327"/>
        <v>66.8571428571429</v>
      </c>
      <c r="Z680" s="19"/>
    </row>
    <row r="681" ht="15.6" hidden="1" outlineLevel="2" spans="1:26">
      <c r="A681" s="5">
        <v>315</v>
      </c>
      <c r="B681" s="5">
        <v>10</v>
      </c>
      <c r="C681" s="8" t="s">
        <v>278</v>
      </c>
      <c r="D681" s="9" t="s">
        <v>46</v>
      </c>
      <c r="E681" s="5">
        <v>16</v>
      </c>
      <c r="F681" s="7">
        <f>LOOKUP(E681,{0,1.5,2.3,3.1,3.9,4.7,5.5,6.8,8.1,9.4,10.7,12,13.3,14.6,15.9,17.2,18.5,20.2,21.9,23.6,25.3},{0,10,20,30,40,50,60,62,64,66,68,70,72,74,76,78,80,85,90,95,100})</f>
        <v>76</v>
      </c>
      <c r="G681" s="5">
        <v>147</v>
      </c>
      <c r="H681" s="7">
        <f>LOOKUP(G681,{0,125,130,135,140,145,150,153,156,159,162,165,168,171,174,177,180,187,194,200,206},{0,10,20,30,40,50,60,62,64,66,68,70,72,74,76,78,80,85,90,95,100})</f>
        <v>50</v>
      </c>
      <c r="I681" s="5">
        <v>40</v>
      </c>
      <c r="J681" s="7">
        <f>LOOKUP(I681,{0,15,17,19,21,23,25,27,29,31,33,35,37,39,41,43,45,48,51,53,55},{0,10,20,30,40,50,60,62,64,66,68,70,72,74,76,78,80,85,90,95,100})</f>
        <v>74</v>
      </c>
      <c r="K681" s="5"/>
      <c r="L681" s="5"/>
      <c r="M681" s="5">
        <f t="shared" si="322"/>
        <v>74</v>
      </c>
      <c r="N681" s="5">
        <v>10.5</v>
      </c>
      <c r="O681" s="10">
        <f t="shared" si="323"/>
        <v>7.5</v>
      </c>
      <c r="P681" s="7">
        <f>LOOKUP(O681,{0,6.6,6.8,7,7.2,7.4,7.6,7.8,8,8.2,8.4,8.6,8.8,9,9.2,9.4,9.6,9.9,10.2,10.3,10.4},{0,10,20,30,40,50,60,62,64,66,68,70,72,74,76,78,80,85,90,95,100})</f>
        <v>50</v>
      </c>
      <c r="Q681" s="5">
        <v>4.49</v>
      </c>
      <c r="R681" s="10">
        <f t="shared" si="324"/>
        <v>5.51</v>
      </c>
      <c r="S681" s="7">
        <f>LOOKUP(R681,{0,4.74,4.84,4.94,5.44,5.54,5.64,5.69,5.74,5.79,5.84,5.89,5.94,5.99,6.44,6.49,6.54,6.61,6.68,6.74,6.8},{0,10,20,30,40,50,60,62,64,66,68,70,72,74,76,78,80,85,90,95,100})</f>
        <v>40</v>
      </c>
      <c r="T681" s="5"/>
      <c r="U681" s="5"/>
      <c r="V681" s="5">
        <f t="shared" si="325"/>
        <v>40</v>
      </c>
      <c r="W681" s="5"/>
      <c r="X681" s="13">
        <f t="shared" si="326"/>
        <v>38</v>
      </c>
      <c r="Y681" s="13">
        <f t="shared" si="327"/>
        <v>54.2857142857143</v>
      </c>
      <c r="Z681" s="19"/>
    </row>
    <row r="682" ht="15.6" hidden="1" outlineLevel="2" spans="1:26">
      <c r="A682" s="5">
        <v>315</v>
      </c>
      <c r="B682" s="5">
        <v>11</v>
      </c>
      <c r="C682" s="9" t="s">
        <v>744</v>
      </c>
      <c r="D682" s="9" t="s">
        <v>46</v>
      </c>
      <c r="E682" s="5">
        <v>19</v>
      </c>
      <c r="F682" s="7">
        <f>LOOKUP(E682,{0,1.5,2.3,3.1,3.9,4.7,5.5,6.8,8.1,9.4,10.7,12,13.3,14.6,15.9,17.2,18.5,20.2,21.9,23.6,25.3},{0,10,20,30,40,50,60,62,64,66,68,70,72,74,76,78,80,85,90,95,100})</f>
        <v>80</v>
      </c>
      <c r="G682" s="5">
        <v>165</v>
      </c>
      <c r="H682" s="7">
        <f>LOOKUP(G682,{0,125,130,135,140,145,150,153,156,159,162,165,168,171,174,177,180,187,194,200,206},{0,10,20,30,40,50,60,62,64,66,68,70,72,74,76,78,80,85,90,95,100})</f>
        <v>70</v>
      </c>
      <c r="I682" s="5">
        <v>35</v>
      </c>
      <c r="J682" s="7">
        <f>LOOKUP(I682,{0,15,17,19,21,23,25,27,29,31,33,35,37,39,41,43,45,48,51,53,55},{0,10,20,30,40,50,60,62,64,66,68,70,72,74,76,78,80,85,90,95,100})</f>
        <v>70</v>
      </c>
      <c r="K682" s="5"/>
      <c r="L682" s="5"/>
      <c r="M682" s="5">
        <f t="shared" si="322"/>
        <v>70</v>
      </c>
      <c r="N682" s="5">
        <v>9.2</v>
      </c>
      <c r="O682" s="10">
        <f t="shared" si="323"/>
        <v>8.8</v>
      </c>
      <c r="P682" s="7">
        <f>LOOKUP(O682,{0,6.6,6.8,7,7.2,7.4,7.6,7.8,8,8.2,8.4,8.6,8.8,9,9.2,9.4,9.6,9.9,10.2,10.3,10.4},{0,10,20,30,40,50,60,62,64,66,68,70,72,74,76,78,80,85,90,95,100})</f>
        <v>72</v>
      </c>
      <c r="Q682" s="5">
        <v>4.15</v>
      </c>
      <c r="R682" s="10">
        <f t="shared" si="324"/>
        <v>5.85</v>
      </c>
      <c r="S682" s="7">
        <f>LOOKUP(R682,{0,4.74,4.84,4.94,5.44,5.54,5.64,5.69,5.74,5.79,5.84,5.89,5.94,5.99,6.44,6.49,6.54,6.61,6.68,6.74,6.8},{0,10,20,30,40,50,60,62,64,66,68,70,72,74,76,78,80,85,90,95,100})</f>
        <v>68</v>
      </c>
      <c r="T682" s="5"/>
      <c r="U682" s="5"/>
      <c r="V682" s="5">
        <f t="shared" si="325"/>
        <v>68</v>
      </c>
      <c r="W682" s="5"/>
      <c r="X682" s="13">
        <f t="shared" si="326"/>
        <v>50</v>
      </c>
      <c r="Y682" s="13">
        <f t="shared" si="327"/>
        <v>71.4285714285714</v>
      </c>
      <c r="Z682" s="20"/>
    </row>
    <row r="683" ht="15.6" hidden="1" outlineLevel="2" spans="1:26">
      <c r="A683" s="5">
        <v>315</v>
      </c>
      <c r="B683" s="5">
        <v>12</v>
      </c>
      <c r="C683" s="9" t="s">
        <v>745</v>
      </c>
      <c r="D683" s="9" t="s">
        <v>46</v>
      </c>
      <c r="E683" s="5">
        <v>16.1</v>
      </c>
      <c r="F683" s="7">
        <f>LOOKUP(E683,{0,1.5,2.3,3.1,3.9,4.7,5.5,6.8,8.1,9.4,10.7,12,13.3,14.6,15.9,17.2,18.5,20.2,21.9,23.6,25.3},{0,10,20,30,40,50,60,62,64,66,68,70,72,74,76,78,80,85,90,95,100})</f>
        <v>76</v>
      </c>
      <c r="G683" s="5">
        <v>157</v>
      </c>
      <c r="H683" s="7">
        <f>LOOKUP(G683,{0,125,130,135,140,145,150,153,156,159,162,165,168,171,174,177,180,187,194,200,206},{0,10,20,30,40,50,60,62,64,66,68,70,72,74,76,78,80,85,90,95,100})</f>
        <v>64</v>
      </c>
      <c r="I683" s="5">
        <v>57</v>
      </c>
      <c r="J683" s="7">
        <f>LOOKUP(I683,{0,15,17,19,21,23,25,27,29,31,33,35,37,39,41,43,45,48,51,53,55},{0,10,20,30,40,50,60,62,64,66,68,70,72,74,76,78,80,85,90,95,100})</f>
        <v>100</v>
      </c>
      <c r="K683" s="11">
        <f>I683-55</f>
        <v>2</v>
      </c>
      <c r="L683" s="7">
        <f>LOOKUP(K683,{0,2,4,6,7,8,9,10,11,12,13},{0,1,2,3,4,5,6,7,8,9,10})</f>
        <v>1</v>
      </c>
      <c r="M683" s="5">
        <f t="shared" si="322"/>
        <v>101</v>
      </c>
      <c r="N683" s="5">
        <v>8.8</v>
      </c>
      <c r="O683" s="10">
        <f t="shared" si="323"/>
        <v>9.2</v>
      </c>
      <c r="P683" s="7">
        <f>LOOKUP(O683,{0,6.6,6.8,7,7.2,7.4,7.6,7.8,8,8.2,8.4,8.6,8.8,9,9.2,9.4,9.6,9.9,10.2,10.3,10.4},{0,10,20,30,40,50,60,62,64,66,68,70,72,74,76,78,80,85,90,95,100})</f>
        <v>76</v>
      </c>
      <c r="Q683" s="5">
        <v>4.02</v>
      </c>
      <c r="R683" s="10">
        <f t="shared" si="324"/>
        <v>5.98</v>
      </c>
      <c r="S683" s="7">
        <f>LOOKUP(R683,{0,4.74,4.84,4.94,5.44,5.54,5.64,5.69,5.74,5.79,5.84,5.89,5.94,5.99,6.44,6.49,6.54,6.61,6.68,6.74,6.8},{0,10,20,30,40,50,60,62,64,66,68,70,72,74,76,78,80,85,90,95,100})</f>
        <v>72</v>
      </c>
      <c r="T683" s="5"/>
      <c r="U683" s="5"/>
      <c r="V683" s="5">
        <f t="shared" si="325"/>
        <v>72</v>
      </c>
      <c r="W683" s="5"/>
      <c r="X683" s="13">
        <f t="shared" si="326"/>
        <v>53.6</v>
      </c>
      <c r="Y683" s="13">
        <f t="shared" si="327"/>
        <v>77.5714285714286</v>
      </c>
      <c r="Z683" s="19"/>
    </row>
    <row r="684" ht="15.6" hidden="1" outlineLevel="2" spans="1:26">
      <c r="A684" s="5">
        <v>315</v>
      </c>
      <c r="B684" s="5">
        <v>13</v>
      </c>
      <c r="C684" s="9" t="s">
        <v>746</v>
      </c>
      <c r="D684" s="9" t="s">
        <v>46</v>
      </c>
      <c r="E684" s="5">
        <v>27</v>
      </c>
      <c r="F684" s="7">
        <f>LOOKUP(E684,{0,1.5,2.3,3.1,3.9,4.7,5.5,6.8,8.1,9.4,10.7,12,13.3,14.6,15.9,17.2,18.5,20.2,21.9,23.6,25.3},{0,10,20,30,40,50,60,62,64,66,68,70,72,74,76,78,80,85,90,95,100})</f>
        <v>100</v>
      </c>
      <c r="G684" s="5">
        <v>178</v>
      </c>
      <c r="H684" s="7">
        <f>LOOKUP(G684,{0,125,130,135,140,145,150,153,156,159,162,165,168,171,174,177,180,187,194,200,206},{0,10,20,30,40,50,60,62,64,66,68,70,72,74,76,78,80,85,90,95,100})</f>
        <v>78</v>
      </c>
      <c r="I684" s="5">
        <v>50</v>
      </c>
      <c r="J684" s="7">
        <f>LOOKUP(I684,{0,15,17,19,21,23,25,27,29,31,33,35,37,39,41,43,45,48,51,53,55},{0,10,20,30,40,50,60,62,64,66,68,70,72,74,76,78,80,85,90,95,100})</f>
        <v>85</v>
      </c>
      <c r="K684" s="5"/>
      <c r="L684" s="5"/>
      <c r="M684" s="5">
        <f t="shared" si="322"/>
        <v>85</v>
      </c>
      <c r="N684" s="5">
        <v>8.5</v>
      </c>
      <c r="O684" s="10">
        <f t="shared" si="323"/>
        <v>9.5</v>
      </c>
      <c r="P684" s="7">
        <f>LOOKUP(O684,{0,6.6,6.8,7,7.2,7.4,7.6,7.8,8,8.2,8.4,8.6,8.8,9,9.2,9.4,9.6,9.9,10.2,10.3,10.4},{0,10,20,30,40,50,60,62,64,66,68,70,72,74,76,78,80,85,90,95,100})</f>
        <v>78</v>
      </c>
      <c r="Q684" s="5">
        <v>3.49</v>
      </c>
      <c r="R684" s="10">
        <f t="shared" si="324"/>
        <v>6.51</v>
      </c>
      <c r="S684" s="7">
        <f>LOOKUP(R684,{0,4.74,4.84,4.94,5.44,5.54,5.64,5.69,5.74,5.79,5.84,5.89,5.94,5.99,6.44,6.49,6.54,6.61,6.68,6.74,6.8},{0,10,20,30,40,50,60,62,64,66,68,70,72,74,76,78,80,85,90,95,100})</f>
        <v>78</v>
      </c>
      <c r="T684" s="5"/>
      <c r="U684" s="5"/>
      <c r="V684" s="5">
        <f t="shared" si="325"/>
        <v>78</v>
      </c>
      <c r="W684" s="5"/>
      <c r="X684" s="13">
        <f t="shared" si="326"/>
        <v>57.5</v>
      </c>
      <c r="Y684" s="13">
        <f t="shared" si="327"/>
        <v>82.1428571428572</v>
      </c>
      <c r="Z684" s="19"/>
    </row>
    <row r="685" ht="15.6" hidden="1" outlineLevel="2" spans="1:26">
      <c r="A685" s="5">
        <v>315</v>
      </c>
      <c r="B685" s="5">
        <v>14</v>
      </c>
      <c r="C685" s="9" t="s">
        <v>747</v>
      </c>
      <c r="D685" s="9" t="s">
        <v>46</v>
      </c>
      <c r="E685" s="5">
        <v>16.5</v>
      </c>
      <c r="F685" s="7">
        <f>LOOKUP(E685,{0,1.5,2.3,3.1,3.9,4.7,5.5,6.8,8.1,9.4,10.7,12,13.3,14.6,15.9,17.2,18.5,20.2,21.9,23.6,25.3},{0,10,20,30,40,50,60,62,64,66,68,70,72,74,76,78,80,85,90,95,100})</f>
        <v>76</v>
      </c>
      <c r="G685" s="5">
        <v>160</v>
      </c>
      <c r="H685" s="7">
        <f>LOOKUP(G685,{0,125,130,135,140,145,150,153,156,159,162,165,168,171,174,177,180,187,194,200,206},{0,10,20,30,40,50,60,62,64,66,68,70,72,74,76,78,80,85,90,95,100})</f>
        <v>66</v>
      </c>
      <c r="I685" s="5">
        <v>43</v>
      </c>
      <c r="J685" s="7">
        <f>LOOKUP(I685,{0,15,17,19,21,23,25,27,29,31,33,35,37,39,41,43,45,48,51,53,55},{0,10,20,30,40,50,60,62,64,66,68,70,72,74,76,78,80,85,90,95,100})</f>
        <v>78</v>
      </c>
      <c r="K685" s="5"/>
      <c r="L685" s="5"/>
      <c r="M685" s="5">
        <f t="shared" si="322"/>
        <v>78</v>
      </c>
      <c r="N685" s="5">
        <v>10.6</v>
      </c>
      <c r="O685" s="10">
        <f t="shared" si="323"/>
        <v>7.4</v>
      </c>
      <c r="P685" s="7">
        <f>LOOKUP(O685,{0,6.6,6.8,7,7.2,7.4,7.6,7.8,8,8.2,8.4,8.6,8.8,9,9.2,9.4,9.6,9.9,10.2,10.3,10.4},{0,10,20,30,40,50,60,62,64,66,68,70,72,74,76,78,80,85,90,95,100})</f>
        <v>50</v>
      </c>
      <c r="Q685" s="5">
        <v>4.5</v>
      </c>
      <c r="R685" s="10">
        <f t="shared" si="324"/>
        <v>5.5</v>
      </c>
      <c r="S685" s="7">
        <f>LOOKUP(R685,{0,4.74,4.84,4.94,5.44,5.54,5.64,5.69,5.74,5.79,5.84,5.89,5.94,5.99,6.44,6.49,6.54,6.61,6.68,6.74,6.8},{0,10,20,30,40,50,60,62,64,66,68,70,72,74,76,78,80,85,90,95,100})</f>
        <v>40</v>
      </c>
      <c r="T685" s="5"/>
      <c r="U685" s="5"/>
      <c r="V685" s="5">
        <f t="shared" si="325"/>
        <v>40</v>
      </c>
      <c r="W685" s="5"/>
      <c r="X685" s="13">
        <f t="shared" si="326"/>
        <v>40</v>
      </c>
      <c r="Y685" s="13">
        <f t="shared" si="327"/>
        <v>57.1428571428571</v>
      </c>
      <c r="Z685" s="19"/>
    </row>
    <row r="686" ht="15.6" hidden="1" outlineLevel="2" spans="1:26">
      <c r="A686" s="5">
        <v>315</v>
      </c>
      <c r="B686" s="5">
        <v>15</v>
      </c>
      <c r="C686" s="9" t="s">
        <v>748</v>
      </c>
      <c r="D686" s="9" t="s">
        <v>46</v>
      </c>
      <c r="E686" s="5">
        <v>24.5</v>
      </c>
      <c r="F686" s="7">
        <f>LOOKUP(E686,{0,1.5,2.3,3.1,3.9,4.7,5.5,6.8,8.1,9.4,10.7,12,13.3,14.6,15.9,17.2,18.5,20.2,21.9,23.6,25.3},{0,10,20,30,40,50,60,62,64,66,68,70,72,74,76,78,80,85,90,95,100})</f>
        <v>95</v>
      </c>
      <c r="G686" s="5">
        <v>198</v>
      </c>
      <c r="H686" s="7">
        <f>LOOKUP(G686,{0,125,130,135,140,145,150,153,156,159,162,165,168,171,174,177,180,187,194,200,206},{0,10,20,30,40,50,60,62,64,66,68,70,72,74,76,78,80,85,90,95,100})</f>
        <v>90</v>
      </c>
      <c r="I686" s="5">
        <v>42</v>
      </c>
      <c r="J686" s="7">
        <f>LOOKUP(I686,{0,15,17,19,21,23,25,27,29,31,33,35,37,39,41,43,45,48,51,53,55},{0,10,20,30,40,50,60,62,64,66,68,70,72,74,76,78,80,85,90,95,100})</f>
        <v>76</v>
      </c>
      <c r="K686" s="5"/>
      <c r="L686" s="5"/>
      <c r="M686" s="5">
        <f t="shared" si="322"/>
        <v>76</v>
      </c>
      <c r="N686" s="5">
        <v>8.4</v>
      </c>
      <c r="O686" s="10">
        <f t="shared" si="323"/>
        <v>9.6</v>
      </c>
      <c r="P686" s="7">
        <f>LOOKUP(O686,{0,6.6,6.8,7,7.2,7.4,7.6,7.8,8,8.2,8.4,8.6,8.8,9,9.2,9.4,9.6,9.9,10.2,10.3,10.4},{0,10,20,30,40,50,60,62,64,66,68,70,72,74,76,78,80,85,90,95,100})</f>
        <v>80</v>
      </c>
      <c r="Q686" s="5">
        <v>4.34</v>
      </c>
      <c r="R686" s="10">
        <f t="shared" si="324"/>
        <v>5.66</v>
      </c>
      <c r="S686" s="7">
        <f>LOOKUP(R686,{0,4.74,4.84,4.94,5.44,5.54,5.64,5.69,5.74,5.79,5.84,5.89,5.94,5.99,6.44,6.49,6.54,6.61,6.68,6.74,6.8},{0,10,20,30,40,50,60,62,64,66,68,70,72,74,76,78,80,85,90,95,100})</f>
        <v>60</v>
      </c>
      <c r="T686" s="5"/>
      <c r="U686" s="5"/>
      <c r="V686" s="5">
        <f t="shared" si="325"/>
        <v>60</v>
      </c>
      <c r="W686" s="5"/>
      <c r="X686" s="13">
        <f t="shared" si="326"/>
        <v>54.1</v>
      </c>
      <c r="Y686" s="13">
        <f t="shared" si="327"/>
        <v>77.2857142857143</v>
      </c>
      <c r="Z686" s="19"/>
    </row>
    <row r="687" ht="15.6" hidden="1" outlineLevel="2" spans="1:26">
      <c r="A687" s="5">
        <v>315</v>
      </c>
      <c r="B687" s="5">
        <v>16</v>
      </c>
      <c r="C687" s="9" t="s">
        <v>749</v>
      </c>
      <c r="D687" s="9" t="s">
        <v>46</v>
      </c>
      <c r="E687" s="5">
        <v>20</v>
      </c>
      <c r="F687" s="7">
        <f>LOOKUP(E687,{0,1.5,2.3,3.1,3.9,4.7,5.5,6.8,8.1,9.4,10.7,12,13.3,14.6,15.9,17.2,18.5,20.2,21.9,23.6,25.3},{0,10,20,30,40,50,60,62,64,66,68,70,72,74,76,78,80,85,90,95,100})</f>
        <v>80</v>
      </c>
      <c r="G687" s="5">
        <v>168</v>
      </c>
      <c r="H687" s="7">
        <f>LOOKUP(G687,{0,125,130,135,140,145,150,153,156,159,162,165,168,171,174,177,180,187,194,200,206},{0,10,20,30,40,50,60,62,64,66,68,70,72,74,76,78,80,85,90,95,100})</f>
        <v>72</v>
      </c>
      <c r="I687" s="5">
        <v>25</v>
      </c>
      <c r="J687" s="7">
        <f>LOOKUP(I687,{0,15,17,19,21,23,25,27,29,31,33,35,37,39,41,43,45,48,51,53,55},{0,10,20,30,40,50,60,62,64,66,68,70,72,74,76,78,80,85,90,95,100})</f>
        <v>60</v>
      </c>
      <c r="K687" s="5"/>
      <c r="L687" s="5"/>
      <c r="M687" s="5">
        <f t="shared" si="322"/>
        <v>60</v>
      </c>
      <c r="N687" s="5">
        <v>9.1</v>
      </c>
      <c r="O687" s="10">
        <f t="shared" si="323"/>
        <v>8.9</v>
      </c>
      <c r="P687" s="7">
        <f>LOOKUP(O687,{0,6.6,6.8,7,7.2,7.4,7.6,7.8,8,8.2,8.4,8.6,8.8,9,9.2,9.4,9.6,9.9,10.2,10.3,10.4},{0,10,20,30,40,50,60,62,64,66,68,70,72,74,76,78,80,85,90,95,100})</f>
        <v>72</v>
      </c>
      <c r="Q687" s="5">
        <v>5.1</v>
      </c>
      <c r="R687" s="10">
        <f t="shared" si="324"/>
        <v>4.9</v>
      </c>
      <c r="S687" s="7">
        <f>LOOKUP(R687,{0,4.74,4.84,4.94,5.44,5.54,5.64,5.69,5.74,5.79,5.84,5.89,5.94,5.99,6.44,6.49,6.54,6.61,6.68,6.74,6.8},{0,10,20,30,40,50,60,62,64,66,68,70,72,74,76,78,80,85,90,95,100})</f>
        <v>20</v>
      </c>
      <c r="T687" s="5"/>
      <c r="U687" s="5"/>
      <c r="V687" s="5">
        <f t="shared" si="325"/>
        <v>20</v>
      </c>
      <c r="W687" s="5"/>
      <c r="X687" s="13">
        <f t="shared" si="326"/>
        <v>39.6</v>
      </c>
      <c r="Y687" s="13">
        <f t="shared" si="327"/>
        <v>56.5714285714286</v>
      </c>
      <c r="Z687" s="19"/>
    </row>
    <row r="688" ht="15.6" hidden="1" outlineLevel="2" spans="1:26">
      <c r="A688" s="5">
        <v>315</v>
      </c>
      <c r="B688" s="5">
        <v>17</v>
      </c>
      <c r="C688" s="9" t="s">
        <v>750</v>
      </c>
      <c r="D688" s="9" t="s">
        <v>46</v>
      </c>
      <c r="E688" s="5">
        <v>9</v>
      </c>
      <c r="F688" s="7">
        <f>LOOKUP(E688,{0,1.5,2.3,3.1,3.9,4.7,5.5,6.8,8.1,9.4,10.7,12,13.3,14.6,15.9,17.2,18.5,20.2,21.9,23.6,25.3},{0,10,20,30,40,50,60,62,64,66,68,70,72,74,76,78,80,85,90,95,100})</f>
        <v>64</v>
      </c>
      <c r="G688" s="5">
        <v>150</v>
      </c>
      <c r="H688" s="7">
        <f>LOOKUP(G688,{0,125,130,135,140,145,150,153,156,159,162,165,168,171,174,177,180,187,194,200,206},{0,10,20,30,40,50,60,62,64,66,68,70,72,74,76,78,80,85,90,95,100})</f>
        <v>60</v>
      </c>
      <c r="I688" s="5">
        <v>41</v>
      </c>
      <c r="J688" s="7">
        <f>LOOKUP(I688,{0,15,17,19,21,23,25,27,29,31,33,35,37,39,41,43,45,48,51,53,55},{0,10,20,30,40,50,60,62,64,66,68,70,72,74,76,78,80,85,90,95,100})</f>
        <v>76</v>
      </c>
      <c r="K688" s="5"/>
      <c r="L688" s="5"/>
      <c r="M688" s="5">
        <f t="shared" si="322"/>
        <v>76</v>
      </c>
      <c r="N688" s="5">
        <v>10.2</v>
      </c>
      <c r="O688" s="10">
        <f t="shared" si="323"/>
        <v>7.8</v>
      </c>
      <c r="P688" s="7">
        <f>LOOKUP(O688,{0,6.6,6.8,7,7.2,7.4,7.6,7.8,8,8.2,8.4,8.6,8.8,9,9.2,9.4,9.6,9.9,10.2,10.3,10.4},{0,10,20,30,40,50,60,62,64,66,68,70,72,74,76,78,80,85,90,95,100})</f>
        <v>62</v>
      </c>
      <c r="Q688" s="5">
        <v>4.52</v>
      </c>
      <c r="R688" s="10">
        <f t="shared" si="324"/>
        <v>5.48</v>
      </c>
      <c r="S688" s="7">
        <f>LOOKUP(R688,{0,4.74,4.84,4.94,5.44,5.54,5.64,5.69,5.74,5.79,5.84,5.89,5.94,5.99,6.44,6.49,6.54,6.61,6.68,6.74,6.8},{0,10,20,30,40,50,60,62,64,66,68,70,72,74,76,78,80,85,90,95,100})</f>
        <v>40</v>
      </c>
      <c r="T688" s="5"/>
      <c r="U688" s="5"/>
      <c r="V688" s="5">
        <f t="shared" si="325"/>
        <v>40</v>
      </c>
      <c r="W688" s="5"/>
      <c r="X688" s="13">
        <f t="shared" si="326"/>
        <v>40.4</v>
      </c>
      <c r="Y688" s="13">
        <f t="shared" si="327"/>
        <v>57.7142857142857</v>
      </c>
      <c r="Z688" s="19"/>
    </row>
    <row r="689" ht="15.6" hidden="1" outlineLevel="2" spans="1:26">
      <c r="A689" s="5">
        <v>315</v>
      </c>
      <c r="B689" s="5">
        <v>18</v>
      </c>
      <c r="C689" s="9" t="s">
        <v>751</v>
      </c>
      <c r="D689" s="9" t="s">
        <v>46</v>
      </c>
      <c r="E689" s="5">
        <v>15.5</v>
      </c>
      <c r="F689" s="7">
        <f>LOOKUP(E689,{0,1.5,2.3,3.1,3.9,4.7,5.5,6.8,8.1,9.4,10.7,12,13.3,14.6,15.9,17.2,18.5,20.2,21.9,23.6,25.3},{0,10,20,30,40,50,60,62,64,66,68,70,72,74,76,78,80,85,90,95,100})</f>
        <v>74</v>
      </c>
      <c r="G689" s="5">
        <v>152</v>
      </c>
      <c r="H689" s="7">
        <f>LOOKUP(G689,{0,125,130,135,140,145,150,153,156,159,162,165,168,171,174,177,180,187,194,200,206},{0,10,20,30,40,50,60,62,64,66,68,70,72,74,76,78,80,85,90,95,100})</f>
        <v>60</v>
      </c>
      <c r="I689" s="5">
        <v>65</v>
      </c>
      <c r="J689" s="7">
        <f>LOOKUP(I689,{0,15,17,19,21,23,25,27,29,31,33,35,37,39,41,43,45,48,51,53,55},{0,10,20,30,40,50,60,62,64,66,68,70,72,74,76,78,80,85,90,95,100})</f>
        <v>100</v>
      </c>
      <c r="K689" s="11">
        <f>I689-55</f>
        <v>10</v>
      </c>
      <c r="L689" s="7">
        <f>LOOKUP(K689,{0,2,4,6,7,8,9,10,11,12,13},{0,1,2,3,4,5,6,7,8,9,10})</f>
        <v>7</v>
      </c>
      <c r="M689" s="5">
        <f t="shared" si="322"/>
        <v>107</v>
      </c>
      <c r="N689" s="5">
        <v>9.4</v>
      </c>
      <c r="O689" s="10">
        <f t="shared" si="323"/>
        <v>8.6</v>
      </c>
      <c r="P689" s="7">
        <f>LOOKUP(O689,{0,6.6,6.8,7,7.2,7.4,7.6,7.8,8,8.2,8.4,8.6,8.8,9,9.2,9.4,9.6,9.9,10.2,10.3,10.4},{0,10,20,30,40,50,60,62,64,66,68,70,72,74,76,78,80,85,90,95,100})</f>
        <v>70</v>
      </c>
      <c r="Q689" s="5">
        <v>4.34</v>
      </c>
      <c r="R689" s="10">
        <f t="shared" si="324"/>
        <v>5.66</v>
      </c>
      <c r="S689" s="7">
        <f>LOOKUP(R689,{0,4.74,4.84,4.94,5.44,5.54,5.64,5.69,5.74,5.79,5.84,5.89,5.94,5.99,6.44,6.49,6.54,6.61,6.68,6.74,6.8},{0,10,20,30,40,50,60,62,64,66,68,70,72,74,76,78,80,85,90,95,100})</f>
        <v>60</v>
      </c>
      <c r="T689" s="5"/>
      <c r="U689" s="5"/>
      <c r="V689" s="5">
        <f t="shared" si="325"/>
        <v>60</v>
      </c>
      <c r="W689" s="5"/>
      <c r="X689" s="13">
        <f t="shared" si="326"/>
        <v>49.4</v>
      </c>
      <c r="Y689" s="13">
        <f t="shared" si="327"/>
        <v>77.5714285714286</v>
      </c>
      <c r="Z689" s="19"/>
    </row>
    <row r="690" ht="15.6" hidden="1" outlineLevel="2" spans="1:26">
      <c r="A690" s="5">
        <v>315</v>
      </c>
      <c r="B690" s="5">
        <v>19</v>
      </c>
      <c r="C690" s="9" t="s">
        <v>752</v>
      </c>
      <c r="D690" s="9" t="s">
        <v>46</v>
      </c>
      <c r="E690" s="5">
        <v>20.5</v>
      </c>
      <c r="F690" s="7">
        <f>LOOKUP(E690,{0,1.5,2.3,3.1,3.9,4.7,5.5,6.8,8.1,9.4,10.7,12,13.3,14.6,15.9,17.2,18.5,20.2,21.9,23.6,25.3},{0,10,20,30,40,50,60,62,64,66,68,70,72,74,76,78,80,85,90,95,100})</f>
        <v>85</v>
      </c>
      <c r="G690" s="5">
        <v>168</v>
      </c>
      <c r="H690" s="7">
        <f>LOOKUP(G690,{0,125,130,135,140,145,150,153,156,159,162,165,168,171,174,177,180,187,194,200,206},{0,10,20,30,40,50,60,62,64,66,68,70,72,74,76,78,80,85,90,95,100})</f>
        <v>72</v>
      </c>
      <c r="I690" s="5">
        <v>51</v>
      </c>
      <c r="J690" s="7">
        <f>LOOKUP(I690,{0,15,17,19,21,23,25,27,29,31,33,35,37,39,41,43,45,48,51,53,55},{0,10,20,30,40,50,60,62,64,66,68,70,72,74,76,78,80,85,90,95,100})</f>
        <v>90</v>
      </c>
      <c r="K690" s="5"/>
      <c r="L690" s="16"/>
      <c r="M690" s="5">
        <f t="shared" si="322"/>
        <v>90</v>
      </c>
      <c r="N690" s="5">
        <v>9</v>
      </c>
      <c r="O690" s="10">
        <f t="shared" si="323"/>
        <v>9</v>
      </c>
      <c r="P690" s="7">
        <f>LOOKUP(O690,{0,6.6,6.8,7,7.2,7.4,7.6,7.8,8,8.2,8.4,8.6,8.8,9,9.2,9.4,9.6,9.9,10.2,10.3,10.4},{0,10,20,30,40,50,60,62,64,66,68,70,72,74,76,78,80,85,90,95,100})</f>
        <v>74</v>
      </c>
      <c r="Q690" s="5">
        <v>3.34</v>
      </c>
      <c r="R690" s="10">
        <f t="shared" si="324"/>
        <v>6.66</v>
      </c>
      <c r="S690" s="7">
        <f>LOOKUP(R690,{0,4.74,4.84,4.94,5.44,5.54,5.64,5.69,5.74,5.79,5.84,5.89,5.94,5.99,6.44,6.49,6.54,6.61,6.68,6.74,6.8},{0,10,20,30,40,50,60,62,64,66,68,70,72,74,76,78,80,85,90,95,100})</f>
        <v>85</v>
      </c>
      <c r="T690" s="5"/>
      <c r="U690" s="5"/>
      <c r="V690" s="5">
        <f t="shared" si="325"/>
        <v>85</v>
      </c>
      <c r="W690" s="5"/>
      <c r="X690" s="13">
        <f t="shared" si="326"/>
        <v>56.5</v>
      </c>
      <c r="Y690" s="13">
        <f t="shared" si="327"/>
        <v>80.7142857142857</v>
      </c>
      <c r="Z690" s="19"/>
    </row>
    <row r="691" ht="15.6" hidden="1" outlineLevel="2" spans="1:26">
      <c r="A691" s="5">
        <v>315</v>
      </c>
      <c r="B691" s="5">
        <v>20</v>
      </c>
      <c r="C691" s="8" t="s">
        <v>754</v>
      </c>
      <c r="D691" s="9" t="s">
        <v>46</v>
      </c>
      <c r="E691" s="5">
        <v>18.5</v>
      </c>
      <c r="F691" s="7">
        <f>LOOKUP(E691,{0,1.5,2.3,3.1,3.9,4.7,5.5,6.8,8.1,9.4,10.7,12,13.3,14.6,15.9,17.2,18.5,20.2,21.9,23.6,25.3},{0,10,20,30,40,50,60,62,64,66,68,70,72,74,76,78,80,85,90,95,100})</f>
        <v>80</v>
      </c>
      <c r="G691" s="5">
        <v>170</v>
      </c>
      <c r="H691" s="7">
        <f>LOOKUP(G691,{0,125,130,135,140,145,150,153,156,159,162,165,168,171,174,177,180,187,194,200,206},{0,10,20,30,40,50,60,62,64,66,68,70,72,74,76,78,80,85,90,95,100})</f>
        <v>72</v>
      </c>
      <c r="I691" s="5">
        <v>43</v>
      </c>
      <c r="J691" s="7">
        <f>LOOKUP(I691,{0,15,17,19,21,23,25,27,29,31,33,35,37,39,41,43,45,48,51,53,55},{0,10,20,30,40,50,60,62,64,66,68,70,72,74,76,78,80,85,90,95,100})</f>
        <v>78</v>
      </c>
      <c r="K691" s="5"/>
      <c r="L691" s="5"/>
      <c r="M691" s="5">
        <f t="shared" si="322"/>
        <v>78</v>
      </c>
      <c r="N691" s="5">
        <v>9.3</v>
      </c>
      <c r="O691" s="10">
        <f t="shared" si="323"/>
        <v>8.7</v>
      </c>
      <c r="P691" s="7">
        <f>LOOKUP(O691,{0,6.6,6.8,7,7.2,7.4,7.6,7.8,8,8.2,8.4,8.6,8.8,9,9.2,9.4,9.6,9.9,10.2,10.3,10.4},{0,10,20,30,40,50,60,62,64,66,68,70,72,74,76,78,80,85,90,95,100})</f>
        <v>70</v>
      </c>
      <c r="Q691" s="5">
        <v>4.3</v>
      </c>
      <c r="R691" s="10">
        <f t="shared" si="324"/>
        <v>5.7</v>
      </c>
      <c r="S691" s="7">
        <f>LOOKUP(R691,{0,4.74,4.84,4.94,5.44,5.54,5.64,5.69,5.74,5.79,5.84,5.89,5.94,5.99,6.44,6.49,6.54,6.61,6.68,6.74,6.8},{0,10,20,30,40,50,60,62,64,66,68,70,72,74,76,78,80,85,90,95,100})</f>
        <v>62</v>
      </c>
      <c r="T691" s="5"/>
      <c r="U691" s="5"/>
      <c r="V691" s="5">
        <f t="shared" si="325"/>
        <v>62</v>
      </c>
      <c r="W691" s="5"/>
      <c r="X691" s="13">
        <f t="shared" si="326"/>
        <v>49.4</v>
      </c>
      <c r="Y691" s="13">
        <f t="shared" si="327"/>
        <v>70.5714285714286</v>
      </c>
      <c r="Z691" s="19"/>
    </row>
    <row r="692" ht="15.6" hidden="1" outlineLevel="2" spans="1:26">
      <c r="A692" s="5">
        <v>315</v>
      </c>
      <c r="B692" s="5">
        <v>21</v>
      </c>
      <c r="C692" s="9" t="s">
        <v>755</v>
      </c>
      <c r="D692" s="9" t="s">
        <v>46</v>
      </c>
      <c r="E692" s="5">
        <v>16</v>
      </c>
      <c r="F692" s="7">
        <f>LOOKUP(E692,{0,1.5,2.3,3.1,3.9,4.7,5.5,6.8,8.1,9.4,10.7,12,13.3,14.6,15.9,17.2,18.5,20.2,21.9,23.6,25.3},{0,10,20,30,40,50,60,62,64,66,68,70,72,74,76,78,80,85,90,95,100})</f>
        <v>76</v>
      </c>
      <c r="G692" s="5">
        <v>192</v>
      </c>
      <c r="H692" s="7">
        <f>LOOKUP(G692,{0,125,130,135,140,145,150,153,156,159,162,165,168,171,174,177,180,187,194,200,206},{0,10,20,30,40,50,60,62,64,66,68,70,72,74,76,78,80,85,90,95,100})</f>
        <v>85</v>
      </c>
      <c r="I692" s="5">
        <v>39</v>
      </c>
      <c r="J692" s="7">
        <f>LOOKUP(I692,{0,15,17,19,21,23,25,27,29,31,33,35,37,39,41,43,45,48,51,53,55},{0,10,20,30,40,50,60,62,64,66,68,70,72,74,76,78,80,85,90,95,100})</f>
        <v>74</v>
      </c>
      <c r="K692" s="5"/>
      <c r="L692" s="5"/>
      <c r="M692" s="5">
        <f t="shared" si="322"/>
        <v>74</v>
      </c>
      <c r="N692" s="5">
        <v>8.1</v>
      </c>
      <c r="O692" s="10">
        <f t="shared" si="323"/>
        <v>9.9</v>
      </c>
      <c r="P692" s="7">
        <f>LOOKUP(O692,{0,6.6,6.8,7,7.2,7.4,7.6,7.8,8,8.2,8.4,8.6,8.8,9,9.2,9.4,9.6,9.9,10.2,10.3,10.4},{0,10,20,30,40,50,60,62,64,66,68,70,72,74,76,78,80,85,90,95,100})</f>
        <v>85</v>
      </c>
      <c r="Q692" s="5">
        <v>3.46</v>
      </c>
      <c r="R692" s="10">
        <f t="shared" si="324"/>
        <v>6.54</v>
      </c>
      <c r="S692" s="7">
        <f>LOOKUP(R692,{0,4.74,4.84,4.94,5.44,5.54,5.64,5.69,5.74,5.79,5.84,5.89,5.94,5.99,6.44,6.49,6.54,6.61,6.68,6.74,6.8},{0,10,20,30,40,50,60,62,64,66,68,70,72,74,76,78,80,85,90,95,100})</f>
        <v>80</v>
      </c>
      <c r="T692" s="5"/>
      <c r="U692" s="5"/>
      <c r="V692" s="5">
        <f t="shared" si="325"/>
        <v>80</v>
      </c>
      <c r="W692" s="5"/>
      <c r="X692" s="13">
        <f t="shared" si="326"/>
        <v>56.5</v>
      </c>
      <c r="Y692" s="13">
        <f t="shared" si="327"/>
        <v>80.7142857142857</v>
      </c>
      <c r="Z692" s="19"/>
    </row>
    <row r="693" ht="15.6" hidden="1" outlineLevel="2" spans="1:26">
      <c r="A693" s="5">
        <v>315</v>
      </c>
      <c r="B693" s="5">
        <v>22</v>
      </c>
      <c r="C693" s="9" t="s">
        <v>756</v>
      </c>
      <c r="D693" s="9" t="s">
        <v>46</v>
      </c>
      <c r="E693" s="5">
        <v>16.6</v>
      </c>
      <c r="F693" s="7">
        <f>LOOKUP(E693,{0,1.5,2.3,3.1,3.9,4.7,5.5,6.8,8.1,9.4,10.7,12,13.3,14.6,15.9,17.2,18.5,20.2,21.9,23.6,25.3},{0,10,20,30,40,50,60,62,64,66,68,70,72,74,76,78,80,85,90,95,100})</f>
        <v>76</v>
      </c>
      <c r="G693" s="5">
        <v>165</v>
      </c>
      <c r="H693" s="7">
        <f>LOOKUP(G693,{0,125,130,135,140,145,150,153,156,159,162,165,168,171,174,177,180,187,194,200,206},{0,10,20,30,40,50,60,62,64,66,68,70,72,74,76,78,80,85,90,95,100})</f>
        <v>70</v>
      </c>
      <c r="I693" s="5">
        <v>45</v>
      </c>
      <c r="J693" s="7">
        <f>LOOKUP(I693,{0,15,17,19,21,23,25,27,29,31,33,35,37,39,41,43,45,48,51,53,55},{0,10,20,30,40,50,60,62,64,66,68,70,72,74,76,78,80,85,90,95,100})</f>
        <v>80</v>
      </c>
      <c r="K693" s="5"/>
      <c r="L693" s="5"/>
      <c r="M693" s="5">
        <f t="shared" si="322"/>
        <v>80</v>
      </c>
      <c r="N693" s="5">
        <v>8.9</v>
      </c>
      <c r="O693" s="10">
        <f t="shared" si="323"/>
        <v>9.1</v>
      </c>
      <c r="P693" s="7">
        <f>LOOKUP(O693,{0,6.6,6.8,7,7.2,7.4,7.6,7.8,8,8.2,8.4,8.6,8.8,9,9.2,9.4,9.6,9.9,10.2,10.3,10.4},{0,10,20,30,40,50,60,62,64,66,68,70,72,74,76,78,80,85,90,95,100})</f>
        <v>74</v>
      </c>
      <c r="Q693" s="5">
        <v>4.13</v>
      </c>
      <c r="R693" s="10">
        <f t="shared" si="324"/>
        <v>5.87</v>
      </c>
      <c r="S693" s="7">
        <f>LOOKUP(R693,{0,4.74,4.84,4.94,5.44,5.54,5.64,5.69,5.74,5.79,5.84,5.89,5.94,5.99,6.44,6.49,6.54,6.61,6.68,6.74,6.8},{0,10,20,30,40,50,60,62,64,66,68,70,72,74,76,78,80,85,90,95,100})</f>
        <v>68</v>
      </c>
      <c r="T693" s="5"/>
      <c r="U693" s="5"/>
      <c r="V693" s="5">
        <f t="shared" si="325"/>
        <v>68</v>
      </c>
      <c r="W693" s="5"/>
      <c r="X693" s="13">
        <f t="shared" si="326"/>
        <v>51</v>
      </c>
      <c r="Y693" s="13">
        <f t="shared" si="327"/>
        <v>72.8571428571429</v>
      </c>
      <c r="Z693" s="19"/>
    </row>
    <row r="694" ht="15.6" hidden="1" outlineLevel="2" spans="1:26">
      <c r="A694" s="5">
        <v>315</v>
      </c>
      <c r="B694" s="5">
        <v>23</v>
      </c>
      <c r="C694" s="9" t="s">
        <v>757</v>
      </c>
      <c r="D694" s="9" t="s">
        <v>46</v>
      </c>
      <c r="E694" s="5">
        <v>17.6</v>
      </c>
      <c r="F694" s="7">
        <f>LOOKUP(E694,{0,1.5,2.3,3.1,3.9,4.7,5.5,6.8,8.1,9.4,10.7,12,13.3,14.6,15.9,17.2,18.5,20.2,21.9,23.6,25.3},{0,10,20,30,40,50,60,62,64,66,68,70,72,74,76,78,80,85,90,95,100})</f>
        <v>78</v>
      </c>
      <c r="G694" s="5">
        <v>162</v>
      </c>
      <c r="H694" s="7">
        <f>LOOKUP(G694,{0,125,130,135,140,145,150,153,156,159,162,165,168,171,174,177,180,187,194,200,206},{0,10,20,30,40,50,60,62,64,66,68,70,72,74,76,78,80,85,90,95,100})</f>
        <v>68</v>
      </c>
      <c r="I694" s="5">
        <v>28</v>
      </c>
      <c r="J694" s="7">
        <f>LOOKUP(I694,{0,15,17,19,21,23,25,27,29,31,33,35,37,39,41,43,45,48,51,53,55},{0,10,20,30,40,50,60,62,64,66,68,70,72,74,76,78,80,85,90,95,100})</f>
        <v>62</v>
      </c>
      <c r="K694" s="5"/>
      <c r="L694" s="5"/>
      <c r="M694" s="5">
        <f t="shared" si="322"/>
        <v>62</v>
      </c>
      <c r="N694" s="5">
        <v>10.3</v>
      </c>
      <c r="O694" s="10">
        <f t="shared" si="323"/>
        <v>7.7</v>
      </c>
      <c r="P694" s="7">
        <f>LOOKUP(O694,{0,6.6,6.8,7,7.2,7.4,7.6,7.8,8,8.2,8.4,8.6,8.8,9,9.2,9.4,9.6,9.9,10.2,10.3,10.4},{0,10,20,30,40,50,60,62,64,66,68,70,72,74,76,78,80,85,90,95,100})</f>
        <v>60</v>
      </c>
      <c r="Q694" s="5">
        <v>4.55</v>
      </c>
      <c r="R694" s="10">
        <f t="shared" si="324"/>
        <v>5.45</v>
      </c>
      <c r="S694" s="7">
        <f>LOOKUP(R694,{0,4.74,4.84,4.94,5.44,5.54,5.64,5.69,5.74,5.79,5.84,5.89,5.94,5.99,6.44,6.49,6.54,6.61,6.68,6.74,6.8},{0,10,20,30,40,50,60,62,64,66,68,70,72,74,76,78,80,85,90,95,100})</f>
        <v>40</v>
      </c>
      <c r="T694" s="5"/>
      <c r="U694" s="5"/>
      <c r="V694" s="5">
        <f t="shared" si="325"/>
        <v>40</v>
      </c>
      <c r="W694" s="5"/>
      <c r="X694" s="13">
        <f t="shared" si="326"/>
        <v>40.8</v>
      </c>
      <c r="Y694" s="13">
        <f t="shared" si="327"/>
        <v>58.2857142857143</v>
      </c>
      <c r="Z694" s="19"/>
    </row>
    <row r="695" ht="15.6" hidden="1" outlineLevel="2" spans="1:26">
      <c r="A695" s="5">
        <v>315</v>
      </c>
      <c r="B695" s="5">
        <v>24</v>
      </c>
      <c r="C695" s="9" t="s">
        <v>758</v>
      </c>
      <c r="D695" s="9" t="s">
        <v>46</v>
      </c>
      <c r="E695" s="5">
        <v>17.5</v>
      </c>
      <c r="F695" s="7">
        <f>LOOKUP(E695,{0,1.5,2.3,3.1,3.9,4.7,5.5,6.8,8.1,9.4,10.7,12,13.3,14.6,15.9,17.2,18.5,20.2,21.9,23.6,25.3},{0,10,20,30,40,50,60,62,64,66,68,70,72,74,76,78,80,85,90,95,100})</f>
        <v>78</v>
      </c>
      <c r="G695" s="5">
        <v>176</v>
      </c>
      <c r="H695" s="7">
        <f>LOOKUP(G695,{0,125,130,135,140,145,150,153,156,159,162,165,168,171,174,177,180,187,194,200,206},{0,10,20,30,40,50,60,62,64,66,68,70,72,74,76,78,80,85,90,95,100})</f>
        <v>76</v>
      </c>
      <c r="I695" s="5">
        <v>46</v>
      </c>
      <c r="J695" s="7">
        <f>LOOKUP(I695,{0,15,17,19,21,23,25,27,29,31,33,35,37,39,41,43,45,48,51,53,55},{0,10,20,30,40,50,60,62,64,66,68,70,72,74,76,78,80,85,90,95,100})</f>
        <v>80</v>
      </c>
      <c r="K695" s="5"/>
      <c r="L695" s="16"/>
      <c r="M695" s="5">
        <f t="shared" si="322"/>
        <v>80</v>
      </c>
      <c r="N695" s="5">
        <v>8.9</v>
      </c>
      <c r="O695" s="10">
        <f t="shared" si="323"/>
        <v>9.1</v>
      </c>
      <c r="P695" s="7">
        <f>LOOKUP(O695,{0,6.6,6.8,7,7.2,7.4,7.6,7.8,8,8.2,8.4,8.6,8.8,9,9.2,9.4,9.6,9.9,10.2,10.3,10.4},{0,10,20,30,40,50,60,62,64,66,68,70,72,74,76,78,80,85,90,95,100})</f>
        <v>74</v>
      </c>
      <c r="Q695" s="5">
        <v>4.54</v>
      </c>
      <c r="R695" s="10">
        <f t="shared" si="324"/>
        <v>5.46</v>
      </c>
      <c r="S695" s="7">
        <f>LOOKUP(R695,{0,4.74,4.84,4.94,5.44,5.54,5.64,5.69,5.74,5.79,5.84,5.89,5.94,5.99,6.44,6.49,6.54,6.61,6.68,6.74,6.8},{0,10,20,30,40,50,60,62,64,66,68,70,72,74,76,78,80,85,90,95,100})</f>
        <v>40</v>
      </c>
      <c r="T695" s="5"/>
      <c r="U695" s="5"/>
      <c r="V695" s="5">
        <f t="shared" si="325"/>
        <v>40</v>
      </c>
      <c r="W695" s="5"/>
      <c r="X695" s="13">
        <f t="shared" si="326"/>
        <v>46.2</v>
      </c>
      <c r="Y695" s="13">
        <f t="shared" si="327"/>
        <v>66</v>
      </c>
      <c r="Z695" s="19"/>
    </row>
    <row r="696" ht="15.6" hidden="1" outlineLevel="2" spans="1:26">
      <c r="A696" s="5">
        <v>315</v>
      </c>
      <c r="B696" s="5">
        <v>25</v>
      </c>
      <c r="C696" s="9" t="s">
        <v>759</v>
      </c>
      <c r="D696" s="9" t="s">
        <v>46</v>
      </c>
      <c r="E696" s="5">
        <v>10</v>
      </c>
      <c r="F696" s="7">
        <f>LOOKUP(E696,{0,1.5,2.3,3.1,3.9,4.7,5.5,6.8,8.1,9.4,10.7,12,13.3,14.6,15.9,17.2,18.5,20.2,21.9,23.6,25.3},{0,10,20,30,40,50,60,62,64,66,68,70,72,74,76,78,80,85,90,95,100})</f>
        <v>66</v>
      </c>
      <c r="G696" s="5">
        <v>165</v>
      </c>
      <c r="H696" s="7">
        <f>LOOKUP(G696,{0,125,130,135,140,145,150,153,156,159,162,165,168,171,174,177,180,187,194,200,206},{0,10,20,30,40,50,60,62,64,66,68,70,72,74,76,78,80,85,90,95,100})</f>
        <v>70</v>
      </c>
      <c r="I696" s="5">
        <v>48</v>
      </c>
      <c r="J696" s="7">
        <f>LOOKUP(I696,{0,15,17,19,21,23,25,27,29,31,33,35,37,39,41,43,45,48,51,53,55},{0,10,20,30,40,50,60,62,64,66,68,70,72,74,76,78,80,85,90,95,100})</f>
        <v>85</v>
      </c>
      <c r="K696" s="5"/>
      <c r="L696" s="5"/>
      <c r="M696" s="5">
        <f t="shared" si="322"/>
        <v>85</v>
      </c>
      <c r="N696" s="5">
        <v>9.2</v>
      </c>
      <c r="O696" s="10">
        <f t="shared" si="323"/>
        <v>8.8</v>
      </c>
      <c r="P696" s="7">
        <f>LOOKUP(O696,{0,6.6,6.8,7,7.2,7.4,7.6,7.8,8,8.2,8.4,8.6,8.8,9,9.2,9.4,9.6,9.9,10.2,10.3,10.4},{0,10,20,30,40,50,60,62,64,66,68,70,72,74,76,78,80,85,90,95,100})</f>
        <v>72</v>
      </c>
      <c r="Q696" s="5">
        <v>4.08</v>
      </c>
      <c r="R696" s="10">
        <f t="shared" si="324"/>
        <v>5.92</v>
      </c>
      <c r="S696" s="7">
        <f>LOOKUP(R696,{0,4.74,4.84,4.94,5.44,5.54,5.64,5.69,5.74,5.79,5.84,5.89,5.94,5.99,6.44,6.49,6.54,6.61,6.68,6.74,6.8},{0,10,20,30,40,50,60,62,64,66,68,70,72,74,76,78,80,85,90,95,100})</f>
        <v>70</v>
      </c>
      <c r="T696" s="5"/>
      <c r="U696" s="5"/>
      <c r="V696" s="5">
        <f t="shared" si="325"/>
        <v>70</v>
      </c>
      <c r="W696" s="5"/>
      <c r="X696" s="13">
        <f t="shared" si="326"/>
        <v>50.5</v>
      </c>
      <c r="Y696" s="13">
        <f t="shared" si="327"/>
        <v>72.1428571428572</v>
      </c>
      <c r="Z696" s="19"/>
    </row>
    <row r="697" ht="15.6" hidden="1" outlineLevel="2" spans="1:26">
      <c r="A697" s="5">
        <v>315</v>
      </c>
      <c r="B697" s="5">
        <v>26</v>
      </c>
      <c r="C697" s="9" t="s">
        <v>760</v>
      </c>
      <c r="D697" s="9" t="s">
        <v>46</v>
      </c>
      <c r="E697" s="5">
        <v>14</v>
      </c>
      <c r="F697" s="7">
        <f>LOOKUP(E697,{0,1.5,2.3,3.1,3.9,4.7,5.5,6.8,8.1,9.4,10.7,12,13.3,14.6,15.9,17.2,18.5,20.2,21.9,23.6,25.3},{0,10,20,30,40,50,60,62,64,66,68,70,72,74,76,78,80,85,90,95,100})</f>
        <v>72</v>
      </c>
      <c r="G697" s="5">
        <v>157</v>
      </c>
      <c r="H697" s="7">
        <f>LOOKUP(G697,{0,125,130,135,140,145,150,153,156,159,162,165,168,171,174,177,180,187,194,200,206},{0,10,20,30,40,50,60,62,64,66,68,70,72,74,76,78,80,85,90,95,100})</f>
        <v>64</v>
      </c>
      <c r="I697" s="5">
        <v>50</v>
      </c>
      <c r="J697" s="7">
        <f>LOOKUP(I697,{0,15,17,19,21,23,25,27,29,31,33,35,37,39,41,43,45,48,51,53,55},{0,10,20,30,40,50,60,62,64,66,68,70,72,74,76,78,80,85,90,95,100})</f>
        <v>85</v>
      </c>
      <c r="K697" s="5"/>
      <c r="L697" s="5"/>
      <c r="M697" s="5">
        <f t="shared" si="322"/>
        <v>85</v>
      </c>
      <c r="N697" s="5">
        <v>9.4</v>
      </c>
      <c r="O697" s="10">
        <f t="shared" si="323"/>
        <v>8.6</v>
      </c>
      <c r="P697" s="7">
        <f>LOOKUP(O697,{0,6.6,6.8,7,7.2,7.4,7.6,7.8,8,8.2,8.4,8.6,8.8,9,9.2,9.4,9.6,9.9,10.2,10.3,10.4},{0,10,20,30,40,50,60,62,64,66,68,70,72,74,76,78,80,85,90,95,100})</f>
        <v>70</v>
      </c>
      <c r="Q697" s="5">
        <v>4.07</v>
      </c>
      <c r="R697" s="10">
        <f t="shared" si="324"/>
        <v>5.93</v>
      </c>
      <c r="S697" s="7">
        <f>LOOKUP(R697,{0,4.74,4.84,4.94,5.44,5.54,5.64,5.69,5.74,5.79,5.84,5.89,5.94,5.99,6.44,6.49,6.54,6.61,6.68,6.74,6.8},{0,10,20,30,40,50,60,62,64,66,68,70,72,74,76,78,80,85,90,95,100})</f>
        <v>70</v>
      </c>
      <c r="T697" s="5"/>
      <c r="U697" s="5"/>
      <c r="V697" s="5">
        <f t="shared" si="325"/>
        <v>70</v>
      </c>
      <c r="W697" s="5"/>
      <c r="X697" s="13">
        <f t="shared" si="326"/>
        <v>50.1</v>
      </c>
      <c r="Y697" s="13">
        <f t="shared" si="327"/>
        <v>71.5714285714286</v>
      </c>
      <c r="Z697" s="19"/>
    </row>
    <row r="698" ht="15.6" hidden="1" outlineLevel="2" spans="1:26">
      <c r="A698" s="5">
        <v>315</v>
      </c>
      <c r="B698" s="5">
        <v>27</v>
      </c>
      <c r="C698" s="9" t="s">
        <v>761</v>
      </c>
      <c r="D698" s="9" t="s">
        <v>46</v>
      </c>
      <c r="E698" s="5">
        <v>15.5</v>
      </c>
      <c r="F698" s="7">
        <f>LOOKUP(E698,{0,1.5,2.3,3.1,3.9,4.7,5.5,6.8,8.1,9.4,10.7,12,13.3,14.6,15.9,17.2,18.5,20.2,21.9,23.6,25.3},{0,10,20,30,40,50,60,62,64,66,68,70,72,74,76,78,80,85,90,95,100})</f>
        <v>74</v>
      </c>
      <c r="G698" s="5">
        <v>160</v>
      </c>
      <c r="H698" s="7">
        <f>LOOKUP(G698,{0,125,130,135,140,145,150,153,156,159,162,165,168,171,174,177,180,187,194,200,206},{0,10,20,30,40,50,60,62,64,66,68,70,72,74,76,78,80,85,90,95,100})</f>
        <v>66</v>
      </c>
      <c r="I698" s="5">
        <v>45</v>
      </c>
      <c r="J698" s="7">
        <f>LOOKUP(I698,{0,15,17,19,21,23,25,27,29,31,33,35,37,39,41,43,45,48,51,53,55},{0,10,20,30,40,50,60,62,64,66,68,70,72,74,76,78,80,85,90,95,100})</f>
        <v>80</v>
      </c>
      <c r="K698" s="5"/>
      <c r="L698" s="5"/>
      <c r="M698" s="5">
        <f t="shared" si="322"/>
        <v>80</v>
      </c>
      <c r="N698" s="5">
        <v>9.5</v>
      </c>
      <c r="O698" s="10">
        <f t="shared" si="323"/>
        <v>8.5</v>
      </c>
      <c r="P698" s="7">
        <f>LOOKUP(O698,{0,6.6,6.8,7,7.2,7.4,7.6,7.8,8,8.2,8.4,8.6,8.8,9,9.2,9.4,9.6,9.9,10.2,10.3,10.4},{0,10,20,30,40,50,60,62,64,66,68,70,72,74,76,78,80,85,90,95,100})</f>
        <v>68</v>
      </c>
      <c r="Q698" s="5">
        <v>4.3</v>
      </c>
      <c r="R698" s="10">
        <f t="shared" si="324"/>
        <v>5.7</v>
      </c>
      <c r="S698" s="7">
        <f>LOOKUP(R698,{0,4.74,4.84,4.94,5.44,5.54,5.64,5.69,5.74,5.79,5.84,5.89,5.94,5.99,6.44,6.49,6.54,6.61,6.68,6.74,6.8},{0,10,20,30,40,50,60,62,64,66,68,70,72,74,76,78,80,85,90,95,100})</f>
        <v>62</v>
      </c>
      <c r="T698" s="5"/>
      <c r="U698" s="5"/>
      <c r="V698" s="5">
        <f t="shared" si="325"/>
        <v>62</v>
      </c>
      <c r="W698" s="5"/>
      <c r="X698" s="13">
        <f t="shared" si="326"/>
        <v>48</v>
      </c>
      <c r="Y698" s="13">
        <f t="shared" si="327"/>
        <v>68.5714285714286</v>
      </c>
      <c r="Z698" s="19"/>
    </row>
    <row r="699" ht="15.6" hidden="1" outlineLevel="2" spans="1:26">
      <c r="A699" s="5">
        <v>315</v>
      </c>
      <c r="B699" s="5">
        <v>28</v>
      </c>
      <c r="C699" s="9" t="s">
        <v>762</v>
      </c>
      <c r="D699" s="9" t="s">
        <v>46</v>
      </c>
      <c r="E699" s="5">
        <v>12.5</v>
      </c>
      <c r="F699" s="7">
        <f>LOOKUP(E699,{0,1.5,2.3,3.1,3.9,4.7,5.5,6.8,8.1,9.4,10.7,12,13.3,14.6,15.9,17.2,18.5,20.2,21.9,23.6,25.3},{0,10,20,30,40,50,60,62,64,66,68,70,72,74,76,78,80,85,90,95,100})</f>
        <v>70</v>
      </c>
      <c r="G699" s="5">
        <v>168</v>
      </c>
      <c r="H699" s="7">
        <f>LOOKUP(G699,{0,125,130,135,140,145,150,153,156,159,162,165,168,171,174,177,180,187,194,200,206},{0,10,20,30,40,50,60,62,64,66,68,70,72,74,76,78,80,85,90,95,100})</f>
        <v>72</v>
      </c>
      <c r="I699" s="5">
        <v>30</v>
      </c>
      <c r="J699" s="7">
        <f>LOOKUP(I699,{0,15,17,19,21,23,25,27,29,31,33,35,37,39,41,43,45,48,51,53,55},{0,10,20,30,40,50,60,62,64,66,68,70,72,74,76,78,80,85,90,95,100})</f>
        <v>64</v>
      </c>
      <c r="K699" s="5"/>
      <c r="L699" s="5"/>
      <c r="M699" s="5">
        <f t="shared" si="322"/>
        <v>64</v>
      </c>
      <c r="N699" s="5">
        <v>10.2</v>
      </c>
      <c r="O699" s="10">
        <f t="shared" si="323"/>
        <v>7.8</v>
      </c>
      <c r="P699" s="7">
        <f>LOOKUP(O699,{0,6.6,6.8,7,7.2,7.4,7.6,7.8,8,8.2,8.4,8.6,8.8,9,9.2,9.4,9.6,9.9,10.2,10.3,10.4},{0,10,20,30,40,50,60,62,64,66,68,70,72,74,76,78,80,85,90,95,100})</f>
        <v>62</v>
      </c>
      <c r="Q699" s="5">
        <v>4.24</v>
      </c>
      <c r="R699" s="10">
        <f t="shared" si="324"/>
        <v>5.76</v>
      </c>
      <c r="S699" s="7">
        <f>LOOKUP(R699,{0,4.74,4.84,4.94,5.44,5.54,5.64,5.69,5.74,5.79,5.84,5.89,5.94,5.99,6.44,6.49,6.54,6.61,6.68,6.74,6.8},{0,10,20,30,40,50,60,62,64,66,68,70,72,74,76,78,80,85,90,95,100})</f>
        <v>64</v>
      </c>
      <c r="T699" s="5"/>
      <c r="U699" s="5"/>
      <c r="V699" s="5">
        <f t="shared" si="325"/>
        <v>64</v>
      </c>
      <c r="W699" s="5"/>
      <c r="X699" s="13">
        <f t="shared" si="326"/>
        <v>45.8</v>
      </c>
      <c r="Y699" s="13">
        <f t="shared" si="327"/>
        <v>65.4285714285714</v>
      </c>
      <c r="Z699" s="19"/>
    </row>
    <row r="700" ht="15.6" hidden="1" outlineLevel="2" spans="1:26">
      <c r="A700" s="5">
        <v>315</v>
      </c>
      <c r="B700" s="5">
        <v>29</v>
      </c>
      <c r="C700" s="9" t="s">
        <v>763</v>
      </c>
      <c r="D700" s="9" t="s">
        <v>46</v>
      </c>
      <c r="E700" s="5">
        <v>18.5</v>
      </c>
      <c r="F700" s="7">
        <f>LOOKUP(E700,{0,1.5,2.3,3.1,3.9,4.7,5.5,6.8,8.1,9.4,10.7,12,13.3,14.6,15.9,17.2,18.5,20.2,21.9,23.6,25.3},{0,10,20,30,40,50,60,62,64,66,68,70,72,74,76,78,80,85,90,95,100})</f>
        <v>80</v>
      </c>
      <c r="G700" s="5">
        <v>184</v>
      </c>
      <c r="H700" s="7">
        <f>LOOKUP(G700,{0,125,130,135,140,145,150,153,156,159,162,165,168,171,174,177,180,187,194,200,206},{0,10,20,30,40,50,60,62,64,66,68,70,72,74,76,78,80,85,90,95,100})</f>
        <v>80</v>
      </c>
      <c r="I700" s="5">
        <v>38</v>
      </c>
      <c r="J700" s="7">
        <f>LOOKUP(I700,{0,15,17,19,21,23,25,27,29,31,33,35,37,39,41,43,45,48,51,53,55},{0,10,20,30,40,50,60,62,64,66,68,70,72,74,76,78,80,85,90,95,100})</f>
        <v>72</v>
      </c>
      <c r="K700" s="5"/>
      <c r="L700" s="5"/>
      <c r="M700" s="5">
        <f t="shared" si="322"/>
        <v>72</v>
      </c>
      <c r="N700" s="5">
        <v>10.2</v>
      </c>
      <c r="O700" s="10">
        <f t="shared" si="323"/>
        <v>7.8</v>
      </c>
      <c r="P700" s="7">
        <f>LOOKUP(O700,{0,6.6,6.8,7,7.2,7.4,7.6,7.8,8,8.2,8.4,8.6,8.8,9,9.2,9.4,9.6,9.9,10.2,10.3,10.4},{0,10,20,30,40,50,60,62,64,66,68,70,72,74,76,78,80,85,90,95,100})</f>
        <v>62</v>
      </c>
      <c r="Q700" s="5">
        <v>4.5</v>
      </c>
      <c r="R700" s="10">
        <f t="shared" si="324"/>
        <v>5.5</v>
      </c>
      <c r="S700" s="7">
        <f>LOOKUP(R700,{0,4.74,4.84,4.94,5.44,5.54,5.64,5.69,5.74,5.79,5.84,5.89,5.94,5.99,6.44,6.49,6.54,6.61,6.68,6.74,6.8},{0,10,20,30,40,50,60,62,64,66,68,70,72,74,76,78,80,85,90,95,100})</f>
        <v>40</v>
      </c>
      <c r="T700" s="5"/>
      <c r="U700" s="5"/>
      <c r="V700" s="5">
        <f t="shared" si="325"/>
        <v>40</v>
      </c>
      <c r="W700" s="5"/>
      <c r="X700" s="13">
        <f t="shared" si="326"/>
        <v>43.6</v>
      </c>
      <c r="Y700" s="13">
        <f t="shared" si="327"/>
        <v>62.2857142857143</v>
      </c>
      <c r="Z700" s="19"/>
    </row>
    <row r="701" ht="15.6" hidden="1" outlineLevel="2" spans="1:26">
      <c r="A701" s="5">
        <v>315</v>
      </c>
      <c r="B701" s="5">
        <v>30</v>
      </c>
      <c r="C701" s="8" t="s">
        <v>765</v>
      </c>
      <c r="D701" s="9" t="s">
        <v>46</v>
      </c>
      <c r="E701" s="5">
        <v>20.4</v>
      </c>
      <c r="F701" s="7">
        <f>LOOKUP(E701,{0,1.5,2.3,3.1,3.9,4.7,5.5,6.8,8.1,9.4,10.7,12,13.3,14.6,15.9,17.2,18.5,20.2,21.9,23.6,25.3},{0,10,20,30,40,50,60,62,64,66,68,70,72,74,76,78,80,85,90,95,100})</f>
        <v>85</v>
      </c>
      <c r="G701" s="5">
        <v>160</v>
      </c>
      <c r="H701" s="7">
        <f>LOOKUP(G701,{0,125,130,135,140,145,150,153,156,159,162,165,168,171,174,177,180,187,194,200,206},{0,10,20,30,40,50,60,62,64,66,68,70,72,74,76,78,80,85,90,95,100})</f>
        <v>66</v>
      </c>
      <c r="I701" s="5">
        <v>36</v>
      </c>
      <c r="J701" s="7">
        <f>LOOKUP(I701,{0,15,17,19,21,23,25,27,29,31,33,35,37,39,41,43,45,48,51,53,55},{0,10,20,30,40,50,60,62,64,66,68,70,72,74,76,78,80,85,90,95,100})</f>
        <v>70</v>
      </c>
      <c r="K701" s="5"/>
      <c r="L701" s="16"/>
      <c r="M701" s="5">
        <f t="shared" si="322"/>
        <v>70</v>
      </c>
      <c r="N701" s="5">
        <v>9.4</v>
      </c>
      <c r="O701" s="10">
        <f t="shared" si="323"/>
        <v>8.6</v>
      </c>
      <c r="P701" s="7">
        <f>LOOKUP(O701,{0,6.6,6.8,7,7.2,7.4,7.6,7.8,8,8.2,8.4,8.6,8.8,9,9.2,9.4,9.6,9.9,10.2,10.3,10.4},{0,10,20,30,40,50,60,62,64,66,68,70,72,74,76,78,80,85,90,95,100})</f>
        <v>70</v>
      </c>
      <c r="Q701" s="5">
        <v>4.17</v>
      </c>
      <c r="R701" s="10">
        <f t="shared" si="324"/>
        <v>5.83</v>
      </c>
      <c r="S701" s="7">
        <f>LOOKUP(R701,{0,4.74,4.84,4.94,5.44,5.54,5.64,5.69,5.74,5.79,5.84,5.89,5.94,5.99,6.44,6.49,6.54,6.61,6.68,6.74,6.8},{0,10,20,30,40,50,60,62,64,66,68,70,72,74,76,78,80,85,90,95,100})</f>
        <v>66</v>
      </c>
      <c r="T701" s="5"/>
      <c r="U701" s="5"/>
      <c r="V701" s="5">
        <f t="shared" si="325"/>
        <v>66</v>
      </c>
      <c r="W701" s="5"/>
      <c r="X701" s="13">
        <f t="shared" si="326"/>
        <v>49.3</v>
      </c>
      <c r="Y701" s="13">
        <f t="shared" si="327"/>
        <v>70.4285714285714</v>
      </c>
      <c r="Z701" s="19"/>
    </row>
    <row r="702" ht="15.6" hidden="1" outlineLevel="2" spans="1:26">
      <c r="A702" s="5">
        <v>315</v>
      </c>
      <c r="B702" s="5">
        <v>31</v>
      </c>
      <c r="C702" s="9" t="s">
        <v>766</v>
      </c>
      <c r="D702" s="9" t="s">
        <v>46</v>
      </c>
      <c r="E702" s="5">
        <v>9.3</v>
      </c>
      <c r="F702" s="7">
        <f>LOOKUP(E702,{0,1.5,2.3,3.1,3.9,4.7,5.5,6.8,8.1,9.4,10.7,12,13.3,14.6,15.9,17.2,18.5,20.2,21.9,23.6,25.3},{0,10,20,30,40,50,60,62,64,66,68,70,72,74,76,78,80,85,90,95,100})</f>
        <v>64</v>
      </c>
      <c r="G702" s="5">
        <v>125</v>
      </c>
      <c r="H702" s="7">
        <f>LOOKUP(G702,{0,125,130,135,140,145,150,153,156,159,162,165,168,171,174,177,180,187,194,200,206},{0,10,20,30,40,50,60,62,64,66,68,70,72,74,76,78,80,85,90,95,100})</f>
        <v>10</v>
      </c>
      <c r="I702" s="5">
        <v>18</v>
      </c>
      <c r="J702" s="7">
        <f>LOOKUP(I702,{0,15,17,19,21,23,25,27,29,31,33,35,37,39,41,43,45,48,51,53,55},{0,10,20,30,40,50,60,62,64,66,68,70,72,74,76,78,80,85,90,95,100})</f>
        <v>20</v>
      </c>
      <c r="K702" s="5"/>
      <c r="L702" s="5"/>
      <c r="M702" s="5">
        <f t="shared" si="322"/>
        <v>20</v>
      </c>
      <c r="N702" s="5">
        <v>16.2</v>
      </c>
      <c r="O702" s="10">
        <f t="shared" si="323"/>
        <v>1.8</v>
      </c>
      <c r="P702" s="7">
        <f>LOOKUP(O702,{0,6.6,6.8,7,7.2,7.4,7.6,7.8,8,8.2,8.4,8.6,8.8,9,9.2,9.4,9.6,9.9,10.2,10.3,10.4},{0,10,20,30,40,50,60,62,64,66,68,70,72,74,76,78,80,85,90,95,100})</f>
        <v>0</v>
      </c>
      <c r="Q702" s="5">
        <v>5.09</v>
      </c>
      <c r="R702" s="10">
        <f t="shared" si="324"/>
        <v>4.91</v>
      </c>
      <c r="S702" s="7">
        <f>LOOKUP(R702,{0,4.74,4.84,4.94,5.44,5.54,5.64,5.69,5.74,5.79,5.84,5.89,5.94,5.99,6.44,6.49,6.54,6.61,6.68,6.74,6.8},{0,10,20,30,40,50,60,62,64,66,68,70,72,74,76,78,80,85,90,95,100})</f>
        <v>20</v>
      </c>
      <c r="T702" s="5"/>
      <c r="U702" s="5"/>
      <c r="V702" s="5">
        <f t="shared" si="325"/>
        <v>20</v>
      </c>
      <c r="W702" s="5"/>
      <c r="X702" s="13">
        <f t="shared" si="326"/>
        <v>13.4</v>
      </c>
      <c r="Y702" s="13">
        <f t="shared" si="327"/>
        <v>19.1428571428571</v>
      </c>
      <c r="Z702" s="19"/>
    </row>
    <row r="703" ht="15.6" hidden="1" outlineLevel="2" spans="1:26">
      <c r="A703" s="5">
        <v>315</v>
      </c>
      <c r="B703" s="5">
        <v>32</v>
      </c>
      <c r="C703" s="9" t="s">
        <v>767</v>
      </c>
      <c r="D703" s="9" t="s">
        <v>46</v>
      </c>
      <c r="E703" s="5">
        <v>17</v>
      </c>
      <c r="F703" s="7">
        <f>LOOKUP(E703,{0,1.5,2.3,3.1,3.9,4.7,5.5,6.8,8.1,9.4,10.7,12,13.3,14.6,15.9,17.2,18.5,20.2,21.9,23.6,25.3},{0,10,20,30,40,50,60,62,64,66,68,70,72,74,76,78,80,85,90,95,100})</f>
        <v>76</v>
      </c>
      <c r="G703" s="5">
        <v>182</v>
      </c>
      <c r="H703" s="7">
        <f>LOOKUP(G703,{0,125,130,135,140,145,150,153,156,159,162,165,168,171,174,177,180,187,194,200,206},{0,10,20,30,40,50,60,62,64,66,68,70,72,74,76,78,80,85,90,95,100})</f>
        <v>80</v>
      </c>
      <c r="I703" s="5">
        <v>45</v>
      </c>
      <c r="J703" s="7">
        <f>LOOKUP(I703,{0,15,17,19,21,23,25,27,29,31,33,35,37,39,41,43,45,48,51,53,55},{0,10,20,30,40,50,60,62,64,66,68,70,72,74,76,78,80,85,90,95,100})</f>
        <v>80</v>
      </c>
      <c r="K703" s="5"/>
      <c r="L703" s="5"/>
      <c r="M703" s="5">
        <f t="shared" si="322"/>
        <v>80</v>
      </c>
      <c r="N703" s="5">
        <v>9.8</v>
      </c>
      <c r="O703" s="10">
        <f t="shared" si="323"/>
        <v>8.2</v>
      </c>
      <c r="P703" s="7">
        <f>LOOKUP(O703,{0,6.6,6.8,7,7.2,7.4,7.6,7.8,8,8.2,8.4,8.6,8.8,9,9.2,9.4,9.6,9.9,10.2,10.3,10.4},{0,10,20,30,40,50,60,62,64,66,68,70,72,74,76,78,80,85,90,95,100})</f>
        <v>66</v>
      </c>
      <c r="Q703" s="5">
        <v>5.08</v>
      </c>
      <c r="R703" s="10">
        <f t="shared" si="324"/>
        <v>4.92</v>
      </c>
      <c r="S703" s="7">
        <f>LOOKUP(R703,{0,4.74,4.84,4.94,5.44,5.54,5.64,5.69,5.74,5.79,5.84,5.89,5.94,5.99,6.44,6.49,6.54,6.61,6.68,6.74,6.8},{0,10,20,30,40,50,60,62,64,66,68,70,72,74,76,78,80,85,90,95,100})</f>
        <v>20</v>
      </c>
      <c r="T703" s="5"/>
      <c r="U703" s="5"/>
      <c r="V703" s="5">
        <f t="shared" si="325"/>
        <v>20</v>
      </c>
      <c r="W703" s="5"/>
      <c r="X703" s="13">
        <f t="shared" si="326"/>
        <v>40.8</v>
      </c>
      <c r="Y703" s="13">
        <f t="shared" si="327"/>
        <v>58.2857142857143</v>
      </c>
      <c r="Z703" s="19"/>
    </row>
    <row r="704" ht="15.6" hidden="1" outlineLevel="2" spans="1:26">
      <c r="A704" s="5">
        <v>315</v>
      </c>
      <c r="B704" s="5">
        <v>33</v>
      </c>
      <c r="C704" s="9" t="s">
        <v>768</v>
      </c>
      <c r="D704" s="9" t="s">
        <v>46</v>
      </c>
      <c r="E704" s="5">
        <v>8.2</v>
      </c>
      <c r="F704" s="7">
        <f>LOOKUP(E704,{0,1.5,2.3,3.1,3.9,4.7,5.5,6.8,8.1,9.4,10.7,12,13.3,14.6,15.9,17.2,18.5,20.2,21.9,23.6,25.3},{0,10,20,30,40,50,60,62,64,66,68,70,72,74,76,78,80,85,90,95,100})</f>
        <v>64</v>
      </c>
      <c r="G704" s="5">
        <v>200</v>
      </c>
      <c r="H704" s="7">
        <f>LOOKUP(G704,{0,125,130,135,140,145,150,153,156,159,162,165,168,171,174,177,180,187,194,200,206},{0,10,20,30,40,50,60,62,64,66,68,70,72,74,76,78,80,85,90,95,100})</f>
        <v>95</v>
      </c>
      <c r="I704" s="5">
        <v>56</v>
      </c>
      <c r="J704" s="7">
        <f>LOOKUP(I704,{0,15,17,19,21,23,25,27,29,31,33,35,37,39,41,43,45,48,51,53,55},{0,10,20,30,40,50,60,62,64,66,68,70,72,74,76,78,80,85,90,95,100})</f>
        <v>100</v>
      </c>
      <c r="K704" s="11">
        <f>I704-55</f>
        <v>1</v>
      </c>
      <c r="L704" s="7">
        <f>LOOKUP(K704,{0,2,4,6,7,8,9,10,11,12,13},{0,1,2,3,4,5,6,7,8,9,10})</f>
        <v>0</v>
      </c>
      <c r="M704" s="5">
        <f t="shared" si="322"/>
        <v>100</v>
      </c>
      <c r="N704" s="5">
        <v>9.1</v>
      </c>
      <c r="O704" s="10">
        <f t="shared" si="323"/>
        <v>8.9</v>
      </c>
      <c r="P704" s="7">
        <f>LOOKUP(O704,{0,6.6,6.8,7,7.2,7.4,7.6,7.8,8,8.2,8.4,8.6,8.8,9,9.2,9.4,9.6,9.9,10.2,10.3,10.4},{0,10,20,30,40,50,60,62,64,66,68,70,72,74,76,78,80,85,90,95,100})</f>
        <v>72</v>
      </c>
      <c r="Q704" s="5">
        <v>5.09</v>
      </c>
      <c r="R704" s="10">
        <f t="shared" si="324"/>
        <v>4.91</v>
      </c>
      <c r="S704" s="7">
        <f>LOOKUP(R704,{0,4.74,4.84,4.94,5.44,5.54,5.64,5.69,5.74,5.79,5.84,5.89,5.94,5.99,6.44,6.49,6.54,6.61,6.68,6.74,6.8},{0,10,20,30,40,50,60,62,64,66,68,70,72,74,76,78,80,85,90,95,100})</f>
        <v>20</v>
      </c>
      <c r="T704" s="5"/>
      <c r="U704" s="5"/>
      <c r="V704" s="5">
        <f t="shared" si="325"/>
        <v>20</v>
      </c>
      <c r="W704" s="5"/>
      <c r="X704" s="13">
        <f t="shared" si="326"/>
        <v>44.3</v>
      </c>
      <c r="Y704" s="13">
        <f t="shared" si="327"/>
        <v>63.2857142857143</v>
      </c>
      <c r="Z704" s="19"/>
    </row>
    <row r="705" ht="15.6" hidden="1" outlineLevel="2" spans="1:26">
      <c r="A705" s="5">
        <v>315</v>
      </c>
      <c r="B705" s="5">
        <v>34</v>
      </c>
      <c r="C705" s="9" t="s">
        <v>769</v>
      </c>
      <c r="D705" s="9" t="s">
        <v>46</v>
      </c>
      <c r="E705" s="5">
        <v>14.7</v>
      </c>
      <c r="F705" s="7">
        <f>LOOKUP(E705,{0,1.5,2.3,3.1,3.9,4.7,5.5,6.8,8.1,9.4,10.7,12,13.3,14.6,15.9,17.2,18.5,20.2,21.9,23.6,25.3},{0,10,20,30,40,50,60,62,64,66,68,70,72,74,76,78,80,85,90,95,100})</f>
        <v>74</v>
      </c>
      <c r="G705" s="5">
        <v>185</v>
      </c>
      <c r="H705" s="7">
        <f>LOOKUP(G705,{0,125,130,135,140,145,150,153,156,159,162,165,168,171,174,177,180,187,194,200,206},{0,10,20,30,40,50,60,62,64,66,68,70,72,74,76,78,80,85,90,95,100})</f>
        <v>80</v>
      </c>
      <c r="I705" s="5">
        <v>37</v>
      </c>
      <c r="J705" s="7">
        <f>LOOKUP(I705,{0,15,17,19,21,23,25,27,29,31,33,35,37,39,41,43,45,48,51,53,55},{0,10,20,30,40,50,60,62,64,66,68,70,72,74,76,78,80,85,90,95,100})</f>
        <v>72</v>
      </c>
      <c r="K705" s="5"/>
      <c r="L705" s="5"/>
      <c r="M705" s="5">
        <f t="shared" si="322"/>
        <v>72</v>
      </c>
      <c r="N705" s="5">
        <v>8.7</v>
      </c>
      <c r="O705" s="10">
        <f t="shared" si="323"/>
        <v>9.3</v>
      </c>
      <c r="P705" s="7">
        <f>LOOKUP(O705,{0,6.6,6.8,7,7.2,7.4,7.6,7.8,8,8.2,8.4,8.6,8.8,9,9.2,9.4,9.6,9.9,10.2,10.3,10.4},{0,10,20,30,40,50,60,62,64,66,68,70,72,74,76,78,80,85,90,95,100})</f>
        <v>76</v>
      </c>
      <c r="Q705" s="5">
        <v>4.03</v>
      </c>
      <c r="R705" s="10">
        <f t="shared" si="324"/>
        <v>5.97</v>
      </c>
      <c r="S705" s="7">
        <f>LOOKUP(R705,{0,4.74,4.84,4.94,5.44,5.54,5.64,5.69,5.74,5.79,5.84,5.89,5.94,5.99,6.44,6.49,6.54,6.61,6.68,6.74,6.8},{0,10,20,30,40,50,60,62,64,66,68,70,72,74,76,78,80,85,90,95,100})</f>
        <v>72</v>
      </c>
      <c r="T705" s="5"/>
      <c r="U705" s="5"/>
      <c r="V705" s="5">
        <f t="shared" si="325"/>
        <v>72</v>
      </c>
      <c r="W705" s="5"/>
      <c r="X705" s="13">
        <f t="shared" si="326"/>
        <v>52.2</v>
      </c>
      <c r="Y705" s="13">
        <f t="shared" si="327"/>
        <v>74.5714285714286</v>
      </c>
      <c r="Z705" s="19"/>
    </row>
    <row r="706" ht="15.6" hidden="1" outlineLevel="2" spans="1:26">
      <c r="A706" s="5">
        <v>315</v>
      </c>
      <c r="B706" s="5">
        <v>35</v>
      </c>
      <c r="C706" s="9" t="s">
        <v>770</v>
      </c>
      <c r="D706" s="9" t="s">
        <v>46</v>
      </c>
      <c r="E706" s="5">
        <v>24</v>
      </c>
      <c r="F706" s="7">
        <f>LOOKUP(E706,{0,1.5,2.3,3.1,3.9,4.7,5.5,6.8,8.1,9.4,10.7,12,13.3,14.6,15.9,17.2,18.5,20.2,21.9,23.6,25.3},{0,10,20,30,40,50,60,62,64,66,68,70,72,74,76,78,80,85,90,95,100})</f>
        <v>95</v>
      </c>
      <c r="G706" s="5">
        <v>175</v>
      </c>
      <c r="H706" s="7">
        <f>LOOKUP(G706,{0,125,130,135,140,145,150,153,156,159,162,165,168,171,174,177,180,187,194,200,206},{0,10,20,30,40,50,60,62,64,66,68,70,72,74,76,78,80,85,90,95,100})</f>
        <v>76</v>
      </c>
      <c r="I706" s="5">
        <v>36</v>
      </c>
      <c r="J706" s="7">
        <f>LOOKUP(I706,{0,15,17,19,21,23,25,27,29,31,33,35,37,39,41,43,45,48,51,53,55},{0,10,20,30,40,50,60,62,64,66,68,70,72,74,76,78,80,85,90,95,100})</f>
        <v>70</v>
      </c>
      <c r="K706" s="5"/>
      <c r="L706" s="5"/>
      <c r="M706" s="5">
        <f t="shared" si="322"/>
        <v>70</v>
      </c>
      <c r="N706" s="5">
        <v>9.4</v>
      </c>
      <c r="O706" s="10">
        <f t="shared" si="323"/>
        <v>8.6</v>
      </c>
      <c r="P706" s="7">
        <f>LOOKUP(O706,{0,6.6,6.8,7,7.2,7.4,7.6,7.8,8,8.2,8.4,8.6,8.8,9,9.2,9.4,9.6,9.9,10.2,10.3,10.4},{0,10,20,30,40,50,60,62,64,66,68,70,72,74,76,78,80,85,90,95,100})</f>
        <v>70</v>
      </c>
      <c r="Q706" s="5">
        <v>4.19</v>
      </c>
      <c r="R706" s="10">
        <f t="shared" si="324"/>
        <v>5.81</v>
      </c>
      <c r="S706" s="7">
        <f>LOOKUP(R706,{0,4.74,4.84,4.94,5.44,5.54,5.64,5.69,5.74,5.79,5.84,5.89,5.94,5.99,6.44,6.49,6.54,6.61,6.68,6.74,6.8},{0,10,20,30,40,50,60,62,64,66,68,70,72,74,76,78,80,85,90,95,100})</f>
        <v>66</v>
      </c>
      <c r="T706" s="5"/>
      <c r="U706" s="5"/>
      <c r="V706" s="5">
        <f t="shared" si="325"/>
        <v>66</v>
      </c>
      <c r="W706" s="5"/>
      <c r="X706" s="13">
        <f t="shared" si="326"/>
        <v>51.3</v>
      </c>
      <c r="Y706" s="13">
        <f t="shared" si="327"/>
        <v>73.2857142857143</v>
      </c>
      <c r="Z706" s="19"/>
    </row>
    <row r="707" ht="15.6" hidden="1" outlineLevel="2" spans="1:26">
      <c r="A707" s="5">
        <v>315</v>
      </c>
      <c r="B707" s="5">
        <v>36</v>
      </c>
      <c r="C707" s="9" t="s">
        <v>771</v>
      </c>
      <c r="D707" s="9" t="s">
        <v>46</v>
      </c>
      <c r="E707" s="5">
        <v>22.6</v>
      </c>
      <c r="F707" s="7">
        <f>LOOKUP(E707,{0,1.5,2.3,3.1,3.9,4.7,5.5,6.8,8.1,9.4,10.7,12,13.3,14.6,15.9,17.2,18.5,20.2,21.9,23.6,25.3},{0,10,20,30,40,50,60,62,64,66,68,70,72,74,76,78,80,85,90,95,100})</f>
        <v>90</v>
      </c>
      <c r="G707" s="5">
        <v>162</v>
      </c>
      <c r="H707" s="7">
        <f>LOOKUP(G707,{0,125,130,135,140,145,150,153,156,159,162,165,168,171,174,177,180,187,194,200,206},{0,10,20,30,40,50,60,62,64,66,68,70,72,74,76,78,80,85,90,95,100})</f>
        <v>68</v>
      </c>
      <c r="I707" s="5">
        <v>42</v>
      </c>
      <c r="J707" s="7">
        <f>LOOKUP(I707,{0,15,17,19,21,23,25,27,29,31,33,35,37,39,41,43,45,48,51,53,55},{0,10,20,30,40,50,60,62,64,66,68,70,72,74,76,78,80,85,90,95,100})</f>
        <v>76</v>
      </c>
      <c r="K707" s="5"/>
      <c r="L707" s="5"/>
      <c r="M707" s="5">
        <f t="shared" si="322"/>
        <v>76</v>
      </c>
      <c r="N707" s="5">
        <v>9.6</v>
      </c>
      <c r="O707" s="10">
        <f t="shared" si="323"/>
        <v>8.4</v>
      </c>
      <c r="P707" s="7">
        <f>LOOKUP(O707,{0,6.6,6.8,7,7.2,7.4,7.6,7.8,8,8.2,8.4,8.6,8.8,9,9.2,9.4,9.6,9.9,10.2,10.3,10.4},{0,10,20,30,40,50,60,62,64,66,68,70,72,74,76,78,80,85,90,95,100})</f>
        <v>68</v>
      </c>
      <c r="Q707" s="5">
        <v>5.1</v>
      </c>
      <c r="R707" s="10">
        <f t="shared" si="324"/>
        <v>4.9</v>
      </c>
      <c r="S707" s="7">
        <f>LOOKUP(R707,{0,4.74,4.84,4.94,5.44,5.54,5.64,5.69,5.74,5.79,5.84,5.89,5.94,5.99,6.44,6.49,6.54,6.61,6.68,6.74,6.8},{0,10,20,30,40,50,60,62,64,66,68,70,72,74,76,78,80,85,90,95,100})</f>
        <v>20</v>
      </c>
      <c r="T707" s="5"/>
      <c r="U707" s="5"/>
      <c r="V707" s="5">
        <f t="shared" si="325"/>
        <v>20</v>
      </c>
      <c r="W707" s="5"/>
      <c r="X707" s="13">
        <f t="shared" si="326"/>
        <v>41</v>
      </c>
      <c r="Y707" s="13">
        <f t="shared" si="327"/>
        <v>58.5714285714286</v>
      </c>
      <c r="Z707" s="20"/>
    </row>
    <row r="708" ht="15.6" hidden="1" outlineLevel="2" spans="1:26">
      <c r="A708" s="5">
        <v>315</v>
      </c>
      <c r="B708" s="5">
        <v>37</v>
      </c>
      <c r="C708" s="9" t="s">
        <v>772</v>
      </c>
      <c r="D708" s="9" t="s">
        <v>46</v>
      </c>
      <c r="E708" s="5">
        <v>10.3</v>
      </c>
      <c r="F708" s="7">
        <f>LOOKUP(E708,{0,1.5,2.3,3.1,3.9,4.7,5.5,6.8,8.1,9.4,10.7,12,13.3,14.6,15.9,17.2,18.5,20.2,21.9,23.6,25.3},{0,10,20,30,40,50,60,62,64,66,68,70,72,74,76,78,80,85,90,95,100})</f>
        <v>66</v>
      </c>
      <c r="G708" s="5">
        <v>168</v>
      </c>
      <c r="H708" s="7">
        <f>LOOKUP(G708,{0,125,130,135,140,145,150,153,156,159,162,165,168,171,174,177,180,187,194,200,206},{0,10,20,30,40,50,60,62,64,66,68,70,72,74,76,78,80,85,90,95,100})</f>
        <v>72</v>
      </c>
      <c r="I708" s="5">
        <v>44</v>
      </c>
      <c r="J708" s="7">
        <f>LOOKUP(I708,{0,15,17,19,21,23,25,27,29,31,33,35,37,39,41,43,45,48,51,53,55},{0,10,20,30,40,50,60,62,64,66,68,70,72,74,76,78,80,85,90,95,100})</f>
        <v>78</v>
      </c>
      <c r="K708" s="5"/>
      <c r="L708" s="5"/>
      <c r="M708" s="5">
        <f t="shared" si="322"/>
        <v>78</v>
      </c>
      <c r="N708" s="5">
        <v>9.1</v>
      </c>
      <c r="O708" s="10">
        <f t="shared" si="323"/>
        <v>8.9</v>
      </c>
      <c r="P708" s="7">
        <f>LOOKUP(O708,{0,6.6,6.8,7,7.2,7.4,7.6,7.8,8,8.2,8.4,8.6,8.8,9,9.2,9.4,9.6,9.9,10.2,10.3,10.4},{0,10,20,30,40,50,60,62,64,66,68,70,72,74,76,78,80,85,90,95,100})</f>
        <v>72</v>
      </c>
      <c r="Q708" s="5">
        <v>5.25</v>
      </c>
      <c r="R708" s="10">
        <f t="shared" si="324"/>
        <v>4.75</v>
      </c>
      <c r="S708" s="7">
        <f>LOOKUP(R708,{0,4.74,4.84,4.94,5.44,5.54,5.64,5.69,5.74,5.79,5.84,5.89,5.94,5.99,6.44,6.49,6.54,6.61,6.68,6.74,6.8},{0,10,20,30,40,50,60,62,64,66,68,70,72,74,76,78,80,85,90,95,100})</f>
        <v>10</v>
      </c>
      <c r="T708" s="5"/>
      <c r="U708" s="5"/>
      <c r="V708" s="5">
        <f t="shared" si="325"/>
        <v>10</v>
      </c>
      <c r="W708" s="5"/>
      <c r="X708" s="13">
        <f t="shared" si="326"/>
        <v>38</v>
      </c>
      <c r="Y708" s="13">
        <f t="shared" si="327"/>
        <v>54.2857142857143</v>
      </c>
      <c r="Z708" s="19"/>
    </row>
    <row r="709" ht="15.6" hidden="1" outlineLevel="2" spans="1:26">
      <c r="A709" s="5">
        <v>315</v>
      </c>
      <c r="B709" s="5">
        <v>38</v>
      </c>
      <c r="C709" s="9" t="s">
        <v>773</v>
      </c>
      <c r="D709" s="9" t="s">
        <v>46</v>
      </c>
      <c r="E709" s="5">
        <v>6.1</v>
      </c>
      <c r="F709" s="7">
        <f>LOOKUP(E709,{0,1.5,2.3,3.1,3.9,4.7,5.5,6.8,8.1,9.4,10.7,12,13.3,14.6,15.9,17.2,18.5,20.2,21.9,23.6,25.3},{0,10,20,30,40,50,60,62,64,66,68,70,72,74,76,78,80,85,90,95,100})</f>
        <v>60</v>
      </c>
      <c r="G709" s="5">
        <v>220</v>
      </c>
      <c r="H709" s="7">
        <f>LOOKUP(G709,{0,125,130,135,140,145,150,153,156,159,162,165,168,171,174,177,180,187,194,200,206},{0,10,20,30,40,50,60,62,64,66,68,70,72,74,76,78,80,85,90,95,100})</f>
        <v>100</v>
      </c>
      <c r="I709" s="5">
        <v>50</v>
      </c>
      <c r="J709" s="7">
        <f>LOOKUP(I709,{0,15,17,19,21,23,25,27,29,31,33,35,37,39,41,43,45,48,51,53,55},{0,10,20,30,40,50,60,62,64,66,68,70,72,74,76,78,80,85,90,95,100})</f>
        <v>85</v>
      </c>
      <c r="K709" s="5"/>
      <c r="L709" s="5"/>
      <c r="M709" s="5">
        <f t="shared" si="322"/>
        <v>85</v>
      </c>
      <c r="N709" s="5">
        <v>8.2</v>
      </c>
      <c r="O709" s="10">
        <f t="shared" si="323"/>
        <v>9.8</v>
      </c>
      <c r="P709" s="7">
        <f>LOOKUP(O709,{0,6.6,6.8,7,7.2,7.4,7.6,7.8,8,8.2,8.4,8.6,8.8,9,9.2,9.4,9.6,9.9,10.2,10.3,10.4},{0,10,20,30,40,50,60,62,64,66,68,70,72,74,76,78,80,85,90,95,100})</f>
        <v>80</v>
      </c>
      <c r="Q709" s="5">
        <v>3.59</v>
      </c>
      <c r="R709" s="10">
        <f t="shared" si="324"/>
        <v>6.41</v>
      </c>
      <c r="S709" s="7">
        <f>LOOKUP(R709,{0,4.74,4.84,4.94,5.44,5.54,5.64,5.69,5.74,5.79,5.84,5.89,5.94,5.99,6.44,6.49,6.54,6.61,6.68,6.74,6.8},{0,10,20,30,40,50,60,62,64,66,68,70,72,74,76,78,80,85,90,95,100})</f>
        <v>74</v>
      </c>
      <c r="T709" s="5"/>
      <c r="U709" s="5"/>
      <c r="V709" s="5">
        <f t="shared" si="325"/>
        <v>74</v>
      </c>
      <c r="W709" s="5"/>
      <c r="X709" s="13">
        <f t="shared" si="326"/>
        <v>55.3</v>
      </c>
      <c r="Y709" s="13">
        <f t="shared" si="327"/>
        <v>79</v>
      </c>
      <c r="Z709" s="19"/>
    </row>
    <row r="710" ht="15.6" hidden="1" outlineLevel="2" spans="1:26">
      <c r="A710" s="5">
        <v>315</v>
      </c>
      <c r="B710" s="5">
        <v>39</v>
      </c>
      <c r="C710" s="9" t="s">
        <v>774</v>
      </c>
      <c r="D710" s="9" t="s">
        <v>46</v>
      </c>
      <c r="E710" s="5">
        <v>10.5</v>
      </c>
      <c r="F710" s="7">
        <f>LOOKUP(E710,{0,1.5,2.3,3.1,3.9,4.7,5.5,6.8,8.1,9.4,10.7,12,13.3,14.6,15.9,17.2,18.5,20.2,21.9,23.6,25.3},{0,10,20,30,40,50,60,62,64,66,68,70,72,74,76,78,80,85,90,95,100})</f>
        <v>66</v>
      </c>
      <c r="G710" s="5">
        <v>175</v>
      </c>
      <c r="H710" s="7">
        <f>LOOKUP(G710,{0,125,130,135,140,145,150,153,156,159,162,165,168,171,174,177,180,187,194,200,206},{0,10,20,30,40,50,60,62,64,66,68,70,72,74,76,78,80,85,90,95,100})</f>
        <v>76</v>
      </c>
      <c r="I710" s="5">
        <v>50</v>
      </c>
      <c r="J710" s="7">
        <f>LOOKUP(I710,{0,15,17,19,21,23,25,27,29,31,33,35,37,39,41,43,45,48,51,53,55},{0,10,20,30,40,50,60,62,64,66,68,70,72,74,76,78,80,85,90,95,100})</f>
        <v>85</v>
      </c>
      <c r="K710" s="5"/>
      <c r="L710" s="5"/>
      <c r="M710" s="5">
        <f t="shared" si="322"/>
        <v>85</v>
      </c>
      <c r="N710" s="5">
        <v>8.4</v>
      </c>
      <c r="O710" s="10">
        <f t="shared" si="323"/>
        <v>9.6</v>
      </c>
      <c r="P710" s="7">
        <f>LOOKUP(O710,{0,6.6,6.8,7,7.2,7.4,7.6,7.8,8,8.2,8.4,8.6,8.8,9,9.2,9.4,9.6,9.9,10.2,10.3,10.4},{0,10,20,30,40,50,60,62,64,66,68,70,72,74,76,78,80,85,90,95,100})</f>
        <v>80</v>
      </c>
      <c r="Q710" s="5">
        <v>4.25</v>
      </c>
      <c r="R710" s="10">
        <f t="shared" si="324"/>
        <v>5.75</v>
      </c>
      <c r="S710" s="7">
        <f>LOOKUP(R710,{0,4.74,4.84,4.94,5.44,5.54,5.64,5.69,5.74,5.79,5.84,5.89,5.94,5.99,6.44,6.49,6.54,6.61,6.68,6.74,6.8},{0,10,20,30,40,50,60,62,64,66,68,70,72,74,76,78,80,85,90,95,100})</f>
        <v>64</v>
      </c>
      <c r="T710" s="5"/>
      <c r="U710" s="5"/>
      <c r="V710" s="5">
        <f t="shared" si="325"/>
        <v>64</v>
      </c>
      <c r="W710" s="5"/>
      <c r="X710" s="13">
        <f t="shared" si="326"/>
        <v>51.5</v>
      </c>
      <c r="Y710" s="13">
        <f t="shared" si="327"/>
        <v>73.5714285714286</v>
      </c>
      <c r="Z710" s="19"/>
    </row>
    <row r="711" ht="15.6" hidden="1" outlineLevel="2" spans="1:26">
      <c r="A711" s="5">
        <v>315</v>
      </c>
      <c r="B711" s="5">
        <v>40</v>
      </c>
      <c r="C711" s="8" t="s">
        <v>776</v>
      </c>
      <c r="D711" s="9" t="s">
        <v>46</v>
      </c>
      <c r="E711" s="5">
        <v>27</v>
      </c>
      <c r="F711" s="7">
        <f>LOOKUP(E711,{0,1.5,2.3,3.1,3.9,4.7,5.5,6.8,8.1,9.4,10.7,12,13.3,14.6,15.9,17.2,18.5,20.2,21.9,23.6,25.3},{0,10,20,30,40,50,60,62,64,66,68,70,72,74,76,78,80,85,90,95,100})</f>
        <v>100</v>
      </c>
      <c r="G711" s="5">
        <v>160</v>
      </c>
      <c r="H711" s="7">
        <f>LOOKUP(G711,{0,125,130,135,140,145,150,153,156,159,162,165,168,171,174,177,180,187,194,200,206},{0,10,20,30,40,50,60,62,64,66,68,70,72,74,76,78,80,85,90,95,100})</f>
        <v>66</v>
      </c>
      <c r="I711" s="5">
        <v>58</v>
      </c>
      <c r="J711" s="7">
        <f>LOOKUP(I711,{0,15,17,19,21,23,25,27,29,31,33,35,37,39,41,43,45,48,51,53,55},{0,10,20,30,40,50,60,62,64,66,68,70,72,74,76,78,80,85,90,95,100})</f>
        <v>100</v>
      </c>
      <c r="K711" s="11">
        <f>I711-55</f>
        <v>3</v>
      </c>
      <c r="L711" s="7">
        <f>LOOKUP(K711,{0,2,4,6,7,8,9,10,11,12,13},{0,1,2,3,4,5,6,7,8,9,10})</f>
        <v>1</v>
      </c>
      <c r="M711" s="5">
        <f t="shared" si="322"/>
        <v>101</v>
      </c>
      <c r="N711" s="5">
        <v>9.6</v>
      </c>
      <c r="O711" s="10">
        <f t="shared" si="323"/>
        <v>8.4</v>
      </c>
      <c r="P711" s="7">
        <f>LOOKUP(O711,{0,6.6,6.8,7,7.2,7.4,7.6,7.8,8,8.2,8.4,8.6,8.8,9,9.2,9.4,9.6,9.9,10.2,10.3,10.4},{0,10,20,30,40,50,60,62,64,66,68,70,72,74,76,78,80,85,90,95,100})</f>
        <v>68</v>
      </c>
      <c r="Q711" s="5">
        <v>4.19</v>
      </c>
      <c r="R711" s="10">
        <f t="shared" si="324"/>
        <v>5.81</v>
      </c>
      <c r="S711" s="7">
        <f>LOOKUP(R711,{0,4.74,4.84,4.94,5.44,5.54,5.64,5.69,5.74,5.79,5.84,5.89,5.94,5.99,6.44,6.49,6.54,6.61,6.68,6.74,6.8},{0,10,20,30,40,50,60,62,64,66,68,70,72,74,76,78,80,85,90,95,100})</f>
        <v>66</v>
      </c>
      <c r="T711" s="5"/>
      <c r="U711" s="5"/>
      <c r="V711" s="5">
        <f t="shared" si="325"/>
        <v>66</v>
      </c>
      <c r="W711" s="5"/>
      <c r="X711" s="13">
        <f t="shared" si="326"/>
        <v>53.4</v>
      </c>
      <c r="Y711" s="13">
        <f t="shared" si="327"/>
        <v>77.2857142857143</v>
      </c>
      <c r="Z711" s="19"/>
    </row>
    <row r="712" ht="15.6" hidden="1" outlineLevel="2" spans="1:26">
      <c r="A712" s="5">
        <v>315</v>
      </c>
      <c r="B712" s="5">
        <v>41</v>
      </c>
      <c r="C712" s="9" t="s">
        <v>777</v>
      </c>
      <c r="D712" s="9" t="s">
        <v>46</v>
      </c>
      <c r="E712" s="5">
        <v>12</v>
      </c>
      <c r="F712" s="7">
        <f>LOOKUP(E712,{0,1.5,2.3,3.1,3.9,4.7,5.5,6.8,8.1,9.4,10.7,12,13.3,14.6,15.9,17.2,18.5,20.2,21.9,23.6,25.3},{0,10,20,30,40,50,60,62,64,66,68,70,72,74,76,78,80,85,90,95,100})</f>
        <v>70</v>
      </c>
      <c r="G712" s="5">
        <v>178</v>
      </c>
      <c r="H712" s="7">
        <f>LOOKUP(G712,{0,125,130,135,140,145,150,153,156,159,162,165,168,171,174,177,180,187,194,200,206},{0,10,20,30,40,50,60,62,64,66,68,70,72,74,76,78,80,85,90,95,100})</f>
        <v>78</v>
      </c>
      <c r="I712" s="5">
        <v>22</v>
      </c>
      <c r="J712" s="7">
        <f>LOOKUP(I712,{0,15,17,19,21,23,25,27,29,31,33,35,37,39,41,43,45,48,51,53,55},{0,10,20,30,40,50,60,62,64,66,68,70,72,74,76,78,80,85,90,95,100})</f>
        <v>40</v>
      </c>
      <c r="K712" s="5"/>
      <c r="L712" s="5"/>
      <c r="M712" s="5">
        <f t="shared" si="322"/>
        <v>40</v>
      </c>
      <c r="N712" s="5">
        <v>9.8</v>
      </c>
      <c r="O712" s="10">
        <f t="shared" si="323"/>
        <v>8.2</v>
      </c>
      <c r="P712" s="7">
        <f>LOOKUP(O712,{0,6.6,6.8,7,7.2,7.4,7.6,7.8,8,8.2,8.4,8.6,8.8,9,9.2,9.4,9.6,9.9,10.2,10.3,10.4},{0,10,20,30,40,50,60,62,64,66,68,70,72,74,76,78,80,85,90,95,100})</f>
        <v>66</v>
      </c>
      <c r="Q712" s="5">
        <v>4.32</v>
      </c>
      <c r="R712" s="10">
        <f t="shared" si="324"/>
        <v>5.68</v>
      </c>
      <c r="S712" s="7">
        <f>LOOKUP(R712,{0,4.74,4.84,4.94,5.44,5.54,5.64,5.69,5.74,5.79,5.84,5.89,5.94,5.99,6.44,6.49,6.54,6.61,6.68,6.74,6.8},{0,10,20,30,40,50,60,62,64,66,68,70,72,74,76,78,80,85,90,95,100})</f>
        <v>60</v>
      </c>
      <c r="T712" s="5"/>
      <c r="U712" s="5"/>
      <c r="V712" s="5">
        <f t="shared" si="325"/>
        <v>60</v>
      </c>
      <c r="W712" s="5"/>
      <c r="X712" s="13">
        <f t="shared" si="326"/>
        <v>44</v>
      </c>
      <c r="Y712" s="13">
        <f t="shared" si="327"/>
        <v>62.8571428571429</v>
      </c>
      <c r="Z712" s="19"/>
    </row>
    <row r="713" ht="15.6" hidden="1" outlineLevel="2" spans="1:26">
      <c r="A713" s="5">
        <v>315</v>
      </c>
      <c r="B713" s="5">
        <v>42</v>
      </c>
      <c r="C713" s="9" t="s">
        <v>778</v>
      </c>
      <c r="D713" s="9" t="s">
        <v>46</v>
      </c>
      <c r="E713" s="5">
        <v>17.5</v>
      </c>
      <c r="F713" s="7">
        <f>LOOKUP(E713,{0,1.5,2.3,3.1,3.9,4.7,5.5,6.8,8.1,9.4,10.7,12,13.3,14.6,15.9,17.2,18.5,20.2,21.9,23.6,25.3},{0,10,20,30,40,50,60,62,64,66,68,70,72,74,76,78,80,85,90,95,100})</f>
        <v>78</v>
      </c>
      <c r="G713" s="5">
        <v>180</v>
      </c>
      <c r="H713" s="7">
        <f>LOOKUP(G713,{0,125,130,135,140,145,150,153,156,159,162,165,168,171,174,177,180,187,194,200,206},{0,10,20,30,40,50,60,62,64,66,68,70,72,74,76,78,80,85,90,95,100})</f>
        <v>80</v>
      </c>
      <c r="I713" s="5">
        <v>46</v>
      </c>
      <c r="J713" s="7">
        <f>LOOKUP(I713,{0,15,17,19,21,23,25,27,29,31,33,35,37,39,41,43,45,48,51,53,55},{0,10,20,30,40,50,60,62,64,66,68,70,72,74,76,78,80,85,90,95,100})</f>
        <v>80</v>
      </c>
      <c r="K713" s="5"/>
      <c r="L713" s="5"/>
      <c r="M713" s="5">
        <f t="shared" si="322"/>
        <v>80</v>
      </c>
      <c r="N713" s="5">
        <v>8.6</v>
      </c>
      <c r="O713" s="10">
        <f t="shared" si="323"/>
        <v>9.4</v>
      </c>
      <c r="P713" s="7">
        <f>LOOKUP(O713,{0,6.6,6.8,7,7.2,7.4,7.6,7.8,8,8.2,8.4,8.6,8.8,9,9.2,9.4,9.6,9.9,10.2,10.3,10.4},{0,10,20,30,40,50,60,62,64,66,68,70,72,74,76,78,80,85,90,95,100})</f>
        <v>78</v>
      </c>
      <c r="Q713" s="5">
        <v>4.03</v>
      </c>
      <c r="R713" s="10">
        <f t="shared" si="324"/>
        <v>5.97</v>
      </c>
      <c r="S713" s="7">
        <f>LOOKUP(R713,{0,4.74,4.84,4.94,5.44,5.54,5.64,5.69,5.74,5.79,5.84,5.89,5.94,5.99,6.44,6.49,6.54,6.61,6.68,6.74,6.8},{0,10,20,30,40,50,60,62,64,66,68,70,72,74,76,78,80,85,90,95,100})</f>
        <v>72</v>
      </c>
      <c r="T713" s="5"/>
      <c r="U713" s="5"/>
      <c r="V713" s="5">
        <f t="shared" si="325"/>
        <v>72</v>
      </c>
      <c r="W713" s="5"/>
      <c r="X713" s="13">
        <f t="shared" si="326"/>
        <v>53.8</v>
      </c>
      <c r="Y713" s="13">
        <f t="shared" si="327"/>
        <v>76.8571428571429</v>
      </c>
      <c r="Z713" s="19"/>
    </row>
    <row r="714" ht="15.6" hidden="1" outlineLevel="2" spans="1:26">
      <c r="A714" s="5">
        <v>315</v>
      </c>
      <c r="B714" s="5">
        <v>43</v>
      </c>
      <c r="C714" s="9" t="s">
        <v>779</v>
      </c>
      <c r="D714" s="9" t="s">
        <v>46</v>
      </c>
      <c r="E714" s="5">
        <v>9</v>
      </c>
      <c r="F714" s="7">
        <f>LOOKUP(E714,{0,1.5,2.3,3.1,3.9,4.7,5.5,6.8,8.1,9.4,10.7,12,13.3,14.6,15.9,17.2,18.5,20.2,21.9,23.6,25.3},{0,10,20,30,40,50,60,62,64,66,68,70,72,74,76,78,80,85,90,95,100})</f>
        <v>64</v>
      </c>
      <c r="G714" s="5">
        <v>147</v>
      </c>
      <c r="H714" s="7">
        <f>LOOKUP(G714,{0,125,130,135,140,145,150,153,156,159,162,165,168,171,174,177,180,187,194,200,206},{0,10,20,30,40,50,60,62,64,66,68,70,72,74,76,78,80,85,90,95,100})</f>
        <v>50</v>
      </c>
      <c r="I714" s="5">
        <v>39</v>
      </c>
      <c r="J714" s="7">
        <f>LOOKUP(I714,{0,15,17,19,21,23,25,27,29,31,33,35,37,39,41,43,45,48,51,53,55},{0,10,20,30,40,50,60,62,64,66,68,70,72,74,76,78,80,85,90,95,100})</f>
        <v>74</v>
      </c>
      <c r="K714" s="5"/>
      <c r="L714" s="5"/>
      <c r="M714" s="5">
        <f t="shared" si="322"/>
        <v>74</v>
      </c>
      <c r="N714" s="5">
        <v>10.6</v>
      </c>
      <c r="O714" s="10">
        <f t="shared" si="323"/>
        <v>7.4</v>
      </c>
      <c r="P714" s="7">
        <f>LOOKUP(O714,{0,6.6,6.8,7,7.2,7.4,7.6,7.8,8,8.2,8.4,8.6,8.8,9,9.2,9.4,9.6,9.9,10.2,10.3,10.4},{0,10,20,30,40,50,60,62,64,66,68,70,72,74,76,78,80,85,90,95,100})</f>
        <v>50</v>
      </c>
      <c r="Q714" s="5" t="s">
        <v>77</v>
      </c>
      <c r="R714" s="5"/>
      <c r="S714" s="5"/>
      <c r="T714" s="5"/>
      <c r="U714" s="5"/>
      <c r="V714" s="5"/>
      <c r="W714" s="14">
        <v>50</v>
      </c>
      <c r="X714" s="13">
        <f t="shared" si="326"/>
        <v>28.8</v>
      </c>
      <c r="Y714" s="13">
        <v>50</v>
      </c>
      <c r="Z714" s="19"/>
    </row>
    <row r="715" ht="15.6" hidden="1" outlineLevel="2" spans="1:26">
      <c r="A715" s="5">
        <v>315</v>
      </c>
      <c r="B715" s="5">
        <v>44</v>
      </c>
      <c r="C715" s="9" t="s">
        <v>780</v>
      </c>
      <c r="D715" s="9" t="s">
        <v>46</v>
      </c>
      <c r="E715" s="5">
        <v>18.5</v>
      </c>
      <c r="F715" s="7">
        <f>LOOKUP(E715,{0,1.5,2.3,3.1,3.9,4.7,5.5,6.8,8.1,9.4,10.7,12,13.3,14.6,15.9,17.2,18.5,20.2,21.9,23.6,25.3},{0,10,20,30,40,50,60,62,64,66,68,70,72,74,76,78,80,85,90,95,100})</f>
        <v>80</v>
      </c>
      <c r="G715" s="5">
        <v>178</v>
      </c>
      <c r="H715" s="7">
        <f>LOOKUP(G715,{0,125,130,135,140,145,150,153,156,159,162,165,168,171,174,177,180,187,194,200,206},{0,10,20,30,40,50,60,62,64,66,68,70,72,74,76,78,80,85,90,95,100})</f>
        <v>78</v>
      </c>
      <c r="I715" s="5">
        <v>48</v>
      </c>
      <c r="J715" s="7">
        <f>LOOKUP(I715,{0,15,17,19,21,23,25,27,29,31,33,35,37,39,41,43,45,48,51,53,55},{0,10,20,30,40,50,60,62,64,66,68,70,72,74,76,78,80,85,90,95,100})</f>
        <v>85</v>
      </c>
      <c r="K715" s="5"/>
      <c r="L715" s="5"/>
      <c r="M715" s="5">
        <f t="shared" si="322"/>
        <v>85</v>
      </c>
      <c r="N715" s="5">
        <v>8.2</v>
      </c>
      <c r="O715" s="10">
        <f t="shared" si="323"/>
        <v>9.8</v>
      </c>
      <c r="P715" s="7">
        <f>LOOKUP(O715,{0,6.6,6.8,7,7.2,7.4,7.6,7.8,8,8.2,8.4,8.6,8.8,9,9.2,9.4,9.6,9.9,10.2,10.3,10.4},{0,10,20,30,40,50,60,62,64,66,68,70,72,74,76,78,80,85,90,95,100})</f>
        <v>80</v>
      </c>
      <c r="Q715" s="5">
        <v>4.3</v>
      </c>
      <c r="R715" s="10">
        <f t="shared" ref="R715:R724" si="328">10-Q715</f>
        <v>5.7</v>
      </c>
      <c r="S715" s="7">
        <f>LOOKUP(R715,{0,4.74,4.84,4.94,5.44,5.54,5.64,5.69,5.74,5.79,5.84,5.89,5.94,5.99,6.44,6.49,6.54,6.61,6.68,6.74,6.8},{0,10,20,30,40,50,60,62,64,66,68,70,72,74,76,78,80,85,90,95,100})</f>
        <v>62</v>
      </c>
      <c r="T715" s="5"/>
      <c r="U715" s="5"/>
      <c r="V715" s="5">
        <f t="shared" ref="V715:V724" si="329">S715+U715</f>
        <v>62</v>
      </c>
      <c r="W715" s="5"/>
      <c r="X715" s="13">
        <f t="shared" si="326"/>
        <v>52.7</v>
      </c>
      <c r="Y715" s="13">
        <f t="shared" ref="Y715:Y724" si="330">X715/0.7+L715+U715</f>
        <v>75.2857142857143</v>
      </c>
      <c r="Z715" s="19"/>
    </row>
    <row r="716" ht="15.6" hidden="1" outlineLevel="2" spans="1:26">
      <c r="A716" s="5">
        <v>315</v>
      </c>
      <c r="B716" s="5">
        <v>45</v>
      </c>
      <c r="C716" s="9" t="s">
        <v>781</v>
      </c>
      <c r="D716" s="9" t="s">
        <v>46</v>
      </c>
      <c r="E716" s="5">
        <v>8.5</v>
      </c>
      <c r="F716" s="7">
        <f>LOOKUP(E716,{0,1.5,2.3,3.1,3.9,4.7,5.5,6.8,8.1,9.4,10.7,12,13.3,14.6,15.9,17.2,18.5,20.2,21.9,23.6,25.3},{0,10,20,30,40,50,60,62,64,66,68,70,72,74,76,78,80,85,90,95,100})</f>
        <v>64</v>
      </c>
      <c r="G716" s="5">
        <v>180</v>
      </c>
      <c r="H716" s="7">
        <f>LOOKUP(G716,{0,125,130,135,140,145,150,153,156,159,162,165,168,171,174,177,180,187,194,200,206},{0,10,20,30,40,50,60,62,64,66,68,70,72,74,76,78,80,85,90,95,100})</f>
        <v>80</v>
      </c>
      <c r="I716" s="5">
        <v>51</v>
      </c>
      <c r="J716" s="7">
        <f>LOOKUP(I716,{0,15,17,19,21,23,25,27,29,31,33,35,37,39,41,43,45,48,51,53,55},{0,10,20,30,40,50,60,62,64,66,68,70,72,74,76,78,80,85,90,95,100})</f>
        <v>90</v>
      </c>
      <c r="K716" s="5"/>
      <c r="L716" s="16"/>
      <c r="M716" s="5">
        <f t="shared" si="322"/>
        <v>90</v>
      </c>
      <c r="N716" s="5">
        <v>8.7</v>
      </c>
      <c r="O716" s="10">
        <f t="shared" si="323"/>
        <v>9.3</v>
      </c>
      <c r="P716" s="7">
        <f>LOOKUP(O716,{0,6.6,6.8,7,7.2,7.4,7.6,7.8,8,8.2,8.4,8.6,8.8,9,9.2,9.4,9.6,9.9,10.2,10.3,10.4},{0,10,20,30,40,50,60,62,64,66,68,70,72,74,76,78,80,85,90,95,100})</f>
        <v>76</v>
      </c>
      <c r="Q716" s="5">
        <v>4.14</v>
      </c>
      <c r="R716" s="10">
        <f t="shared" si="328"/>
        <v>5.86</v>
      </c>
      <c r="S716" s="7">
        <f>LOOKUP(R716,{0,4.74,4.84,4.94,5.44,5.54,5.64,5.69,5.74,5.79,5.84,5.89,5.94,5.99,6.44,6.49,6.54,6.61,6.68,6.74,6.8},{0,10,20,30,40,50,60,62,64,66,68,70,72,74,76,78,80,85,90,95,100})</f>
        <v>68</v>
      </c>
      <c r="T716" s="5"/>
      <c r="U716" s="5"/>
      <c r="V716" s="5">
        <f t="shared" si="329"/>
        <v>68</v>
      </c>
      <c r="W716" s="5"/>
      <c r="X716" s="13">
        <f t="shared" si="326"/>
        <v>52.2</v>
      </c>
      <c r="Y716" s="13">
        <f t="shared" si="330"/>
        <v>74.5714285714286</v>
      </c>
      <c r="Z716" s="19"/>
    </row>
    <row r="717" ht="15.6" hidden="1" outlineLevel="2" spans="1:26">
      <c r="A717" s="5">
        <v>315</v>
      </c>
      <c r="B717" s="5">
        <v>46</v>
      </c>
      <c r="C717" s="9" t="s">
        <v>782</v>
      </c>
      <c r="D717" s="9" t="s">
        <v>46</v>
      </c>
      <c r="E717" s="5">
        <v>23.5</v>
      </c>
      <c r="F717" s="7">
        <f>LOOKUP(E717,{0,1.5,2.3,3.1,3.9,4.7,5.5,6.8,8.1,9.4,10.7,12,13.3,14.6,15.9,17.2,18.5,20.2,21.9,23.6,25.3},{0,10,20,30,40,50,60,62,64,66,68,70,72,74,76,78,80,85,90,95,100})</f>
        <v>90</v>
      </c>
      <c r="G717" s="5">
        <v>170</v>
      </c>
      <c r="H717" s="7">
        <f>LOOKUP(G717,{0,125,130,135,140,145,150,153,156,159,162,165,168,171,174,177,180,187,194,200,206},{0,10,20,30,40,50,60,62,64,66,68,70,72,74,76,78,80,85,90,95,100})</f>
        <v>72</v>
      </c>
      <c r="I717" s="5">
        <v>35</v>
      </c>
      <c r="J717" s="7">
        <f>LOOKUP(I717,{0,15,17,19,21,23,25,27,29,31,33,35,37,39,41,43,45,48,51,53,55},{0,10,20,30,40,50,60,62,64,66,68,70,72,74,76,78,80,85,90,95,100})</f>
        <v>70</v>
      </c>
      <c r="K717" s="5"/>
      <c r="L717" s="5"/>
      <c r="M717" s="5">
        <f t="shared" si="322"/>
        <v>70</v>
      </c>
      <c r="N717" s="5">
        <v>8.7</v>
      </c>
      <c r="O717" s="10">
        <f t="shared" si="323"/>
        <v>9.3</v>
      </c>
      <c r="P717" s="7">
        <f>LOOKUP(O717,{0,6.6,6.8,7,7.2,7.4,7.6,7.8,8,8.2,8.4,8.6,8.8,9,9.2,9.4,9.6,9.9,10.2,10.3,10.4},{0,10,20,30,40,50,60,62,64,66,68,70,72,74,76,78,80,85,90,95,100})</f>
        <v>76</v>
      </c>
      <c r="Q717" s="5">
        <v>4.18</v>
      </c>
      <c r="R717" s="10">
        <f t="shared" si="328"/>
        <v>5.82</v>
      </c>
      <c r="S717" s="7">
        <f>LOOKUP(R717,{0,4.74,4.84,4.94,5.44,5.54,5.64,5.69,5.74,5.79,5.84,5.89,5.94,5.99,6.44,6.49,6.54,6.61,6.68,6.74,6.8},{0,10,20,30,40,50,60,62,64,66,68,70,72,74,76,78,80,85,90,95,100})</f>
        <v>66</v>
      </c>
      <c r="T717" s="5"/>
      <c r="U717" s="5"/>
      <c r="V717" s="5">
        <f t="shared" si="329"/>
        <v>66</v>
      </c>
      <c r="W717" s="5"/>
      <c r="X717" s="13">
        <f t="shared" si="326"/>
        <v>51.6</v>
      </c>
      <c r="Y717" s="13">
        <f t="shared" si="330"/>
        <v>73.7142857142857</v>
      </c>
      <c r="Z717" s="19"/>
    </row>
    <row r="718" ht="15.6" hidden="1" outlineLevel="2" spans="1:26">
      <c r="A718" s="5">
        <v>315</v>
      </c>
      <c r="B718" s="5">
        <v>47</v>
      </c>
      <c r="C718" s="9" t="s">
        <v>783</v>
      </c>
      <c r="D718" s="9" t="s">
        <v>46</v>
      </c>
      <c r="E718" s="5">
        <v>7</v>
      </c>
      <c r="F718" s="7">
        <f>LOOKUP(E718,{0,1.5,2.3,3.1,3.9,4.7,5.5,6.8,8.1,9.4,10.7,12,13.3,14.6,15.9,17.2,18.5,20.2,21.9,23.6,25.3},{0,10,20,30,40,50,60,62,64,66,68,70,72,74,76,78,80,85,90,95,100})</f>
        <v>62</v>
      </c>
      <c r="G718" s="5">
        <v>178</v>
      </c>
      <c r="H718" s="7">
        <f>LOOKUP(G718,{0,125,130,135,140,145,150,153,156,159,162,165,168,171,174,177,180,187,194,200,206},{0,10,20,30,40,50,60,62,64,66,68,70,72,74,76,78,80,85,90,95,100})</f>
        <v>78</v>
      </c>
      <c r="I718" s="5">
        <v>50</v>
      </c>
      <c r="J718" s="7">
        <f>LOOKUP(I718,{0,15,17,19,21,23,25,27,29,31,33,35,37,39,41,43,45,48,51,53,55},{0,10,20,30,40,50,60,62,64,66,68,70,72,74,76,78,80,85,90,95,100})</f>
        <v>85</v>
      </c>
      <c r="K718" s="5"/>
      <c r="L718" s="5"/>
      <c r="M718" s="5">
        <f t="shared" si="322"/>
        <v>85</v>
      </c>
      <c r="N718" s="5">
        <v>9.2</v>
      </c>
      <c r="O718" s="10">
        <f t="shared" si="323"/>
        <v>8.8</v>
      </c>
      <c r="P718" s="7">
        <f>LOOKUP(O718,{0,6.6,6.8,7,7.2,7.4,7.6,7.8,8,8.2,8.4,8.6,8.8,9,9.2,9.4,9.6,9.9,10.2,10.3,10.4},{0,10,20,30,40,50,60,62,64,66,68,70,72,74,76,78,80,85,90,95,100})</f>
        <v>72</v>
      </c>
      <c r="Q718" s="5">
        <v>3.38</v>
      </c>
      <c r="R718" s="10">
        <f t="shared" si="328"/>
        <v>6.62</v>
      </c>
      <c r="S718" s="7">
        <f>LOOKUP(R718,{0,4.74,4.84,4.94,5.44,5.54,5.64,5.69,5.74,5.79,5.84,5.89,5.94,5.99,6.44,6.49,6.54,6.61,6.68,6.74,6.8},{0,10,20,30,40,50,60,62,64,66,68,70,72,74,76,78,80,85,90,95,100})</f>
        <v>85</v>
      </c>
      <c r="T718" s="5"/>
      <c r="U718" s="5"/>
      <c r="V718" s="5">
        <f t="shared" si="329"/>
        <v>85</v>
      </c>
      <c r="W718" s="5"/>
      <c r="X718" s="13">
        <f t="shared" si="326"/>
        <v>53.9</v>
      </c>
      <c r="Y718" s="13">
        <f t="shared" si="330"/>
        <v>77</v>
      </c>
      <c r="Z718" s="19"/>
    </row>
    <row r="719" ht="15.6" hidden="1" outlineLevel="2" spans="1:26">
      <c r="A719" s="5">
        <v>315</v>
      </c>
      <c r="B719" s="5">
        <v>48</v>
      </c>
      <c r="C719" s="9" t="s">
        <v>784</v>
      </c>
      <c r="D719" s="9" t="s">
        <v>46</v>
      </c>
      <c r="E719" s="5">
        <v>19</v>
      </c>
      <c r="F719" s="7">
        <f>LOOKUP(E719,{0,1.5,2.3,3.1,3.9,4.7,5.5,6.8,8.1,9.4,10.7,12,13.3,14.6,15.9,17.2,18.5,20.2,21.9,23.6,25.3},{0,10,20,30,40,50,60,62,64,66,68,70,72,74,76,78,80,85,90,95,100})</f>
        <v>80</v>
      </c>
      <c r="G719" s="5">
        <v>175</v>
      </c>
      <c r="H719" s="7">
        <f>LOOKUP(G719,{0,125,130,135,140,145,150,153,156,159,162,165,168,171,174,177,180,187,194,200,206},{0,10,20,30,40,50,60,62,64,66,68,70,72,74,76,78,80,85,90,95,100})</f>
        <v>76</v>
      </c>
      <c r="I719" s="5" t="s">
        <v>77</v>
      </c>
      <c r="J719" s="7"/>
      <c r="K719" s="5"/>
      <c r="L719" s="5"/>
      <c r="M719" s="5"/>
      <c r="N719" s="5">
        <v>9.4</v>
      </c>
      <c r="O719" s="10">
        <f t="shared" si="323"/>
        <v>8.6</v>
      </c>
      <c r="P719" s="7">
        <f>LOOKUP(O719,{0,6.6,6.8,7,7.2,7.4,7.6,7.8,8,8.2,8.4,8.6,8.8,9,9.2,9.4,9.6,9.9,10.2,10.3,10.4},{0,10,20,30,40,50,60,62,64,66,68,70,72,74,76,78,80,85,90,95,100})</f>
        <v>70</v>
      </c>
      <c r="Q719" s="5">
        <v>4.27</v>
      </c>
      <c r="R719" s="10">
        <f t="shared" si="328"/>
        <v>5.73</v>
      </c>
      <c r="S719" s="7">
        <f>LOOKUP(R719,{0,4.74,4.84,4.94,5.44,5.54,5.64,5.69,5.74,5.79,5.84,5.89,5.94,5.99,6.44,6.49,6.54,6.61,6.68,6.74,6.8},{0,10,20,30,40,50,60,62,64,66,68,70,72,74,76,78,80,85,90,95,100})</f>
        <v>62</v>
      </c>
      <c r="T719" s="5"/>
      <c r="U719" s="5"/>
      <c r="V719" s="5">
        <f t="shared" si="329"/>
        <v>62</v>
      </c>
      <c r="W719" s="5"/>
      <c r="X719" s="13">
        <f t="shared" si="326"/>
        <v>42</v>
      </c>
      <c r="Y719" s="13">
        <f t="shared" si="330"/>
        <v>60</v>
      </c>
      <c r="Z719" s="19"/>
    </row>
    <row r="720" ht="15.6" hidden="1" outlineLevel="2" spans="1:26">
      <c r="A720" s="5">
        <v>315</v>
      </c>
      <c r="B720" s="5">
        <v>49</v>
      </c>
      <c r="C720" s="9" t="s">
        <v>785</v>
      </c>
      <c r="D720" s="9" t="s">
        <v>46</v>
      </c>
      <c r="E720" s="5">
        <v>20.5</v>
      </c>
      <c r="F720" s="7">
        <f>LOOKUP(E720,{0,1.5,2.3,3.1,3.9,4.7,5.5,6.8,8.1,9.4,10.7,12,13.3,14.6,15.9,17.2,18.5,20.2,21.9,23.6,25.3},{0,10,20,30,40,50,60,62,64,66,68,70,72,74,76,78,80,85,90,95,100})</f>
        <v>85</v>
      </c>
      <c r="G720" s="5">
        <v>188</v>
      </c>
      <c r="H720" s="7">
        <f>LOOKUP(G720,{0,125,130,135,140,145,150,153,156,159,162,165,168,171,174,177,180,187,194,200,206},{0,10,20,30,40,50,60,62,64,66,68,70,72,74,76,78,80,85,90,95,100})</f>
        <v>85</v>
      </c>
      <c r="I720" s="5">
        <v>48</v>
      </c>
      <c r="J720" s="7">
        <f>LOOKUP(I720,{0,15,17,19,21,23,25,27,29,31,33,35,37,39,41,43,45,48,51,53,55},{0,10,20,30,40,50,60,62,64,66,68,70,72,74,76,78,80,85,90,95,100})</f>
        <v>85</v>
      </c>
      <c r="K720" s="5"/>
      <c r="L720" s="5"/>
      <c r="M720" s="5">
        <f>J720+L720</f>
        <v>85</v>
      </c>
      <c r="N720" s="5">
        <v>8.9</v>
      </c>
      <c r="O720" s="10">
        <f t="shared" si="323"/>
        <v>9.1</v>
      </c>
      <c r="P720" s="7">
        <f>LOOKUP(O720,{0,6.6,6.8,7,7.2,7.4,7.6,7.8,8,8.2,8.4,8.6,8.8,9,9.2,9.4,9.6,9.9,10.2,10.3,10.4},{0,10,20,30,40,50,60,62,64,66,68,70,72,74,76,78,80,85,90,95,100})</f>
        <v>74</v>
      </c>
      <c r="Q720" s="5">
        <v>4.26</v>
      </c>
      <c r="R720" s="10">
        <f t="shared" si="328"/>
        <v>5.74</v>
      </c>
      <c r="S720" s="7">
        <f>LOOKUP(R720,{0,4.74,4.84,4.94,5.44,5.54,5.64,5.69,5.74,5.79,5.84,5.89,5.94,5.99,6.44,6.49,6.54,6.61,6.68,6.74,6.8},{0,10,20,30,40,50,60,62,64,66,68,70,72,74,76,78,80,85,90,95,100})</f>
        <v>64</v>
      </c>
      <c r="T720" s="5"/>
      <c r="U720" s="5"/>
      <c r="V720" s="5">
        <f t="shared" si="329"/>
        <v>64</v>
      </c>
      <c r="W720" s="5"/>
      <c r="X720" s="13">
        <f t="shared" si="326"/>
        <v>53.1</v>
      </c>
      <c r="Y720" s="13">
        <f t="shared" si="330"/>
        <v>75.8571428571428</v>
      </c>
      <c r="Z720" s="19"/>
    </row>
    <row r="721" ht="15.6" hidden="1" outlineLevel="2" spans="1:26">
      <c r="A721" s="5">
        <v>315</v>
      </c>
      <c r="B721" s="5">
        <v>50</v>
      </c>
      <c r="C721" s="21" t="s">
        <v>786</v>
      </c>
      <c r="D721" s="21" t="s">
        <v>46</v>
      </c>
      <c r="E721" s="5">
        <v>8.5</v>
      </c>
      <c r="F721" s="7">
        <f>LOOKUP(E721,{0,1.5,2.3,3.1,3.9,4.7,5.5,6.8,8.1,9.4,10.7,12,13.3,14.6,15.9,17.2,18.5,20.2,21.9,23.6,25.3},{0,10,20,30,40,50,60,62,64,66,68,70,72,74,76,78,80,85,90,95,100})</f>
        <v>64</v>
      </c>
      <c r="G721" s="5">
        <v>175</v>
      </c>
      <c r="H721" s="7">
        <f>LOOKUP(G721,{0,125,130,135,140,145,150,153,156,159,162,165,168,171,174,177,180,187,194,200,206},{0,10,20,30,40,50,60,62,64,66,68,70,72,74,76,78,80,85,90,95,100})</f>
        <v>76</v>
      </c>
      <c r="I721" s="5">
        <v>39</v>
      </c>
      <c r="J721" s="7">
        <f>LOOKUP(I721,{0,15,17,19,21,23,25,27,29,31,33,35,37,39,41,43,45,48,51,53,55},{0,10,20,30,40,50,60,62,64,66,68,70,72,74,76,78,80,85,90,95,100})</f>
        <v>74</v>
      </c>
      <c r="K721" s="5"/>
      <c r="L721" s="5"/>
      <c r="M721" s="5">
        <f>J721+L721</f>
        <v>74</v>
      </c>
      <c r="N721" s="5">
        <v>8.7</v>
      </c>
      <c r="O721" s="10">
        <f t="shared" si="323"/>
        <v>9.3</v>
      </c>
      <c r="P721" s="7">
        <f>LOOKUP(O721,{0,6.6,6.8,7,7.2,7.4,7.6,7.8,8,8.2,8.4,8.6,8.8,9,9.2,9.4,9.6,9.9,10.2,10.3,10.4},{0,10,20,30,40,50,60,62,64,66,68,70,72,74,76,78,80,85,90,95,100})</f>
        <v>76</v>
      </c>
      <c r="Q721" s="5">
        <v>4.24</v>
      </c>
      <c r="R721" s="10">
        <f t="shared" si="328"/>
        <v>5.76</v>
      </c>
      <c r="S721" s="7">
        <f>LOOKUP(R721,{0,4.74,4.84,4.94,5.44,5.54,5.64,5.69,5.74,5.79,5.84,5.89,5.94,5.99,6.44,6.49,6.54,6.61,6.68,6.74,6.8},{0,10,20,30,40,50,60,62,64,66,68,70,72,74,76,78,80,85,90,95,100})</f>
        <v>64</v>
      </c>
      <c r="T721" s="5"/>
      <c r="U721" s="5"/>
      <c r="V721" s="5">
        <f t="shared" si="329"/>
        <v>64</v>
      </c>
      <c r="W721" s="5"/>
      <c r="X721" s="13">
        <f t="shared" si="326"/>
        <v>49.4</v>
      </c>
      <c r="Y721" s="13">
        <f t="shared" si="330"/>
        <v>70.5714285714286</v>
      </c>
      <c r="Z721" s="22"/>
    </row>
    <row r="722" ht="15.6" outlineLevel="1" collapsed="1" spans="1:26">
      <c r="A722" s="6" t="s">
        <v>866</v>
      </c>
      <c r="B722" s="5"/>
      <c r="C722" s="21"/>
      <c r="D722" s="21"/>
      <c r="E722" s="5"/>
      <c r="F722" s="7">
        <f>SUBTOTAL(1,F672:F721)</f>
        <v>75.4</v>
      </c>
      <c r="G722" s="5"/>
      <c r="H722" s="7">
        <f>SUBTOTAL(1,H672:H721)</f>
        <v>71.94</v>
      </c>
      <c r="I722" s="5"/>
      <c r="J722" s="7">
        <f>SUBTOTAL(1,J672:J721)</f>
        <v>71.1428571428571</v>
      </c>
      <c r="K722" s="5"/>
      <c r="L722" s="5"/>
      <c r="M722" s="5">
        <f>SUBTOTAL(1,M672:M721)</f>
        <v>71.3673469387755</v>
      </c>
      <c r="N722" s="5"/>
      <c r="O722" s="10"/>
      <c r="P722" s="7">
        <f>SUBTOTAL(1,P672:P721)</f>
        <v>71.34</v>
      </c>
      <c r="Q722" s="5"/>
      <c r="R722" s="10"/>
      <c r="S722" s="7">
        <f>SUBTOTAL(1,S672:S721)</f>
        <v>53.8775510204082</v>
      </c>
      <c r="T722" s="5"/>
      <c r="U722" s="5"/>
      <c r="V722" s="5">
        <f>SUBTOTAL(1,V672:V721)</f>
        <v>53.8775510204082</v>
      </c>
      <c r="W722" s="5"/>
      <c r="X722" s="13">
        <f>SUBTOTAL(1,X672:X721)</f>
        <v>46.534</v>
      </c>
      <c r="Y722" s="13">
        <f>SUBTOTAL(1,Y672:Y721)</f>
        <v>66.8742857142857</v>
      </c>
      <c r="Z722" s="22"/>
    </row>
    <row r="723" ht="15.6" hidden="1" outlineLevel="2" spans="1:26">
      <c r="A723" s="5">
        <v>316</v>
      </c>
      <c r="B723" s="5">
        <v>1</v>
      </c>
      <c r="C723" s="8" t="s">
        <v>788</v>
      </c>
      <c r="D723" s="9" t="s">
        <v>12</v>
      </c>
      <c r="E723" s="5">
        <v>1</v>
      </c>
      <c r="F723" s="7">
        <f>LOOKUP(E723,{0,-1.8,-0.8,0.2,1.2,2.2,3.2,4.6,6,7.4,8.8,10.2,11.6,13,14.4,15.8,17.2,19.1,21,22.8,24.6},{0,10,20,30,40,50,60,62,64,66,68,70,72,74,76,78,80,85,90,95,100})</f>
        <v>30</v>
      </c>
      <c r="G723" s="5">
        <v>230</v>
      </c>
      <c r="H723" s="7">
        <f>LOOKUP(G723,{0,180,185,190,195,200,205,209,213,217,221,225,229,233,237,241,245,253,260,265,270},{0,10,20,30,40,50,60,62,64,66,68,70,72,74,76,78,80,85,90,95,100})</f>
        <v>72</v>
      </c>
      <c r="I723" s="5">
        <v>8</v>
      </c>
      <c r="J723" s="7">
        <f>LOOKUP(I723,{0,4,5,6,7,8,9,10,11,12,13,14,15,16,17,18},{0,10,20,30,40,50,60,64,68,72,76,80,85,90,95,100})</f>
        <v>50</v>
      </c>
      <c r="K723" s="5"/>
      <c r="L723" s="5"/>
      <c r="M723" s="5">
        <f>J723+L723</f>
        <v>50</v>
      </c>
      <c r="N723" s="5">
        <v>6.8</v>
      </c>
      <c r="O723" s="10">
        <f>18-N723</f>
        <v>11.2</v>
      </c>
      <c r="P723" s="7">
        <f>LOOKUP(O723,{0,7.8,8,8.2,8.4,8.6,8.8,9,9.2,9.4,9.6,9.8,10,10.2,10.4,10.6,10.8,10.9,11,11.1,11.2},{0,10,20,30,40,50,60,62,64,66,68,70,72,74,76,78,80,85,90,95,100})</f>
        <v>100</v>
      </c>
      <c r="Q723" s="5">
        <v>4.54</v>
      </c>
      <c r="R723" s="10">
        <f>10-Q723</f>
        <v>5.46</v>
      </c>
      <c r="S723" s="7">
        <f>LOOKUP(R723,{0,3.85,4.45,4.65,4.85,5.45,5.65,5.7,5.75,5.8,5.85,5.9,5.95,6,6.45,6.5,6.55,6.63,6.7,6.75,6.8},{0,10,20,30,40,50,60,62,64,66,68,70,72,74,76,78,80,85,90,95,100})</f>
        <v>50</v>
      </c>
      <c r="T723" s="5"/>
      <c r="U723" s="5"/>
      <c r="V723" s="5">
        <f>S723+U723</f>
        <v>50</v>
      </c>
      <c r="W723" s="5"/>
      <c r="X723" s="13">
        <f>F723*0.1+H723*0.1+J723*0.1+P723*0.2+S723*0.2</f>
        <v>45.2</v>
      </c>
      <c r="Y723" s="13">
        <f>X723/0.7+L723+U723</f>
        <v>64.5714285714286</v>
      </c>
      <c r="Z723" s="20"/>
    </row>
    <row r="724" ht="15.6" hidden="1" outlineLevel="2" spans="1:26">
      <c r="A724" s="5">
        <v>316</v>
      </c>
      <c r="B724" s="5">
        <v>2</v>
      </c>
      <c r="C724" s="9" t="s">
        <v>789</v>
      </c>
      <c r="D724" s="9" t="s">
        <v>12</v>
      </c>
      <c r="E724" s="5">
        <v>4</v>
      </c>
      <c r="F724" s="7">
        <f>LOOKUP(E724,{0,-1.8,-0.8,0.2,1.2,2.2,3.2,4.6,6,7.4,8.8,10.2,11.6,13,14.4,15.8,17.2,19.1,21,22.8,24.6},{0,10,20,30,40,50,60,62,64,66,68,70,72,74,76,78,80,85,90,95,100})</f>
        <v>60</v>
      </c>
      <c r="G724" s="5">
        <v>250</v>
      </c>
      <c r="H724" s="7">
        <f>LOOKUP(G724,{0,180,185,190,195,200,205,209,213,217,221,225,229,233,237,241,245,253,260,265,270},{0,10,20,30,40,50,60,62,64,66,68,70,72,74,76,78,80,85,90,95,100})</f>
        <v>80</v>
      </c>
      <c r="I724" s="5">
        <v>29</v>
      </c>
      <c r="J724" s="7">
        <f>LOOKUP(I724,{0,4,5,6,7,8,9,10,11,12,13,14,15,16,17,18},{0,10,20,30,40,50,60,64,68,72,76,80,85,90,95,100})</f>
        <v>100</v>
      </c>
      <c r="K724" s="5">
        <f>I724-18</f>
        <v>11</v>
      </c>
      <c r="L724" s="43">
        <f>LOOKUP(K724,{0,1,2,3,4,5,6,7,8,9,10},{0,1,2,3,4,5,6,7,8,9,10})</f>
        <v>10</v>
      </c>
      <c r="M724" s="5">
        <f>J724+L724</f>
        <v>110</v>
      </c>
      <c r="N724" s="5">
        <v>7</v>
      </c>
      <c r="O724" s="10">
        <f>18-N724</f>
        <v>11</v>
      </c>
      <c r="P724" s="7">
        <f>LOOKUP(O724,{0,7.8,8,8.2,8.4,8.6,8.8,9,9.2,9.4,9.6,9.8,10,10.2,10.4,10.6,10.8,10.9,11,11.1,11.2},{0,10,20,30,40,50,60,62,64,66,68,70,72,74,76,78,80,85,90,95,100})</f>
        <v>90</v>
      </c>
      <c r="Q724" s="5">
        <v>4.54</v>
      </c>
      <c r="R724" s="10">
        <f>10-Q724</f>
        <v>5.46</v>
      </c>
      <c r="S724" s="7">
        <f>LOOKUP(R724,{0,3.85,4.45,4.65,4.85,5.45,5.65,5.7,5.75,5.8,5.85,5.9,5.95,6,6.45,6.5,6.55,6.63,6.7,6.75,6.8},{0,10,20,30,40,50,60,62,64,66,68,70,72,74,76,78,80,85,90,95,100})</f>
        <v>50</v>
      </c>
      <c r="T724" s="5"/>
      <c r="U724" s="5"/>
      <c r="V724" s="5">
        <f>S724+U724</f>
        <v>50</v>
      </c>
      <c r="W724" s="5"/>
      <c r="X724" s="13">
        <f>F724*0.1+H724*0.1+J724*0.1+P724*0.2+S724*0.2</f>
        <v>52</v>
      </c>
      <c r="Y724" s="13">
        <f>X724/0.7+L724+U724</f>
        <v>84.2857142857143</v>
      </c>
      <c r="Z724" s="19"/>
    </row>
    <row r="725" ht="15.6" hidden="1" outlineLevel="2" spans="1:26">
      <c r="A725" s="5">
        <v>316</v>
      </c>
      <c r="B725" s="5">
        <v>3</v>
      </c>
      <c r="C725" s="9" t="s">
        <v>790</v>
      </c>
      <c r="D725" s="9" t="s">
        <v>12</v>
      </c>
      <c r="E725" s="5">
        <v>3</v>
      </c>
      <c r="F725" s="7">
        <f>LOOKUP(E725,{0,-1.8,-0.8,0.2,1.2,2.2,3.2,4.6,6,7.4,8.8,10.2,11.6,13,14.4,15.8,17.2,19.1,21,22.8,24.6},{0,10,20,30,40,50,60,62,64,66,68,70,72,74,76,78,80,85,90,95,100})</f>
        <v>50</v>
      </c>
      <c r="G725" s="5">
        <v>280</v>
      </c>
      <c r="H725" s="7">
        <f>LOOKUP(G725,{0,180,185,190,195,200,205,209,213,217,221,225,229,233,237,241,245,253,260,265,270},{0,10,20,30,40,50,60,62,64,66,68,70,72,74,76,78,80,85,90,95,100})</f>
        <v>100</v>
      </c>
      <c r="I725" s="5">
        <v>10</v>
      </c>
      <c r="J725" s="7">
        <f>LOOKUP(I725,{0,4,5,6,7,8,9,10,11,12,13,14,15,16,17,18},{0,10,20,30,40,50,60,64,68,72,76,80,85,90,95,100})</f>
        <v>64</v>
      </c>
      <c r="K725" s="5"/>
      <c r="L725" s="5"/>
      <c r="M725" s="5">
        <f>J725+L725</f>
        <v>64</v>
      </c>
      <c r="N725" s="5">
        <v>6.5</v>
      </c>
      <c r="O725" s="10">
        <f>18-N725</f>
        <v>11.5</v>
      </c>
      <c r="P725" s="7">
        <f>LOOKUP(O725,{0,7.8,8,8.2,8.4,8.6,8.8,9,9.2,9.4,9.6,9.8,10,10.2,10.4,10.6,10.8,10.9,11,11.1,11.2},{0,10,20,30,40,50,60,62,64,66,68,70,72,74,76,78,80,85,90,95,100})</f>
        <v>100</v>
      </c>
      <c r="Q725" s="5">
        <v>3.18</v>
      </c>
      <c r="R725" s="10">
        <f>10-Q725</f>
        <v>6.82</v>
      </c>
      <c r="S725" s="7">
        <f>LOOKUP(R725,{0,3.85,4.45,4.65,4.85,5.45,5.65,5.7,5.75,5.8,5.85,5.9,5.95,6,6.45,6.5,6.55,6.63,6.7,6.75,6.8},{0,10,20,30,40,50,60,62,64,66,68,70,72,74,76,78,80,85,90,95,100})</f>
        <v>100</v>
      </c>
      <c r="T725" s="5">
        <f>3.2-Q725</f>
        <v>0.02</v>
      </c>
      <c r="U725" s="7">
        <f>LOOKUP(T725,{0,0.04,0.08,0.12,0.16,0.2,0.23,0.26,0.29,0.32,0.35},{0,1,2,3,4,5,6,7,8,9,10})</f>
        <v>0</v>
      </c>
      <c r="V725" s="5">
        <f>S725+U725</f>
        <v>100</v>
      </c>
      <c r="W725" s="5"/>
      <c r="X725" s="13">
        <f>F725*0.1+H725*0.1+J725*0.1+P725*0.2+S725*0.2</f>
        <v>61.4</v>
      </c>
      <c r="Y725" s="13">
        <f>X725/0.7+L725+U725</f>
        <v>87.7142857142857</v>
      </c>
      <c r="Z725" s="19"/>
    </row>
    <row r="726" ht="15.6" hidden="1" outlineLevel="2" spans="1:26">
      <c r="A726" s="5">
        <v>316</v>
      </c>
      <c r="B726" s="5">
        <v>4</v>
      </c>
      <c r="C726" s="9" t="s">
        <v>791</v>
      </c>
      <c r="D726" s="9" t="s">
        <v>12</v>
      </c>
      <c r="E726" s="5"/>
      <c r="F726" s="7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>
        <v>50</v>
      </c>
      <c r="X726" s="13"/>
      <c r="Y726" s="13">
        <v>50</v>
      </c>
      <c r="Z726" s="19"/>
    </row>
    <row r="727" ht="15.6" hidden="1" outlineLevel="2" spans="1:26">
      <c r="A727" s="5">
        <v>316</v>
      </c>
      <c r="B727" s="5">
        <v>5</v>
      </c>
      <c r="C727" s="9" t="s">
        <v>792</v>
      </c>
      <c r="D727" s="9" t="s">
        <v>12</v>
      </c>
      <c r="E727" s="5">
        <v>11</v>
      </c>
      <c r="F727" s="7">
        <f>LOOKUP(E727,{0,-1.8,-0.8,0.2,1.2,2.2,3.2,4.6,6,7.4,8.8,10.2,11.6,13,14.4,15.8,17.2,19.1,21,22.8,24.6},{0,10,20,30,40,50,60,62,64,66,68,70,72,74,76,78,80,85,90,95,100})</f>
        <v>70</v>
      </c>
      <c r="G727" s="5">
        <v>260</v>
      </c>
      <c r="H727" s="7">
        <f>LOOKUP(G727,{0,180,185,190,195,200,205,209,213,217,221,225,229,233,237,241,245,253,260,265,270},{0,10,20,30,40,50,60,62,64,66,68,70,72,74,76,78,80,85,90,95,100})</f>
        <v>90</v>
      </c>
      <c r="I727" s="5">
        <v>17</v>
      </c>
      <c r="J727" s="7">
        <f>LOOKUP(I727,{0,4,5,6,7,8,9,10,11,12,13,14,15,16,17,18},{0,10,20,30,40,50,60,64,68,72,76,80,85,90,95,100})</f>
        <v>95</v>
      </c>
      <c r="K727" s="5"/>
      <c r="L727" s="5"/>
      <c r="M727" s="5">
        <f t="shared" ref="M727:M736" si="331">J727+L727</f>
        <v>95</v>
      </c>
      <c r="N727" s="5">
        <v>6.9</v>
      </c>
      <c r="O727" s="10">
        <f t="shared" ref="O727:O736" si="332">18-N727</f>
        <v>11.1</v>
      </c>
      <c r="P727" s="7">
        <f>LOOKUP(O727,{0,7.8,8,8.2,8.4,8.6,8.8,9,9.2,9.4,9.6,9.8,10,10.2,10.4,10.6,10.8,10.9,11,11.1,11.2},{0,10,20,30,40,50,60,62,64,66,68,70,72,74,76,78,80,85,90,95,100})</f>
        <v>95</v>
      </c>
      <c r="Q727" s="5">
        <v>4.54</v>
      </c>
      <c r="R727" s="10">
        <f t="shared" ref="R727:R736" si="333">10-Q727</f>
        <v>5.46</v>
      </c>
      <c r="S727" s="7">
        <f>LOOKUP(R727,{0,3.85,4.45,4.65,4.85,5.45,5.65,5.7,5.75,5.8,5.85,5.9,5.95,6,6.45,6.5,6.55,6.63,6.7,6.75,6.8},{0,10,20,30,40,50,60,62,64,66,68,70,72,74,76,78,80,85,90,95,100})</f>
        <v>50</v>
      </c>
      <c r="T727" s="5"/>
      <c r="U727" s="5"/>
      <c r="V727" s="5">
        <f t="shared" ref="V727:V736" si="334">S727+U727</f>
        <v>50</v>
      </c>
      <c r="W727" s="5"/>
      <c r="X727" s="13">
        <f t="shared" ref="X727:X736" si="335">F727*0.1+H727*0.1+J727*0.1+P727*0.2+S727*0.2</f>
        <v>54.5</v>
      </c>
      <c r="Y727" s="13">
        <f t="shared" ref="Y727:Y736" si="336">X727/0.7+L727+U727</f>
        <v>77.8571428571429</v>
      </c>
      <c r="Z727" s="19"/>
    </row>
    <row r="728" ht="15.6" hidden="1" outlineLevel="2" spans="1:26">
      <c r="A728" s="5">
        <v>316</v>
      </c>
      <c r="B728" s="5">
        <v>6</v>
      </c>
      <c r="C728" s="9" t="s">
        <v>793</v>
      </c>
      <c r="D728" s="9" t="s">
        <v>12</v>
      </c>
      <c r="E728" s="5">
        <v>18</v>
      </c>
      <c r="F728" s="7">
        <f>LOOKUP(E728,{0,-1.8,-0.8,0.2,1.2,2.2,3.2,4.6,6,7.4,8.8,10.2,11.6,13,14.4,15.8,17.2,19.1,21,22.8,24.6},{0,10,20,30,40,50,60,62,64,66,68,70,72,74,76,78,80,85,90,95,100})</f>
        <v>80</v>
      </c>
      <c r="G728" s="5">
        <v>195</v>
      </c>
      <c r="H728" s="7">
        <f>LOOKUP(G728,{0,180,185,190,195,200,205,209,213,217,221,225,229,233,237,241,245,253,260,265,270},{0,10,20,30,40,50,60,62,64,66,68,70,72,74,76,78,80,85,90,95,100})</f>
        <v>40</v>
      </c>
      <c r="I728" s="5">
        <v>0</v>
      </c>
      <c r="J728" s="7">
        <f>LOOKUP(I728,{0,4,5,6,7,8,9,10,11,12,13,14,15,16,17,18},{0,10,20,30,40,50,60,64,68,72,76,80,85,90,95,100})</f>
        <v>0</v>
      </c>
      <c r="K728" s="5"/>
      <c r="L728" s="5"/>
      <c r="M728" s="5">
        <f t="shared" si="331"/>
        <v>0</v>
      </c>
      <c r="N728" s="5">
        <v>7.9</v>
      </c>
      <c r="O728" s="10">
        <f t="shared" si="332"/>
        <v>10.1</v>
      </c>
      <c r="P728" s="7">
        <f>LOOKUP(O728,{0,7.8,8,8.2,8.4,8.6,8.8,9,9.2,9.4,9.6,9.8,10,10.2,10.4,10.6,10.8,10.9,11,11.1,11.2},{0,10,20,30,40,50,60,62,64,66,68,70,72,74,76,78,80,85,90,95,100})</f>
        <v>72</v>
      </c>
      <c r="Q728" s="5">
        <v>4.54</v>
      </c>
      <c r="R728" s="10">
        <f t="shared" si="333"/>
        <v>5.46</v>
      </c>
      <c r="S728" s="7">
        <f>LOOKUP(R728,{0,3.85,4.45,4.65,4.85,5.45,5.65,5.7,5.75,5.8,5.85,5.9,5.95,6,6.45,6.5,6.55,6.63,6.7,6.75,6.8},{0,10,20,30,40,50,60,62,64,66,68,70,72,74,76,78,80,85,90,95,100})</f>
        <v>50</v>
      </c>
      <c r="T728" s="5"/>
      <c r="U728" s="5"/>
      <c r="V728" s="5">
        <f t="shared" si="334"/>
        <v>50</v>
      </c>
      <c r="W728" s="5"/>
      <c r="X728" s="13">
        <f t="shared" si="335"/>
        <v>36.4</v>
      </c>
      <c r="Y728" s="13">
        <f t="shared" si="336"/>
        <v>52</v>
      </c>
      <c r="Z728" s="19"/>
    </row>
    <row r="729" ht="15.6" hidden="1" outlineLevel="2" spans="1:26">
      <c r="A729" s="5">
        <v>316</v>
      </c>
      <c r="B729" s="5">
        <v>7</v>
      </c>
      <c r="C729" s="9" t="s">
        <v>794</v>
      </c>
      <c r="D729" s="9" t="s">
        <v>12</v>
      </c>
      <c r="E729" s="5">
        <v>17.2</v>
      </c>
      <c r="F729" s="7">
        <f>LOOKUP(E729,{0,-1.8,-0.8,0.2,1.2,2.2,3.2,4.6,6,7.4,8.8,10.2,11.6,13,14.4,15.8,17.2,19.1,21,22.8,24.6},{0,10,20,30,40,50,60,62,64,66,68,70,72,74,76,78,80,85,90,95,100})</f>
        <v>80</v>
      </c>
      <c r="G729" s="5">
        <v>190</v>
      </c>
      <c r="H729" s="7">
        <f>LOOKUP(G729,{0,180,185,190,195,200,205,209,213,217,221,225,229,233,237,241,245,253,260,265,270},{0,10,20,30,40,50,60,62,64,66,68,70,72,74,76,78,80,85,90,95,100})</f>
        <v>30</v>
      </c>
      <c r="I729" s="5">
        <v>0</v>
      </c>
      <c r="J729" s="7">
        <f>LOOKUP(I729,{0,4,5,6,7,8,9,10,11,12,13,14,15,16,17,18},{0,10,20,30,40,50,60,64,68,72,76,80,85,90,95,100})</f>
        <v>0</v>
      </c>
      <c r="K729" s="5"/>
      <c r="L729" s="5"/>
      <c r="M729" s="5">
        <f t="shared" si="331"/>
        <v>0</v>
      </c>
      <c r="N729" s="5">
        <v>8.1</v>
      </c>
      <c r="O729" s="10">
        <f t="shared" si="332"/>
        <v>9.9</v>
      </c>
      <c r="P729" s="7">
        <f>LOOKUP(O729,{0,7.8,8,8.2,8.4,8.6,8.8,9,9.2,9.4,9.6,9.8,10,10.2,10.4,10.6,10.8,10.9,11,11.1,11.2},{0,10,20,30,40,50,60,62,64,66,68,70,72,74,76,78,80,85,90,95,100})</f>
        <v>70</v>
      </c>
      <c r="Q729" s="5">
        <v>4.54</v>
      </c>
      <c r="R729" s="10">
        <f t="shared" si="333"/>
        <v>5.46</v>
      </c>
      <c r="S729" s="7">
        <f>LOOKUP(R729,{0,3.85,4.45,4.65,4.85,5.45,5.65,5.7,5.75,5.8,5.85,5.9,5.95,6,6.45,6.5,6.55,6.63,6.7,6.75,6.8},{0,10,20,30,40,50,60,62,64,66,68,70,72,74,76,78,80,85,90,95,100})</f>
        <v>50</v>
      </c>
      <c r="T729" s="5"/>
      <c r="U729" s="5"/>
      <c r="V729" s="5">
        <f t="shared" si="334"/>
        <v>50</v>
      </c>
      <c r="W729" s="5"/>
      <c r="X729" s="13">
        <f t="shared" si="335"/>
        <v>35</v>
      </c>
      <c r="Y729" s="13">
        <f t="shared" si="336"/>
        <v>50</v>
      </c>
      <c r="Z729" s="19"/>
    </row>
    <row r="730" ht="15.6" hidden="1" outlineLevel="2" spans="1:26">
      <c r="A730" s="5">
        <v>316</v>
      </c>
      <c r="B730" s="5">
        <v>8</v>
      </c>
      <c r="C730" s="9" t="s">
        <v>795</v>
      </c>
      <c r="D730" s="9" t="s">
        <v>12</v>
      </c>
      <c r="E730" s="5">
        <v>14</v>
      </c>
      <c r="F730" s="7">
        <f>LOOKUP(E730,{0,-1.8,-0.8,0.2,1.2,2.2,3.2,4.6,6,7.4,8.8,10.2,11.6,13,14.4,15.8,17.2,19.1,21,22.8,24.6},{0,10,20,30,40,50,60,62,64,66,68,70,72,74,76,78,80,85,90,95,100})</f>
        <v>74</v>
      </c>
      <c r="G730" s="5">
        <v>250</v>
      </c>
      <c r="H730" s="7">
        <f>LOOKUP(G730,{0,180,185,190,195,200,205,209,213,217,221,225,229,233,237,241,245,253,260,265,270},{0,10,20,30,40,50,60,62,64,66,68,70,72,74,76,78,80,85,90,95,100})</f>
        <v>80</v>
      </c>
      <c r="I730" s="5">
        <v>2</v>
      </c>
      <c r="J730" s="7">
        <f>LOOKUP(I730,{0,4,5,6,7,8,9,10,11,12,13,14,15,16,17,18},{0,10,20,30,40,50,60,64,68,72,76,80,85,90,95,100})</f>
        <v>0</v>
      </c>
      <c r="K730" s="5"/>
      <c r="L730" s="5"/>
      <c r="M730" s="5">
        <f t="shared" si="331"/>
        <v>0</v>
      </c>
      <c r="N730" s="5">
        <v>6.8</v>
      </c>
      <c r="O730" s="10">
        <f t="shared" si="332"/>
        <v>11.2</v>
      </c>
      <c r="P730" s="7">
        <f>LOOKUP(O730,{0,7.8,8,8.2,8.4,8.6,8.8,9,9.2,9.4,9.6,9.8,10,10.2,10.4,10.6,10.8,10.9,11,11.1,11.2},{0,10,20,30,40,50,60,62,64,66,68,70,72,74,76,78,80,85,90,95,100})</f>
        <v>100</v>
      </c>
      <c r="Q730" s="5">
        <v>4.54</v>
      </c>
      <c r="R730" s="10">
        <f t="shared" si="333"/>
        <v>5.46</v>
      </c>
      <c r="S730" s="7">
        <f>LOOKUP(R730,{0,3.85,4.45,4.65,4.85,5.45,5.65,5.7,5.75,5.8,5.85,5.9,5.95,6,6.45,6.5,6.55,6.63,6.7,6.75,6.8},{0,10,20,30,40,50,60,62,64,66,68,70,72,74,76,78,80,85,90,95,100})</f>
        <v>50</v>
      </c>
      <c r="T730" s="5"/>
      <c r="U730" s="5"/>
      <c r="V730" s="5">
        <f t="shared" si="334"/>
        <v>50</v>
      </c>
      <c r="W730" s="5"/>
      <c r="X730" s="13">
        <f t="shared" si="335"/>
        <v>45.4</v>
      </c>
      <c r="Y730" s="13">
        <f t="shared" si="336"/>
        <v>64.8571428571429</v>
      </c>
      <c r="Z730" s="19"/>
    </row>
    <row r="731" ht="15.6" hidden="1" outlineLevel="2" spans="1:26">
      <c r="A731" s="5">
        <v>316</v>
      </c>
      <c r="B731" s="5">
        <v>9</v>
      </c>
      <c r="C731" s="9" t="s">
        <v>796</v>
      </c>
      <c r="D731" s="9" t="s">
        <v>12</v>
      </c>
      <c r="E731" s="5">
        <v>14</v>
      </c>
      <c r="F731" s="7">
        <f>LOOKUP(E731,{0,-1.8,-0.8,0.2,1.2,2.2,3.2,4.6,6,7.4,8.8,10.2,11.6,13,14.4,15.8,17.2,19.1,21,22.8,24.6},{0,10,20,30,40,50,60,62,64,66,68,70,72,74,76,78,80,85,90,95,100})</f>
        <v>74</v>
      </c>
      <c r="G731" s="5">
        <v>235</v>
      </c>
      <c r="H731" s="7">
        <f>LOOKUP(G731,{0,180,185,190,195,200,205,209,213,217,221,225,229,233,237,241,245,253,260,265,270},{0,10,20,30,40,50,60,62,64,66,68,70,72,74,76,78,80,85,90,95,100})</f>
        <v>74</v>
      </c>
      <c r="I731" s="5">
        <v>10</v>
      </c>
      <c r="J731" s="7">
        <f>LOOKUP(I731,{0,4,5,6,7,8,9,10,11,12,13,14,15,16,17,18},{0,10,20,30,40,50,60,64,68,72,76,80,85,90,95,100})</f>
        <v>64</v>
      </c>
      <c r="K731" s="5"/>
      <c r="L731" s="5"/>
      <c r="M731" s="5">
        <f t="shared" si="331"/>
        <v>64</v>
      </c>
      <c r="N731" s="5">
        <v>6.7</v>
      </c>
      <c r="O731" s="10">
        <f t="shared" si="332"/>
        <v>11.3</v>
      </c>
      <c r="P731" s="7">
        <f>LOOKUP(O731,{0,7.8,8,8.2,8.4,8.6,8.8,9,9.2,9.4,9.6,9.8,10,10.2,10.4,10.6,10.8,10.9,11,11.1,11.2},{0,10,20,30,40,50,60,62,64,66,68,70,72,74,76,78,80,85,90,95,100})</f>
        <v>100</v>
      </c>
      <c r="Q731" s="5">
        <v>4.54</v>
      </c>
      <c r="R731" s="10">
        <f t="shared" si="333"/>
        <v>5.46</v>
      </c>
      <c r="S731" s="7">
        <f>LOOKUP(R731,{0,3.85,4.45,4.65,4.85,5.45,5.65,5.7,5.75,5.8,5.85,5.9,5.95,6,6.45,6.5,6.55,6.63,6.7,6.75,6.8},{0,10,20,30,40,50,60,62,64,66,68,70,72,74,76,78,80,85,90,95,100})</f>
        <v>50</v>
      </c>
      <c r="T731" s="5"/>
      <c r="U731" s="5"/>
      <c r="V731" s="5">
        <f t="shared" si="334"/>
        <v>50</v>
      </c>
      <c r="W731" s="5"/>
      <c r="X731" s="13">
        <f t="shared" si="335"/>
        <v>51.2</v>
      </c>
      <c r="Y731" s="13">
        <f t="shared" si="336"/>
        <v>73.1428571428572</v>
      </c>
      <c r="Z731" s="19"/>
    </row>
    <row r="732" ht="15.6" hidden="1" outlineLevel="2" spans="1:26">
      <c r="A732" s="5">
        <v>316</v>
      </c>
      <c r="B732" s="5">
        <v>10</v>
      </c>
      <c r="C732" s="9" t="s">
        <v>797</v>
      </c>
      <c r="D732" s="9" t="s">
        <v>12</v>
      </c>
      <c r="E732" s="5">
        <v>8.2</v>
      </c>
      <c r="F732" s="7">
        <f>LOOKUP(E732,{0,-1.8,-0.8,0.2,1.2,2.2,3.2,4.6,6,7.4,8.8,10.2,11.6,13,14.4,15.8,17.2,19.1,21,22.8,24.6},{0,10,20,30,40,50,60,62,64,66,68,70,72,74,76,78,80,85,90,95,100})</f>
        <v>66</v>
      </c>
      <c r="G732" s="5">
        <v>265</v>
      </c>
      <c r="H732" s="7">
        <f>LOOKUP(G732,{0,180,185,190,195,200,205,209,213,217,221,225,229,233,237,241,245,253,260,265,270},{0,10,20,30,40,50,60,62,64,66,68,70,72,74,76,78,80,85,90,95,100})</f>
        <v>95</v>
      </c>
      <c r="I732" s="5">
        <v>10</v>
      </c>
      <c r="J732" s="7">
        <f>LOOKUP(I732,{0,4,5,6,7,8,9,10,11,12,13,14,15,16,17,18},{0,10,20,30,40,50,60,64,68,72,76,80,85,90,95,100})</f>
        <v>64</v>
      </c>
      <c r="K732" s="5"/>
      <c r="L732" s="5"/>
      <c r="M732" s="5">
        <f t="shared" si="331"/>
        <v>64</v>
      </c>
      <c r="N732" s="5">
        <v>7</v>
      </c>
      <c r="O732" s="10">
        <f t="shared" si="332"/>
        <v>11</v>
      </c>
      <c r="P732" s="7">
        <f>LOOKUP(O732,{0,7.8,8,8.2,8.4,8.6,8.8,9,9.2,9.4,9.6,9.8,10,10.2,10.4,10.6,10.8,10.9,11,11.1,11.2},{0,10,20,30,40,50,60,62,64,66,68,70,72,74,76,78,80,85,90,95,100})</f>
        <v>90</v>
      </c>
      <c r="Q732" s="5">
        <v>4.54</v>
      </c>
      <c r="R732" s="10">
        <f t="shared" si="333"/>
        <v>5.46</v>
      </c>
      <c r="S732" s="7">
        <f>LOOKUP(R732,{0,3.85,4.45,4.65,4.85,5.45,5.65,5.7,5.75,5.8,5.85,5.9,5.95,6,6.45,6.5,6.55,6.63,6.7,6.75,6.8},{0,10,20,30,40,50,60,62,64,66,68,70,72,74,76,78,80,85,90,95,100})</f>
        <v>50</v>
      </c>
      <c r="T732" s="5"/>
      <c r="U732" s="5"/>
      <c r="V732" s="5">
        <f t="shared" si="334"/>
        <v>50</v>
      </c>
      <c r="W732" s="5"/>
      <c r="X732" s="13">
        <f t="shared" si="335"/>
        <v>50.5</v>
      </c>
      <c r="Y732" s="13">
        <f t="shared" si="336"/>
        <v>72.1428571428572</v>
      </c>
      <c r="Z732" s="19"/>
    </row>
    <row r="733" ht="15.6" hidden="1" outlineLevel="2" spans="1:26">
      <c r="A733" s="5">
        <v>316</v>
      </c>
      <c r="B733" s="5">
        <v>11</v>
      </c>
      <c r="C733" s="9" t="s">
        <v>798</v>
      </c>
      <c r="D733" s="9" t="s">
        <v>12</v>
      </c>
      <c r="E733" s="5">
        <v>16.5</v>
      </c>
      <c r="F733" s="7">
        <f>LOOKUP(E733,{0,-1.8,-0.8,0.2,1.2,2.2,3.2,4.6,6,7.4,8.8,10.2,11.6,13,14.4,15.8,17.2,19.1,21,22.8,24.6},{0,10,20,30,40,50,60,62,64,66,68,70,72,74,76,78,80,85,90,95,100})</f>
        <v>78</v>
      </c>
      <c r="G733" s="5">
        <v>195</v>
      </c>
      <c r="H733" s="7">
        <f>LOOKUP(G733,{0,180,185,190,195,200,205,209,213,217,221,225,229,233,237,241,245,253,260,265,270},{0,10,20,30,40,50,60,62,64,66,68,70,72,74,76,78,80,85,90,95,100})</f>
        <v>40</v>
      </c>
      <c r="I733" s="5">
        <v>0</v>
      </c>
      <c r="J733" s="7">
        <f>LOOKUP(I733,{0,4,5,6,7,8,9,10,11,12,13,14,15,16,17,18},{0,10,20,30,40,50,60,64,68,72,76,80,85,90,95,100})</f>
        <v>0</v>
      </c>
      <c r="K733" s="5"/>
      <c r="L733" s="5"/>
      <c r="M733" s="5">
        <f t="shared" si="331"/>
        <v>0</v>
      </c>
      <c r="N733" s="5">
        <v>7.9</v>
      </c>
      <c r="O733" s="10">
        <f t="shared" si="332"/>
        <v>10.1</v>
      </c>
      <c r="P733" s="7">
        <f>LOOKUP(O733,{0,7.8,8,8.2,8.4,8.6,8.8,9,9.2,9.4,9.6,9.8,10,10.2,10.4,10.6,10.8,10.9,11,11.1,11.2},{0,10,20,30,40,50,60,62,64,66,68,70,72,74,76,78,80,85,90,95,100})</f>
        <v>72</v>
      </c>
      <c r="Q733" s="5">
        <v>4.54</v>
      </c>
      <c r="R733" s="10">
        <f t="shared" si="333"/>
        <v>5.46</v>
      </c>
      <c r="S733" s="7">
        <f>LOOKUP(R733,{0,3.85,4.45,4.65,4.85,5.45,5.65,5.7,5.75,5.8,5.85,5.9,5.95,6,6.45,6.5,6.55,6.63,6.7,6.75,6.8},{0,10,20,30,40,50,60,62,64,66,68,70,72,74,76,78,80,85,90,95,100})</f>
        <v>50</v>
      </c>
      <c r="T733" s="5"/>
      <c r="U733" s="5"/>
      <c r="V733" s="5">
        <f t="shared" si="334"/>
        <v>50</v>
      </c>
      <c r="W733" s="5"/>
      <c r="X733" s="13">
        <f t="shared" si="335"/>
        <v>36.2</v>
      </c>
      <c r="Y733" s="13">
        <f t="shared" si="336"/>
        <v>51.7142857142857</v>
      </c>
      <c r="Z733" s="19"/>
    </row>
    <row r="734" ht="15.6" hidden="1" outlineLevel="2" spans="1:26">
      <c r="A734" s="5">
        <v>316</v>
      </c>
      <c r="B734" s="5">
        <v>12</v>
      </c>
      <c r="C734" s="9" t="s">
        <v>799</v>
      </c>
      <c r="D734" s="9" t="s">
        <v>12</v>
      </c>
      <c r="E734" s="5">
        <v>6.3</v>
      </c>
      <c r="F734" s="7">
        <f>LOOKUP(E734,{0,-1.8,-0.8,0.2,1.2,2.2,3.2,4.6,6,7.4,8.8,10.2,11.6,13,14.4,15.8,17.2,19.1,21,22.8,24.6},{0,10,20,30,40,50,60,62,64,66,68,70,72,74,76,78,80,85,90,95,100})</f>
        <v>64</v>
      </c>
      <c r="G734" s="5">
        <v>210</v>
      </c>
      <c r="H734" s="7">
        <f>LOOKUP(G734,{0,180,185,190,195,200,205,209,213,217,221,225,229,233,237,241,245,253,260,265,270},{0,10,20,30,40,50,60,62,64,66,68,70,72,74,76,78,80,85,90,95,100})</f>
        <v>62</v>
      </c>
      <c r="I734" s="5">
        <v>5</v>
      </c>
      <c r="J734" s="7">
        <f>LOOKUP(I734,{0,4,5,6,7,8,9,10,11,12,13,14,15,16,17,18},{0,10,20,30,40,50,60,64,68,72,76,80,85,90,95,100})</f>
        <v>20</v>
      </c>
      <c r="K734" s="5"/>
      <c r="L734" s="5"/>
      <c r="M734" s="5">
        <f t="shared" si="331"/>
        <v>20</v>
      </c>
      <c r="N734" s="5">
        <v>6.8</v>
      </c>
      <c r="O734" s="10">
        <f t="shared" si="332"/>
        <v>11.2</v>
      </c>
      <c r="P734" s="7">
        <f>LOOKUP(O734,{0,7.8,8,8.2,8.4,8.6,8.8,9,9.2,9.4,9.6,9.8,10,10.2,10.4,10.6,10.8,10.9,11,11.1,11.2},{0,10,20,30,40,50,60,62,64,66,68,70,72,74,76,78,80,85,90,95,100})</f>
        <v>100</v>
      </c>
      <c r="Q734" s="5">
        <v>4.54</v>
      </c>
      <c r="R734" s="10">
        <f t="shared" si="333"/>
        <v>5.46</v>
      </c>
      <c r="S734" s="7">
        <f>LOOKUP(R734,{0,3.85,4.45,4.65,4.85,5.45,5.65,5.7,5.75,5.8,5.85,5.9,5.95,6,6.45,6.5,6.55,6.63,6.7,6.75,6.8},{0,10,20,30,40,50,60,62,64,66,68,70,72,74,76,78,80,85,90,95,100})</f>
        <v>50</v>
      </c>
      <c r="T734" s="5"/>
      <c r="U734" s="5"/>
      <c r="V734" s="5">
        <f t="shared" si="334"/>
        <v>50</v>
      </c>
      <c r="W734" s="5"/>
      <c r="X734" s="13">
        <f t="shared" si="335"/>
        <v>44.6</v>
      </c>
      <c r="Y734" s="13">
        <f t="shared" si="336"/>
        <v>63.7142857142857</v>
      </c>
      <c r="Z734" s="19"/>
    </row>
    <row r="735" ht="15.6" hidden="1" outlineLevel="2" spans="1:26">
      <c r="A735" s="5">
        <v>316</v>
      </c>
      <c r="B735" s="5">
        <v>13</v>
      </c>
      <c r="C735" s="8" t="s">
        <v>801</v>
      </c>
      <c r="D735" s="9" t="s">
        <v>46</v>
      </c>
      <c r="E735" s="5">
        <v>16</v>
      </c>
      <c r="F735" s="7">
        <f>LOOKUP(E735,{0,1.5,2.3,3.1,3.9,4.7,5.5,6.8,8.1,9.4,10.7,12,13.3,14.6,15.9,17.2,18.5,20.2,21.9,23.6,25.3},{0,10,20,30,40,50,60,62,64,66,68,70,72,74,76,78,80,85,90,95,100})</f>
        <v>76</v>
      </c>
      <c r="G735" s="5">
        <v>172</v>
      </c>
      <c r="H735" s="7">
        <f>LOOKUP(G735,{0,125,130,135,140,145,150,153,156,159,162,165,168,171,174,177,180,187,194,200,206},{0,10,20,30,40,50,60,62,64,66,68,70,72,74,76,78,80,85,90,95,100})</f>
        <v>74</v>
      </c>
      <c r="I735" s="5">
        <v>48</v>
      </c>
      <c r="J735" s="7">
        <f>LOOKUP(I735,{0,15,17,19,21,23,25,27,29,31,33,35,37,39,41,43,45,48,51,53,55},{0,10,20,30,40,50,60,62,64,66,68,70,72,74,76,78,80,85,90,95,100})</f>
        <v>85</v>
      </c>
      <c r="K735" s="5"/>
      <c r="L735" s="5"/>
      <c r="M735" s="5">
        <f t="shared" si="331"/>
        <v>85</v>
      </c>
      <c r="N735" s="5">
        <v>9.6</v>
      </c>
      <c r="O735" s="10">
        <f t="shared" si="332"/>
        <v>8.4</v>
      </c>
      <c r="P735" s="7">
        <f>LOOKUP(O735,{0,6.6,6.8,7,7.2,7.4,7.6,7.8,8,8.2,8.4,8.6,8.8,9,9.2,9.4,9.6,9.9,10.2,10.3,10.4},{0,10,20,30,40,50,60,62,64,66,68,70,72,74,76,78,80,85,90,95,100})</f>
        <v>68</v>
      </c>
      <c r="Q735" s="5">
        <v>4.05</v>
      </c>
      <c r="R735" s="10">
        <f t="shared" si="333"/>
        <v>5.95</v>
      </c>
      <c r="S735" s="7">
        <f>LOOKUP(R735,{0,4.74,4.84,4.94,5.44,5.54,5.64,5.69,5.74,5.79,5.84,5.89,5.94,5.99,6.44,6.49,6.54,6.61,6.68,6.74,6.8},{0,10,20,30,40,50,60,62,64,66,68,70,72,74,76,78,80,85,90,95,100})</f>
        <v>72</v>
      </c>
      <c r="T735" s="5"/>
      <c r="U735" s="5"/>
      <c r="V735" s="5">
        <f t="shared" si="334"/>
        <v>72</v>
      </c>
      <c r="W735" s="5"/>
      <c r="X735" s="13">
        <f t="shared" si="335"/>
        <v>51.5</v>
      </c>
      <c r="Y735" s="13">
        <f t="shared" si="336"/>
        <v>73.5714285714286</v>
      </c>
      <c r="Z735" s="19"/>
    </row>
    <row r="736" ht="15.6" hidden="1" outlineLevel="2" spans="1:26">
      <c r="A736" s="5">
        <v>316</v>
      </c>
      <c r="B736" s="5">
        <v>14</v>
      </c>
      <c r="C736" s="9" t="s">
        <v>802</v>
      </c>
      <c r="D736" s="9" t="s">
        <v>46</v>
      </c>
      <c r="E736" s="5">
        <v>13</v>
      </c>
      <c r="F736" s="7">
        <f>LOOKUP(E736,{0,1.5,2.3,3.1,3.9,4.7,5.5,6.8,8.1,9.4,10.7,12,13.3,14.6,15.9,17.2,18.5,20.2,21.9,23.6,25.3},{0,10,20,30,40,50,60,62,64,66,68,70,72,74,76,78,80,85,90,95,100})</f>
        <v>70</v>
      </c>
      <c r="G736" s="5">
        <v>200</v>
      </c>
      <c r="H736" s="7">
        <f>LOOKUP(G736,{0,125,130,135,140,145,150,153,156,159,162,165,168,171,174,177,180,187,194,200,206},{0,10,20,30,40,50,60,62,64,66,68,70,72,74,76,78,80,85,90,95,100})</f>
        <v>95</v>
      </c>
      <c r="I736" s="5">
        <v>43</v>
      </c>
      <c r="J736" s="7">
        <f>LOOKUP(I736,{0,15,17,19,21,23,25,27,29,31,33,35,37,39,41,43,45,48,51,53,55},{0,10,20,30,40,50,60,62,64,66,68,70,72,74,76,78,80,85,90,95,100})</f>
        <v>78</v>
      </c>
      <c r="K736" s="5"/>
      <c r="L736" s="5"/>
      <c r="M736" s="5">
        <f t="shared" si="331"/>
        <v>78</v>
      </c>
      <c r="N736" s="5">
        <v>7.9</v>
      </c>
      <c r="O736" s="10">
        <f t="shared" si="332"/>
        <v>10.1</v>
      </c>
      <c r="P736" s="7">
        <f>LOOKUP(O736,{0,6.6,6.8,7,7.2,7.4,7.6,7.8,8,8.2,8.4,8.6,8.8,9,9.2,9.4,9.6,9.9,10.2,10.3,10.4},{0,10,20,30,40,50,60,62,64,66,68,70,72,74,76,78,80,85,90,95,100})</f>
        <v>85</v>
      </c>
      <c r="Q736" s="5">
        <v>4.06</v>
      </c>
      <c r="R736" s="10">
        <f t="shared" si="333"/>
        <v>5.94</v>
      </c>
      <c r="S736" s="7">
        <f>LOOKUP(R736,{0,4.74,4.84,4.94,5.44,5.54,5.64,5.69,5.74,5.79,5.84,5.89,5.94,5.99,6.44,6.49,6.54,6.61,6.68,6.74,6.8},{0,10,20,30,40,50,60,62,64,66,68,70,72,74,76,78,80,85,90,95,100})</f>
        <v>72</v>
      </c>
      <c r="T736" s="5"/>
      <c r="U736" s="5"/>
      <c r="V736" s="5">
        <f t="shared" si="334"/>
        <v>72</v>
      </c>
      <c r="W736" s="5"/>
      <c r="X736" s="13">
        <f t="shared" si="335"/>
        <v>55.7</v>
      </c>
      <c r="Y736" s="13">
        <f t="shared" si="336"/>
        <v>79.5714285714286</v>
      </c>
      <c r="Z736" s="19"/>
    </row>
    <row r="737" hidden="1" outlineLevel="2" spans="1:26">
      <c r="A737" s="5">
        <v>316</v>
      </c>
      <c r="B737" s="5">
        <v>15</v>
      </c>
      <c r="C737" s="9" t="s">
        <v>803</v>
      </c>
      <c r="D737" s="9" t="s">
        <v>46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>
        <v>50</v>
      </c>
      <c r="X737" s="13"/>
      <c r="Y737" s="13">
        <v>50</v>
      </c>
      <c r="Z737" s="19"/>
    </row>
    <row r="738" ht="15.6" hidden="1" outlineLevel="2" spans="1:26">
      <c r="A738" s="5">
        <v>316</v>
      </c>
      <c r="B738" s="5">
        <v>16</v>
      </c>
      <c r="C738" s="9" t="s">
        <v>804</v>
      </c>
      <c r="D738" s="9" t="s">
        <v>46</v>
      </c>
      <c r="E738" s="5">
        <v>19</v>
      </c>
      <c r="F738" s="7">
        <f>LOOKUP(E738,{0,1.5,2.3,3.1,3.9,4.7,5.5,6.8,8.1,9.4,10.7,12,13.3,14.6,15.9,17.2,18.5,20.2,21.9,23.6,25.3},{0,10,20,30,40,50,60,62,64,66,68,70,72,74,76,78,80,85,90,95,100})</f>
        <v>80</v>
      </c>
      <c r="G738" s="5">
        <v>175</v>
      </c>
      <c r="H738" s="7">
        <f>LOOKUP(G738,{0,125,130,135,140,145,150,153,156,159,162,165,168,171,174,177,180,187,194,200,206},{0,10,20,30,40,50,60,62,64,66,68,70,72,74,76,78,80,85,90,95,100})</f>
        <v>76</v>
      </c>
      <c r="I738" s="5">
        <v>46</v>
      </c>
      <c r="J738" s="7">
        <f>LOOKUP(I738,{0,15,17,19,21,23,25,27,29,31,33,35,37,39,41,43,45,48,51,53,55},{0,10,20,30,40,50,60,62,64,66,68,70,72,74,76,78,80,85,90,95,100})</f>
        <v>80</v>
      </c>
      <c r="K738" s="5"/>
      <c r="L738" s="5"/>
      <c r="M738" s="5">
        <f t="shared" ref="M738:M750" si="337">J738+L738</f>
        <v>80</v>
      </c>
      <c r="N738" s="5">
        <v>8.2</v>
      </c>
      <c r="O738" s="10">
        <f t="shared" ref="O738:O750" si="338">18-N738</f>
        <v>9.8</v>
      </c>
      <c r="P738" s="7">
        <f>LOOKUP(O738,{0,6.6,6.8,7,7.2,7.4,7.6,7.8,8,8.2,8.4,8.6,8.8,9,9.2,9.4,9.6,9.9,10.2,10.3,10.4},{0,10,20,30,40,50,60,62,64,66,68,70,72,74,76,78,80,85,90,95,100})</f>
        <v>80</v>
      </c>
      <c r="Q738" s="5">
        <v>3.24</v>
      </c>
      <c r="R738" s="10">
        <f t="shared" ref="R738:R750" si="339">10-Q738</f>
        <v>6.76</v>
      </c>
      <c r="S738" s="7">
        <f>LOOKUP(R738,{0,4.74,4.84,4.94,5.44,5.54,5.64,5.69,5.74,5.79,5.84,5.89,5.94,5.99,6.44,6.49,6.54,6.61,6.68,6.74,6.8},{0,10,20,30,40,50,60,62,64,66,68,70,72,74,76,78,80,85,90,95,100})</f>
        <v>95</v>
      </c>
      <c r="T738" s="5"/>
      <c r="U738" s="5"/>
      <c r="V738" s="5">
        <f t="shared" ref="V738:V750" si="340">S738+U738</f>
        <v>95</v>
      </c>
      <c r="W738" s="5"/>
      <c r="X738" s="13">
        <f t="shared" ref="X738:X750" si="341">F738*0.1+H738*0.1+J738*0.1+P738*0.2+S738*0.2</f>
        <v>58.6</v>
      </c>
      <c r="Y738" s="13">
        <f t="shared" ref="Y738:Y750" si="342">X738/0.7+L738+U738</f>
        <v>83.7142857142857</v>
      </c>
      <c r="Z738" s="19"/>
    </row>
    <row r="739" ht="15.6" hidden="1" outlineLevel="2" spans="1:26">
      <c r="A739" s="5">
        <v>316</v>
      </c>
      <c r="B739" s="5">
        <v>17</v>
      </c>
      <c r="C739" s="9" t="s">
        <v>805</v>
      </c>
      <c r="D739" s="9" t="s">
        <v>46</v>
      </c>
      <c r="E739" s="5">
        <v>6</v>
      </c>
      <c r="F739" s="7">
        <f>LOOKUP(E739,{0,1.5,2.3,3.1,3.9,4.7,5.5,6.8,8.1,9.4,10.7,12,13.3,14.6,15.9,17.2,18.5,20.2,21.9,23.6,25.3},{0,10,20,30,40,50,60,62,64,66,68,70,72,74,76,78,80,85,90,95,100})</f>
        <v>60</v>
      </c>
      <c r="G739" s="5">
        <v>185</v>
      </c>
      <c r="H739" s="7">
        <f>LOOKUP(G739,{0,125,130,135,140,145,150,153,156,159,162,165,168,171,174,177,180,187,194,200,206},{0,10,20,30,40,50,60,62,64,66,68,70,72,74,76,78,80,85,90,95,100})</f>
        <v>80</v>
      </c>
      <c r="I739" s="5">
        <v>45</v>
      </c>
      <c r="J739" s="7">
        <f>LOOKUP(I739,{0,15,17,19,21,23,25,27,29,31,33,35,37,39,41,43,45,48,51,53,55},{0,10,20,30,40,50,60,62,64,66,68,70,72,74,76,78,80,85,90,95,100})</f>
        <v>80</v>
      </c>
      <c r="K739" s="5"/>
      <c r="L739" s="5"/>
      <c r="M739" s="5">
        <f t="shared" si="337"/>
        <v>80</v>
      </c>
      <c r="N739" s="5">
        <v>8.7</v>
      </c>
      <c r="O739" s="10">
        <f t="shared" si="338"/>
        <v>9.3</v>
      </c>
      <c r="P739" s="7">
        <f>LOOKUP(O739,{0,6.6,6.8,7,7.2,7.4,7.6,7.8,8,8.2,8.4,8.6,8.8,9,9.2,9.4,9.6,9.9,10.2,10.3,10.4},{0,10,20,30,40,50,60,62,64,66,68,70,72,74,76,78,80,85,90,95,100})</f>
        <v>76</v>
      </c>
      <c r="Q739" s="5">
        <v>4.04</v>
      </c>
      <c r="R739" s="10">
        <f t="shared" si="339"/>
        <v>5.96</v>
      </c>
      <c r="S739" s="7">
        <f>LOOKUP(R739,{0,4.74,4.84,4.94,5.44,5.54,5.64,5.69,5.74,5.79,5.84,5.89,5.94,5.99,6.44,6.49,6.54,6.61,6.68,6.74,6.8},{0,10,20,30,40,50,60,62,64,66,68,70,72,74,76,78,80,85,90,95,100})</f>
        <v>72</v>
      </c>
      <c r="T739" s="5"/>
      <c r="U739" s="5"/>
      <c r="V739" s="5">
        <f t="shared" si="340"/>
        <v>72</v>
      </c>
      <c r="W739" s="5"/>
      <c r="X739" s="13">
        <f t="shared" si="341"/>
        <v>51.6</v>
      </c>
      <c r="Y739" s="13">
        <f t="shared" si="342"/>
        <v>73.7142857142857</v>
      </c>
      <c r="Z739" s="19"/>
    </row>
    <row r="740" ht="15.6" hidden="1" outlineLevel="2" spans="1:26">
      <c r="A740" s="5">
        <v>316</v>
      </c>
      <c r="B740" s="5">
        <v>18</v>
      </c>
      <c r="C740" s="9" t="s">
        <v>806</v>
      </c>
      <c r="D740" s="9" t="s">
        <v>46</v>
      </c>
      <c r="E740" s="5">
        <v>11</v>
      </c>
      <c r="F740" s="7">
        <f>LOOKUP(E740,{0,1.5,2.3,3.1,3.9,4.7,5.5,6.8,8.1,9.4,10.7,12,13.3,14.6,15.9,17.2,18.5,20.2,21.9,23.6,25.3},{0,10,20,30,40,50,60,62,64,66,68,70,72,74,76,78,80,85,90,95,100})</f>
        <v>68</v>
      </c>
      <c r="G740" s="5">
        <v>125</v>
      </c>
      <c r="H740" s="7">
        <f>LOOKUP(G740,{0,125,130,135,140,145,150,153,156,159,162,165,168,171,174,177,180,187,194,200,206},{0,10,20,30,40,50,60,62,64,66,68,70,72,74,76,78,80,85,90,95,100})</f>
        <v>10</v>
      </c>
      <c r="I740" s="5">
        <v>40</v>
      </c>
      <c r="J740" s="7">
        <f>LOOKUP(I740,{0,15,17,19,21,23,25,27,29,31,33,35,37,39,41,43,45,48,51,53,55},{0,10,20,30,40,50,60,62,64,66,68,70,72,74,76,78,80,85,90,95,100})</f>
        <v>74</v>
      </c>
      <c r="K740" s="5"/>
      <c r="L740" s="5"/>
      <c r="M740" s="5">
        <f t="shared" si="337"/>
        <v>74</v>
      </c>
      <c r="N740" s="5">
        <v>10</v>
      </c>
      <c r="O740" s="10">
        <f t="shared" si="338"/>
        <v>8</v>
      </c>
      <c r="P740" s="7">
        <f>LOOKUP(O740,{0,6.6,6.8,7,7.2,7.4,7.6,7.8,8,8.2,8.4,8.6,8.8,9,9.2,9.4,9.6,9.9,10.2,10.3,10.4},{0,10,20,30,40,50,60,62,64,66,68,70,72,74,76,78,80,85,90,95,100})</f>
        <v>64</v>
      </c>
      <c r="Q740" s="5">
        <v>5.3</v>
      </c>
      <c r="R740" s="10">
        <f t="shared" si="339"/>
        <v>4.7</v>
      </c>
      <c r="S740" s="7">
        <f>LOOKUP(R740,{0,4.74,4.84,4.94,5.44,5.54,5.64,5.69,5.74,5.79,5.84,5.89,5.94,5.99,6.44,6.49,6.54,6.61,6.68,6.74,6.8},{0,10,20,30,40,50,60,62,64,66,68,70,72,74,76,78,80,85,90,95,100})</f>
        <v>0</v>
      </c>
      <c r="T740" s="5"/>
      <c r="U740" s="5"/>
      <c r="V740" s="5">
        <f t="shared" si="340"/>
        <v>0</v>
      </c>
      <c r="W740" s="5"/>
      <c r="X740" s="13">
        <f t="shared" si="341"/>
        <v>28</v>
      </c>
      <c r="Y740" s="13">
        <f t="shared" si="342"/>
        <v>40</v>
      </c>
      <c r="Z740" s="19"/>
    </row>
    <row r="741" ht="15.6" hidden="1" outlineLevel="2" spans="1:26">
      <c r="A741" s="5">
        <v>316</v>
      </c>
      <c r="B741" s="5">
        <v>19</v>
      </c>
      <c r="C741" s="9" t="s">
        <v>807</v>
      </c>
      <c r="D741" s="9" t="s">
        <v>46</v>
      </c>
      <c r="E741" s="5">
        <v>18.5</v>
      </c>
      <c r="F741" s="7">
        <f>LOOKUP(E741,{0,1.5,2.3,3.1,3.9,4.7,5.5,6.8,8.1,9.4,10.7,12,13.3,14.6,15.9,17.2,18.5,20.2,21.9,23.6,25.3},{0,10,20,30,40,50,60,62,64,66,68,70,72,74,76,78,80,85,90,95,100})</f>
        <v>80</v>
      </c>
      <c r="G741" s="5">
        <v>163</v>
      </c>
      <c r="H741" s="7">
        <f>LOOKUP(G741,{0,125,130,135,140,145,150,153,156,159,162,165,168,171,174,177,180,187,194,200,206},{0,10,20,30,40,50,60,62,64,66,68,70,72,74,76,78,80,85,90,95,100})</f>
        <v>68</v>
      </c>
      <c r="I741" s="5">
        <v>40</v>
      </c>
      <c r="J741" s="7">
        <f>LOOKUP(I741,{0,15,17,19,21,23,25,27,29,31,33,35,37,39,41,43,45,48,51,53,55},{0,10,20,30,40,50,60,62,64,66,68,70,72,74,76,78,80,85,90,95,100})</f>
        <v>74</v>
      </c>
      <c r="K741" s="5"/>
      <c r="L741" s="5"/>
      <c r="M741" s="5">
        <f t="shared" si="337"/>
        <v>74</v>
      </c>
      <c r="N741" s="5">
        <v>9.1</v>
      </c>
      <c r="O741" s="10">
        <f t="shared" si="338"/>
        <v>8.9</v>
      </c>
      <c r="P741" s="7">
        <f>LOOKUP(O741,{0,6.6,6.8,7,7.2,7.4,7.6,7.8,8,8.2,8.4,8.6,8.8,9,9.2,9.4,9.6,9.9,10.2,10.3,10.4},{0,10,20,30,40,50,60,62,64,66,68,70,72,74,76,78,80,85,90,95,100})</f>
        <v>72</v>
      </c>
      <c r="Q741" s="5">
        <v>4.16</v>
      </c>
      <c r="R741" s="10">
        <f t="shared" si="339"/>
        <v>5.84</v>
      </c>
      <c r="S741" s="7">
        <f>LOOKUP(R741,{0,4.74,4.84,4.94,5.44,5.54,5.64,5.69,5.74,5.79,5.84,5.89,5.94,5.99,6.44,6.49,6.54,6.61,6.68,6.74,6.8},{0,10,20,30,40,50,60,62,64,66,68,70,72,74,76,78,80,85,90,95,100})</f>
        <v>68</v>
      </c>
      <c r="T741" s="5"/>
      <c r="U741" s="5"/>
      <c r="V741" s="5">
        <f t="shared" si="340"/>
        <v>68</v>
      </c>
      <c r="W741" s="5"/>
      <c r="X741" s="13">
        <f t="shared" si="341"/>
        <v>50.2</v>
      </c>
      <c r="Y741" s="13">
        <f t="shared" si="342"/>
        <v>71.7142857142857</v>
      </c>
      <c r="Z741" s="19"/>
    </row>
    <row r="742" ht="15.6" hidden="1" outlineLevel="2" spans="1:26">
      <c r="A742" s="5">
        <v>316</v>
      </c>
      <c r="B742" s="5">
        <v>20</v>
      </c>
      <c r="C742" s="9" t="s">
        <v>808</v>
      </c>
      <c r="D742" s="9" t="s">
        <v>46</v>
      </c>
      <c r="E742" s="5">
        <v>26</v>
      </c>
      <c r="F742" s="7">
        <f>LOOKUP(E742,{0,1.5,2.3,3.1,3.9,4.7,5.5,6.8,8.1,9.4,10.7,12,13.3,14.6,15.9,17.2,18.5,20.2,21.9,23.6,25.3},{0,10,20,30,40,50,60,62,64,66,68,70,72,74,76,78,80,85,90,95,100})</f>
        <v>100</v>
      </c>
      <c r="G742" s="5">
        <v>211</v>
      </c>
      <c r="H742" s="7">
        <f>LOOKUP(G742,{0,125,130,135,140,145,150,153,156,159,162,165,168,171,174,177,180,187,194,200,206},{0,10,20,30,40,50,60,62,64,66,68,70,72,74,76,78,80,85,90,95,100})</f>
        <v>100</v>
      </c>
      <c r="I742" s="5">
        <v>42</v>
      </c>
      <c r="J742" s="7">
        <f>LOOKUP(I742,{0,15,17,19,21,23,25,27,29,31,33,35,37,39,41,43,45,48,51,53,55},{0,10,20,30,40,50,60,62,64,66,68,70,72,74,76,78,80,85,90,95,100})</f>
        <v>76</v>
      </c>
      <c r="K742" s="5"/>
      <c r="L742" s="5"/>
      <c r="M742" s="5">
        <f t="shared" si="337"/>
        <v>76</v>
      </c>
      <c r="N742" s="5">
        <v>8</v>
      </c>
      <c r="O742" s="10">
        <f t="shared" si="338"/>
        <v>10</v>
      </c>
      <c r="P742" s="7">
        <f>LOOKUP(O742,{0,6.6,6.8,7,7.2,7.4,7.6,7.8,8,8.2,8.4,8.6,8.8,9,9.2,9.4,9.6,9.9,10.2,10.3,10.4},{0,10,20,30,40,50,60,62,64,66,68,70,72,74,76,78,80,85,90,95,100})</f>
        <v>85</v>
      </c>
      <c r="Q742" s="5">
        <v>3.39</v>
      </c>
      <c r="R742" s="10">
        <f t="shared" si="339"/>
        <v>6.61</v>
      </c>
      <c r="S742" s="7">
        <f>LOOKUP(R742,{0,4.74,4.84,4.94,5.44,5.54,5.64,5.69,5.74,5.79,5.84,5.89,5.94,5.99,6.44,6.49,6.54,6.61,6.68,6.74,6.8},{0,10,20,30,40,50,60,62,64,66,68,70,72,74,76,78,80,85,90,95,100})</f>
        <v>85</v>
      </c>
      <c r="T742" s="5"/>
      <c r="U742" s="5"/>
      <c r="V742" s="5">
        <f t="shared" si="340"/>
        <v>85</v>
      </c>
      <c r="W742" s="5"/>
      <c r="X742" s="13">
        <f t="shared" si="341"/>
        <v>61.6</v>
      </c>
      <c r="Y742" s="13">
        <f t="shared" si="342"/>
        <v>88</v>
      </c>
      <c r="Z742" s="19"/>
    </row>
    <row r="743" ht="15.6" hidden="1" outlineLevel="2" spans="1:26">
      <c r="A743" s="5">
        <v>316</v>
      </c>
      <c r="B743" s="5">
        <v>21</v>
      </c>
      <c r="C743" s="9" t="s">
        <v>809</v>
      </c>
      <c r="D743" s="9" t="s">
        <v>46</v>
      </c>
      <c r="E743" s="5">
        <v>27.5</v>
      </c>
      <c r="F743" s="7">
        <f>LOOKUP(E743,{0,1.5,2.3,3.1,3.9,4.7,5.5,6.8,8.1,9.4,10.7,12,13.3,14.6,15.9,17.2,18.5,20.2,21.9,23.6,25.3},{0,10,20,30,40,50,60,62,64,66,68,70,72,74,76,78,80,85,90,95,100})</f>
        <v>100</v>
      </c>
      <c r="G743" s="5">
        <v>155</v>
      </c>
      <c r="H743" s="7">
        <f>LOOKUP(G743,{0,125,130,135,140,145,150,153,156,159,162,165,168,171,174,177,180,187,194,200,206},{0,10,20,30,40,50,60,62,64,66,68,70,72,74,76,78,80,85,90,95,100})</f>
        <v>62</v>
      </c>
      <c r="I743" s="5">
        <v>30</v>
      </c>
      <c r="J743" s="7">
        <f>LOOKUP(I743,{0,15,17,19,21,23,25,27,29,31,33,35,37,39,41,43,45,48,51,53,55},{0,10,20,30,40,50,60,62,64,66,68,70,72,74,76,78,80,85,90,95,100})</f>
        <v>64</v>
      </c>
      <c r="K743" s="5"/>
      <c r="L743" s="5"/>
      <c r="M743" s="5">
        <f t="shared" si="337"/>
        <v>64</v>
      </c>
      <c r="N743" s="5">
        <v>9.9</v>
      </c>
      <c r="O743" s="10">
        <f t="shared" si="338"/>
        <v>8.1</v>
      </c>
      <c r="P743" s="7">
        <f>LOOKUP(O743,{0,6.6,6.8,7,7.2,7.4,7.6,7.8,8,8.2,8.4,8.6,8.8,9,9.2,9.4,9.6,9.9,10.2,10.3,10.4},{0,10,20,30,40,50,60,62,64,66,68,70,72,74,76,78,80,85,90,95,100})</f>
        <v>64</v>
      </c>
      <c r="Q743" s="5">
        <v>4.14</v>
      </c>
      <c r="R743" s="10">
        <f t="shared" si="339"/>
        <v>5.86</v>
      </c>
      <c r="S743" s="7">
        <f>LOOKUP(R743,{0,4.74,4.84,4.94,5.44,5.54,5.64,5.69,5.74,5.79,5.84,5.89,5.94,5.99,6.44,6.49,6.54,6.61,6.68,6.74,6.8},{0,10,20,30,40,50,60,62,64,66,68,70,72,74,76,78,80,85,90,95,100})</f>
        <v>68</v>
      </c>
      <c r="T743" s="5"/>
      <c r="U743" s="5"/>
      <c r="V743" s="5">
        <f t="shared" si="340"/>
        <v>68</v>
      </c>
      <c r="W743" s="5"/>
      <c r="X743" s="13">
        <f t="shared" si="341"/>
        <v>49</v>
      </c>
      <c r="Y743" s="13">
        <f t="shared" si="342"/>
        <v>70</v>
      </c>
      <c r="Z743" s="19"/>
    </row>
    <row r="744" ht="15.6" hidden="1" outlineLevel="2" spans="1:26">
      <c r="A744" s="5">
        <v>316</v>
      </c>
      <c r="B744" s="5">
        <v>22</v>
      </c>
      <c r="C744" s="9" t="s">
        <v>810</v>
      </c>
      <c r="D744" s="9" t="s">
        <v>46</v>
      </c>
      <c r="E744" s="5">
        <v>14</v>
      </c>
      <c r="F744" s="7">
        <f>LOOKUP(E744,{0,1.5,2.3,3.1,3.9,4.7,5.5,6.8,8.1,9.4,10.7,12,13.3,14.6,15.9,17.2,18.5,20.2,21.9,23.6,25.3},{0,10,20,30,40,50,60,62,64,66,68,70,72,74,76,78,80,85,90,95,100})</f>
        <v>72</v>
      </c>
      <c r="G744" s="5">
        <v>194</v>
      </c>
      <c r="H744" s="7">
        <f>LOOKUP(G744,{0,125,130,135,140,145,150,153,156,159,162,165,168,171,174,177,180,187,194,200,206},{0,10,20,30,40,50,60,62,64,66,68,70,72,74,76,78,80,85,90,95,100})</f>
        <v>90</v>
      </c>
      <c r="I744" s="5">
        <v>36</v>
      </c>
      <c r="J744" s="7">
        <f>LOOKUP(I744,{0,15,17,19,21,23,25,27,29,31,33,35,37,39,41,43,45,48,51,53,55},{0,10,20,30,40,50,60,62,64,66,68,70,72,74,76,78,80,85,90,95,100})</f>
        <v>70</v>
      </c>
      <c r="K744" s="5"/>
      <c r="L744" s="5"/>
      <c r="M744" s="5">
        <f t="shared" si="337"/>
        <v>70</v>
      </c>
      <c r="N744" s="5">
        <v>8.8</v>
      </c>
      <c r="O744" s="10">
        <f t="shared" si="338"/>
        <v>9.2</v>
      </c>
      <c r="P744" s="7">
        <f>LOOKUP(O744,{0,6.6,6.8,7,7.2,7.4,7.6,7.8,8,8.2,8.4,8.6,8.8,9,9.2,9.4,9.6,9.9,10.2,10.3,10.4},{0,10,20,30,40,50,60,62,64,66,68,70,72,74,76,78,80,85,90,95,100})</f>
        <v>76</v>
      </c>
      <c r="Q744" s="5">
        <v>4.5</v>
      </c>
      <c r="R744" s="10">
        <f t="shared" si="339"/>
        <v>5.5</v>
      </c>
      <c r="S744" s="7">
        <f>LOOKUP(R744,{0,4.74,4.84,4.94,5.44,5.54,5.64,5.69,5.74,5.79,5.84,5.89,5.94,5.99,6.44,6.49,6.54,6.61,6.68,6.74,6.8},{0,10,20,30,40,50,60,62,64,66,68,70,72,74,76,78,80,85,90,95,100})</f>
        <v>40</v>
      </c>
      <c r="T744" s="5"/>
      <c r="U744" s="5"/>
      <c r="V744" s="5">
        <f t="shared" si="340"/>
        <v>40</v>
      </c>
      <c r="W744" s="5"/>
      <c r="X744" s="13">
        <f t="shared" si="341"/>
        <v>46.4</v>
      </c>
      <c r="Y744" s="13">
        <f t="shared" si="342"/>
        <v>66.2857142857143</v>
      </c>
      <c r="Z744" s="19"/>
    </row>
    <row r="745" ht="15.6" hidden="1" outlineLevel="2" spans="1:26">
      <c r="A745" s="5">
        <v>316</v>
      </c>
      <c r="B745" s="5">
        <v>23</v>
      </c>
      <c r="C745" s="8" t="s">
        <v>812</v>
      </c>
      <c r="D745" s="9" t="s">
        <v>46</v>
      </c>
      <c r="E745" s="5">
        <v>15.4</v>
      </c>
      <c r="F745" s="7">
        <f>LOOKUP(E745,{0,1.5,2.3,3.1,3.9,4.7,5.5,6.8,8.1,9.4,10.7,12,13.3,14.6,15.9,17.2,18.5,20.2,21.9,23.6,25.3},{0,10,20,30,40,50,60,62,64,66,68,70,72,74,76,78,80,85,90,95,100})</f>
        <v>74</v>
      </c>
      <c r="G745" s="5">
        <v>183</v>
      </c>
      <c r="H745" s="7">
        <f>LOOKUP(G745,{0,125,130,135,140,145,150,153,156,159,162,165,168,171,174,177,180,187,194,200,206},{0,10,20,30,40,50,60,62,64,66,68,70,72,74,76,78,80,85,90,95,100})</f>
        <v>80</v>
      </c>
      <c r="I745" s="5">
        <v>44</v>
      </c>
      <c r="J745" s="7">
        <f>LOOKUP(I745,{0,15,17,19,21,23,25,27,29,31,33,35,37,39,41,43,45,48,51,53,55},{0,10,20,30,40,50,60,62,64,66,68,70,72,74,76,78,80,85,90,95,100})</f>
        <v>78</v>
      </c>
      <c r="K745" s="5"/>
      <c r="L745" s="5"/>
      <c r="M745" s="5">
        <f t="shared" si="337"/>
        <v>78</v>
      </c>
      <c r="N745" s="5">
        <v>8.3</v>
      </c>
      <c r="O745" s="10">
        <f t="shared" si="338"/>
        <v>9.7</v>
      </c>
      <c r="P745" s="7">
        <f>LOOKUP(O745,{0,6.6,6.8,7,7.2,7.4,7.6,7.8,8,8.2,8.4,8.6,8.8,9,9.2,9.4,9.6,9.9,10.2,10.3,10.4},{0,10,20,30,40,50,60,62,64,66,68,70,72,74,76,78,80,85,90,95,100})</f>
        <v>80</v>
      </c>
      <c r="Q745" s="5">
        <v>3.44</v>
      </c>
      <c r="R745" s="10">
        <f t="shared" si="339"/>
        <v>6.56</v>
      </c>
      <c r="S745" s="7">
        <f>LOOKUP(R745,{0,4.74,4.84,4.94,5.44,5.54,5.64,5.69,5.74,5.79,5.84,5.89,5.94,5.99,6.44,6.49,6.54,6.61,6.68,6.74,6.8},{0,10,20,30,40,50,60,62,64,66,68,70,72,74,76,78,80,85,90,95,100})</f>
        <v>80</v>
      </c>
      <c r="T745" s="5"/>
      <c r="U745" s="5"/>
      <c r="V745" s="5">
        <f t="shared" si="340"/>
        <v>80</v>
      </c>
      <c r="W745" s="5"/>
      <c r="X745" s="13">
        <f t="shared" si="341"/>
        <v>55.2</v>
      </c>
      <c r="Y745" s="13">
        <f t="shared" si="342"/>
        <v>78.8571428571429</v>
      </c>
      <c r="Z745" s="19"/>
    </row>
    <row r="746" ht="15.6" hidden="1" outlineLevel="2" spans="1:26">
      <c r="A746" s="5">
        <v>316</v>
      </c>
      <c r="B746" s="5">
        <v>24</v>
      </c>
      <c r="C746" s="9" t="s">
        <v>813</v>
      </c>
      <c r="D746" s="9" t="s">
        <v>46</v>
      </c>
      <c r="E746" s="5">
        <v>11.5</v>
      </c>
      <c r="F746" s="7">
        <f>LOOKUP(E746,{0,1.5,2.3,3.1,3.9,4.7,5.5,6.8,8.1,9.4,10.7,12,13.3,14.6,15.9,17.2,18.5,20.2,21.9,23.6,25.3},{0,10,20,30,40,50,60,62,64,66,68,70,72,74,76,78,80,85,90,95,100})</f>
        <v>68</v>
      </c>
      <c r="G746" s="5">
        <v>175</v>
      </c>
      <c r="H746" s="7">
        <f>LOOKUP(G746,{0,125,130,135,140,145,150,153,156,159,162,165,168,171,174,177,180,187,194,200,206},{0,10,20,30,40,50,60,62,64,66,68,70,72,74,76,78,80,85,90,95,100})</f>
        <v>76</v>
      </c>
      <c r="I746" s="5">
        <v>41</v>
      </c>
      <c r="J746" s="7">
        <f>LOOKUP(I746,{0,15,17,19,21,23,25,27,29,31,33,35,37,39,41,43,45,48,51,53,55},{0,10,20,30,40,50,60,62,64,66,68,70,72,74,76,78,80,85,90,95,100})</f>
        <v>76</v>
      </c>
      <c r="K746" s="5"/>
      <c r="L746" s="5"/>
      <c r="M746" s="5">
        <f t="shared" si="337"/>
        <v>76</v>
      </c>
      <c r="N746" s="5">
        <v>9</v>
      </c>
      <c r="O746" s="10">
        <f t="shared" si="338"/>
        <v>9</v>
      </c>
      <c r="P746" s="7">
        <f>LOOKUP(O746,{0,6.6,6.8,7,7.2,7.4,7.6,7.8,8,8.2,8.4,8.6,8.8,9,9.2,9.4,9.6,9.9,10.2,10.3,10.4},{0,10,20,30,40,50,60,62,64,66,68,70,72,74,76,78,80,85,90,95,100})</f>
        <v>74</v>
      </c>
      <c r="Q746" s="5">
        <v>4.19</v>
      </c>
      <c r="R746" s="10">
        <f t="shared" si="339"/>
        <v>5.81</v>
      </c>
      <c r="S746" s="7">
        <f>LOOKUP(R746,{0,4.74,4.84,4.94,5.44,5.54,5.64,5.69,5.74,5.79,5.84,5.89,5.94,5.99,6.44,6.49,6.54,6.61,6.68,6.74,6.8},{0,10,20,30,40,50,60,62,64,66,68,70,72,74,76,78,80,85,90,95,100})</f>
        <v>66</v>
      </c>
      <c r="T746" s="5"/>
      <c r="U746" s="5"/>
      <c r="V746" s="5">
        <f t="shared" si="340"/>
        <v>66</v>
      </c>
      <c r="W746" s="5"/>
      <c r="X746" s="13">
        <f t="shared" si="341"/>
        <v>50</v>
      </c>
      <c r="Y746" s="13">
        <f t="shared" si="342"/>
        <v>71.4285714285714</v>
      </c>
      <c r="Z746" s="20"/>
    </row>
    <row r="747" ht="15.6" hidden="1" outlineLevel="2" spans="1:26">
      <c r="A747" s="5">
        <v>316</v>
      </c>
      <c r="B747" s="5">
        <v>25</v>
      </c>
      <c r="C747" s="9" t="s">
        <v>814</v>
      </c>
      <c r="D747" s="9" t="s">
        <v>46</v>
      </c>
      <c r="E747" s="5">
        <v>21.6</v>
      </c>
      <c r="F747" s="7">
        <f>LOOKUP(E747,{0,1.5,2.3,3.1,3.9,4.7,5.5,6.8,8.1,9.4,10.7,12,13.3,14.6,15.9,17.2,18.5,20.2,21.9,23.6,25.3},{0,10,20,30,40,50,60,62,64,66,68,70,72,74,76,78,80,85,90,95,100})</f>
        <v>85</v>
      </c>
      <c r="G747" s="5">
        <v>175</v>
      </c>
      <c r="H747" s="7">
        <f>LOOKUP(G747,{0,125,130,135,140,145,150,153,156,159,162,165,168,171,174,177,180,187,194,200,206},{0,10,20,30,40,50,60,62,64,66,68,70,72,74,76,78,80,85,90,95,100})</f>
        <v>76</v>
      </c>
      <c r="I747" s="5">
        <v>46</v>
      </c>
      <c r="J747" s="7">
        <f>LOOKUP(I747,{0,15,17,19,21,23,25,27,29,31,33,35,37,39,41,43,45,48,51,53,55},{0,10,20,30,40,50,60,62,64,66,68,70,72,74,76,78,80,85,90,95,100})</f>
        <v>80</v>
      </c>
      <c r="K747" s="5"/>
      <c r="L747" s="5"/>
      <c r="M747" s="5">
        <f t="shared" si="337"/>
        <v>80</v>
      </c>
      <c r="N747" s="5">
        <v>9</v>
      </c>
      <c r="O747" s="10">
        <f t="shared" si="338"/>
        <v>9</v>
      </c>
      <c r="P747" s="7">
        <f>LOOKUP(O747,{0,6.6,6.8,7,7.2,7.4,7.6,7.8,8,8.2,8.4,8.6,8.8,9,9.2,9.4,9.6,9.9,10.2,10.3,10.4},{0,10,20,30,40,50,60,62,64,66,68,70,72,74,76,78,80,85,90,95,100})</f>
        <v>74</v>
      </c>
      <c r="Q747" s="5">
        <v>4.36</v>
      </c>
      <c r="R747" s="10">
        <f t="shared" si="339"/>
        <v>5.64</v>
      </c>
      <c r="S747" s="7">
        <f>LOOKUP(R747,{0,4.74,4.84,4.94,5.44,5.54,5.64,5.69,5.74,5.79,5.84,5.89,5.94,5.99,6.44,6.49,6.54,6.61,6.68,6.74,6.8},{0,10,20,30,40,50,60,62,64,66,68,70,72,74,76,78,80,85,90,95,100})</f>
        <v>60</v>
      </c>
      <c r="T747" s="5"/>
      <c r="U747" s="5"/>
      <c r="V747" s="5">
        <f t="shared" si="340"/>
        <v>60</v>
      </c>
      <c r="W747" s="5"/>
      <c r="X747" s="13">
        <f t="shared" si="341"/>
        <v>50.9</v>
      </c>
      <c r="Y747" s="13">
        <f t="shared" si="342"/>
        <v>72.7142857142857</v>
      </c>
      <c r="Z747" s="19"/>
    </row>
    <row r="748" ht="15.6" hidden="1" outlineLevel="2" spans="1:26">
      <c r="A748" s="5">
        <v>316</v>
      </c>
      <c r="B748" s="5">
        <v>26</v>
      </c>
      <c r="C748" s="9" t="s">
        <v>815</v>
      </c>
      <c r="D748" s="9" t="s">
        <v>46</v>
      </c>
      <c r="E748" s="5">
        <v>14</v>
      </c>
      <c r="F748" s="7">
        <f>LOOKUP(E748,{0,1.5,2.3,3.1,3.9,4.7,5.5,6.8,8.1,9.4,10.7,12,13.3,14.6,15.9,17.2,18.5,20.2,21.9,23.6,25.3},{0,10,20,30,40,50,60,62,64,66,68,70,72,74,76,78,80,85,90,95,100})</f>
        <v>72</v>
      </c>
      <c r="G748" s="5">
        <v>184</v>
      </c>
      <c r="H748" s="7">
        <f>LOOKUP(G748,{0,125,130,135,140,145,150,153,156,159,162,165,168,171,174,177,180,187,194,200,206},{0,10,20,30,40,50,60,62,64,66,68,70,72,74,76,78,80,85,90,95,100})</f>
        <v>80</v>
      </c>
      <c r="I748" s="5">
        <v>45</v>
      </c>
      <c r="J748" s="7">
        <f>LOOKUP(I748,{0,15,17,19,21,23,25,27,29,31,33,35,37,39,41,43,45,48,51,53,55},{0,10,20,30,40,50,60,62,64,66,68,70,72,74,76,78,80,85,90,95,100})</f>
        <v>80</v>
      </c>
      <c r="K748" s="5"/>
      <c r="L748" s="5"/>
      <c r="M748" s="5">
        <f t="shared" si="337"/>
        <v>80</v>
      </c>
      <c r="N748" s="5">
        <v>9.1</v>
      </c>
      <c r="O748" s="10">
        <f t="shared" si="338"/>
        <v>8.9</v>
      </c>
      <c r="P748" s="7">
        <f>LOOKUP(O748,{0,6.6,6.8,7,7.2,7.4,7.6,7.8,8,8.2,8.4,8.6,8.8,9,9.2,9.4,9.6,9.9,10.2,10.3,10.4},{0,10,20,30,40,50,60,62,64,66,68,70,72,74,76,78,80,85,90,95,100})</f>
        <v>72</v>
      </c>
      <c r="Q748" s="5">
        <v>4.08</v>
      </c>
      <c r="R748" s="10">
        <f t="shared" si="339"/>
        <v>5.92</v>
      </c>
      <c r="S748" s="7">
        <f>LOOKUP(R748,{0,4.74,4.84,4.94,5.44,5.54,5.64,5.69,5.74,5.79,5.84,5.89,5.94,5.99,6.44,6.49,6.54,6.61,6.68,6.74,6.8},{0,10,20,30,40,50,60,62,64,66,68,70,72,74,76,78,80,85,90,95,100})</f>
        <v>70</v>
      </c>
      <c r="T748" s="5"/>
      <c r="U748" s="5"/>
      <c r="V748" s="5">
        <f t="shared" si="340"/>
        <v>70</v>
      </c>
      <c r="W748" s="5"/>
      <c r="X748" s="13">
        <f t="shared" si="341"/>
        <v>51.6</v>
      </c>
      <c r="Y748" s="13">
        <f t="shared" si="342"/>
        <v>73.7142857142857</v>
      </c>
      <c r="Z748" s="19"/>
    </row>
    <row r="749" ht="15.6" hidden="1" outlineLevel="2" spans="1:26">
      <c r="A749" s="5">
        <v>316</v>
      </c>
      <c r="B749" s="5">
        <v>27</v>
      </c>
      <c r="C749" s="9" t="s">
        <v>816</v>
      </c>
      <c r="D749" s="9" t="s">
        <v>46</v>
      </c>
      <c r="E749" s="5">
        <v>3</v>
      </c>
      <c r="F749" s="7">
        <f>LOOKUP(E749,{0,1.5,2.3,3.1,3.9,4.7,5.5,6.8,8.1,9.4,10.7,12,13.3,14.6,15.9,17.2,18.5,20.2,21.9,23.6,25.3},{0,10,20,30,40,50,60,62,64,66,68,70,72,74,76,78,80,85,90,95,100})</f>
        <v>20</v>
      </c>
      <c r="G749" s="5">
        <v>164</v>
      </c>
      <c r="H749" s="7">
        <f>LOOKUP(G749,{0,125,130,135,140,145,150,153,156,159,162,165,168,171,174,177,180,187,194,200,206},{0,10,20,30,40,50,60,62,64,66,68,70,72,74,76,78,80,85,90,95,100})</f>
        <v>68</v>
      </c>
      <c r="I749" s="5">
        <v>38</v>
      </c>
      <c r="J749" s="7">
        <f>LOOKUP(I749,{0,15,17,19,21,23,25,27,29,31,33,35,37,39,41,43,45,48,51,53,55},{0,10,20,30,40,50,60,62,64,66,68,70,72,74,76,78,80,85,90,95,100})</f>
        <v>72</v>
      </c>
      <c r="K749" s="5"/>
      <c r="L749" s="5"/>
      <c r="M749" s="5">
        <f t="shared" si="337"/>
        <v>72</v>
      </c>
      <c r="N749" s="5">
        <v>9.5</v>
      </c>
      <c r="O749" s="10">
        <f t="shared" si="338"/>
        <v>8.5</v>
      </c>
      <c r="P749" s="7">
        <f>LOOKUP(O749,{0,6.6,6.8,7,7.2,7.4,7.6,7.8,8,8.2,8.4,8.6,8.8,9,9.2,9.4,9.6,9.9,10.2,10.3,10.4},{0,10,20,30,40,50,60,62,64,66,68,70,72,74,76,78,80,85,90,95,100})</f>
        <v>68</v>
      </c>
      <c r="Q749" s="5">
        <v>4.13</v>
      </c>
      <c r="R749" s="10">
        <f t="shared" si="339"/>
        <v>5.87</v>
      </c>
      <c r="S749" s="7">
        <f>LOOKUP(R749,{0,4.74,4.84,4.94,5.44,5.54,5.64,5.69,5.74,5.79,5.84,5.89,5.94,5.99,6.44,6.49,6.54,6.61,6.68,6.74,6.8},{0,10,20,30,40,50,60,62,64,66,68,70,72,74,76,78,80,85,90,95,100})</f>
        <v>68</v>
      </c>
      <c r="T749" s="5"/>
      <c r="U749" s="5"/>
      <c r="V749" s="5">
        <f t="shared" si="340"/>
        <v>68</v>
      </c>
      <c r="W749" s="5"/>
      <c r="X749" s="13">
        <f t="shared" si="341"/>
        <v>43.2</v>
      </c>
      <c r="Y749" s="13">
        <f t="shared" si="342"/>
        <v>61.7142857142857</v>
      </c>
      <c r="Z749" s="19"/>
    </row>
    <row r="750" ht="15.6" hidden="1" outlineLevel="2" spans="1:26">
      <c r="A750" s="5">
        <v>316</v>
      </c>
      <c r="B750" s="5">
        <v>28</v>
      </c>
      <c r="C750" s="9" t="s">
        <v>817</v>
      </c>
      <c r="D750" s="9" t="s">
        <v>46</v>
      </c>
      <c r="E750" s="5">
        <v>22.5</v>
      </c>
      <c r="F750" s="7">
        <f>LOOKUP(E750,{0,1.5,2.3,3.1,3.9,4.7,5.5,6.8,8.1,9.4,10.7,12,13.3,14.6,15.9,17.2,18.5,20.2,21.9,23.6,25.3},{0,10,20,30,40,50,60,62,64,66,68,70,72,74,76,78,80,85,90,95,100})</f>
        <v>90</v>
      </c>
      <c r="G750" s="5">
        <v>192</v>
      </c>
      <c r="H750" s="7">
        <f>LOOKUP(G750,{0,125,130,135,140,145,150,153,156,159,162,165,168,171,174,177,180,187,194,200,206},{0,10,20,30,40,50,60,62,64,66,68,70,72,74,76,78,80,85,90,95,100})</f>
        <v>85</v>
      </c>
      <c r="I750" s="5">
        <v>55</v>
      </c>
      <c r="J750" s="7">
        <f>LOOKUP(I750,{0,15,17,19,21,23,25,27,29,31,33,35,37,39,41,43,45,48,51,53,55},{0,10,20,30,40,50,60,62,64,66,68,70,72,74,76,78,80,85,90,95,100})</f>
        <v>100</v>
      </c>
      <c r="K750" s="5"/>
      <c r="L750" s="5"/>
      <c r="M750" s="5">
        <f t="shared" si="337"/>
        <v>100</v>
      </c>
      <c r="N750" s="5">
        <v>8.4</v>
      </c>
      <c r="O750" s="10">
        <f t="shared" si="338"/>
        <v>9.6</v>
      </c>
      <c r="P750" s="7">
        <f>LOOKUP(O750,{0,6.6,6.8,7,7.2,7.4,7.6,7.8,8,8.2,8.4,8.6,8.8,9,9.2,9.4,9.6,9.9,10.2,10.3,10.4},{0,10,20,30,40,50,60,62,64,66,68,70,72,74,76,78,80,85,90,95,100})</f>
        <v>80</v>
      </c>
      <c r="Q750" s="5">
        <v>4.58</v>
      </c>
      <c r="R750" s="10">
        <f t="shared" si="339"/>
        <v>5.42</v>
      </c>
      <c r="S750" s="7">
        <f>LOOKUP(R750,{0,4.74,4.84,4.94,5.44,5.54,5.64,5.69,5.74,5.79,5.84,5.89,5.94,5.99,6.44,6.49,6.54,6.61,6.68,6.74,6.8},{0,10,20,30,40,50,60,62,64,66,68,70,72,74,76,78,80,85,90,95,100})</f>
        <v>30</v>
      </c>
      <c r="T750" s="5"/>
      <c r="U750" s="5"/>
      <c r="V750" s="5">
        <f t="shared" si="340"/>
        <v>30</v>
      </c>
      <c r="W750" s="5"/>
      <c r="X750" s="13">
        <f t="shared" si="341"/>
        <v>49.5</v>
      </c>
      <c r="Y750" s="13">
        <f t="shared" si="342"/>
        <v>70.7142857142857</v>
      </c>
      <c r="Z750" s="19"/>
    </row>
    <row r="751" hidden="1" outlineLevel="2" spans="1:26">
      <c r="A751" s="5">
        <v>316</v>
      </c>
      <c r="B751" s="5">
        <v>29</v>
      </c>
      <c r="C751" s="9" t="s">
        <v>818</v>
      </c>
      <c r="D751" s="9" t="s">
        <v>46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>
        <v>50</v>
      </c>
      <c r="X751" s="13"/>
      <c r="Y751" s="13">
        <v>50</v>
      </c>
      <c r="Z751" s="19"/>
    </row>
    <row r="752" ht="15.6" hidden="1" outlineLevel="2" spans="1:26">
      <c r="A752" s="5">
        <v>316</v>
      </c>
      <c r="B752" s="5">
        <v>30</v>
      </c>
      <c r="C752" s="9" t="s">
        <v>819</v>
      </c>
      <c r="D752" s="9" t="s">
        <v>46</v>
      </c>
      <c r="E752" s="5">
        <v>29.8</v>
      </c>
      <c r="F752" s="7">
        <f>LOOKUP(E752,{0,1.5,2.3,3.1,3.9,4.7,5.5,6.8,8.1,9.4,10.7,12,13.3,14.6,15.9,17.2,18.5,20.2,21.9,23.6,25.3},{0,10,20,30,40,50,60,62,64,66,68,70,72,74,76,78,80,85,90,95,100})</f>
        <v>100</v>
      </c>
      <c r="G752" s="5">
        <v>220</v>
      </c>
      <c r="H752" s="7">
        <f>LOOKUP(G752,{0,125,130,135,140,145,150,153,156,159,162,165,168,171,174,177,180,187,194,200,206},{0,10,20,30,40,50,60,62,64,66,68,70,72,74,76,78,80,85,90,95,100})</f>
        <v>100</v>
      </c>
      <c r="I752" s="5">
        <v>34</v>
      </c>
      <c r="J752" s="7">
        <f>LOOKUP(I752,{0,15,17,19,21,23,25,27,29,31,33,35,37,39,41,43,45,48,51,53,55},{0,10,20,30,40,50,60,62,64,66,68,70,72,74,76,78,80,85,90,95,100})</f>
        <v>68</v>
      </c>
      <c r="K752" s="5"/>
      <c r="L752" s="5"/>
      <c r="M752" s="5">
        <f t="shared" ref="M752:M755" si="343">J752+L752</f>
        <v>68</v>
      </c>
      <c r="N752" s="5">
        <v>7.8</v>
      </c>
      <c r="O752" s="10">
        <f t="shared" ref="O752:O755" si="344">18-N752</f>
        <v>10.2</v>
      </c>
      <c r="P752" s="7">
        <f>LOOKUP(O752,{0,6.6,6.8,7,7.2,7.4,7.6,7.8,8,8.2,8.4,8.6,8.8,9,9.2,9.4,9.6,9.9,10.2,10.3,10.4},{0,10,20,30,40,50,60,62,64,66,68,70,72,74,76,78,80,85,90,95,100})</f>
        <v>90</v>
      </c>
      <c r="Q752" s="5">
        <v>3.37</v>
      </c>
      <c r="R752" s="10">
        <f t="shared" ref="R752:R755" si="345">10-Q752</f>
        <v>6.63</v>
      </c>
      <c r="S752" s="7">
        <f>LOOKUP(R752,{0,4.74,4.84,4.94,5.44,5.54,5.64,5.69,5.74,5.79,5.84,5.89,5.94,5.99,6.44,6.49,6.54,6.61,6.68,6.74,6.8},{0,10,20,30,40,50,60,62,64,66,68,70,72,74,76,78,80,85,90,95,100})</f>
        <v>85</v>
      </c>
      <c r="T752" s="5"/>
      <c r="U752" s="5"/>
      <c r="V752" s="5">
        <f t="shared" ref="V752:V755" si="346">S752+U752</f>
        <v>85</v>
      </c>
      <c r="W752" s="5"/>
      <c r="X752" s="13">
        <f t="shared" ref="X752:X755" si="347">F752*0.1+H752*0.1+J752*0.1+P752*0.2+S752*0.2</f>
        <v>61.8</v>
      </c>
      <c r="Y752" s="13">
        <f t="shared" ref="Y752:Y755" si="348">X752/0.7+L752+U752</f>
        <v>88.2857142857143</v>
      </c>
      <c r="Z752" s="19"/>
    </row>
    <row r="753" ht="15.6" hidden="1" outlineLevel="2" spans="1:26">
      <c r="A753" s="5">
        <v>316</v>
      </c>
      <c r="B753" s="5">
        <v>31</v>
      </c>
      <c r="C753" s="9" t="s">
        <v>820</v>
      </c>
      <c r="D753" s="9" t="s">
        <v>46</v>
      </c>
      <c r="E753" s="5">
        <v>8.2</v>
      </c>
      <c r="F753" s="7">
        <f>LOOKUP(E753,{0,1.5,2.3,3.1,3.9,4.7,5.5,6.8,8.1,9.4,10.7,12,13.3,14.6,15.9,17.2,18.5,20.2,21.9,23.6,25.3},{0,10,20,30,40,50,60,62,64,66,68,70,72,74,76,78,80,85,90,95,100})</f>
        <v>64</v>
      </c>
      <c r="G753" s="5">
        <v>182</v>
      </c>
      <c r="H753" s="7">
        <f>LOOKUP(G753,{0,125,130,135,140,145,150,153,156,159,162,165,168,171,174,177,180,187,194,200,206},{0,10,20,30,40,50,60,62,64,66,68,70,72,74,76,78,80,85,90,95,100})</f>
        <v>80</v>
      </c>
      <c r="I753" s="5">
        <v>41</v>
      </c>
      <c r="J753" s="7">
        <f>LOOKUP(I753,{0,15,17,19,21,23,25,27,29,31,33,35,37,39,41,43,45,48,51,53,55},{0,10,20,30,40,50,60,62,64,66,68,70,72,74,76,78,80,85,90,95,100})</f>
        <v>76</v>
      </c>
      <c r="K753" s="5"/>
      <c r="L753" s="5"/>
      <c r="M753" s="5">
        <f t="shared" si="343"/>
        <v>76</v>
      </c>
      <c r="N753" s="5">
        <v>8.4</v>
      </c>
      <c r="O753" s="10">
        <f t="shared" si="344"/>
        <v>9.6</v>
      </c>
      <c r="P753" s="7">
        <f>LOOKUP(O753,{0,6.6,6.8,7,7.2,7.4,7.6,7.8,8,8.2,8.4,8.6,8.8,9,9.2,9.4,9.6,9.9,10.2,10.3,10.4},{0,10,20,30,40,50,60,62,64,66,68,70,72,74,76,78,80,85,90,95,100})</f>
        <v>80</v>
      </c>
      <c r="Q753" s="5">
        <v>4.13</v>
      </c>
      <c r="R753" s="10">
        <f t="shared" si="345"/>
        <v>5.87</v>
      </c>
      <c r="S753" s="7">
        <f>LOOKUP(R753,{0,4.74,4.84,4.94,5.44,5.54,5.64,5.69,5.74,5.79,5.84,5.89,5.94,5.99,6.44,6.49,6.54,6.61,6.68,6.74,6.8},{0,10,20,30,40,50,60,62,64,66,68,70,72,74,76,78,80,85,90,95,100})</f>
        <v>68</v>
      </c>
      <c r="T753" s="5"/>
      <c r="U753" s="5"/>
      <c r="V753" s="5">
        <f t="shared" si="346"/>
        <v>68</v>
      </c>
      <c r="W753" s="5"/>
      <c r="X753" s="13">
        <f t="shared" si="347"/>
        <v>51.6</v>
      </c>
      <c r="Y753" s="13">
        <f t="shared" si="348"/>
        <v>73.7142857142857</v>
      </c>
      <c r="Z753" s="19"/>
    </row>
    <row r="754" ht="15.6" hidden="1" outlineLevel="2" spans="1:26">
      <c r="A754" s="5">
        <v>316</v>
      </c>
      <c r="B754" s="5">
        <v>32</v>
      </c>
      <c r="C754" s="8" t="s">
        <v>822</v>
      </c>
      <c r="D754" s="9" t="s">
        <v>46</v>
      </c>
      <c r="E754" s="5">
        <v>21.5</v>
      </c>
      <c r="F754" s="7">
        <f>LOOKUP(E754,{0,1.5,2.3,3.1,3.9,4.7,5.5,6.8,8.1,9.4,10.7,12,13.3,14.6,15.9,17.2,18.5,20.2,21.9,23.6,25.3},{0,10,20,30,40,50,60,62,64,66,68,70,72,74,76,78,80,85,90,95,100})</f>
        <v>85</v>
      </c>
      <c r="G754" s="5">
        <v>174</v>
      </c>
      <c r="H754" s="7">
        <f>LOOKUP(G754,{0,125,130,135,140,145,150,153,156,159,162,165,168,171,174,177,180,187,194,200,206},{0,10,20,30,40,50,60,62,64,66,68,70,72,74,76,78,80,85,90,95,100})</f>
        <v>76</v>
      </c>
      <c r="I754" s="5">
        <v>48</v>
      </c>
      <c r="J754" s="7">
        <f>LOOKUP(I754,{0,15,17,19,21,23,25,27,29,31,33,35,37,39,41,43,45,48,51,53,55},{0,10,20,30,40,50,60,62,64,66,68,70,72,74,76,78,80,85,90,95,100})</f>
        <v>85</v>
      </c>
      <c r="K754" s="5"/>
      <c r="L754" s="5"/>
      <c r="M754" s="5">
        <f t="shared" si="343"/>
        <v>85</v>
      </c>
      <c r="N754" s="5">
        <v>9.7</v>
      </c>
      <c r="O754" s="10">
        <f t="shared" si="344"/>
        <v>8.3</v>
      </c>
      <c r="P754" s="7">
        <f>LOOKUP(O754,{0,6.6,6.8,7,7.2,7.4,7.6,7.8,8,8.2,8.4,8.6,8.8,9,9.2,9.4,9.6,9.9,10.2,10.3,10.4},{0,10,20,30,40,50,60,62,64,66,68,70,72,74,76,78,80,85,90,95,100})</f>
        <v>66</v>
      </c>
      <c r="Q754" s="5">
        <v>4.11</v>
      </c>
      <c r="R754" s="10">
        <f t="shared" si="345"/>
        <v>5.89</v>
      </c>
      <c r="S754" s="7">
        <f>LOOKUP(R754,{0,4.74,4.84,4.94,5.44,5.54,5.64,5.69,5.74,5.79,5.84,5.89,5.94,5.99,6.44,6.49,6.54,6.61,6.68,6.74,6.8},{0,10,20,30,40,50,60,62,64,66,68,70,72,74,76,78,80,85,90,95,100})</f>
        <v>70</v>
      </c>
      <c r="T754" s="5"/>
      <c r="U754" s="5"/>
      <c r="V754" s="5">
        <f t="shared" si="346"/>
        <v>70</v>
      </c>
      <c r="W754" s="5"/>
      <c r="X754" s="13">
        <f t="shared" si="347"/>
        <v>51.8</v>
      </c>
      <c r="Y754" s="13">
        <f t="shared" si="348"/>
        <v>74</v>
      </c>
      <c r="Z754" s="19"/>
    </row>
    <row r="755" ht="15.6" hidden="1" outlineLevel="2" spans="1:26">
      <c r="A755" s="5">
        <v>316</v>
      </c>
      <c r="B755" s="5">
        <v>33</v>
      </c>
      <c r="C755" s="9" t="s">
        <v>823</v>
      </c>
      <c r="D755" s="9" t="s">
        <v>46</v>
      </c>
      <c r="E755" s="5">
        <v>18.5</v>
      </c>
      <c r="F755" s="7">
        <f>LOOKUP(E755,{0,1.5,2.3,3.1,3.9,4.7,5.5,6.8,8.1,9.4,10.7,12,13.3,14.6,15.9,17.2,18.5,20.2,21.9,23.6,25.3},{0,10,20,30,40,50,60,62,64,66,68,70,72,74,76,78,80,85,90,95,100})</f>
        <v>80</v>
      </c>
      <c r="G755" s="5">
        <v>180</v>
      </c>
      <c r="H755" s="7">
        <f>LOOKUP(G755,{0,125,130,135,140,145,150,153,156,159,162,165,168,171,174,177,180,187,194,200,206},{0,10,20,30,40,50,60,62,64,66,68,70,72,74,76,78,80,85,90,95,100})</f>
        <v>80</v>
      </c>
      <c r="I755" s="5">
        <v>49</v>
      </c>
      <c r="J755" s="7">
        <f>LOOKUP(I755,{0,15,17,19,21,23,25,27,29,31,33,35,37,39,41,43,45,48,51,53,55},{0,10,20,30,40,50,60,62,64,66,68,70,72,74,76,78,80,85,90,95,100})</f>
        <v>85</v>
      </c>
      <c r="K755" s="5"/>
      <c r="L755" s="5"/>
      <c r="M755" s="5">
        <f t="shared" si="343"/>
        <v>85</v>
      </c>
      <c r="N755" s="5">
        <v>9.1</v>
      </c>
      <c r="O755" s="10">
        <f t="shared" si="344"/>
        <v>8.9</v>
      </c>
      <c r="P755" s="7">
        <f>LOOKUP(O755,{0,6.6,6.8,7,7.2,7.4,7.6,7.8,8,8.2,8.4,8.6,8.8,9,9.2,9.4,9.6,9.9,10.2,10.3,10.4},{0,10,20,30,40,50,60,62,64,66,68,70,72,74,76,78,80,85,90,95,100})</f>
        <v>72</v>
      </c>
      <c r="Q755" s="5">
        <v>4.2</v>
      </c>
      <c r="R755" s="10">
        <f t="shared" si="345"/>
        <v>5.8</v>
      </c>
      <c r="S755" s="7">
        <f>LOOKUP(R755,{0,4.74,4.84,4.94,5.44,5.54,5.64,5.69,5.74,5.79,5.84,5.89,5.94,5.99,6.44,6.49,6.54,6.61,6.68,6.74,6.8},{0,10,20,30,40,50,60,62,64,66,68,70,72,74,76,78,80,85,90,95,100})</f>
        <v>66</v>
      </c>
      <c r="T755" s="5"/>
      <c r="U755" s="5"/>
      <c r="V755" s="5">
        <f t="shared" si="346"/>
        <v>66</v>
      </c>
      <c r="W755" s="5"/>
      <c r="X755" s="13">
        <f t="shared" si="347"/>
        <v>52.1</v>
      </c>
      <c r="Y755" s="13">
        <f t="shared" si="348"/>
        <v>74.4285714285714</v>
      </c>
      <c r="Z755" s="19"/>
    </row>
    <row r="756" hidden="1" outlineLevel="2" spans="1:26">
      <c r="A756" s="5">
        <v>316</v>
      </c>
      <c r="B756" s="5">
        <v>34</v>
      </c>
      <c r="C756" s="9" t="s">
        <v>824</v>
      </c>
      <c r="D756" s="9" t="s">
        <v>46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>
        <v>50</v>
      </c>
      <c r="X756" s="13"/>
      <c r="Y756" s="13">
        <v>50</v>
      </c>
      <c r="Z756" s="19"/>
    </row>
    <row r="757" ht="15.6" hidden="1" outlineLevel="2" spans="1:26">
      <c r="A757" s="5">
        <v>316</v>
      </c>
      <c r="B757" s="5">
        <v>35</v>
      </c>
      <c r="C757" s="9" t="s">
        <v>825</v>
      </c>
      <c r="D757" s="9" t="s">
        <v>46</v>
      </c>
      <c r="E757" s="5">
        <v>9.5</v>
      </c>
      <c r="F757" s="7">
        <f>LOOKUP(E757,{0,1.5,2.3,3.1,3.9,4.7,5.5,6.8,8.1,9.4,10.7,12,13.3,14.6,15.9,17.2,18.5,20.2,21.9,23.6,25.3},{0,10,20,30,40,50,60,62,64,66,68,70,72,74,76,78,80,85,90,95,100})</f>
        <v>66</v>
      </c>
      <c r="G757" s="5">
        <v>169</v>
      </c>
      <c r="H757" s="7">
        <f>LOOKUP(G757,{0,125,130,135,140,145,150,153,156,159,162,165,168,171,174,177,180,187,194,200,206},{0,10,20,30,40,50,60,62,64,66,68,70,72,74,76,78,80,85,90,95,100})</f>
        <v>72</v>
      </c>
      <c r="I757" s="5">
        <v>32</v>
      </c>
      <c r="J757" s="7">
        <f>LOOKUP(I757,{0,15,17,19,21,23,25,27,29,31,33,35,37,39,41,43,45,48,51,53,55},{0,10,20,30,40,50,60,62,64,66,68,70,72,74,76,78,80,85,90,95,100})</f>
        <v>66</v>
      </c>
      <c r="K757" s="5"/>
      <c r="L757" s="5"/>
      <c r="M757" s="5">
        <f t="shared" ref="M757:M759" si="349">J757+L757</f>
        <v>66</v>
      </c>
      <c r="N757" s="5">
        <v>9.1</v>
      </c>
      <c r="O757" s="10">
        <f t="shared" ref="O757:O759" si="350">18-N757</f>
        <v>8.9</v>
      </c>
      <c r="P757" s="7">
        <f>LOOKUP(O757,{0,6.6,6.8,7,7.2,7.4,7.6,7.8,8,8.2,8.4,8.6,8.8,9,9.2,9.4,9.6,9.9,10.2,10.3,10.4},{0,10,20,30,40,50,60,62,64,66,68,70,72,74,76,78,80,85,90,95,100})</f>
        <v>72</v>
      </c>
      <c r="Q757" s="5">
        <v>4.25</v>
      </c>
      <c r="R757" s="10">
        <f t="shared" ref="R757:R759" si="351">10-Q757</f>
        <v>5.75</v>
      </c>
      <c r="S757" s="7">
        <f>LOOKUP(R757,{0,4.74,4.84,4.94,5.44,5.54,5.64,5.69,5.74,5.79,5.84,5.89,5.94,5.99,6.44,6.49,6.54,6.61,6.68,6.74,6.8},{0,10,20,30,40,50,60,62,64,66,68,70,72,74,76,78,80,85,90,95,100})</f>
        <v>64</v>
      </c>
      <c r="T757" s="5"/>
      <c r="U757" s="5"/>
      <c r="V757" s="5">
        <f t="shared" ref="V757:V759" si="352">S757+U757</f>
        <v>64</v>
      </c>
      <c r="W757" s="5"/>
      <c r="X757" s="13">
        <f t="shared" ref="X757:X759" si="353">F757*0.1+H757*0.1+J757*0.1+P757*0.2+S757*0.2</f>
        <v>47.6</v>
      </c>
      <c r="Y757" s="13">
        <f t="shared" ref="Y757:Y759" si="354">X757/0.7+L757+U757</f>
        <v>68</v>
      </c>
      <c r="Z757" s="19"/>
    </row>
    <row r="758" ht="15.6" hidden="1" outlineLevel="2" spans="1:26">
      <c r="A758" s="5">
        <v>316</v>
      </c>
      <c r="B758" s="5">
        <v>36</v>
      </c>
      <c r="C758" s="9" t="s">
        <v>826</v>
      </c>
      <c r="D758" s="9" t="s">
        <v>46</v>
      </c>
      <c r="E758" s="5">
        <v>16</v>
      </c>
      <c r="F758" s="7">
        <f>LOOKUP(E758,{0,1.5,2.3,3.1,3.9,4.7,5.5,6.8,8.1,9.4,10.7,12,13.3,14.6,15.9,17.2,18.5,20.2,21.9,23.6,25.3},{0,10,20,30,40,50,60,62,64,66,68,70,72,74,76,78,80,85,90,95,100})</f>
        <v>76</v>
      </c>
      <c r="G758" s="5">
        <v>160</v>
      </c>
      <c r="H758" s="7">
        <f>LOOKUP(G758,{0,125,130,135,140,145,150,153,156,159,162,165,168,171,174,177,180,187,194,200,206},{0,10,20,30,40,50,60,62,64,66,68,70,72,74,76,78,80,85,90,95,100})</f>
        <v>66</v>
      </c>
      <c r="I758" s="5">
        <v>49</v>
      </c>
      <c r="J758" s="7">
        <f>LOOKUP(I758,{0,15,17,19,21,23,25,27,29,31,33,35,37,39,41,43,45,48,51,53,55},{0,10,20,30,40,50,60,62,64,66,68,70,72,74,76,78,80,85,90,95,100})</f>
        <v>85</v>
      </c>
      <c r="K758" s="5"/>
      <c r="L758" s="5"/>
      <c r="M758" s="5">
        <f t="shared" si="349"/>
        <v>85</v>
      </c>
      <c r="N758" s="5">
        <v>8.7</v>
      </c>
      <c r="O758" s="10">
        <f t="shared" si="350"/>
        <v>9.3</v>
      </c>
      <c r="P758" s="7">
        <f>LOOKUP(O758,{0,6.6,6.8,7,7.2,7.4,7.6,7.8,8,8.2,8.4,8.6,8.8,9,9.2,9.4,9.6,9.9,10.2,10.3,10.4},{0,10,20,30,40,50,60,62,64,66,68,70,72,74,76,78,80,85,90,95,100})</f>
        <v>76</v>
      </c>
      <c r="Q758" s="5">
        <v>4</v>
      </c>
      <c r="R758" s="10">
        <f t="shared" si="351"/>
        <v>6</v>
      </c>
      <c r="S758" s="7">
        <f>LOOKUP(R758,{0,4.74,4.84,4.94,5.44,5.54,5.64,5.69,5.74,5.79,5.84,5.89,5.94,5.99,6.44,6.49,6.54,6.61,6.68,6.74,6.8},{0,10,20,30,40,50,60,62,64,66,68,70,72,74,76,78,80,85,90,95,100})</f>
        <v>74</v>
      </c>
      <c r="T758" s="5"/>
      <c r="U758" s="5"/>
      <c r="V758" s="5">
        <f t="shared" si="352"/>
        <v>74</v>
      </c>
      <c r="W758" s="5"/>
      <c r="X758" s="13">
        <f t="shared" si="353"/>
        <v>52.7</v>
      </c>
      <c r="Y758" s="13">
        <f t="shared" si="354"/>
        <v>75.2857142857143</v>
      </c>
      <c r="Z758" s="19"/>
    </row>
    <row r="759" ht="15.6" hidden="1" outlineLevel="2" spans="1:26">
      <c r="A759" s="5">
        <v>316</v>
      </c>
      <c r="B759" s="5">
        <v>37</v>
      </c>
      <c r="C759" s="9" t="s">
        <v>827</v>
      </c>
      <c r="D759" s="9" t="s">
        <v>46</v>
      </c>
      <c r="E759" s="5">
        <v>18</v>
      </c>
      <c r="F759" s="7">
        <f>LOOKUP(E759,{0,1.5,2.3,3.1,3.9,4.7,5.5,6.8,8.1,9.4,10.7,12,13.3,14.6,15.9,17.2,18.5,20.2,21.9,23.6,25.3},{0,10,20,30,40,50,60,62,64,66,68,70,72,74,76,78,80,85,90,95,100})</f>
        <v>78</v>
      </c>
      <c r="G759" s="5">
        <v>185</v>
      </c>
      <c r="H759" s="7">
        <f>LOOKUP(G759,{0,125,130,135,140,145,150,153,156,159,162,165,168,171,174,177,180,187,194,200,206},{0,10,20,30,40,50,60,62,64,66,68,70,72,74,76,78,80,85,90,95,100})</f>
        <v>80</v>
      </c>
      <c r="I759" s="5">
        <v>41</v>
      </c>
      <c r="J759" s="7">
        <f>LOOKUP(I759,{0,15,17,19,21,23,25,27,29,31,33,35,37,39,41,43,45,48,51,53,55},{0,10,20,30,40,50,60,62,64,66,68,70,72,74,76,78,80,85,90,95,100})</f>
        <v>76</v>
      </c>
      <c r="K759" s="5"/>
      <c r="L759" s="5"/>
      <c r="M759" s="5">
        <f t="shared" si="349"/>
        <v>76</v>
      </c>
      <c r="N759" s="5">
        <v>8.5</v>
      </c>
      <c r="O759" s="10">
        <f t="shared" si="350"/>
        <v>9.5</v>
      </c>
      <c r="P759" s="7">
        <f>LOOKUP(O759,{0,6.6,6.8,7,7.2,7.4,7.6,7.8,8,8.2,8.4,8.6,8.8,9,9.2,9.4,9.6,9.9,10.2,10.3,10.4},{0,10,20,30,40,50,60,62,64,66,68,70,72,74,76,78,80,85,90,95,100})</f>
        <v>78</v>
      </c>
      <c r="Q759" s="5">
        <v>4.03</v>
      </c>
      <c r="R759" s="10">
        <f t="shared" si="351"/>
        <v>5.97</v>
      </c>
      <c r="S759" s="7">
        <f>LOOKUP(R759,{0,4.74,4.84,4.94,5.44,5.54,5.64,5.69,5.74,5.79,5.84,5.89,5.94,5.99,6.44,6.49,6.54,6.61,6.68,6.74,6.8},{0,10,20,30,40,50,60,62,64,66,68,70,72,74,76,78,80,85,90,95,100})</f>
        <v>72</v>
      </c>
      <c r="T759" s="5"/>
      <c r="U759" s="5"/>
      <c r="V759" s="5">
        <f t="shared" si="352"/>
        <v>72</v>
      </c>
      <c r="W759" s="5"/>
      <c r="X759" s="13">
        <f t="shared" si="353"/>
        <v>53.4</v>
      </c>
      <c r="Y759" s="13">
        <f t="shared" si="354"/>
        <v>76.2857142857143</v>
      </c>
      <c r="Z759" s="19"/>
    </row>
    <row r="760" hidden="1" outlineLevel="2" spans="1:26">
      <c r="A760" s="5">
        <v>316</v>
      </c>
      <c r="B760" s="5">
        <v>38</v>
      </c>
      <c r="C760" s="9" t="s">
        <v>828</v>
      </c>
      <c r="D760" s="9" t="s">
        <v>46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>
        <v>50</v>
      </c>
      <c r="X760" s="18"/>
      <c r="Y760" s="13">
        <v>50</v>
      </c>
      <c r="Z760" s="20"/>
    </row>
    <row r="761" ht="15.6" hidden="1" outlineLevel="2" spans="1:26">
      <c r="A761" s="5">
        <v>316</v>
      </c>
      <c r="B761" s="5">
        <v>39</v>
      </c>
      <c r="C761" s="9" t="s">
        <v>829</v>
      </c>
      <c r="D761" s="9" t="s">
        <v>46</v>
      </c>
      <c r="E761" s="5">
        <v>15</v>
      </c>
      <c r="F761" s="7">
        <f>LOOKUP(E761,{0,1.5,2.3,3.1,3.9,4.7,5.5,6.8,8.1,9.4,10.7,12,13.3,14.6,15.9,17.2,18.5,20.2,21.9,23.6,25.3},{0,10,20,30,40,50,60,62,64,66,68,70,72,74,76,78,80,85,90,95,100})</f>
        <v>74</v>
      </c>
      <c r="G761" s="5">
        <v>182</v>
      </c>
      <c r="H761" s="7">
        <f>LOOKUP(G761,{0,125,130,135,140,145,150,153,156,159,162,165,168,171,174,177,180,187,194,200,206},{0,10,20,30,40,50,60,62,64,66,68,70,72,74,76,78,80,85,90,95,100})</f>
        <v>80</v>
      </c>
      <c r="I761" s="5">
        <v>48</v>
      </c>
      <c r="J761" s="7">
        <f>LOOKUP(I761,{0,15,17,19,21,23,25,27,29,31,33,35,37,39,41,43,45,48,51,53,55},{0,10,20,30,40,50,60,62,64,66,68,70,72,74,76,78,80,85,90,95,100})</f>
        <v>85</v>
      </c>
      <c r="K761" s="5"/>
      <c r="L761" s="5"/>
      <c r="M761" s="5">
        <f t="shared" ref="M761:M767" si="355">J761+L761</f>
        <v>85</v>
      </c>
      <c r="N761" s="5">
        <v>9.1</v>
      </c>
      <c r="O761" s="10">
        <f t="shared" ref="O761:O767" si="356">18-N761</f>
        <v>8.9</v>
      </c>
      <c r="P761" s="7">
        <f>LOOKUP(O761,{0,6.6,6.8,7,7.2,7.4,7.6,7.8,8,8.2,8.4,8.6,8.8,9,9.2,9.4,9.6,9.9,10.2,10.3,10.4},{0,10,20,30,40,50,60,62,64,66,68,70,72,74,76,78,80,85,90,95,100})</f>
        <v>72</v>
      </c>
      <c r="Q761" s="5">
        <v>4.11</v>
      </c>
      <c r="R761" s="10">
        <f t="shared" ref="R761:R767" si="357">10-Q761</f>
        <v>5.89</v>
      </c>
      <c r="S761" s="7">
        <f>LOOKUP(R761,{0,4.74,4.84,4.94,5.44,5.54,5.64,5.69,5.74,5.79,5.84,5.89,5.94,5.99,6.44,6.49,6.54,6.61,6.68,6.74,6.8},{0,10,20,30,40,50,60,62,64,66,68,70,72,74,76,78,80,85,90,95,100})</f>
        <v>70</v>
      </c>
      <c r="T761" s="5"/>
      <c r="U761" s="5"/>
      <c r="V761" s="5">
        <f t="shared" ref="V761:V767" si="358">S761+U761</f>
        <v>70</v>
      </c>
      <c r="W761" s="5"/>
      <c r="X761" s="13">
        <f t="shared" ref="X761:X767" si="359">F761*0.1+H761*0.1+J761*0.1+P761*0.2+S761*0.2</f>
        <v>52.3</v>
      </c>
      <c r="Y761" s="13">
        <f t="shared" ref="Y761:Y767" si="360">X761/0.7+L761+U761</f>
        <v>74.7142857142857</v>
      </c>
      <c r="Z761" s="19"/>
    </row>
    <row r="762" ht="15.6" hidden="1" outlineLevel="2" spans="1:26">
      <c r="A762" s="5">
        <v>316</v>
      </c>
      <c r="B762" s="5">
        <v>40</v>
      </c>
      <c r="C762" s="9" t="s">
        <v>830</v>
      </c>
      <c r="D762" s="9" t="s">
        <v>46</v>
      </c>
      <c r="E762" s="5">
        <v>12.5</v>
      </c>
      <c r="F762" s="7">
        <f>LOOKUP(E762,{0,1.5,2.3,3.1,3.9,4.7,5.5,6.8,8.1,9.4,10.7,12,13.3,14.6,15.9,17.2,18.5,20.2,21.9,23.6,25.3},{0,10,20,30,40,50,60,62,64,66,68,70,72,74,76,78,80,85,90,95,100})</f>
        <v>70</v>
      </c>
      <c r="G762" s="5">
        <v>170</v>
      </c>
      <c r="H762" s="7">
        <f>LOOKUP(G762,{0,125,130,135,140,145,150,153,156,159,162,165,168,171,174,177,180,187,194,200,206},{0,10,20,30,40,50,60,62,64,66,68,70,72,74,76,78,80,85,90,95,100})</f>
        <v>72</v>
      </c>
      <c r="I762" s="5">
        <v>37</v>
      </c>
      <c r="J762" s="7">
        <f>LOOKUP(I762,{0,15,17,19,21,23,25,27,29,31,33,35,37,39,41,43,45,48,51,53,55},{0,10,20,30,40,50,60,62,64,66,68,70,72,74,76,78,80,85,90,95,100})</f>
        <v>72</v>
      </c>
      <c r="K762" s="5"/>
      <c r="L762" s="5"/>
      <c r="M762" s="5">
        <f t="shared" si="355"/>
        <v>72</v>
      </c>
      <c r="N762" s="5">
        <v>10</v>
      </c>
      <c r="O762" s="10">
        <f t="shared" si="356"/>
        <v>8</v>
      </c>
      <c r="P762" s="7">
        <f>LOOKUP(O762,{0,6.6,6.8,7,7.2,7.4,7.6,7.8,8,8.2,8.4,8.6,8.8,9,9.2,9.4,9.6,9.9,10.2,10.3,10.4},{0,10,20,30,40,50,60,62,64,66,68,70,72,74,76,78,80,85,90,95,100})</f>
        <v>64</v>
      </c>
      <c r="Q762" s="5">
        <v>4.4</v>
      </c>
      <c r="R762" s="10">
        <f t="shared" si="357"/>
        <v>5.6</v>
      </c>
      <c r="S762" s="7">
        <f>LOOKUP(R762,{0,4.74,4.84,4.94,5.44,5.54,5.64,5.69,5.74,5.79,5.84,5.89,5.94,5.99,6.44,6.49,6.54,6.61,6.68,6.74,6.8},{0,10,20,30,40,50,60,62,64,66,68,70,72,74,76,78,80,85,90,95,100})</f>
        <v>50</v>
      </c>
      <c r="T762" s="5"/>
      <c r="U762" s="5"/>
      <c r="V762" s="5">
        <f t="shared" si="358"/>
        <v>50</v>
      </c>
      <c r="W762" s="5"/>
      <c r="X762" s="13">
        <f t="shared" si="359"/>
        <v>44.2</v>
      </c>
      <c r="Y762" s="13">
        <f t="shared" si="360"/>
        <v>63.1428571428572</v>
      </c>
      <c r="Z762" s="19"/>
    </row>
    <row r="763" ht="15.6" hidden="1" outlineLevel="2" spans="1:26">
      <c r="A763" s="5">
        <v>316</v>
      </c>
      <c r="B763" s="5">
        <v>41</v>
      </c>
      <c r="C763" s="8" t="s">
        <v>832</v>
      </c>
      <c r="D763" s="9" t="s">
        <v>46</v>
      </c>
      <c r="E763" s="5">
        <v>22</v>
      </c>
      <c r="F763" s="7">
        <f>LOOKUP(E763,{0,1.5,2.3,3.1,3.9,4.7,5.5,6.8,8.1,9.4,10.7,12,13.3,14.6,15.9,17.2,18.5,20.2,21.9,23.6,25.3},{0,10,20,30,40,50,60,62,64,66,68,70,72,74,76,78,80,85,90,95,100})</f>
        <v>90</v>
      </c>
      <c r="G763" s="5">
        <v>165</v>
      </c>
      <c r="H763" s="7">
        <f>LOOKUP(G763,{0,125,130,135,140,145,150,153,156,159,162,165,168,171,174,177,180,187,194,200,206},{0,10,20,30,40,50,60,62,64,66,68,70,72,74,76,78,80,85,90,95,100})</f>
        <v>70</v>
      </c>
      <c r="I763" s="5">
        <v>20</v>
      </c>
      <c r="J763" s="7">
        <f>LOOKUP(I763,{0,15,17,19,21,23,25,27,29,31,33,35,37,39,41,43,45,48,51,53,55},{0,10,20,30,40,50,60,62,64,66,68,70,72,74,76,78,80,85,90,95,100})</f>
        <v>30</v>
      </c>
      <c r="K763" s="5"/>
      <c r="L763" s="5"/>
      <c r="M763" s="5">
        <f t="shared" si="355"/>
        <v>30</v>
      </c>
      <c r="N763" s="5">
        <v>9.8</v>
      </c>
      <c r="O763" s="10">
        <f t="shared" si="356"/>
        <v>8.2</v>
      </c>
      <c r="P763" s="7">
        <f>LOOKUP(O763,{0,6.6,6.8,7,7.2,7.4,7.6,7.8,8,8.2,8.4,8.6,8.8,9,9.2,9.4,9.6,9.9,10.2,10.3,10.4},{0,10,20,30,40,50,60,62,64,66,68,70,72,74,76,78,80,85,90,95,100})</f>
        <v>66</v>
      </c>
      <c r="Q763" s="5">
        <v>4.12</v>
      </c>
      <c r="R763" s="10">
        <f t="shared" si="357"/>
        <v>5.88</v>
      </c>
      <c r="S763" s="7">
        <f>LOOKUP(R763,{0,4.74,4.84,4.94,5.44,5.54,5.64,5.69,5.74,5.79,5.84,5.89,5.94,5.99,6.44,6.49,6.54,6.61,6.68,6.74,6.8},{0,10,20,30,40,50,60,62,64,66,68,70,72,74,76,78,80,85,90,95,100})</f>
        <v>68</v>
      </c>
      <c r="T763" s="5"/>
      <c r="U763" s="5"/>
      <c r="V763" s="5">
        <f t="shared" si="358"/>
        <v>68</v>
      </c>
      <c r="W763" s="5"/>
      <c r="X763" s="13">
        <f t="shared" si="359"/>
        <v>45.8</v>
      </c>
      <c r="Y763" s="13">
        <f t="shared" si="360"/>
        <v>65.4285714285714</v>
      </c>
      <c r="Z763" s="19"/>
    </row>
    <row r="764" ht="15.6" hidden="1" outlineLevel="2" spans="1:26">
      <c r="A764" s="5">
        <v>316</v>
      </c>
      <c r="B764" s="5">
        <v>42</v>
      </c>
      <c r="C764" s="9" t="s">
        <v>833</v>
      </c>
      <c r="D764" s="9" t="s">
        <v>46</v>
      </c>
      <c r="E764" s="5">
        <v>27.6</v>
      </c>
      <c r="F764" s="7">
        <f>LOOKUP(E764,{0,1.5,2.3,3.1,3.9,4.7,5.5,6.8,8.1,9.4,10.7,12,13.3,14.6,15.9,17.2,18.5,20.2,21.9,23.6,25.3},{0,10,20,30,40,50,60,62,64,66,68,70,72,74,76,78,80,85,90,95,100})</f>
        <v>100</v>
      </c>
      <c r="G764" s="5">
        <v>209</v>
      </c>
      <c r="H764" s="7">
        <f>LOOKUP(G764,{0,125,130,135,140,145,150,153,156,159,162,165,168,171,174,177,180,187,194,200,206},{0,10,20,30,40,50,60,62,64,66,68,70,72,74,76,78,80,85,90,95,100})</f>
        <v>100</v>
      </c>
      <c r="I764" s="5">
        <v>49</v>
      </c>
      <c r="J764" s="7">
        <f>LOOKUP(I764,{0,15,17,19,21,23,25,27,29,31,33,35,37,39,41,43,45,48,51,53,55},{0,10,20,30,40,50,60,62,64,66,68,70,72,74,76,78,80,85,90,95,100})</f>
        <v>85</v>
      </c>
      <c r="K764" s="5"/>
      <c r="L764" s="5"/>
      <c r="M764" s="5">
        <f t="shared" si="355"/>
        <v>85</v>
      </c>
      <c r="N764" s="5">
        <v>7.8</v>
      </c>
      <c r="O764" s="10">
        <f t="shared" si="356"/>
        <v>10.2</v>
      </c>
      <c r="P764" s="7">
        <f>LOOKUP(O764,{0,6.6,6.8,7,7.2,7.4,7.6,7.8,8,8.2,8.4,8.6,8.8,9,9.2,9.4,9.6,9.9,10.2,10.3,10.4},{0,10,20,30,40,50,60,62,64,66,68,70,72,74,76,78,80,85,90,95,100})</f>
        <v>90</v>
      </c>
      <c r="Q764" s="5">
        <v>4.05</v>
      </c>
      <c r="R764" s="10">
        <f t="shared" si="357"/>
        <v>5.95</v>
      </c>
      <c r="S764" s="7">
        <f>LOOKUP(R764,{0,4.74,4.84,4.94,5.44,5.54,5.64,5.69,5.74,5.79,5.84,5.89,5.94,5.99,6.44,6.49,6.54,6.61,6.68,6.74,6.8},{0,10,20,30,40,50,60,62,64,66,68,70,72,74,76,78,80,85,90,95,100})</f>
        <v>72</v>
      </c>
      <c r="T764" s="5"/>
      <c r="U764" s="5"/>
      <c r="V764" s="5">
        <f t="shared" si="358"/>
        <v>72</v>
      </c>
      <c r="W764" s="5"/>
      <c r="X764" s="13">
        <f t="shared" si="359"/>
        <v>60.9</v>
      </c>
      <c r="Y764" s="13">
        <f t="shared" si="360"/>
        <v>87</v>
      </c>
      <c r="Z764" s="19"/>
    </row>
    <row r="765" ht="15.6" hidden="1" outlineLevel="2" spans="1:26">
      <c r="A765" s="5">
        <v>316</v>
      </c>
      <c r="B765" s="5">
        <v>43</v>
      </c>
      <c r="C765" s="9" t="s">
        <v>834</v>
      </c>
      <c r="D765" s="9" t="s">
        <v>46</v>
      </c>
      <c r="E765" s="5">
        <v>26.5</v>
      </c>
      <c r="F765" s="7">
        <f>LOOKUP(E765,{0,1.5,2.3,3.1,3.9,4.7,5.5,6.8,8.1,9.4,10.7,12,13.3,14.6,15.9,17.2,18.5,20.2,21.9,23.6,25.3},{0,10,20,30,40,50,60,62,64,66,68,70,72,74,76,78,80,85,90,95,100})</f>
        <v>100</v>
      </c>
      <c r="G765" s="5">
        <v>193</v>
      </c>
      <c r="H765" s="7">
        <f>LOOKUP(G765,{0,125,130,135,140,145,150,153,156,159,162,165,168,171,174,177,180,187,194,200,206},{0,10,20,30,40,50,60,62,64,66,68,70,72,74,76,78,80,85,90,95,100})</f>
        <v>85</v>
      </c>
      <c r="I765" s="5">
        <v>51</v>
      </c>
      <c r="J765" s="7">
        <f>LOOKUP(I765,{0,15,17,19,21,23,25,27,29,31,33,35,37,39,41,43,45,48,51,53,55},{0,10,20,30,40,50,60,62,64,66,68,70,72,74,76,78,80,85,90,95,100})</f>
        <v>90</v>
      </c>
      <c r="K765" s="5"/>
      <c r="L765" s="5"/>
      <c r="M765" s="5">
        <f t="shared" si="355"/>
        <v>90</v>
      </c>
      <c r="N765" s="5">
        <v>8.5</v>
      </c>
      <c r="O765" s="10">
        <f t="shared" si="356"/>
        <v>9.5</v>
      </c>
      <c r="P765" s="7">
        <f>LOOKUP(O765,{0,6.6,6.8,7,7.2,7.4,7.6,7.8,8,8.2,8.4,8.6,8.8,9,9.2,9.4,9.6,9.9,10.2,10.3,10.4},{0,10,20,30,40,50,60,62,64,66,68,70,72,74,76,78,80,85,90,95,100})</f>
        <v>78</v>
      </c>
      <c r="Q765" s="5">
        <v>4.1</v>
      </c>
      <c r="R765" s="10">
        <f t="shared" si="357"/>
        <v>5.9</v>
      </c>
      <c r="S765" s="7">
        <f>LOOKUP(R765,{0,4.74,4.84,4.94,5.44,5.54,5.64,5.69,5.74,5.79,5.84,5.89,5.94,5.99,6.44,6.49,6.54,6.61,6.68,6.74,6.8},{0,10,20,30,40,50,60,62,64,66,68,70,72,74,76,78,80,85,90,95,100})</f>
        <v>70</v>
      </c>
      <c r="T765" s="5"/>
      <c r="U765" s="5"/>
      <c r="V765" s="5">
        <f t="shared" si="358"/>
        <v>70</v>
      </c>
      <c r="W765" s="5"/>
      <c r="X765" s="13">
        <f t="shared" si="359"/>
        <v>57.1</v>
      </c>
      <c r="Y765" s="13">
        <f t="shared" si="360"/>
        <v>81.5714285714286</v>
      </c>
      <c r="Z765" s="19"/>
    </row>
    <row r="766" ht="15.6" hidden="1" outlineLevel="2" spans="1:26">
      <c r="A766" s="5">
        <v>316</v>
      </c>
      <c r="B766" s="5">
        <v>44</v>
      </c>
      <c r="C766" s="9" t="s">
        <v>835</v>
      </c>
      <c r="D766" s="9" t="s">
        <v>46</v>
      </c>
      <c r="E766" s="5">
        <v>12.5</v>
      </c>
      <c r="F766" s="7">
        <f>LOOKUP(E766,{0,1.5,2.3,3.1,3.9,4.7,5.5,6.8,8.1,9.4,10.7,12,13.3,14.6,15.9,17.2,18.5,20.2,21.9,23.6,25.3},{0,10,20,30,40,50,60,62,64,66,68,70,72,74,76,78,80,85,90,95,100})</f>
        <v>70</v>
      </c>
      <c r="G766" s="5">
        <v>170</v>
      </c>
      <c r="H766" s="7">
        <f>LOOKUP(G766,{0,125,130,135,140,145,150,153,156,159,162,165,168,171,174,177,180,187,194,200,206},{0,10,20,30,40,50,60,62,64,66,68,70,72,74,76,78,80,85,90,95,100})</f>
        <v>72</v>
      </c>
      <c r="I766" s="5">
        <v>45</v>
      </c>
      <c r="J766" s="7">
        <f>LOOKUP(I766,{0,15,17,19,21,23,25,27,29,31,33,35,37,39,41,43,45,48,51,53,55},{0,10,20,30,40,50,60,62,64,66,68,70,72,74,76,78,80,85,90,95,100})</f>
        <v>80</v>
      </c>
      <c r="K766" s="5"/>
      <c r="L766" s="5"/>
      <c r="M766" s="5">
        <f t="shared" si="355"/>
        <v>80</v>
      </c>
      <c r="N766" s="5">
        <v>9</v>
      </c>
      <c r="O766" s="10">
        <f t="shared" si="356"/>
        <v>9</v>
      </c>
      <c r="P766" s="7">
        <f>LOOKUP(O766,{0,6.6,6.8,7,7.2,7.4,7.6,7.8,8,8.2,8.4,8.6,8.8,9,9.2,9.4,9.6,9.9,10.2,10.3,10.4},{0,10,20,30,40,50,60,62,64,66,68,70,72,74,76,78,80,85,90,95,100})</f>
        <v>74</v>
      </c>
      <c r="Q766" s="5">
        <v>4.14</v>
      </c>
      <c r="R766" s="10">
        <f t="shared" si="357"/>
        <v>5.86</v>
      </c>
      <c r="S766" s="7">
        <f>LOOKUP(R766,{0,4.74,4.84,4.94,5.44,5.54,5.64,5.69,5.74,5.79,5.84,5.89,5.94,5.99,6.44,6.49,6.54,6.61,6.68,6.74,6.8},{0,10,20,30,40,50,60,62,64,66,68,70,72,74,76,78,80,85,90,95,100})</f>
        <v>68</v>
      </c>
      <c r="T766" s="5"/>
      <c r="U766" s="5"/>
      <c r="V766" s="5">
        <f t="shared" si="358"/>
        <v>68</v>
      </c>
      <c r="W766" s="5"/>
      <c r="X766" s="13">
        <f t="shared" si="359"/>
        <v>50.6</v>
      </c>
      <c r="Y766" s="13">
        <f t="shared" si="360"/>
        <v>72.2857142857143</v>
      </c>
      <c r="Z766" s="19"/>
    </row>
    <row r="767" ht="15.6" hidden="1" outlineLevel="2" spans="1:26">
      <c r="A767" s="5">
        <v>316</v>
      </c>
      <c r="B767" s="5">
        <v>45</v>
      </c>
      <c r="C767" s="9" t="s">
        <v>836</v>
      </c>
      <c r="D767" s="9" t="s">
        <v>46</v>
      </c>
      <c r="E767" s="5">
        <v>7</v>
      </c>
      <c r="F767" s="7">
        <f>LOOKUP(E767,{0,1.5,2.3,3.1,3.9,4.7,5.5,6.8,8.1,9.4,10.7,12,13.3,14.6,15.9,17.2,18.5,20.2,21.9,23.6,25.3},{0,10,20,30,40,50,60,62,64,66,68,70,72,74,76,78,80,85,90,95,100})</f>
        <v>62</v>
      </c>
      <c r="G767" s="5">
        <v>130</v>
      </c>
      <c r="H767" s="7">
        <f>LOOKUP(G767,{0,125,130,135,140,145,150,153,156,159,162,165,168,171,174,177,180,187,194,200,206},{0,10,20,30,40,50,60,62,64,66,68,70,72,74,76,78,80,85,90,95,100})</f>
        <v>20</v>
      </c>
      <c r="I767" s="5">
        <v>29</v>
      </c>
      <c r="J767" s="7">
        <f>LOOKUP(I767,{0,15,17,19,21,23,25,27,29,31,33,35,37,39,41,43,45,48,51,53,55},{0,10,20,30,40,50,60,62,64,66,68,70,72,74,76,78,80,85,90,95,100})</f>
        <v>64</v>
      </c>
      <c r="K767" s="5"/>
      <c r="L767" s="5"/>
      <c r="M767" s="5">
        <f t="shared" si="355"/>
        <v>64</v>
      </c>
      <c r="N767" s="5">
        <v>10</v>
      </c>
      <c r="O767" s="10">
        <f t="shared" si="356"/>
        <v>8</v>
      </c>
      <c r="P767" s="7">
        <f>LOOKUP(O767,{0,6.6,6.8,7,7.2,7.4,7.6,7.8,8,8.2,8.4,8.6,8.8,9,9.2,9.4,9.6,9.9,10.2,10.3,10.4},{0,10,20,30,40,50,60,62,64,66,68,70,72,74,76,78,80,85,90,95,100})</f>
        <v>64</v>
      </c>
      <c r="Q767" s="5">
        <v>4.17</v>
      </c>
      <c r="R767" s="10">
        <f t="shared" si="357"/>
        <v>5.83</v>
      </c>
      <c r="S767" s="7">
        <f>LOOKUP(R767,{0,4.74,4.84,4.94,5.44,5.54,5.64,5.69,5.74,5.79,5.84,5.89,5.94,5.99,6.44,6.49,6.54,6.61,6.68,6.74,6.8},{0,10,20,30,40,50,60,62,64,66,68,70,72,74,76,78,80,85,90,95,100})</f>
        <v>66</v>
      </c>
      <c r="T767" s="5"/>
      <c r="U767" s="5"/>
      <c r="V767" s="5">
        <f t="shared" si="358"/>
        <v>66</v>
      </c>
      <c r="W767" s="5"/>
      <c r="X767" s="13">
        <f t="shared" si="359"/>
        <v>40.6</v>
      </c>
      <c r="Y767" s="13">
        <f t="shared" si="360"/>
        <v>58</v>
      </c>
      <c r="Z767" s="19"/>
    </row>
    <row r="768" hidden="1" outlineLevel="2" spans="1:26">
      <c r="A768" s="5">
        <v>316</v>
      </c>
      <c r="B768" s="5">
        <v>46</v>
      </c>
      <c r="C768" s="9" t="s">
        <v>837</v>
      </c>
      <c r="D768" s="9" t="s">
        <v>46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>
        <v>50</v>
      </c>
      <c r="X768" s="13"/>
      <c r="Y768" s="13">
        <v>50</v>
      </c>
      <c r="Z768" s="19"/>
    </row>
    <row r="769" ht="15.6" hidden="1" outlineLevel="2" spans="1:26">
      <c r="A769" s="5">
        <v>316</v>
      </c>
      <c r="B769" s="5">
        <v>47</v>
      </c>
      <c r="C769" s="9" t="s">
        <v>838</v>
      </c>
      <c r="D769" s="9" t="s">
        <v>46</v>
      </c>
      <c r="E769" s="5">
        <v>14.5</v>
      </c>
      <c r="F769" s="7">
        <f>LOOKUP(E769,{0,1.5,2.3,3.1,3.9,4.7,5.5,6.8,8.1,9.4,10.7,12,13.3,14.6,15.9,17.2,18.5,20.2,21.9,23.6,25.3},{0,10,20,30,40,50,60,62,64,66,68,70,72,74,76,78,80,85,90,95,100})</f>
        <v>72</v>
      </c>
      <c r="G769" s="5">
        <v>140</v>
      </c>
      <c r="H769" s="7">
        <f>LOOKUP(G769,{0,125,130,135,140,145,150,153,156,159,162,165,168,171,174,177,180,187,194,200,206},{0,10,20,30,40,50,60,62,64,66,68,70,72,74,76,78,80,85,90,95,100})</f>
        <v>40</v>
      </c>
      <c r="I769" s="5">
        <v>35</v>
      </c>
      <c r="J769" s="7">
        <f>LOOKUP(I769,{0,15,17,19,21,23,25,27,29,31,33,35,37,39,41,43,45,48,51,53,55},{0,10,20,30,40,50,60,62,64,66,68,70,72,74,76,78,80,85,90,95,100})</f>
        <v>70</v>
      </c>
      <c r="K769" s="5"/>
      <c r="L769" s="5"/>
      <c r="M769" s="5">
        <f>J769+L769</f>
        <v>70</v>
      </c>
      <c r="N769" s="5">
        <v>9.7</v>
      </c>
      <c r="O769" s="10">
        <f>18-N769</f>
        <v>8.3</v>
      </c>
      <c r="P769" s="7">
        <f>LOOKUP(O769,{0,6.6,6.8,7,7.2,7.4,7.6,7.8,8,8.2,8.4,8.6,8.8,9,9.2,9.4,9.6,9.9,10.2,10.3,10.4},{0,10,20,30,40,50,60,62,64,66,68,70,72,74,76,78,80,85,90,95,100})</f>
        <v>66</v>
      </c>
      <c r="Q769" s="5">
        <v>5.49</v>
      </c>
      <c r="R769" s="10">
        <f>10-Q769</f>
        <v>4.51</v>
      </c>
      <c r="S769" s="7">
        <f>LOOKUP(R769,{0,4.74,4.84,4.94,5.44,5.54,5.64,5.69,5.74,5.79,5.84,5.89,5.94,5.99,6.44,6.49,6.54,6.61,6.68,6.74,6.8},{0,10,20,30,40,50,60,62,64,66,68,70,72,74,76,78,80,85,90,95,100})</f>
        <v>0</v>
      </c>
      <c r="T769" s="5"/>
      <c r="U769" s="5"/>
      <c r="V769" s="5">
        <f>S769+U769</f>
        <v>0</v>
      </c>
      <c r="W769" s="5"/>
      <c r="X769" s="13">
        <f>F769*0.1+H769*0.1+J769*0.1+P769*0.2+S769*0.2</f>
        <v>31.4</v>
      </c>
      <c r="Y769" s="13">
        <f>X769/0.7+L769+U769</f>
        <v>44.8571428571429</v>
      </c>
      <c r="Z769" s="20"/>
    </row>
    <row r="770" ht="15.6" hidden="1" outlineLevel="2" spans="1:26">
      <c r="A770" s="5">
        <v>316</v>
      </c>
      <c r="B770" s="5">
        <v>48</v>
      </c>
      <c r="C770" s="9" t="s">
        <v>839</v>
      </c>
      <c r="D770" s="9" t="s">
        <v>46</v>
      </c>
      <c r="E770" s="5">
        <v>20.6</v>
      </c>
      <c r="F770" s="7">
        <f>LOOKUP(E770,{0,1.5,2.3,3.1,3.9,4.7,5.5,6.8,8.1,9.4,10.7,12,13.3,14.6,15.9,17.2,18.5,20.2,21.9,23.6,25.3},{0,10,20,30,40,50,60,62,64,66,68,70,72,74,76,78,80,85,90,95,100})</f>
        <v>85</v>
      </c>
      <c r="G770" s="5">
        <v>175</v>
      </c>
      <c r="H770" s="7">
        <f>LOOKUP(G770,{0,125,130,135,140,145,150,153,156,159,162,165,168,171,174,177,180,187,194,200,206},{0,10,20,30,40,50,60,62,64,66,68,70,72,74,76,78,80,85,90,95,100})</f>
        <v>76</v>
      </c>
      <c r="I770" s="5">
        <v>47</v>
      </c>
      <c r="J770" s="7">
        <f>LOOKUP(I770,{0,15,17,19,21,23,25,27,29,31,33,35,37,39,41,43,45,48,51,53,55},{0,10,20,30,40,50,60,62,64,66,68,70,72,74,76,78,80,85,90,95,100})</f>
        <v>80</v>
      </c>
      <c r="K770" s="5"/>
      <c r="L770" s="5"/>
      <c r="M770" s="5">
        <f>J770+L770</f>
        <v>80</v>
      </c>
      <c r="N770" s="5">
        <v>9</v>
      </c>
      <c r="O770" s="10">
        <f>18-N770</f>
        <v>9</v>
      </c>
      <c r="P770" s="7">
        <f>LOOKUP(O770,{0,6.6,6.8,7,7.2,7.4,7.6,7.8,8,8.2,8.4,8.6,8.8,9,9.2,9.4,9.6,9.9,10.2,10.3,10.4},{0,10,20,30,40,50,60,62,64,66,68,70,72,74,76,78,80,85,90,95,100})</f>
        <v>74</v>
      </c>
      <c r="Q770" s="5">
        <v>3.48</v>
      </c>
      <c r="R770" s="10">
        <f>10-Q770</f>
        <v>6.52</v>
      </c>
      <c r="S770" s="7">
        <f>LOOKUP(R770,{0,4.74,4.84,4.94,5.44,5.54,5.64,5.69,5.74,5.79,5.84,5.89,5.94,5.99,6.44,6.49,6.54,6.61,6.68,6.74,6.8},{0,10,20,30,40,50,60,62,64,66,68,70,72,74,76,78,80,85,90,95,100})</f>
        <v>78</v>
      </c>
      <c r="T770" s="5"/>
      <c r="U770" s="5"/>
      <c r="V770" s="5">
        <f>S770+U770</f>
        <v>78</v>
      </c>
      <c r="W770" s="5"/>
      <c r="X770" s="13">
        <f>F770*0.1+H770*0.1+J770*0.1+P770*0.2+S770*0.2</f>
        <v>54.5</v>
      </c>
      <c r="Y770" s="13">
        <f>X770/0.7+L770+U770</f>
        <v>77.8571428571429</v>
      </c>
      <c r="Z770" s="19"/>
    </row>
    <row r="771" ht="15.6" outlineLevel="1" collapsed="1" spans="1:26">
      <c r="A771" s="6" t="s">
        <v>867</v>
      </c>
      <c r="B771" s="5"/>
      <c r="C771" s="9"/>
      <c r="D771" s="9"/>
      <c r="E771" s="5"/>
      <c r="F771" s="7">
        <f>SUBTOTAL(1,F723:F770)</f>
        <v>74.1190476190476</v>
      </c>
      <c r="G771" s="5"/>
      <c r="H771" s="7">
        <f>SUBTOTAL(1,H723:H770)</f>
        <v>72.6666666666667</v>
      </c>
      <c r="I771" s="5"/>
      <c r="J771" s="7">
        <f>SUBTOTAL(1,J723:J770)</f>
        <v>67.1666666666667</v>
      </c>
      <c r="K771" s="5"/>
      <c r="L771" s="5"/>
      <c r="M771" s="5">
        <f>SUBTOTAL(1,M723:M770)</f>
        <v>67.4047619047619</v>
      </c>
      <c r="N771" s="5"/>
      <c r="O771" s="10"/>
      <c r="P771" s="7">
        <f>SUBTOTAL(1,P723:P770)</f>
        <v>78.3095238095238</v>
      </c>
      <c r="Q771" s="5"/>
      <c r="R771" s="10"/>
      <c r="S771" s="7">
        <f>SUBTOTAL(1,S723:S770)</f>
        <v>61.5952380952381</v>
      </c>
      <c r="T771" s="5"/>
      <c r="U771" s="5"/>
      <c r="V771" s="5">
        <f>SUBTOTAL(1,V723:V770)</f>
        <v>61.5952380952381</v>
      </c>
      <c r="W771" s="5"/>
      <c r="X771" s="13">
        <f>SUBTOTAL(1,X723:X770)</f>
        <v>49.3761904761905</v>
      </c>
      <c r="Y771" s="13">
        <f>SUBTOTAL(1,Y723:Y770)</f>
        <v>68.1785714285714</v>
      </c>
      <c r="Z771" s="19"/>
    </row>
    <row r="772" ht="15.6" spans="1:26">
      <c r="A772" s="6" t="s">
        <v>868</v>
      </c>
      <c r="B772" s="5"/>
      <c r="C772" s="9"/>
      <c r="D772" s="9"/>
      <c r="E772" s="5"/>
      <c r="F772" s="7">
        <f>SUBTOTAL(1,F2:F770)</f>
        <v>69.844674556213</v>
      </c>
      <c r="G772" s="5"/>
      <c r="H772" s="7">
        <f>SUBTOTAL(1,H2:H770)</f>
        <v>71.0936106983655</v>
      </c>
      <c r="I772" s="5"/>
      <c r="J772" s="7">
        <f>SUBTOTAL(1,J2:J770)</f>
        <v>51.8577844311377</v>
      </c>
      <c r="K772" s="5"/>
      <c r="L772" s="5"/>
      <c r="M772" s="5">
        <f>SUBTOTAL(1,M2:M770)</f>
        <v>52.1437125748503</v>
      </c>
      <c r="N772" s="5"/>
      <c r="O772" s="10"/>
      <c r="P772" s="7">
        <f>SUBTOTAL(1,P2:P770)</f>
        <v>75.3535660091047</v>
      </c>
      <c r="Q772" s="5"/>
      <c r="R772" s="10"/>
      <c r="S772" s="7">
        <f>SUBTOTAL(1,S2:S770)</f>
        <v>56.4509202453988</v>
      </c>
      <c r="T772" s="5"/>
      <c r="U772" s="5"/>
      <c r="V772" s="5">
        <f>SUBTOTAL(1,V2:V770)</f>
        <v>56.4585889570552</v>
      </c>
      <c r="W772" s="5"/>
      <c r="X772" s="13">
        <f>SUBTOTAL(1,X2:X770)</f>
        <v>44.8959821428571</v>
      </c>
      <c r="Y772" s="13">
        <f>SUBTOTAL(1,Y2:Y770)</f>
        <v>63.4052671466464</v>
      </c>
      <c r="Z772" s="19"/>
    </row>
  </sheetData>
  <autoFilter ref="A1:Z77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8"/>
  <sheetViews>
    <sheetView workbookViewId="0">
      <selection activeCell="A2" sqref="$A2:$XFD17"/>
    </sheetView>
  </sheetViews>
  <sheetFormatPr defaultColWidth="9" defaultRowHeight="14.4"/>
  <cols>
    <col min="24" max="25" width="12.6296296296296"/>
  </cols>
  <sheetData>
    <row r="1" spans="1:25">
      <c r="A1" s="23" t="s">
        <v>1</v>
      </c>
      <c r="B1" s="24" t="s">
        <v>2</v>
      </c>
      <c r="C1" s="25" t="s">
        <v>3</v>
      </c>
      <c r="D1" s="25" t="s">
        <v>4</v>
      </c>
      <c r="E1" s="26" t="s">
        <v>5</v>
      </c>
      <c r="F1" s="26" t="s">
        <v>840</v>
      </c>
      <c r="G1" s="26" t="s">
        <v>6</v>
      </c>
      <c r="H1" s="26" t="s">
        <v>841</v>
      </c>
      <c r="I1" s="26" t="s">
        <v>7</v>
      </c>
      <c r="J1" s="32" t="s">
        <v>842</v>
      </c>
      <c r="K1" s="33" t="s">
        <v>843</v>
      </c>
      <c r="L1" s="32" t="s">
        <v>844</v>
      </c>
      <c r="M1" s="32" t="s">
        <v>845</v>
      </c>
      <c r="N1" s="32" t="s">
        <v>8</v>
      </c>
      <c r="O1" s="4" t="s">
        <v>846</v>
      </c>
      <c r="P1" s="4" t="s">
        <v>847</v>
      </c>
      <c r="Q1" s="4" t="s">
        <v>9</v>
      </c>
      <c r="R1" s="24" t="s">
        <v>846</v>
      </c>
      <c r="S1" s="24" t="s">
        <v>848</v>
      </c>
      <c r="T1" s="33" t="s">
        <v>843</v>
      </c>
      <c r="U1" s="32" t="s">
        <v>844</v>
      </c>
      <c r="V1" s="24" t="s">
        <v>849</v>
      </c>
      <c r="W1" s="24" t="s">
        <v>10</v>
      </c>
      <c r="X1" s="37" t="s">
        <v>850</v>
      </c>
      <c r="Y1" s="15" t="s">
        <v>851</v>
      </c>
    </row>
    <row r="2" ht="15.6" spans="1:25">
      <c r="A2" s="27">
        <v>310</v>
      </c>
      <c r="B2" s="27">
        <v>10</v>
      </c>
      <c r="C2" s="28" t="s">
        <v>467</v>
      </c>
      <c r="D2" s="28" t="s">
        <v>12</v>
      </c>
      <c r="E2" s="27">
        <v>22</v>
      </c>
      <c r="F2" s="29">
        <f>LOOKUP(E2,{0,-1.8,-0.8,0.2,1.2,2.2,3.2,4.6,6,7.4,8.8,10.2,11.6,13,14.4,15.8,17.2,19.1,21,22.8,24.6},{0,10,20,30,40,50,60,62,64,66,68,70,72,74,76,78,80,85,90,95,100})</f>
        <v>90</v>
      </c>
      <c r="G2" s="27">
        <v>270</v>
      </c>
      <c r="H2" s="29">
        <f>LOOKUP(G2,{0,180,185,190,195,200,205,209,213,217,221,225,229,233,237,241,245,253,260,265,270},{0,10,20,30,40,50,60,62,64,66,68,70,72,74,76,78,80,85,90,95,100})</f>
        <v>100</v>
      </c>
      <c r="I2" s="27">
        <v>30</v>
      </c>
      <c r="J2" s="29">
        <f>LOOKUP(I2,{0,4,5,6,7,8,9,10,11,12,13,14,15,16,17,18},{0,10,20,30,40,50,60,64,68,72,76,80,85,90,95,100})</f>
        <v>100</v>
      </c>
      <c r="K2" s="44">
        <f t="shared" ref="K2:K16" si="0">I2-18</f>
        <v>12</v>
      </c>
      <c r="L2" s="29">
        <f>LOOKUP(K2,{0,1,2,3,4,5,6,7,8,9,10},{0,1,2,3,4,5,6,7,8,9,10})</f>
        <v>10</v>
      </c>
      <c r="M2" s="35">
        <f t="shared" ref="M2:M65" si="1">J2+L2</f>
        <v>110</v>
      </c>
      <c r="N2" s="35">
        <v>6.8</v>
      </c>
      <c r="O2" s="36">
        <f t="shared" ref="O2:O65" si="2">18-N2</f>
        <v>11.2</v>
      </c>
      <c r="P2" s="29">
        <f>LOOKUP(O2,{0,7.8,8,8.2,8.4,8.6,8.8,9,9.2,9.4,9.6,9.8,10,10.2,10.4,10.6,10.8,10.9,11,11.1,11.2},{0,10,20,30,40,50,60,62,64,66,68,70,72,74,76,78,80,85,90,95,100})</f>
        <v>100</v>
      </c>
      <c r="Q2" s="5">
        <v>3.22</v>
      </c>
      <c r="R2" s="36">
        <f t="shared" ref="R2:R65" si="3">10-Q2</f>
        <v>6.78</v>
      </c>
      <c r="S2" s="29">
        <f>LOOKUP(R2,{0,3.85,4.45,4.65,4.85,5.45,5.65,5.7,5.75,5.8,5.85,5.9,5.95,6,6.45,6.5,6.55,6.63,6.7,6.75,6.8},{0,10,20,30,40,50,60,62,64,66,68,70,72,74,76,78,80,85,90,95,100})</f>
        <v>95</v>
      </c>
      <c r="T2" s="27"/>
      <c r="U2" s="27"/>
      <c r="V2" s="27">
        <f t="shared" ref="V2:V65" si="4">S2+U2</f>
        <v>95</v>
      </c>
      <c r="W2" s="27"/>
      <c r="X2" s="19">
        <f t="shared" ref="X2:X65" si="5">F2*0.1+H2*0.1+J2*0.1+P2*0.2+S2*0.2</f>
        <v>68</v>
      </c>
      <c r="Y2" s="13">
        <f t="shared" ref="Y2:Y65" si="6">X2/0.7+L2+U2</f>
        <v>107.142857142857</v>
      </c>
    </row>
    <row r="3" ht="15.6" spans="1:25">
      <c r="A3" s="27">
        <v>313</v>
      </c>
      <c r="B3" s="27">
        <v>5</v>
      </c>
      <c r="C3" s="28" t="s">
        <v>631</v>
      </c>
      <c r="D3" s="28" t="s">
        <v>12</v>
      </c>
      <c r="E3" s="27">
        <v>20.5</v>
      </c>
      <c r="F3" s="29">
        <f>LOOKUP(E3,{0,-1.8,-0.8,0.2,1.2,2.2,3.2,4.6,6,7.4,8.8,10.2,11.6,13,14.4,15.8,17.2,19.1,21,22.8,24.6},{0,10,20,30,40,50,60,62,64,66,68,70,72,74,76,78,80,85,90,95,100})</f>
        <v>85</v>
      </c>
      <c r="G3" s="27">
        <v>284</v>
      </c>
      <c r="H3" s="29">
        <f>LOOKUP(G3,{0,180,185,190,195,200,205,209,213,217,221,225,229,233,237,241,245,253,260,265,270},{0,10,20,30,40,50,60,62,64,66,68,70,72,74,76,78,80,85,90,95,100})</f>
        <v>100</v>
      </c>
      <c r="I3" s="27">
        <v>47</v>
      </c>
      <c r="J3" s="29">
        <f>LOOKUP(I3,{0,4,5,6,7,8,9,10,11,12,13,14,15,16,17,18},{0,10,20,30,40,50,60,64,68,72,76,80,85,90,95,100})</f>
        <v>100</v>
      </c>
      <c r="K3" s="44">
        <f t="shared" si="0"/>
        <v>29</v>
      </c>
      <c r="L3" s="29">
        <f>LOOKUP(K3,{0,1,2,3,4,5,6,7,8,9,10},{0,1,2,3,4,5,6,7,8,9,10})</f>
        <v>10</v>
      </c>
      <c r="M3" s="35">
        <f t="shared" si="1"/>
        <v>110</v>
      </c>
      <c r="N3" s="35">
        <v>6.8</v>
      </c>
      <c r="O3" s="36">
        <f t="shared" si="2"/>
        <v>11.2</v>
      </c>
      <c r="P3" s="29">
        <f>LOOKUP(O3,{0,7.8,8,8.2,8.4,8.6,8.8,9,9.2,9.4,9.6,9.8,10,10.2,10.4,10.6,10.8,10.9,11,11.1,11.2},{0,10,20,30,40,50,60,62,64,66,68,70,72,74,76,78,80,85,90,95,100})</f>
        <v>100</v>
      </c>
      <c r="Q3" s="5">
        <v>3.33</v>
      </c>
      <c r="R3" s="36">
        <f t="shared" si="3"/>
        <v>6.67</v>
      </c>
      <c r="S3" s="29">
        <f>LOOKUP(R3,{0,3.85,4.45,4.65,4.85,5.45,5.65,5.7,5.75,5.8,5.85,5.9,5.95,6,6.45,6.5,6.55,6.63,6.7,6.75,6.8},{0,10,20,30,40,50,60,62,64,66,68,70,72,74,76,78,80,85,90,95,100})</f>
        <v>85</v>
      </c>
      <c r="T3" s="27"/>
      <c r="U3" s="27"/>
      <c r="V3" s="27">
        <f t="shared" si="4"/>
        <v>85</v>
      </c>
      <c r="W3" s="27"/>
      <c r="X3" s="19">
        <f t="shared" si="5"/>
        <v>65.5</v>
      </c>
      <c r="Y3" s="13">
        <f t="shared" si="6"/>
        <v>103.571428571429</v>
      </c>
    </row>
    <row r="4" ht="15.6" spans="1:25">
      <c r="A4" s="27">
        <v>309</v>
      </c>
      <c r="B4" s="27">
        <v>5</v>
      </c>
      <c r="C4" s="28" t="s">
        <v>409</v>
      </c>
      <c r="D4" s="28" t="s">
        <v>12</v>
      </c>
      <c r="E4" s="27">
        <v>19.5</v>
      </c>
      <c r="F4" s="29">
        <f>LOOKUP(E4,{0,-1.8,-0.8,0.2,1.2,2.2,3.2,4.6,6,7.4,8.8,10.2,11.6,13,14.4,15.8,17.2,19.1,21,22.8,24.6},{0,10,20,30,40,50,60,62,64,66,68,70,72,74,76,78,80,85,90,95,100})</f>
        <v>85</v>
      </c>
      <c r="G4" s="27">
        <v>270</v>
      </c>
      <c r="H4" s="29">
        <f>LOOKUP(G4,{0,180,185,190,195,200,205,209,213,217,221,225,229,233,237,241,245,253,260,265,270},{0,10,20,30,40,50,60,62,64,66,68,70,72,74,76,78,80,85,90,95,100})</f>
        <v>100</v>
      </c>
      <c r="I4" s="27">
        <v>31</v>
      </c>
      <c r="J4" s="29">
        <f>LOOKUP(I4,{0,4,5,6,7,8,9,10,11,12,13,14,15,16,17,18},{0,10,20,30,40,50,60,64,68,72,76,80,85,90,95,100})</f>
        <v>100</v>
      </c>
      <c r="K4" s="44">
        <f t="shared" si="0"/>
        <v>13</v>
      </c>
      <c r="L4" s="29">
        <f>LOOKUP(K4,{0,1,2,3,4,5,6,7,8,9,10},{0,1,2,3,4,5,6,7,8,9,10})</f>
        <v>10</v>
      </c>
      <c r="M4" s="35">
        <f t="shared" si="1"/>
        <v>110</v>
      </c>
      <c r="N4" s="35">
        <v>6.9</v>
      </c>
      <c r="O4" s="36">
        <f t="shared" si="2"/>
        <v>11.1</v>
      </c>
      <c r="P4" s="29">
        <f>LOOKUP(O4,{0,7.8,8,8.2,8.4,8.6,8.8,9,9.2,9.4,9.6,9.8,10,10.2,10.4,10.6,10.8,10.9,11,11.1,11.2},{0,10,20,30,40,50,60,62,64,66,68,70,72,74,76,78,80,85,90,95,100})</f>
        <v>95</v>
      </c>
      <c r="Q4" s="5">
        <v>3.32</v>
      </c>
      <c r="R4" s="36">
        <f t="shared" si="3"/>
        <v>6.68</v>
      </c>
      <c r="S4" s="29">
        <f>LOOKUP(R4,{0,3.85,4.45,4.65,4.85,5.45,5.65,5.7,5.75,5.8,5.85,5.9,5.95,6,6.45,6.5,6.55,6.63,6.7,6.75,6.8},{0,10,20,30,40,50,60,62,64,66,68,70,72,74,76,78,80,85,90,95,100})</f>
        <v>85</v>
      </c>
      <c r="T4" s="27"/>
      <c r="U4" s="27"/>
      <c r="V4" s="27">
        <f t="shared" si="4"/>
        <v>85</v>
      </c>
      <c r="W4" s="27"/>
      <c r="X4" s="19">
        <f t="shared" si="5"/>
        <v>64.5</v>
      </c>
      <c r="Y4" s="13">
        <f t="shared" si="6"/>
        <v>102.142857142857</v>
      </c>
    </row>
    <row r="5" ht="15.6" spans="1:25">
      <c r="A5" s="27">
        <v>311</v>
      </c>
      <c r="B5" s="27">
        <v>33</v>
      </c>
      <c r="C5" s="27" t="s">
        <v>548</v>
      </c>
      <c r="D5" s="27" t="s">
        <v>12</v>
      </c>
      <c r="E5" s="27">
        <v>7.5</v>
      </c>
      <c r="F5" s="29">
        <f>LOOKUP(E5,{0,-1.8,-0.8,0.2,1.2,2.2,3.2,4.6,6,7.4,8.8,10.2,11.6,13,14.4,15.8,17.2,19.1,21,22.8,24.6},{0,10,20,30,40,50,60,62,64,66,68,70,72,74,76,78,80,85,90,95,100})</f>
        <v>66</v>
      </c>
      <c r="G5" s="27">
        <v>270</v>
      </c>
      <c r="H5" s="29">
        <f>LOOKUP(G5,{0,180,185,190,195,200,205,209,213,217,221,225,229,233,237,241,245,253,260,265,270},{0,10,20,30,40,50,60,62,64,66,68,70,72,74,76,78,80,85,90,95,100})</f>
        <v>100</v>
      </c>
      <c r="I5" s="27">
        <v>28</v>
      </c>
      <c r="J5" s="29">
        <f>LOOKUP(I5,{0,4,5,6,7,8,9,10,11,12,13,14,15,16,17,18},{0,10,20,30,40,50,60,64,68,72,76,80,85,90,95,100})</f>
        <v>100</v>
      </c>
      <c r="K5" s="44">
        <f t="shared" si="0"/>
        <v>10</v>
      </c>
      <c r="L5" s="29">
        <f>LOOKUP(K5,{0,1,2,3,4,5,6,7,8,9,10},{0,1,2,3,4,5,6,7,8,9,10})</f>
        <v>10</v>
      </c>
      <c r="M5" s="35">
        <f t="shared" si="1"/>
        <v>110</v>
      </c>
      <c r="N5" s="35">
        <v>6.8</v>
      </c>
      <c r="O5" s="36">
        <f t="shared" si="2"/>
        <v>11.2</v>
      </c>
      <c r="P5" s="29">
        <f>LOOKUP(O5,{0,7.8,8,8.2,8.4,8.6,8.8,9,9.2,9.4,9.6,9.8,10,10.2,10.4,10.6,10.8,10.9,11,11.1,11.2},{0,10,20,30,40,50,60,62,64,66,68,70,72,74,76,78,80,85,90,95,100})</f>
        <v>100</v>
      </c>
      <c r="Q5" s="5">
        <v>3.43</v>
      </c>
      <c r="R5" s="36">
        <f t="shared" si="3"/>
        <v>6.57</v>
      </c>
      <c r="S5" s="29">
        <f>LOOKUP(R5,{0,3.85,4.45,4.65,4.85,5.45,5.65,5.7,5.75,5.8,5.85,5.9,5.95,6,6.45,6.5,6.55,6.63,6.7,6.75,6.8},{0,10,20,30,40,50,60,62,64,66,68,70,72,74,76,78,80,85,90,95,100})</f>
        <v>80</v>
      </c>
      <c r="T5" s="27"/>
      <c r="U5" s="27"/>
      <c r="V5" s="27">
        <f t="shared" si="4"/>
        <v>80</v>
      </c>
      <c r="W5" s="27"/>
      <c r="X5" s="19">
        <f t="shared" si="5"/>
        <v>62.6</v>
      </c>
      <c r="Y5" s="13">
        <f t="shared" si="6"/>
        <v>99.4285714285714</v>
      </c>
    </row>
    <row r="6" ht="15.6" spans="1:25">
      <c r="A6" s="27">
        <v>312</v>
      </c>
      <c r="B6" s="27">
        <v>21</v>
      </c>
      <c r="C6" s="28" t="s">
        <v>595</v>
      </c>
      <c r="D6" s="28" t="s">
        <v>12</v>
      </c>
      <c r="E6" s="27">
        <v>23.5</v>
      </c>
      <c r="F6" s="29">
        <f>LOOKUP(E6,{0,-1.8,-0.8,0.2,1.2,2.2,3.2,4.6,6,7.4,8.8,10.2,11.6,13,14.4,15.8,17.2,19.1,21,22.8,24.6},{0,10,20,30,40,50,60,62,64,66,68,70,72,74,76,78,80,85,90,95,100})</f>
        <v>95</v>
      </c>
      <c r="G6" s="27">
        <v>254</v>
      </c>
      <c r="H6" s="29">
        <f>LOOKUP(G6,{0,180,185,190,195,200,205,209,213,217,221,225,229,233,237,241,245,253,260,265,270},{0,10,20,30,40,50,60,62,64,66,68,70,72,74,76,78,80,85,90,95,100})</f>
        <v>85</v>
      </c>
      <c r="I6" s="27">
        <v>26</v>
      </c>
      <c r="J6" s="29">
        <f>LOOKUP(I6,{0,4,5,6,7,8,9,10,11,12,13,14,15,16,17,18},{0,10,20,30,40,50,60,64,68,72,76,80,85,90,95,100})</f>
        <v>100</v>
      </c>
      <c r="K6" s="44">
        <f t="shared" si="0"/>
        <v>8</v>
      </c>
      <c r="L6" s="29">
        <f>LOOKUP(K6,{0,1,2,3,4,5,6,7,8,9,10},{0,1,2,3,4,5,6,7,8,9,10})</f>
        <v>8</v>
      </c>
      <c r="M6" s="35">
        <f t="shared" si="1"/>
        <v>108</v>
      </c>
      <c r="N6" s="35">
        <v>6.9</v>
      </c>
      <c r="O6" s="36">
        <f t="shared" si="2"/>
        <v>11.1</v>
      </c>
      <c r="P6" s="29">
        <f>LOOKUP(O6,{0,7.8,8,8.2,8.4,8.6,8.8,9,9.2,9.4,9.6,9.8,10,10.2,10.4,10.6,10.8,10.9,11,11.1,11.2},{0,10,20,30,40,50,60,62,64,66,68,70,72,74,76,78,80,85,90,95,100})</f>
        <v>95</v>
      </c>
      <c r="Q6" s="5">
        <v>3.55</v>
      </c>
      <c r="R6" s="36">
        <f t="shared" si="3"/>
        <v>6.45</v>
      </c>
      <c r="S6" s="29">
        <f>LOOKUP(R6,{0,3.85,4.45,4.65,4.85,5.45,5.65,5.7,5.75,5.8,5.85,5.9,5.95,6,6.45,6.5,6.55,6.63,6.7,6.75,6.8},{0,10,20,30,40,50,60,62,64,66,68,70,72,74,76,78,80,85,90,95,100})</f>
        <v>76</v>
      </c>
      <c r="T6" s="27"/>
      <c r="U6" s="27"/>
      <c r="V6" s="27">
        <f t="shared" si="4"/>
        <v>76</v>
      </c>
      <c r="W6" s="27"/>
      <c r="X6" s="19">
        <f t="shared" si="5"/>
        <v>62.2</v>
      </c>
      <c r="Y6" s="13">
        <f t="shared" si="6"/>
        <v>96.8571428571429</v>
      </c>
    </row>
    <row r="7" ht="15.6" spans="1:25">
      <c r="A7" s="27">
        <v>304</v>
      </c>
      <c r="B7" s="27">
        <v>9</v>
      </c>
      <c r="C7" s="27" t="s">
        <v>156</v>
      </c>
      <c r="D7" s="27" t="s">
        <v>12</v>
      </c>
      <c r="E7" s="27">
        <v>5</v>
      </c>
      <c r="F7" s="29">
        <f>LOOKUP(E7,{0,-1.8,-0.8,0.2,1.2,2.2,3.2,4.6,6,7.4,8.8,10.2,11.6,13,14.4,15.8,17.2,19.1,21,22.8,24.6},{0,10,20,30,40,50,60,62,64,66,68,70,72,74,76,78,80,85,90,95,100})</f>
        <v>62</v>
      </c>
      <c r="G7" s="27">
        <v>283</v>
      </c>
      <c r="H7" s="29">
        <f>LOOKUP(G7,{0,180,185,190,195,200,205,209,213,217,221,225,229,233,237,241,245,253,260,265,270},{0,10,20,30,40,50,60,62,64,66,68,70,72,74,76,78,80,85,90,95,100})</f>
        <v>100</v>
      </c>
      <c r="I7" s="27">
        <v>20</v>
      </c>
      <c r="J7" s="29">
        <f>LOOKUP(I7,{0,4,5,6,7,8,9,10,11,12,13,14,15,16,17,18},{0,10,20,30,40,50,60,64,68,72,76,80,85,90,95,100})</f>
        <v>100</v>
      </c>
      <c r="K7" s="44">
        <f t="shared" si="0"/>
        <v>2</v>
      </c>
      <c r="L7" s="29">
        <f>LOOKUP(K7,{0,1,2,3,4,5,6,7,8,9,10},{0,1,2,3,4,5,6,7,8,9,10})</f>
        <v>2</v>
      </c>
      <c r="M7" s="35">
        <f t="shared" si="1"/>
        <v>102</v>
      </c>
      <c r="N7" s="35">
        <v>6.9</v>
      </c>
      <c r="O7" s="36">
        <f t="shared" si="2"/>
        <v>11.1</v>
      </c>
      <c r="P7" s="29">
        <f>LOOKUP(O7,{0,7.8,8,8.2,8.4,8.6,8.8,9,9.2,9.4,9.6,9.8,10,10.2,10.4,10.6,10.8,10.9,11,11.1,11.2},{0,10,20,30,40,50,60,62,64,66,68,70,72,74,76,78,80,85,90,95,100})</f>
        <v>95</v>
      </c>
      <c r="Q7" s="5">
        <v>3.18</v>
      </c>
      <c r="R7" s="36">
        <f t="shared" si="3"/>
        <v>6.82</v>
      </c>
      <c r="S7" s="29">
        <f>LOOKUP(R7,{0,3.85,4.45,4.65,4.85,5.45,5.65,5.7,5.75,5.8,5.85,5.9,5.95,6,6.45,6.5,6.55,6.63,6.7,6.75,6.8},{0,10,20,30,40,50,60,62,64,66,68,70,72,74,76,78,80,85,90,95,100})</f>
        <v>100</v>
      </c>
      <c r="T7" s="27">
        <f>3.2-Q7</f>
        <v>0.02</v>
      </c>
      <c r="U7" s="29">
        <f>LOOKUP(T7,{0,0.04,0.08,0.12,0.16,0.2,0.23,0.26,0.29,0.32,0.35},{0,1,2,3,4,5,6,7,8,9,10})</f>
        <v>0</v>
      </c>
      <c r="V7" s="27">
        <f t="shared" si="4"/>
        <v>100</v>
      </c>
      <c r="W7" s="27"/>
      <c r="X7" s="19">
        <f t="shared" si="5"/>
        <v>65.2</v>
      </c>
      <c r="Y7" s="13">
        <f t="shared" si="6"/>
        <v>95.1428571428572</v>
      </c>
    </row>
    <row r="8" ht="15.6" spans="1:25">
      <c r="A8" s="27">
        <v>305</v>
      </c>
      <c r="B8" s="27">
        <v>1</v>
      </c>
      <c r="C8" s="30" t="s">
        <v>185</v>
      </c>
      <c r="D8" s="28" t="s">
        <v>12</v>
      </c>
      <c r="E8" s="27">
        <v>14.8</v>
      </c>
      <c r="F8" s="29">
        <f>LOOKUP(E8,{0,-1.8,-0.8,0.2,1.2,2.2,3.2,4.6,6,7.4,8.8,10.2,11.6,13,14.4,15.8,17.2,19.1,21,22.8,24.6},{0,10,20,30,40,50,60,62,64,66,68,70,72,74,76,78,80,85,90,95,100})</f>
        <v>76</v>
      </c>
      <c r="G8" s="27">
        <v>260</v>
      </c>
      <c r="H8" s="29">
        <f>LOOKUP(G8,{0,180,185,190,195,200,205,209,213,217,221,225,229,233,237,241,245,253,260,265,270},{0,10,20,30,40,50,60,62,64,66,68,70,72,74,76,78,80,85,90,95,100})</f>
        <v>90</v>
      </c>
      <c r="I8" s="27">
        <v>30</v>
      </c>
      <c r="J8" s="29">
        <f>LOOKUP(I8,{0,4,5,6,7,8,9,10,11,12,13,14,15,16,17,18},{0,10,20,30,40,50,60,64,68,72,76,80,85,90,95,100})</f>
        <v>100</v>
      </c>
      <c r="K8" s="44">
        <f t="shared" si="0"/>
        <v>12</v>
      </c>
      <c r="L8" s="29">
        <f>LOOKUP(K8,{0,1,2,3,4,5,6,7,8,9,10},{0,1,2,3,4,5,6,7,8,9,10})</f>
        <v>10</v>
      </c>
      <c r="M8" s="35">
        <f t="shared" si="1"/>
        <v>110</v>
      </c>
      <c r="N8" s="35">
        <v>6.8</v>
      </c>
      <c r="O8" s="36">
        <f t="shared" si="2"/>
        <v>11.2</v>
      </c>
      <c r="P8" s="29">
        <f>LOOKUP(O8,{0,7.8,8,8.2,8.4,8.6,8.8,9,9.2,9.4,9.6,9.8,10,10.2,10.4,10.6,10.8,10.9,11,11.1,11.2},{0,10,20,30,40,50,60,62,64,66,68,70,72,74,76,78,80,85,90,95,100})</f>
        <v>100</v>
      </c>
      <c r="Q8" s="5">
        <v>4.27</v>
      </c>
      <c r="R8" s="36">
        <f t="shared" si="3"/>
        <v>5.73</v>
      </c>
      <c r="S8" s="29">
        <f>LOOKUP(R8,{0,3.85,4.45,4.65,4.85,5.45,5.65,5.7,5.75,5.8,5.85,5.9,5.95,6,6.45,6.5,6.55,6.63,6.7,6.75,6.8},{0,10,20,30,40,50,60,62,64,66,68,70,72,74,76,78,80,85,90,95,100})</f>
        <v>62</v>
      </c>
      <c r="T8" s="27"/>
      <c r="U8" s="27"/>
      <c r="V8" s="27">
        <f t="shared" si="4"/>
        <v>62</v>
      </c>
      <c r="W8" s="27"/>
      <c r="X8" s="19">
        <f t="shared" si="5"/>
        <v>59</v>
      </c>
      <c r="Y8" s="13">
        <f t="shared" si="6"/>
        <v>94.2857142857143</v>
      </c>
    </row>
    <row r="9" ht="15.6" spans="1:25">
      <c r="A9" s="27">
        <v>312</v>
      </c>
      <c r="B9" s="27">
        <v>16</v>
      </c>
      <c r="C9" s="28" t="s">
        <v>590</v>
      </c>
      <c r="D9" s="28" t="s">
        <v>12</v>
      </c>
      <c r="E9" s="27">
        <v>18</v>
      </c>
      <c r="F9" s="29">
        <f>LOOKUP(E9,{0,-1.8,-0.8,0.2,1.2,2.2,3.2,4.6,6,7.4,8.8,10.2,11.6,13,14.4,15.8,17.2,19.1,21,22.8,24.6},{0,10,20,30,40,50,60,62,64,66,68,70,72,74,76,78,80,85,90,95,100})</f>
        <v>80</v>
      </c>
      <c r="G9" s="27">
        <v>245</v>
      </c>
      <c r="H9" s="29">
        <f>LOOKUP(G9,{0,180,185,190,195,200,205,209,213,217,221,225,229,233,237,241,245,253,260,265,270},{0,10,20,30,40,50,60,62,64,66,68,70,72,74,76,78,80,85,90,95,100})</f>
        <v>80</v>
      </c>
      <c r="I9" s="27">
        <v>24</v>
      </c>
      <c r="J9" s="29">
        <f>LOOKUP(I9,{0,4,5,6,7,8,9,10,11,12,13,14,15,16,17,18},{0,10,20,30,40,50,60,64,68,72,76,80,85,90,95,100})</f>
        <v>100</v>
      </c>
      <c r="K9" s="44">
        <f t="shared" si="0"/>
        <v>6</v>
      </c>
      <c r="L9" s="29">
        <f>LOOKUP(K9,{0,1,2,3,4,5,6,7,8,9,10},{0,1,2,3,4,5,6,7,8,9,10})</f>
        <v>6</v>
      </c>
      <c r="M9" s="35">
        <f t="shared" si="1"/>
        <v>106</v>
      </c>
      <c r="N9" s="35">
        <v>7.2</v>
      </c>
      <c r="O9" s="36">
        <f t="shared" si="2"/>
        <v>10.8</v>
      </c>
      <c r="P9" s="29">
        <f>LOOKUP(O9,{0,7.8,8,8.2,8.4,8.6,8.8,9,9.2,9.4,9.6,9.8,10,10.2,10.4,10.6,10.8,10.9,11,11.1,11.2},{0,10,20,30,40,50,60,62,64,66,68,70,72,74,76,78,80,85,90,95,100})</f>
        <v>80</v>
      </c>
      <c r="Q9" s="5">
        <v>3.23</v>
      </c>
      <c r="R9" s="36">
        <f t="shared" si="3"/>
        <v>6.77</v>
      </c>
      <c r="S9" s="29">
        <f>LOOKUP(R9,{0,3.85,4.45,4.65,4.85,5.45,5.65,5.7,5.75,5.8,5.85,5.9,5.95,6,6.45,6.5,6.55,6.63,6.7,6.75,6.8},{0,10,20,30,40,50,60,62,64,66,68,70,72,74,76,78,80,85,90,95,100})</f>
        <v>95</v>
      </c>
      <c r="T9" s="27"/>
      <c r="U9" s="27"/>
      <c r="V9" s="27">
        <f t="shared" si="4"/>
        <v>95</v>
      </c>
      <c r="W9" s="27"/>
      <c r="X9" s="19">
        <f t="shared" si="5"/>
        <v>61</v>
      </c>
      <c r="Y9" s="13">
        <f t="shared" si="6"/>
        <v>93.1428571428572</v>
      </c>
    </row>
    <row r="10" ht="15.6" spans="1:25">
      <c r="A10" s="27">
        <v>308</v>
      </c>
      <c r="B10" s="27">
        <v>6</v>
      </c>
      <c r="C10" s="28" t="s">
        <v>357</v>
      </c>
      <c r="D10" s="28" t="s">
        <v>12</v>
      </c>
      <c r="E10" s="27">
        <v>17</v>
      </c>
      <c r="F10" s="29">
        <f>LOOKUP(E10,{0,-1.8,-0.8,0.2,1.2,2.2,3.2,4.6,6,7.4,8.8,10.2,11.6,13,14.4,15.8,17.2,19.1,21,22.8,24.6},{0,10,20,30,40,50,60,62,64,66,68,70,72,74,76,78,80,85,90,95,100})</f>
        <v>78</v>
      </c>
      <c r="G10" s="27">
        <v>250</v>
      </c>
      <c r="H10" s="29">
        <f>LOOKUP(G10,{0,180,185,190,195,200,205,209,213,217,221,225,229,233,237,241,245,253,260,265,270},{0,10,20,30,40,50,60,62,64,66,68,70,72,74,76,78,80,85,90,95,100})</f>
        <v>80</v>
      </c>
      <c r="I10" s="27">
        <v>21</v>
      </c>
      <c r="J10" s="29">
        <f>LOOKUP(I10,{0,4,5,6,7,8,9,10,11,12,13,14,15,16,17,18},{0,10,20,30,40,50,60,64,68,72,76,80,85,90,95,100})</f>
        <v>100</v>
      </c>
      <c r="K10" s="44">
        <f t="shared" si="0"/>
        <v>3</v>
      </c>
      <c r="L10" s="29">
        <f>LOOKUP(K10,{0,1,2,3,4,5,6,7,8,9,10},{0,1,2,3,4,5,6,7,8,9,10})</f>
        <v>3</v>
      </c>
      <c r="M10" s="35">
        <f t="shared" si="1"/>
        <v>103</v>
      </c>
      <c r="N10" s="35">
        <v>6.9</v>
      </c>
      <c r="O10" s="36">
        <f t="shared" si="2"/>
        <v>11.1</v>
      </c>
      <c r="P10" s="29">
        <f>LOOKUP(O10,{0,7.8,8,8.2,8.4,8.6,8.8,9,9.2,9.4,9.6,9.8,10,10.2,10.4,10.6,10.8,10.9,11,11.1,11.2},{0,10,20,30,40,50,60,62,64,66,68,70,72,74,76,78,80,85,90,95,100})</f>
        <v>95</v>
      </c>
      <c r="Q10" s="5">
        <v>3.29</v>
      </c>
      <c r="R10" s="36">
        <f t="shared" si="3"/>
        <v>6.71</v>
      </c>
      <c r="S10" s="29">
        <f>LOOKUP(R10,{0,3.85,4.45,4.65,4.85,5.45,5.65,5.7,5.75,5.8,5.85,5.9,5.95,6,6.45,6.5,6.55,6.63,6.7,6.75,6.8},{0,10,20,30,40,50,60,62,64,66,68,70,72,74,76,78,80,85,90,95,100})</f>
        <v>90</v>
      </c>
      <c r="T10" s="27"/>
      <c r="U10" s="27"/>
      <c r="V10" s="27">
        <f t="shared" si="4"/>
        <v>90</v>
      </c>
      <c r="W10" s="27"/>
      <c r="X10" s="19">
        <f t="shared" si="5"/>
        <v>62.8</v>
      </c>
      <c r="Y10" s="13">
        <f t="shared" si="6"/>
        <v>92.7142857142857</v>
      </c>
    </row>
    <row r="11" ht="15.6" spans="1:25">
      <c r="A11" s="27">
        <v>305</v>
      </c>
      <c r="B11" s="27">
        <v>3</v>
      </c>
      <c r="C11" s="28" t="s">
        <v>187</v>
      </c>
      <c r="D11" s="28" t="s">
        <v>12</v>
      </c>
      <c r="E11" s="27">
        <v>16.4</v>
      </c>
      <c r="F11" s="29">
        <f>LOOKUP(E11,{0,-1.8,-0.8,0.2,1.2,2.2,3.2,4.6,6,7.4,8.8,10.2,11.6,13,14.4,15.8,17.2,19.1,21,22.8,24.6},{0,10,20,30,40,50,60,62,64,66,68,70,72,74,76,78,80,85,90,95,100})</f>
        <v>78</v>
      </c>
      <c r="G11" s="27">
        <v>245</v>
      </c>
      <c r="H11" s="29">
        <f>LOOKUP(G11,{0,180,185,190,195,200,205,209,213,217,221,225,229,233,237,241,245,253,260,265,270},{0,10,20,30,40,50,60,62,64,66,68,70,72,74,76,78,80,85,90,95,100})</f>
        <v>80</v>
      </c>
      <c r="I11" s="27">
        <v>25</v>
      </c>
      <c r="J11" s="29">
        <f>LOOKUP(I11,{0,4,5,6,7,8,9,10,11,12,13,14,15,16,17,18},{0,10,20,30,40,50,60,64,68,72,76,80,85,90,95,100})</f>
        <v>100</v>
      </c>
      <c r="K11" s="44">
        <f t="shared" si="0"/>
        <v>7</v>
      </c>
      <c r="L11" s="29">
        <f>LOOKUP(K11,{0,1,2,3,4,5,6,7,8,9,10},{0,1,2,3,4,5,6,7,8,9,10})</f>
        <v>7</v>
      </c>
      <c r="M11" s="35">
        <f t="shared" si="1"/>
        <v>107</v>
      </c>
      <c r="N11" s="35">
        <v>7</v>
      </c>
      <c r="O11" s="36">
        <f t="shared" si="2"/>
        <v>11</v>
      </c>
      <c r="P11" s="29">
        <f>LOOKUP(O11,{0,7.8,8,8.2,8.4,8.6,8.8,9,9.2,9.4,9.6,9.8,10,10.2,10.4,10.6,10.8,10.9,11,11.1,11.2},{0,10,20,30,40,50,60,62,64,66,68,70,72,74,76,78,80,85,90,95,100})</f>
        <v>90</v>
      </c>
      <c r="Q11" s="5">
        <v>3.41</v>
      </c>
      <c r="R11" s="36">
        <f t="shared" si="3"/>
        <v>6.59</v>
      </c>
      <c r="S11" s="29">
        <f>LOOKUP(R11,{0,3.85,4.45,4.65,4.85,5.45,5.65,5.7,5.75,5.8,5.85,5.9,5.95,6,6.45,6.5,6.55,6.63,6.7,6.75,6.8},{0,10,20,30,40,50,60,62,64,66,68,70,72,74,76,78,80,85,90,95,100})</f>
        <v>80</v>
      </c>
      <c r="T11" s="27"/>
      <c r="U11" s="27"/>
      <c r="V11" s="27">
        <f t="shared" si="4"/>
        <v>80</v>
      </c>
      <c r="W11" s="27"/>
      <c r="X11" s="19">
        <f t="shared" si="5"/>
        <v>59.8</v>
      </c>
      <c r="Y11" s="13">
        <f t="shared" si="6"/>
        <v>92.4285714285714</v>
      </c>
    </row>
    <row r="12" ht="15.6" spans="1:25">
      <c r="A12" s="27">
        <v>309</v>
      </c>
      <c r="B12" s="27">
        <v>22</v>
      </c>
      <c r="C12" s="27" t="s">
        <v>428</v>
      </c>
      <c r="D12" s="27" t="s">
        <v>12</v>
      </c>
      <c r="E12" s="27">
        <v>27</v>
      </c>
      <c r="F12" s="29">
        <f>LOOKUP(E12,{0,-1.8,-0.8,0.2,1.2,2.2,3.2,4.6,6,7.4,8.8,10.2,11.6,13,14.4,15.8,17.2,19.1,21,22.8,24.6},{0,10,20,30,40,50,60,62,64,66,68,70,72,74,76,78,80,85,90,95,100})</f>
        <v>100</v>
      </c>
      <c r="G12" s="27">
        <v>241</v>
      </c>
      <c r="H12" s="29">
        <f>LOOKUP(G12,{0,180,185,190,195,200,205,209,213,217,221,225,229,233,237,241,245,253,260,265,270},{0,10,20,30,40,50,60,62,64,66,68,70,72,74,76,78,80,85,90,95,100})</f>
        <v>78</v>
      </c>
      <c r="I12" s="27">
        <v>40</v>
      </c>
      <c r="J12" s="29">
        <f>LOOKUP(I12,{0,4,5,6,7,8,9,10,11,12,13,14,15,16,17,18},{0,10,20,30,40,50,60,64,68,72,76,80,85,90,95,100})</f>
        <v>100</v>
      </c>
      <c r="K12" s="44">
        <f t="shared" si="0"/>
        <v>22</v>
      </c>
      <c r="L12" s="29">
        <f>LOOKUP(K12,{0,1,2,3,4,5,6,7,8,9,10},{0,1,2,3,4,5,6,7,8,9,10})</f>
        <v>10</v>
      </c>
      <c r="M12" s="35">
        <f t="shared" si="1"/>
        <v>110</v>
      </c>
      <c r="N12" s="35">
        <v>7.6</v>
      </c>
      <c r="O12" s="36">
        <f t="shared" si="2"/>
        <v>10.4</v>
      </c>
      <c r="P12" s="29">
        <f>LOOKUP(O12,{0,7.8,8,8.2,8.4,8.6,8.8,9,9.2,9.4,9.6,9.8,10,10.2,10.4,10.6,10.8,10.9,11,11.1,11.2},{0,10,20,30,40,50,60,62,64,66,68,70,72,74,76,78,80,85,90,95,100})</f>
        <v>76</v>
      </c>
      <c r="Q12" s="5">
        <v>4.1</v>
      </c>
      <c r="R12" s="36">
        <f t="shared" si="3"/>
        <v>5.9</v>
      </c>
      <c r="S12" s="29">
        <f>LOOKUP(R12,{0,3.85,4.45,4.65,4.85,5.45,5.65,5.7,5.75,5.8,5.85,5.9,5.95,6,6.45,6.5,6.55,6.63,6.7,6.75,6.8},{0,10,20,30,40,50,60,62,64,66,68,70,72,74,76,78,80,85,90,95,100})</f>
        <v>70</v>
      </c>
      <c r="T12" s="27"/>
      <c r="U12" s="27"/>
      <c r="V12" s="27">
        <f t="shared" si="4"/>
        <v>70</v>
      </c>
      <c r="W12" s="27"/>
      <c r="X12" s="19">
        <f t="shared" si="5"/>
        <v>57</v>
      </c>
      <c r="Y12" s="13">
        <f t="shared" si="6"/>
        <v>91.4285714285714</v>
      </c>
    </row>
    <row r="13" ht="15.6" spans="1:25">
      <c r="A13" s="27">
        <v>306</v>
      </c>
      <c r="B13" s="27">
        <v>17</v>
      </c>
      <c r="C13" s="28" t="s">
        <v>259</v>
      </c>
      <c r="D13" s="28" t="s">
        <v>12</v>
      </c>
      <c r="E13" s="27">
        <v>13.3</v>
      </c>
      <c r="F13" s="29">
        <f>LOOKUP(E13,{0,-1.8,-0.8,0.2,1.2,2.2,3.2,4.6,6,7.4,8.8,10.2,11.6,13,14.4,15.8,17.2,19.1,21,22.8,24.6},{0,10,20,30,40,50,60,62,64,66,68,70,72,74,76,78,80,85,90,95,100})</f>
        <v>74</v>
      </c>
      <c r="G13" s="27">
        <v>255</v>
      </c>
      <c r="H13" s="29">
        <f>LOOKUP(G13,{0,180,185,190,195,200,205,209,213,217,221,225,229,233,237,241,245,253,260,265,270},{0,10,20,30,40,50,60,62,64,66,68,70,72,74,76,78,80,85,90,95,100})</f>
        <v>85</v>
      </c>
      <c r="I13" s="27">
        <v>19</v>
      </c>
      <c r="J13" s="29">
        <f>LOOKUP(I13,{0,4,5,6,7,8,9,10,11,12,13,14,15,16,17,18},{0,10,20,30,40,50,60,64,68,72,76,80,85,90,95,100})</f>
        <v>100</v>
      </c>
      <c r="K13" s="44">
        <f t="shared" si="0"/>
        <v>1</v>
      </c>
      <c r="L13" s="29">
        <f>LOOKUP(K13,{0,1,2,3,4,5,6,7,8,9,10},{0,1,2,3,4,5,6,7,8,9,10})</f>
        <v>1</v>
      </c>
      <c r="M13" s="35">
        <f t="shared" si="1"/>
        <v>101</v>
      </c>
      <c r="N13" s="35">
        <v>6.7</v>
      </c>
      <c r="O13" s="36">
        <f t="shared" si="2"/>
        <v>11.3</v>
      </c>
      <c r="P13" s="29">
        <f>LOOKUP(O13,{0,7.8,8,8.2,8.4,8.6,8.8,9,9.2,9.4,9.6,9.8,10,10.2,10.4,10.6,10.8,10.9,11,11.1,11.2},{0,10,20,30,40,50,60,62,64,66,68,70,72,74,76,78,80,85,90,95,100})</f>
        <v>100</v>
      </c>
      <c r="Q13" s="5">
        <v>3.36</v>
      </c>
      <c r="R13" s="36">
        <f t="shared" si="3"/>
        <v>6.64</v>
      </c>
      <c r="S13" s="29">
        <f>LOOKUP(R13,{0,3.85,4.45,4.65,4.85,5.45,5.65,5.7,5.75,5.8,5.85,5.9,5.95,6,6.45,6.5,6.55,6.63,6.7,6.75,6.8},{0,10,20,30,40,50,60,62,64,66,68,70,72,74,76,78,80,85,90,95,100})</f>
        <v>85</v>
      </c>
      <c r="T13" s="27"/>
      <c r="U13" s="27"/>
      <c r="V13" s="27">
        <f t="shared" si="4"/>
        <v>85</v>
      </c>
      <c r="W13" s="27"/>
      <c r="X13" s="19">
        <f t="shared" si="5"/>
        <v>62.9</v>
      </c>
      <c r="Y13" s="13">
        <f t="shared" si="6"/>
        <v>90.8571428571429</v>
      </c>
    </row>
    <row r="14" ht="15.6" spans="1:25">
      <c r="A14" s="27">
        <v>311</v>
      </c>
      <c r="B14" s="27">
        <v>29</v>
      </c>
      <c r="C14" s="27" t="s">
        <v>544</v>
      </c>
      <c r="D14" s="38" t="s">
        <v>12</v>
      </c>
      <c r="E14" s="27">
        <v>11</v>
      </c>
      <c r="F14" s="29">
        <f>LOOKUP(E14,{0,-1.8,-0.8,0.2,1.2,2.2,3.2,4.6,6,7.4,8.8,10.2,11.6,13,14.4,15.8,17.2,19.1,21,22.8,24.6},{0,10,20,30,40,50,60,62,64,66,68,70,72,74,76,78,80,85,90,95,100})</f>
        <v>70</v>
      </c>
      <c r="G14" s="27">
        <v>230</v>
      </c>
      <c r="H14" s="29">
        <f>LOOKUP(G14,{0,180,185,190,195,200,205,209,213,217,221,225,229,233,237,241,245,253,260,265,270},{0,10,20,30,40,50,60,62,64,66,68,70,72,74,76,78,80,85,90,95,100})</f>
        <v>72</v>
      </c>
      <c r="I14" s="27">
        <v>27</v>
      </c>
      <c r="J14" s="29">
        <f>LOOKUP(I14,{0,4,5,6,7,8,9,10,11,12,13,14,15,16,17,18},{0,10,20,30,40,50,60,64,68,72,76,80,85,90,95,100})</f>
        <v>100</v>
      </c>
      <c r="K14" s="44">
        <f t="shared" si="0"/>
        <v>9</v>
      </c>
      <c r="L14" s="29">
        <f>LOOKUP(K14,{0,1,2,3,4,5,6,7,8,9,10},{0,1,2,3,4,5,6,7,8,9,10})</f>
        <v>9</v>
      </c>
      <c r="M14" s="35">
        <f t="shared" si="1"/>
        <v>109</v>
      </c>
      <c r="N14" s="35">
        <v>7.1</v>
      </c>
      <c r="O14" s="36">
        <f t="shared" si="2"/>
        <v>10.9</v>
      </c>
      <c r="P14" s="29">
        <f>LOOKUP(O14,{0,7.8,8,8.2,8.4,8.6,8.8,9,9.2,9.4,9.6,9.8,10,10.2,10.4,10.6,10.8,10.9,11,11.1,11.2},{0,10,20,30,40,50,60,62,64,66,68,70,72,74,76,78,80,85,90,95,100})</f>
        <v>85</v>
      </c>
      <c r="Q14" s="5">
        <v>3.44</v>
      </c>
      <c r="R14" s="36">
        <f t="shared" si="3"/>
        <v>6.56</v>
      </c>
      <c r="S14" s="29">
        <f>LOOKUP(R14,{0,3.85,4.45,4.65,4.85,5.45,5.65,5.7,5.75,5.8,5.85,5.9,5.95,6,6.45,6.5,6.55,6.63,6.7,6.75,6.8},{0,10,20,30,40,50,60,62,64,66,68,70,72,74,76,78,80,85,90,95,100})</f>
        <v>80</v>
      </c>
      <c r="T14" s="27"/>
      <c r="U14" s="27"/>
      <c r="V14" s="27">
        <f t="shared" si="4"/>
        <v>80</v>
      </c>
      <c r="W14" s="27"/>
      <c r="X14" s="19">
        <f t="shared" si="5"/>
        <v>57.2</v>
      </c>
      <c r="Y14" s="13">
        <f t="shared" si="6"/>
        <v>90.7142857142857</v>
      </c>
    </row>
    <row r="15" ht="15.6" spans="1:25">
      <c r="A15" s="27">
        <v>309</v>
      </c>
      <c r="B15" s="27">
        <v>27</v>
      </c>
      <c r="C15" s="28" t="s">
        <v>433</v>
      </c>
      <c r="D15" s="28" t="s">
        <v>12</v>
      </c>
      <c r="E15" s="27">
        <v>19</v>
      </c>
      <c r="F15" s="29">
        <f>LOOKUP(E15,{0,-1.8,-0.8,0.2,1.2,2.2,3.2,4.6,6,7.4,8.8,10.2,11.6,13,14.4,15.8,17.2,19.1,21,22.8,24.6},{0,10,20,30,40,50,60,62,64,66,68,70,72,74,76,78,80,85,90,95,100})</f>
        <v>80</v>
      </c>
      <c r="G15" s="27">
        <v>262</v>
      </c>
      <c r="H15" s="29">
        <f>LOOKUP(G15,{0,180,185,190,195,200,205,209,213,217,221,225,229,233,237,241,245,253,260,265,270},{0,10,20,30,40,50,60,62,64,66,68,70,72,74,76,78,80,85,90,95,100})</f>
        <v>90</v>
      </c>
      <c r="I15" s="27">
        <v>20</v>
      </c>
      <c r="J15" s="29">
        <f>LOOKUP(I15,{0,4,5,6,7,8,9,10,11,12,13,14,15,16,17,18},{0,10,20,30,40,50,60,64,68,72,76,80,85,90,95,100})</f>
        <v>100</v>
      </c>
      <c r="K15" s="44">
        <f t="shared" si="0"/>
        <v>2</v>
      </c>
      <c r="L15" s="29">
        <f>LOOKUP(K15,{0,1,2,3,4,5,6,7,8,9,10},{0,1,2,3,4,5,6,7,8,9,10})</f>
        <v>2</v>
      </c>
      <c r="M15" s="35">
        <f t="shared" si="1"/>
        <v>102</v>
      </c>
      <c r="N15" s="35">
        <v>7.1</v>
      </c>
      <c r="O15" s="36">
        <f t="shared" si="2"/>
        <v>10.9</v>
      </c>
      <c r="P15" s="29">
        <f>LOOKUP(O15,{0,7.8,8,8.2,8.4,8.6,8.8,9,9.2,9.4,9.6,9.8,10,10.2,10.4,10.6,10.8,10.9,11,11.1,11.2},{0,10,20,30,40,50,60,62,64,66,68,70,72,74,76,78,80,85,90,95,100})</f>
        <v>85</v>
      </c>
      <c r="Q15" s="5">
        <v>3.28</v>
      </c>
      <c r="R15" s="36">
        <f t="shared" si="3"/>
        <v>6.72</v>
      </c>
      <c r="S15" s="29">
        <f>LOOKUP(R15,{0,3.85,4.45,4.65,4.85,5.45,5.65,5.7,5.75,5.8,5.85,5.9,5.95,6,6.45,6.5,6.55,6.63,6.7,6.75,6.8},{0,10,20,30,40,50,60,62,64,66,68,70,72,74,76,78,80,85,90,95,100})</f>
        <v>90</v>
      </c>
      <c r="T15" s="27"/>
      <c r="U15" s="27"/>
      <c r="V15" s="27">
        <f t="shared" si="4"/>
        <v>90</v>
      </c>
      <c r="W15" s="27"/>
      <c r="X15" s="19">
        <f t="shared" si="5"/>
        <v>62</v>
      </c>
      <c r="Y15" s="13">
        <f t="shared" si="6"/>
        <v>90.5714285714286</v>
      </c>
    </row>
    <row r="16" ht="15.6" spans="1:25">
      <c r="A16" s="27">
        <v>311</v>
      </c>
      <c r="B16" s="27">
        <v>46</v>
      </c>
      <c r="C16" s="28" t="s">
        <v>562</v>
      </c>
      <c r="D16" s="28" t="s">
        <v>12</v>
      </c>
      <c r="E16" s="27">
        <v>16</v>
      </c>
      <c r="F16" s="29">
        <f>LOOKUP(E16,{0,-1.8,-0.8,0.2,1.2,2.2,3.2,4.6,6,7.4,8.8,10.2,11.6,13,14.4,15.8,17.2,19.1,21,22.8,24.6},{0,10,20,30,40,50,60,62,64,66,68,70,72,74,76,78,80,85,90,95,100})</f>
        <v>78</v>
      </c>
      <c r="G16" s="27">
        <v>270</v>
      </c>
      <c r="H16" s="29">
        <f>LOOKUP(G16,{0,180,185,190,195,200,205,209,213,217,221,225,229,233,237,241,245,253,260,265,270},{0,10,20,30,40,50,60,62,64,66,68,70,72,74,76,78,80,85,90,95,100})</f>
        <v>100</v>
      </c>
      <c r="I16" s="27">
        <v>20</v>
      </c>
      <c r="J16" s="29">
        <f>LOOKUP(I16,{0,4,5,6,7,8,9,10,11,12,13,14,15,16,17,18},{0,10,20,30,40,50,60,64,68,72,76,80,85,90,95,100})</f>
        <v>100</v>
      </c>
      <c r="K16" s="44">
        <f t="shared" si="0"/>
        <v>2</v>
      </c>
      <c r="L16" s="29">
        <f>LOOKUP(K16,{0,1,2,3,4,5,6,7,8,9,10},{0,1,2,3,4,5,6,7,8,9,10})</f>
        <v>2</v>
      </c>
      <c r="M16" s="35">
        <f t="shared" si="1"/>
        <v>102</v>
      </c>
      <c r="N16" s="35">
        <v>6.6</v>
      </c>
      <c r="O16" s="36">
        <f t="shared" si="2"/>
        <v>11.4</v>
      </c>
      <c r="P16" s="29">
        <f>LOOKUP(O16,{0,7.8,8,8.2,8.4,8.6,8.8,9,9.2,9.4,9.6,9.8,10,10.2,10.4,10.6,10.8,10.9,11,11.1,11.2},{0,10,20,30,40,50,60,62,64,66,68,70,72,74,76,78,80,85,90,95,100})</f>
        <v>100</v>
      </c>
      <c r="Q16" s="5">
        <v>4.09</v>
      </c>
      <c r="R16" s="36">
        <f t="shared" si="3"/>
        <v>5.91</v>
      </c>
      <c r="S16" s="29">
        <f>LOOKUP(R16,{0,3.85,4.45,4.65,4.85,5.45,5.65,5.7,5.75,5.8,5.85,5.9,5.95,6,6.45,6.5,6.55,6.63,6.7,6.75,6.8},{0,10,20,30,40,50,60,62,64,66,68,70,72,74,76,78,80,85,90,95,100})</f>
        <v>70</v>
      </c>
      <c r="T16" s="27"/>
      <c r="U16" s="27"/>
      <c r="V16" s="27">
        <f t="shared" si="4"/>
        <v>70</v>
      </c>
      <c r="W16" s="27"/>
      <c r="X16" s="19">
        <f t="shared" si="5"/>
        <v>61.8</v>
      </c>
      <c r="Y16" s="13">
        <f t="shared" si="6"/>
        <v>90.2857142857143</v>
      </c>
    </row>
    <row r="17" ht="15.6" spans="1:25">
      <c r="A17" s="27">
        <v>311</v>
      </c>
      <c r="B17" s="27">
        <v>37</v>
      </c>
      <c r="C17" s="30" t="s">
        <v>553</v>
      </c>
      <c r="D17" s="28" t="s">
        <v>12</v>
      </c>
      <c r="E17" s="27">
        <v>16.7</v>
      </c>
      <c r="F17" s="29">
        <f>LOOKUP(E17,{0,-1.8,-0.8,0.2,1.2,2.2,3.2,4.6,6,7.4,8.8,10.2,11.6,13,14.4,15.8,17.2,19.1,21,22.8,24.6},{0,10,20,30,40,50,60,62,64,66,68,70,72,74,76,78,80,85,90,95,100})</f>
        <v>78</v>
      </c>
      <c r="G17" s="27">
        <v>300</v>
      </c>
      <c r="H17" s="29">
        <f>LOOKUP(G17,{0,180,185,190,195,200,205,209,213,217,221,225,229,233,237,241,245,253,260,265,270},{0,10,20,30,40,50,60,62,64,66,68,70,72,74,76,78,80,85,90,95,100})</f>
        <v>100</v>
      </c>
      <c r="I17" s="27">
        <v>11</v>
      </c>
      <c r="J17" s="29">
        <f>LOOKUP(I17,{0,4,5,6,7,8,9,10,11,12,13,14,15,16,17,18},{0,10,20,30,40,50,60,64,68,72,76,80,85,90,95,100})</f>
        <v>68</v>
      </c>
      <c r="K17" s="44"/>
      <c r="L17" s="35"/>
      <c r="M17" s="35">
        <f t="shared" si="1"/>
        <v>68</v>
      </c>
      <c r="N17" s="35">
        <v>6.2</v>
      </c>
      <c r="O17" s="36">
        <f t="shared" si="2"/>
        <v>11.8</v>
      </c>
      <c r="P17" s="29">
        <f>LOOKUP(O17,{0,7.8,8,8.2,8.4,8.6,8.8,9,9.2,9.4,9.6,9.8,10,10.2,10.4,10.6,10.8,10.9,11,11.1,11.2},{0,10,20,30,40,50,60,62,64,66,68,70,72,74,76,78,80,85,90,95,100})</f>
        <v>100</v>
      </c>
      <c r="Q17" s="5">
        <v>3.29</v>
      </c>
      <c r="R17" s="36">
        <f t="shared" si="3"/>
        <v>6.71</v>
      </c>
      <c r="S17" s="29">
        <f>LOOKUP(R17,{0,3.85,4.45,4.65,4.85,5.45,5.65,5.7,5.75,5.8,5.85,5.9,5.95,6,6.45,6.5,6.55,6.63,6.7,6.75,6.8},{0,10,20,30,40,50,60,62,64,66,68,70,72,74,76,78,80,85,90,95,100})</f>
        <v>90</v>
      </c>
      <c r="T17" s="27"/>
      <c r="U17" s="27"/>
      <c r="V17" s="27">
        <f t="shared" si="4"/>
        <v>90</v>
      </c>
      <c r="W17" s="27"/>
      <c r="X17" s="19">
        <f t="shared" si="5"/>
        <v>62.6</v>
      </c>
      <c r="Y17" s="13">
        <f t="shared" si="6"/>
        <v>89.4285714285714</v>
      </c>
    </row>
    <row r="18" ht="15.6" spans="1:25">
      <c r="A18" s="27">
        <v>313</v>
      </c>
      <c r="B18" s="27">
        <v>8</v>
      </c>
      <c r="C18" s="28" t="s">
        <v>634</v>
      </c>
      <c r="D18" s="28" t="s">
        <v>12</v>
      </c>
      <c r="E18" s="27">
        <v>23</v>
      </c>
      <c r="F18" s="29">
        <f>LOOKUP(E18,{0,-1.8,-0.8,0.2,1.2,2.2,3.2,4.6,6,7.4,8.8,10.2,11.6,13,14.4,15.8,17.2,19.1,21,22.8,24.6},{0,10,20,30,40,50,60,62,64,66,68,70,72,74,76,78,80,85,90,95,100})</f>
        <v>95</v>
      </c>
      <c r="G18" s="27">
        <v>240</v>
      </c>
      <c r="H18" s="29">
        <f>LOOKUP(G18,{0,180,185,190,195,200,205,209,213,217,221,225,229,233,237,241,245,253,260,265,270},{0,10,20,30,40,50,60,62,64,66,68,70,72,74,76,78,80,85,90,95,100})</f>
        <v>76</v>
      </c>
      <c r="I18" s="27">
        <v>15</v>
      </c>
      <c r="J18" s="29">
        <f>LOOKUP(I18,{0,4,5,6,7,8,9,10,11,12,13,14,15,16,17,18},{0,10,20,30,40,50,60,64,68,72,76,80,85,90,95,100})</f>
        <v>85</v>
      </c>
      <c r="K18" s="44"/>
      <c r="L18" s="35"/>
      <c r="M18" s="35">
        <f t="shared" si="1"/>
        <v>85</v>
      </c>
      <c r="N18" s="35">
        <v>6.8</v>
      </c>
      <c r="O18" s="36">
        <f t="shared" si="2"/>
        <v>11.2</v>
      </c>
      <c r="P18" s="29">
        <f>LOOKUP(O18,{0,7.8,8,8.2,8.4,8.6,8.8,9,9.2,9.4,9.6,9.8,10,10.2,10.4,10.6,10.8,10.9,11,11.1,11.2},{0,10,20,30,40,50,60,62,64,66,68,70,72,74,76,78,80,85,90,95,100})</f>
        <v>100</v>
      </c>
      <c r="Q18" s="5">
        <v>3.33</v>
      </c>
      <c r="R18" s="36">
        <f t="shared" si="3"/>
        <v>6.67</v>
      </c>
      <c r="S18" s="29">
        <f>LOOKUP(R18,{0,3.85,4.45,4.65,4.85,5.45,5.65,5.7,5.75,5.8,5.85,5.9,5.95,6,6.45,6.5,6.55,6.63,6.7,6.75,6.8},{0,10,20,30,40,50,60,62,64,66,68,70,72,74,76,78,80,85,90,95,100})</f>
        <v>85</v>
      </c>
      <c r="T18" s="27"/>
      <c r="U18" s="27"/>
      <c r="V18" s="27">
        <f t="shared" si="4"/>
        <v>85</v>
      </c>
      <c r="W18" s="27"/>
      <c r="X18" s="19">
        <f t="shared" si="5"/>
        <v>62.6</v>
      </c>
      <c r="Y18" s="13">
        <f t="shared" si="6"/>
        <v>89.4285714285714</v>
      </c>
    </row>
    <row r="19" ht="15.6" spans="1:25">
      <c r="A19" s="27">
        <v>307</v>
      </c>
      <c r="B19" s="27">
        <v>9</v>
      </c>
      <c r="C19" s="28" t="s">
        <v>307</v>
      </c>
      <c r="D19" s="28" t="s">
        <v>12</v>
      </c>
      <c r="E19" s="27">
        <v>11</v>
      </c>
      <c r="F19" s="29">
        <f>LOOKUP(E19,{0,-1.8,-0.8,0.2,1.2,2.2,3.2,4.6,6,7.4,8.8,10.2,11.6,13,14.4,15.8,17.2,19.1,21,22.8,24.6},{0,10,20,30,40,50,60,62,64,66,68,70,72,74,76,78,80,85,90,95,100})</f>
        <v>70</v>
      </c>
      <c r="G19" s="27">
        <v>262</v>
      </c>
      <c r="H19" s="29">
        <f>LOOKUP(G19,{0,180,185,190,195,200,205,209,213,217,221,225,229,233,237,241,245,253,260,265,270},{0,10,20,30,40,50,60,62,64,66,68,70,72,74,76,78,80,85,90,95,100})</f>
        <v>90</v>
      </c>
      <c r="I19" s="27">
        <v>22</v>
      </c>
      <c r="J19" s="29">
        <f>LOOKUP(I19,{0,4,5,6,7,8,9,10,11,12,13,14,15,16,17,18},{0,10,20,30,40,50,60,64,68,72,76,80,85,90,95,100})</f>
        <v>100</v>
      </c>
      <c r="K19" s="44">
        <f>I19-18</f>
        <v>4</v>
      </c>
      <c r="L19" s="29">
        <f>LOOKUP(K19,{0,1,2,3,4,5,6,7,8,9,10},{0,1,2,3,4,5,6,7,8,9,10})</f>
        <v>4</v>
      </c>
      <c r="M19" s="35">
        <f t="shared" si="1"/>
        <v>104</v>
      </c>
      <c r="N19" s="35">
        <v>7</v>
      </c>
      <c r="O19" s="36">
        <f t="shared" si="2"/>
        <v>11</v>
      </c>
      <c r="P19" s="29">
        <f>LOOKUP(O19,{0,7.8,8,8.2,8.4,8.6,8.8,9,9.2,9.4,9.6,9.8,10,10.2,10.4,10.6,10.8,10.9,11,11.1,11.2},{0,10,20,30,40,50,60,62,64,66,68,70,72,74,76,78,80,85,90,95,100})</f>
        <v>90</v>
      </c>
      <c r="Q19" s="5">
        <v>3.47</v>
      </c>
      <c r="R19" s="36">
        <f t="shared" si="3"/>
        <v>6.53</v>
      </c>
      <c r="S19" s="29">
        <f>LOOKUP(R19,{0,3.85,4.45,4.65,4.85,5.45,5.65,5.7,5.75,5.8,5.85,5.9,5.95,6,6.45,6.5,6.55,6.63,6.7,6.75,6.8},{0,10,20,30,40,50,60,62,64,66,68,70,72,74,76,78,80,85,90,95,100})</f>
        <v>78</v>
      </c>
      <c r="T19" s="27"/>
      <c r="U19" s="27"/>
      <c r="V19" s="27">
        <f t="shared" si="4"/>
        <v>78</v>
      </c>
      <c r="W19" s="27"/>
      <c r="X19" s="19">
        <f t="shared" si="5"/>
        <v>59.6</v>
      </c>
      <c r="Y19" s="13">
        <f t="shared" si="6"/>
        <v>89.1428571428572</v>
      </c>
    </row>
    <row r="20" ht="15.6" spans="1:25">
      <c r="A20" s="27">
        <v>310</v>
      </c>
      <c r="B20" s="27">
        <v>23</v>
      </c>
      <c r="C20" s="28" t="s">
        <v>482</v>
      </c>
      <c r="D20" s="28" t="s">
        <v>12</v>
      </c>
      <c r="E20" s="27">
        <v>22.5</v>
      </c>
      <c r="F20" s="29">
        <f>LOOKUP(E20,{0,-1.8,-0.8,0.2,1.2,2.2,3.2,4.6,6,7.4,8.8,10.2,11.6,13,14.4,15.8,17.2,19.1,21,22.8,24.6},{0,10,20,30,40,50,60,62,64,66,68,70,72,74,76,78,80,85,90,95,100})</f>
        <v>90</v>
      </c>
      <c r="G20" s="27">
        <v>250</v>
      </c>
      <c r="H20" s="29">
        <f>LOOKUP(G20,{0,180,185,190,195,200,205,209,213,217,221,225,229,233,237,241,245,253,260,265,270},{0,10,20,30,40,50,60,62,64,66,68,70,72,74,76,78,80,85,90,95,100})</f>
        <v>80</v>
      </c>
      <c r="I20" s="27">
        <v>21</v>
      </c>
      <c r="J20" s="29">
        <f>LOOKUP(I20,{0,4,5,6,7,8,9,10,11,12,13,14,15,16,17,18},{0,10,20,30,40,50,60,64,68,72,76,80,85,90,95,100})</f>
        <v>100</v>
      </c>
      <c r="K20" s="44">
        <f>I20-18</f>
        <v>3</v>
      </c>
      <c r="L20" s="29">
        <f>LOOKUP(K20,{0,1,2,3,4,5,6,7,8,9,10},{0,1,2,3,4,5,6,7,8,9,10})</f>
        <v>3</v>
      </c>
      <c r="M20" s="35">
        <f t="shared" si="1"/>
        <v>103</v>
      </c>
      <c r="N20" s="35">
        <v>7.1</v>
      </c>
      <c r="O20" s="36">
        <f t="shared" si="2"/>
        <v>10.9</v>
      </c>
      <c r="P20" s="29">
        <f>LOOKUP(O20,{0,7.8,8,8.2,8.4,8.6,8.8,9,9.2,9.4,9.6,9.8,10,10.2,10.4,10.6,10.8,10.9,11,11.1,11.2},{0,10,20,30,40,50,60,62,64,66,68,70,72,74,76,78,80,85,90,95,100})</f>
        <v>85</v>
      </c>
      <c r="Q20" s="5">
        <v>3.41</v>
      </c>
      <c r="R20" s="36">
        <f t="shared" si="3"/>
        <v>6.59</v>
      </c>
      <c r="S20" s="29">
        <f>LOOKUP(R20,{0,3.85,4.45,4.65,4.85,5.45,5.65,5.7,5.75,5.8,5.85,5.9,5.95,6,6.45,6.5,6.55,6.63,6.7,6.75,6.8},{0,10,20,30,40,50,60,62,64,66,68,70,72,74,76,78,80,85,90,95,100})</f>
        <v>80</v>
      </c>
      <c r="T20" s="27"/>
      <c r="U20" s="27"/>
      <c r="V20" s="27">
        <f t="shared" si="4"/>
        <v>80</v>
      </c>
      <c r="W20" s="27"/>
      <c r="X20" s="19">
        <f t="shared" si="5"/>
        <v>60</v>
      </c>
      <c r="Y20" s="13">
        <f t="shared" si="6"/>
        <v>88.7142857142857</v>
      </c>
    </row>
    <row r="21" ht="15.6" spans="1:25">
      <c r="A21" s="27">
        <v>301</v>
      </c>
      <c r="B21" s="27">
        <v>23</v>
      </c>
      <c r="C21" s="27" t="s">
        <v>35</v>
      </c>
      <c r="D21" s="27" t="s">
        <v>12</v>
      </c>
      <c r="E21" s="27">
        <v>17</v>
      </c>
      <c r="F21" s="29">
        <f>LOOKUP(E21,{0,-1.8,-0.8,0.2,1.2,2.2,3.2,4.6,6,7.4,8.8,10.2,11.6,13,14.4,15.8,17.2,19.1,21,22.8,24.6},{0,10,20,30,40,50,60,62,64,66,68,70,72,74,76,78,80,85,90,95,100})</f>
        <v>78</v>
      </c>
      <c r="G21" s="27">
        <v>248</v>
      </c>
      <c r="H21" s="29">
        <f>LOOKUP(G21,{0,180,185,190,195,200,205,209,213,217,221,225,229,233,237,241,245,253,260,265,270},{0,10,20,30,40,50,60,62,64,66,68,70,72,74,76,78,80,85,90,95,100})</f>
        <v>80</v>
      </c>
      <c r="I21" s="27">
        <v>20</v>
      </c>
      <c r="J21" s="29">
        <f>LOOKUP(I21,{0,4,5,6,7,8,9,10,11,12,13,14,15,16,17,18},{0,10,20,30,40,50,60,64,68,72,76,80,85,90,95,100})</f>
        <v>100</v>
      </c>
      <c r="K21" s="44">
        <f>I21-18</f>
        <v>2</v>
      </c>
      <c r="L21" s="29">
        <f>LOOKUP(K21,{0,1,2,3,4,5,6,7,8,9,10},{0,1,2,3,4,5,6,7,8,9,10})</f>
        <v>2</v>
      </c>
      <c r="M21" s="35">
        <f t="shared" si="1"/>
        <v>102</v>
      </c>
      <c r="N21" s="35">
        <v>6.7</v>
      </c>
      <c r="O21" s="36">
        <f t="shared" si="2"/>
        <v>11.3</v>
      </c>
      <c r="P21" s="29">
        <f>LOOKUP(O21,{0,7.8,8,8.2,8.4,8.6,8.8,9,9.2,9.4,9.6,9.8,10,10.2,10.4,10.6,10.8,10.9,11,11.1,11.2},{0,10,20,30,40,50,60,62,64,66,68,70,72,74,76,78,80,85,90,95,100})</f>
        <v>100</v>
      </c>
      <c r="Q21" s="5">
        <v>4.01</v>
      </c>
      <c r="R21" s="36">
        <f t="shared" si="3"/>
        <v>5.99</v>
      </c>
      <c r="S21" s="29">
        <f>LOOKUP(R21,{0,3.85,4.45,4.65,4.85,5.45,5.65,5.7,5.75,5.8,5.85,5.9,5.95,6,6.45,6.5,6.55,6.63,6.7,6.75,6.8},{0,10,20,30,40,50,60,62,64,66,68,70,72,74,76,78,80,85,90,95,100})</f>
        <v>72</v>
      </c>
      <c r="T21" s="27"/>
      <c r="U21" s="27"/>
      <c r="V21" s="27">
        <f t="shared" si="4"/>
        <v>72</v>
      </c>
      <c r="W21" s="27"/>
      <c r="X21" s="19">
        <f t="shared" si="5"/>
        <v>60.2</v>
      </c>
      <c r="Y21" s="13">
        <f t="shared" si="6"/>
        <v>88</v>
      </c>
    </row>
    <row r="22" ht="15.6" spans="1:25">
      <c r="A22" s="27">
        <v>306</v>
      </c>
      <c r="B22" s="27">
        <v>15</v>
      </c>
      <c r="C22" s="28" t="s">
        <v>257</v>
      </c>
      <c r="D22" s="28" t="s">
        <v>12</v>
      </c>
      <c r="E22" s="27">
        <v>10.3</v>
      </c>
      <c r="F22" s="29">
        <f>LOOKUP(E22,{0,-1.8,-0.8,0.2,1.2,2.2,3.2,4.6,6,7.4,8.8,10.2,11.6,13,14.4,15.8,17.2,19.1,21,22.8,24.6},{0,10,20,30,40,50,60,62,64,66,68,70,72,74,76,78,80,85,90,95,100})</f>
        <v>70</v>
      </c>
      <c r="G22" s="27">
        <v>265</v>
      </c>
      <c r="H22" s="29">
        <f>LOOKUP(G22,{0,180,185,190,195,200,205,209,213,217,221,225,229,233,237,241,245,253,260,265,270},{0,10,20,30,40,50,60,62,64,66,68,70,72,74,76,78,80,85,90,95,100})</f>
        <v>95</v>
      </c>
      <c r="I22" s="27">
        <v>20</v>
      </c>
      <c r="J22" s="29">
        <f>LOOKUP(I22,{0,4,5,6,7,8,9,10,11,12,13,14,15,16,17,18},{0,10,20,30,40,50,60,64,68,72,76,80,85,90,95,100})</f>
        <v>100</v>
      </c>
      <c r="K22" s="44">
        <f>I22-18</f>
        <v>2</v>
      </c>
      <c r="L22" s="29">
        <f>LOOKUP(K22,{0,1,2,3,4,5,6,7,8,9,10},{0,1,2,3,4,5,6,7,8,9,10})</f>
        <v>2</v>
      </c>
      <c r="M22" s="35">
        <f t="shared" si="1"/>
        <v>102</v>
      </c>
      <c r="N22" s="35">
        <v>7</v>
      </c>
      <c r="O22" s="36">
        <f t="shared" si="2"/>
        <v>11</v>
      </c>
      <c r="P22" s="29">
        <f>LOOKUP(O22,{0,7.8,8,8.2,8.4,8.6,8.8,9,9.2,9.4,9.6,9.8,10,10.2,10.4,10.6,10.8,10.9,11,11.1,11.2},{0,10,20,30,40,50,60,62,64,66,68,70,72,74,76,78,80,85,90,95,100})</f>
        <v>90</v>
      </c>
      <c r="Q22" s="5">
        <v>3.47</v>
      </c>
      <c r="R22" s="36">
        <f t="shared" si="3"/>
        <v>6.53</v>
      </c>
      <c r="S22" s="29">
        <f>LOOKUP(R22,{0,3.85,4.45,4.65,4.85,5.45,5.65,5.7,5.75,5.8,5.85,5.9,5.95,6,6.45,6.5,6.55,6.63,6.7,6.75,6.8},{0,10,20,30,40,50,60,62,64,66,68,70,72,74,76,78,80,85,90,95,100})</f>
        <v>78</v>
      </c>
      <c r="T22" s="27"/>
      <c r="U22" s="27"/>
      <c r="V22" s="27">
        <f t="shared" si="4"/>
        <v>78</v>
      </c>
      <c r="W22" s="27"/>
      <c r="X22" s="19">
        <f t="shared" si="5"/>
        <v>60.1</v>
      </c>
      <c r="Y22" s="13">
        <f t="shared" si="6"/>
        <v>87.8571428571429</v>
      </c>
    </row>
    <row r="23" ht="15.6" spans="1:25">
      <c r="A23" s="27">
        <v>316</v>
      </c>
      <c r="B23" s="27">
        <v>3</v>
      </c>
      <c r="C23" s="28" t="s">
        <v>790</v>
      </c>
      <c r="D23" s="28" t="s">
        <v>12</v>
      </c>
      <c r="E23" s="27">
        <v>3</v>
      </c>
      <c r="F23" s="29">
        <f>LOOKUP(E23,{0,-1.8,-0.8,0.2,1.2,2.2,3.2,4.6,6,7.4,8.8,10.2,11.6,13,14.4,15.8,17.2,19.1,21,22.8,24.6},{0,10,20,30,40,50,60,62,64,66,68,70,72,74,76,78,80,85,90,95,100})</f>
        <v>50</v>
      </c>
      <c r="G23" s="27">
        <v>280</v>
      </c>
      <c r="H23" s="29">
        <f>LOOKUP(G23,{0,180,185,190,195,200,205,209,213,217,221,225,229,233,237,241,245,253,260,265,270},{0,10,20,30,40,50,60,62,64,66,68,70,72,74,76,78,80,85,90,95,100})</f>
        <v>100</v>
      </c>
      <c r="I23" s="27">
        <v>10</v>
      </c>
      <c r="J23" s="29">
        <f>LOOKUP(I23,{0,4,5,6,7,8,9,10,11,12,13,14,15,16,17,18},{0,10,20,30,40,50,60,64,68,72,76,80,85,90,95,100})</f>
        <v>64</v>
      </c>
      <c r="K23" s="44"/>
      <c r="L23" s="35"/>
      <c r="M23" s="35">
        <f t="shared" si="1"/>
        <v>64</v>
      </c>
      <c r="N23" s="35">
        <v>6.5</v>
      </c>
      <c r="O23" s="36">
        <f t="shared" si="2"/>
        <v>11.5</v>
      </c>
      <c r="P23" s="29">
        <f>LOOKUP(O23,{0,7.8,8,8.2,8.4,8.6,8.8,9,9.2,9.4,9.6,9.8,10,10.2,10.4,10.6,10.8,10.9,11,11.1,11.2},{0,10,20,30,40,50,60,62,64,66,68,70,72,74,76,78,80,85,90,95,100})</f>
        <v>100</v>
      </c>
      <c r="Q23" s="5">
        <v>3.18</v>
      </c>
      <c r="R23" s="36">
        <f t="shared" si="3"/>
        <v>6.82</v>
      </c>
      <c r="S23" s="29">
        <f>LOOKUP(R23,{0,3.85,4.45,4.65,4.85,5.45,5.65,5.7,5.75,5.8,5.85,5.9,5.95,6,6.45,6.5,6.55,6.63,6.7,6.75,6.8},{0,10,20,30,40,50,60,62,64,66,68,70,72,74,76,78,80,85,90,95,100})</f>
        <v>100</v>
      </c>
      <c r="T23" s="27">
        <f>3.2-Q23</f>
        <v>0.02</v>
      </c>
      <c r="U23" s="29">
        <f>LOOKUP(T23,{0,0.04,0.08,0.12,0.16,0.2,0.23,0.26,0.29,0.32,0.35},{0,1,2,3,4,5,6,7,8,9,10})</f>
        <v>0</v>
      </c>
      <c r="V23" s="27">
        <f t="shared" si="4"/>
        <v>100</v>
      </c>
      <c r="W23" s="27"/>
      <c r="X23" s="19">
        <f t="shared" si="5"/>
        <v>61.4</v>
      </c>
      <c r="Y23" s="13">
        <f t="shared" si="6"/>
        <v>87.7142857142857</v>
      </c>
    </row>
    <row r="24" ht="15.6" spans="1:25">
      <c r="A24" s="27">
        <v>303</v>
      </c>
      <c r="B24" s="27">
        <v>7</v>
      </c>
      <c r="C24" s="27" t="s">
        <v>109</v>
      </c>
      <c r="D24" s="27" t="s">
        <v>12</v>
      </c>
      <c r="E24" s="27">
        <v>17</v>
      </c>
      <c r="F24" s="29">
        <f>LOOKUP(E24,{0,-1.8,-0.8,0.2,1.2,2.2,3.2,4.6,6,7.4,8.8,10.2,11.6,13,14.4,15.8,17.2,19.1,21,22.8,24.6},{0,10,20,30,40,50,60,62,64,66,68,70,72,74,76,78,80,85,90,95,100})</f>
        <v>78</v>
      </c>
      <c r="G24" s="27">
        <v>265</v>
      </c>
      <c r="H24" s="29">
        <f>LOOKUP(G24,{0,180,185,190,195,200,205,209,213,217,221,225,229,233,237,241,245,253,260,265,270},{0,10,20,30,40,50,60,62,64,66,68,70,72,74,76,78,80,85,90,95,100})</f>
        <v>95</v>
      </c>
      <c r="I24" s="27">
        <v>15</v>
      </c>
      <c r="J24" s="29">
        <f>LOOKUP(I24,{0,4,5,6,7,8,9,10,11,12,13,14,15,16,17,18},{0,10,20,30,40,50,60,64,68,72,76,80,85,90,95,100})</f>
        <v>85</v>
      </c>
      <c r="K24" s="44"/>
      <c r="L24" s="35"/>
      <c r="M24" s="35">
        <f t="shared" si="1"/>
        <v>85</v>
      </c>
      <c r="N24" s="35">
        <v>6.8</v>
      </c>
      <c r="O24" s="36">
        <f t="shared" si="2"/>
        <v>11.2</v>
      </c>
      <c r="P24" s="29">
        <f>LOOKUP(O24,{0,7.8,8,8.2,8.4,8.6,8.8,9,9.2,9.4,9.6,9.8,10,10.2,10.4,10.6,10.8,10.9,11,11.1,11.2},{0,10,20,30,40,50,60,62,64,66,68,70,72,74,76,78,80,85,90,95,100})</f>
        <v>100</v>
      </c>
      <c r="Q24" s="5">
        <v>4</v>
      </c>
      <c r="R24" s="36">
        <f t="shared" si="3"/>
        <v>6</v>
      </c>
      <c r="S24" s="29">
        <f>LOOKUP(R24,{0,3.85,4.45,4.65,4.85,5.45,5.65,5.7,5.75,5.8,5.85,5.9,5.95,6,6.45,6.5,6.55,6.63,6.7,6.75,6.8},{0,10,20,30,40,50,60,62,64,66,68,70,72,74,76,78,80,85,90,95,100})</f>
        <v>74</v>
      </c>
      <c r="T24" s="27"/>
      <c r="U24" s="27"/>
      <c r="V24" s="27">
        <f t="shared" si="4"/>
        <v>74</v>
      </c>
      <c r="W24" s="27"/>
      <c r="X24" s="19">
        <f t="shared" si="5"/>
        <v>60.6</v>
      </c>
      <c r="Y24" s="13">
        <f t="shared" si="6"/>
        <v>86.5714285714286</v>
      </c>
    </row>
    <row r="25" ht="15.6" spans="1:25">
      <c r="A25" s="27">
        <v>301</v>
      </c>
      <c r="B25" s="27">
        <v>21</v>
      </c>
      <c r="C25" s="31" t="s">
        <v>33</v>
      </c>
      <c r="D25" s="27" t="s">
        <v>12</v>
      </c>
      <c r="E25" s="27">
        <v>10.7</v>
      </c>
      <c r="F25" s="29">
        <f>LOOKUP(E25,{0,-1.8,-0.8,0.2,1.2,2.2,3.2,4.6,6,7.4,8.8,10.2,11.6,13,14.4,15.8,17.2,19.1,21,22.8,24.6},{0,10,20,30,40,50,60,62,64,66,68,70,72,74,76,78,80,85,90,95,100})</f>
        <v>70</v>
      </c>
      <c r="G25" s="27">
        <v>235</v>
      </c>
      <c r="H25" s="29">
        <f>LOOKUP(G25,{0,180,185,190,195,200,205,209,213,217,221,225,229,233,237,241,245,253,260,265,270},{0,10,20,30,40,50,60,62,64,66,68,70,72,74,76,78,80,85,90,95,100})</f>
        <v>74</v>
      </c>
      <c r="I25" s="27">
        <v>16</v>
      </c>
      <c r="J25" s="29">
        <f>LOOKUP(I25,{0,4,5,6,7,8,9,10,11,12,13,14,15,16,17,18},{0,10,20,30,40,50,60,64,68,72,76,80,85,90,95,100})</f>
        <v>90</v>
      </c>
      <c r="K25" s="44"/>
      <c r="L25" s="35"/>
      <c r="M25" s="35">
        <f t="shared" si="1"/>
        <v>90</v>
      </c>
      <c r="N25" s="35">
        <v>6.8</v>
      </c>
      <c r="O25" s="36">
        <f t="shared" si="2"/>
        <v>11.2</v>
      </c>
      <c r="P25" s="29">
        <f>LOOKUP(O25,{0,7.8,8,8.2,8.4,8.6,8.8,9,9.2,9.4,9.6,9.8,10,10.2,10.4,10.6,10.8,10.9,11,11.1,11.2},{0,10,20,30,40,50,60,62,64,66,68,70,72,74,76,78,80,85,90,95,100})</f>
        <v>100</v>
      </c>
      <c r="Q25" s="5">
        <v>3.35</v>
      </c>
      <c r="R25" s="36">
        <f t="shared" si="3"/>
        <v>6.65</v>
      </c>
      <c r="S25" s="29">
        <f>LOOKUP(R25,{0,3.85,4.45,4.65,4.85,5.45,5.65,5.7,5.75,5.8,5.85,5.9,5.95,6,6.45,6.5,6.55,6.63,6.7,6.75,6.8},{0,10,20,30,40,50,60,62,64,66,68,70,72,74,76,78,80,85,90,95,100})</f>
        <v>85</v>
      </c>
      <c r="T25" s="27"/>
      <c r="U25" s="27"/>
      <c r="V25" s="27">
        <f t="shared" si="4"/>
        <v>85</v>
      </c>
      <c r="W25" s="27"/>
      <c r="X25" s="19">
        <f t="shared" si="5"/>
        <v>60.4</v>
      </c>
      <c r="Y25" s="13">
        <f t="shared" si="6"/>
        <v>86.2857142857143</v>
      </c>
    </row>
    <row r="26" ht="15.6" spans="1:25">
      <c r="A26" s="27">
        <v>303</v>
      </c>
      <c r="B26" s="27">
        <v>33</v>
      </c>
      <c r="C26" s="27" t="s">
        <v>135</v>
      </c>
      <c r="D26" s="27" t="s">
        <v>12</v>
      </c>
      <c r="E26" s="27">
        <v>24</v>
      </c>
      <c r="F26" s="29">
        <f>LOOKUP(E26,{0,-1.8,-0.8,0.2,1.2,2.2,3.2,4.6,6,7.4,8.8,10.2,11.6,13,14.4,15.8,17.2,19.1,21,22.8,24.6},{0,10,20,30,40,50,60,62,64,66,68,70,72,74,76,78,80,85,90,95,100})</f>
        <v>95</v>
      </c>
      <c r="G26" s="27">
        <v>260</v>
      </c>
      <c r="H26" s="29">
        <f>LOOKUP(G26,{0,180,185,190,195,200,205,209,213,217,221,225,229,233,237,241,245,253,260,265,270},{0,10,20,30,40,50,60,62,64,66,68,70,72,74,76,78,80,85,90,95,100})</f>
        <v>90</v>
      </c>
      <c r="I26" s="27">
        <v>12</v>
      </c>
      <c r="J26" s="29">
        <f>LOOKUP(I26,{0,4,5,6,7,8,9,10,11,12,13,14,15,16,17,18},{0,10,20,30,40,50,60,64,68,72,76,80,85,90,95,100})</f>
        <v>72</v>
      </c>
      <c r="K26" s="44"/>
      <c r="L26" s="35"/>
      <c r="M26" s="35">
        <f t="shared" si="1"/>
        <v>72</v>
      </c>
      <c r="N26" s="35">
        <v>7</v>
      </c>
      <c r="O26" s="36">
        <f t="shared" si="2"/>
        <v>11</v>
      </c>
      <c r="P26" s="29">
        <f>LOOKUP(O26,{0,7.8,8,8.2,8.4,8.6,8.8,9,9.2,9.4,9.6,9.8,10,10.2,10.4,10.6,10.8,10.9,11,11.1,11.2},{0,10,20,30,40,50,60,62,64,66,68,70,72,74,76,78,80,85,90,95,100})</f>
        <v>90</v>
      </c>
      <c r="Q26" s="5">
        <v>3.4</v>
      </c>
      <c r="R26" s="36">
        <f t="shared" si="3"/>
        <v>6.6</v>
      </c>
      <c r="S26" s="29">
        <f>LOOKUP(R26,{0,3.85,4.45,4.65,4.85,5.45,5.65,5.7,5.75,5.8,5.85,5.9,5.95,6,6.45,6.5,6.55,6.63,6.7,6.75,6.8},{0,10,20,30,40,50,60,62,64,66,68,70,72,74,76,78,80,85,90,95,100})</f>
        <v>80</v>
      </c>
      <c r="T26" s="27"/>
      <c r="U26" s="27"/>
      <c r="V26" s="27">
        <f t="shared" si="4"/>
        <v>80</v>
      </c>
      <c r="W26" s="27"/>
      <c r="X26" s="19">
        <f t="shared" si="5"/>
        <v>59.7</v>
      </c>
      <c r="Y26" s="13">
        <f t="shared" si="6"/>
        <v>85.2857142857143</v>
      </c>
    </row>
    <row r="27" ht="15.6" spans="1:25">
      <c r="A27" s="27">
        <v>311</v>
      </c>
      <c r="B27" s="27">
        <v>3</v>
      </c>
      <c r="C27" s="28" t="s">
        <v>516</v>
      </c>
      <c r="D27" s="28" t="s">
        <v>12</v>
      </c>
      <c r="E27" s="27">
        <v>16</v>
      </c>
      <c r="F27" s="29">
        <f>LOOKUP(E27,{0,-1.8,-0.8,0.2,1.2,2.2,3.2,4.6,6,7.4,8.8,10.2,11.6,13,14.4,15.8,17.2,19.1,21,22.8,24.6},{0,10,20,30,40,50,60,62,64,66,68,70,72,74,76,78,80,85,90,95,100})</f>
        <v>78</v>
      </c>
      <c r="G27" s="27">
        <v>245</v>
      </c>
      <c r="H27" s="29">
        <f>LOOKUP(G27,{0,180,185,190,195,200,205,209,213,217,221,225,229,233,237,241,245,253,260,265,270},{0,10,20,30,40,50,60,62,64,66,68,70,72,74,76,78,80,85,90,95,100})</f>
        <v>80</v>
      </c>
      <c r="I27" s="27">
        <v>25</v>
      </c>
      <c r="J27" s="29">
        <f>LOOKUP(I27,{0,4,5,6,7,8,9,10,11,12,13,14,15,16,17,18},{0,10,20,30,40,50,60,64,68,72,76,80,85,90,95,100})</f>
        <v>100</v>
      </c>
      <c r="K27" s="44">
        <f>I27-18</f>
        <v>7</v>
      </c>
      <c r="L27" s="29">
        <f>LOOKUP(K27,{0,1,2,3,4,5,6,7,8,9,10},{0,1,2,3,4,5,6,7,8,9,10})</f>
        <v>7</v>
      </c>
      <c r="M27" s="35">
        <f t="shared" si="1"/>
        <v>107</v>
      </c>
      <c r="N27" s="35">
        <v>7.2</v>
      </c>
      <c r="O27" s="36">
        <f t="shared" si="2"/>
        <v>10.8</v>
      </c>
      <c r="P27" s="29">
        <f>LOOKUP(O27,{0,7.8,8,8.2,8.4,8.6,8.8,9,9.2,9.4,9.6,9.8,10,10.2,10.4,10.6,10.8,10.9,11,11.1,11.2},{0,10,20,30,40,50,60,62,64,66,68,70,72,74,76,78,80,85,90,95,100})</f>
        <v>80</v>
      </c>
      <c r="Q27" s="5">
        <v>4.25</v>
      </c>
      <c r="R27" s="36">
        <f t="shared" si="3"/>
        <v>5.75</v>
      </c>
      <c r="S27" s="29">
        <f>LOOKUP(R27,{0,3.85,4.45,4.65,4.85,5.45,5.65,5.7,5.75,5.8,5.85,5.9,5.95,6,6.45,6.5,6.55,6.63,6.7,6.75,6.8},{0,10,20,30,40,50,60,62,64,66,68,70,72,74,76,78,80,85,90,95,100})</f>
        <v>64</v>
      </c>
      <c r="T27" s="27"/>
      <c r="U27" s="27"/>
      <c r="V27" s="27">
        <f t="shared" si="4"/>
        <v>64</v>
      </c>
      <c r="W27" s="27"/>
      <c r="X27" s="19">
        <f t="shared" si="5"/>
        <v>54.6</v>
      </c>
      <c r="Y27" s="13">
        <f t="shared" si="6"/>
        <v>85</v>
      </c>
    </row>
    <row r="28" ht="15.6" spans="1:25">
      <c r="A28" s="27">
        <v>303</v>
      </c>
      <c r="B28" s="27">
        <v>23</v>
      </c>
      <c r="C28" s="27" t="s">
        <v>125</v>
      </c>
      <c r="D28" s="27" t="s">
        <v>12</v>
      </c>
      <c r="E28" s="27">
        <v>16.5</v>
      </c>
      <c r="F28" s="29">
        <f>LOOKUP(E28,{0,-1.8,-0.8,0.2,1.2,2.2,3.2,4.6,6,7.4,8.8,10.2,11.6,13,14.4,15.8,17.2,19.1,21,22.8,24.6},{0,10,20,30,40,50,60,62,64,66,68,70,72,74,76,78,80,85,90,95,100})</f>
        <v>78</v>
      </c>
      <c r="G28" s="27">
        <v>265</v>
      </c>
      <c r="H28" s="29">
        <f>LOOKUP(G28,{0,180,185,190,195,200,205,209,213,217,221,225,229,233,237,241,245,253,260,265,270},{0,10,20,30,40,50,60,62,64,66,68,70,72,74,76,78,80,85,90,95,100})</f>
        <v>95</v>
      </c>
      <c r="I28" s="27">
        <v>18</v>
      </c>
      <c r="J28" s="29">
        <f>LOOKUP(I28,{0,4,5,6,7,8,9,10,11,12,13,14,15,16,17,18},{0,10,20,30,40,50,60,64,68,72,76,80,85,90,95,100})</f>
        <v>100</v>
      </c>
      <c r="K28" s="44"/>
      <c r="L28" s="35"/>
      <c r="M28" s="35">
        <f t="shared" si="1"/>
        <v>100</v>
      </c>
      <c r="N28" s="35">
        <v>7.1</v>
      </c>
      <c r="O28" s="36">
        <f t="shared" si="2"/>
        <v>10.9</v>
      </c>
      <c r="P28" s="29">
        <f>LOOKUP(O28,{0,7.8,8,8.2,8.4,8.6,8.8,9,9.2,9.4,9.6,9.8,10,10.2,10.4,10.6,10.8,10.9,11,11.1,11.2},{0,10,20,30,40,50,60,62,64,66,68,70,72,74,76,78,80,85,90,95,100})</f>
        <v>85</v>
      </c>
      <c r="Q28" s="5">
        <v>3.58</v>
      </c>
      <c r="R28" s="36">
        <f t="shared" si="3"/>
        <v>6.42</v>
      </c>
      <c r="S28" s="29">
        <f>LOOKUP(R28,{0,3.85,4.45,4.65,4.85,5.45,5.65,5.7,5.75,5.8,5.85,5.9,5.95,6,6.45,6.5,6.55,6.63,6.7,6.75,6.8},{0,10,20,30,40,50,60,62,64,66,68,70,72,74,76,78,80,85,90,95,100})</f>
        <v>74</v>
      </c>
      <c r="T28" s="27"/>
      <c r="U28" s="27"/>
      <c r="V28" s="27">
        <f t="shared" si="4"/>
        <v>74</v>
      </c>
      <c r="W28" s="27"/>
      <c r="X28" s="19">
        <f t="shared" si="5"/>
        <v>59.1</v>
      </c>
      <c r="Y28" s="13">
        <f t="shared" si="6"/>
        <v>84.4285714285714</v>
      </c>
    </row>
    <row r="29" ht="15.6" spans="1:25">
      <c r="A29" s="27">
        <v>302</v>
      </c>
      <c r="B29" s="27">
        <v>21</v>
      </c>
      <c r="C29" s="31" t="s">
        <v>81</v>
      </c>
      <c r="D29" s="27" t="s">
        <v>12</v>
      </c>
      <c r="E29" s="27">
        <v>24</v>
      </c>
      <c r="F29" s="29">
        <f>LOOKUP(E29,{0,-1.8,-0.8,0.2,1.2,2.2,3.2,4.6,6,7.4,8.8,10.2,11.6,13,14.4,15.8,17.2,19.1,21,22.8,24.6},{0,10,20,30,40,50,60,62,64,66,68,70,72,74,76,78,80,85,90,95,100})</f>
        <v>95</v>
      </c>
      <c r="G29" s="27">
        <v>265</v>
      </c>
      <c r="H29" s="29">
        <f>LOOKUP(G29,{0,180,185,190,195,200,205,209,213,217,221,225,229,233,237,241,245,253,260,265,270},{0,10,20,30,40,50,60,62,64,66,68,70,72,74,76,78,80,85,90,95,100})</f>
        <v>95</v>
      </c>
      <c r="I29" s="27">
        <v>7</v>
      </c>
      <c r="J29" s="29">
        <f>LOOKUP(I29,{0,4,5,6,7,8,9,10,11,12,13,14,15,16,17,18},{0,10,20,30,40,50,60,64,68,72,76,80,85,90,95,100})</f>
        <v>40</v>
      </c>
      <c r="K29" s="44"/>
      <c r="L29" s="35"/>
      <c r="M29" s="35">
        <f t="shared" si="1"/>
        <v>40</v>
      </c>
      <c r="N29" s="35">
        <v>6.7</v>
      </c>
      <c r="O29" s="36">
        <f t="shared" si="2"/>
        <v>11.3</v>
      </c>
      <c r="P29" s="29">
        <f>LOOKUP(O29,{0,7.8,8,8.2,8.4,8.6,8.8,9,9.2,9.4,9.6,9.8,10,10.2,10.4,10.6,10.8,10.9,11,11.1,11.2},{0,10,20,30,40,50,60,62,64,66,68,70,72,74,76,78,80,85,90,95,100})</f>
        <v>100</v>
      </c>
      <c r="Q29" s="5">
        <v>3.41</v>
      </c>
      <c r="R29" s="36">
        <f t="shared" si="3"/>
        <v>6.59</v>
      </c>
      <c r="S29" s="29">
        <f>LOOKUP(R29,{0,3.85,4.45,4.65,4.85,5.45,5.65,5.7,5.75,5.8,5.85,5.9,5.95,6,6.45,6.5,6.55,6.63,6.7,6.75,6.8},{0,10,20,30,40,50,60,62,64,66,68,70,72,74,76,78,80,85,90,95,100})</f>
        <v>80</v>
      </c>
      <c r="T29" s="27"/>
      <c r="U29" s="27"/>
      <c r="V29" s="27">
        <f t="shared" si="4"/>
        <v>80</v>
      </c>
      <c r="W29" s="27"/>
      <c r="X29" s="19">
        <f t="shared" si="5"/>
        <v>59</v>
      </c>
      <c r="Y29" s="13">
        <f t="shared" si="6"/>
        <v>84.2857142857143</v>
      </c>
    </row>
    <row r="30" ht="15.6" spans="1:25">
      <c r="A30" s="27">
        <v>311</v>
      </c>
      <c r="B30" s="27">
        <v>30</v>
      </c>
      <c r="C30" s="27" t="s">
        <v>545</v>
      </c>
      <c r="D30" s="27" t="s">
        <v>12</v>
      </c>
      <c r="E30" s="27">
        <v>30.5</v>
      </c>
      <c r="F30" s="29">
        <f>LOOKUP(E30,{0,-1.8,-0.8,0.2,1.2,2.2,3.2,4.6,6,7.4,8.8,10.2,11.6,13,14.4,15.8,17.2,19.1,21,22.8,24.6},{0,10,20,30,40,50,60,62,64,66,68,70,72,74,76,78,80,85,90,95,100})</f>
        <v>100</v>
      </c>
      <c r="G30" s="27">
        <v>215</v>
      </c>
      <c r="H30" s="29">
        <f>LOOKUP(G30,{0,180,185,190,195,200,205,209,213,217,221,225,229,233,237,241,245,253,260,265,270},{0,10,20,30,40,50,60,62,64,66,68,70,72,74,76,78,80,85,90,95,100})</f>
        <v>64</v>
      </c>
      <c r="I30" s="27">
        <v>20</v>
      </c>
      <c r="J30" s="29">
        <f>LOOKUP(I30,{0,4,5,6,7,8,9,10,11,12,13,14,15,16,17,18},{0,10,20,30,40,50,60,64,68,72,76,80,85,90,95,100})</f>
        <v>100</v>
      </c>
      <c r="K30" s="44">
        <f>I30-18</f>
        <v>2</v>
      </c>
      <c r="L30" s="29">
        <f>LOOKUP(K30,{0,1,2,3,4,5,6,7,8,9,10},{0,1,2,3,4,5,6,7,8,9,10})</f>
        <v>2</v>
      </c>
      <c r="M30" s="35">
        <f t="shared" si="1"/>
        <v>102</v>
      </c>
      <c r="N30" s="35">
        <v>7.6</v>
      </c>
      <c r="O30" s="36">
        <f t="shared" si="2"/>
        <v>10.4</v>
      </c>
      <c r="P30" s="29">
        <f>LOOKUP(O30,{0,7.8,8,8.2,8.4,8.6,8.8,9,9.2,9.4,9.6,9.8,10,10.2,10.4,10.6,10.8,10.9,11,11.1,11.2},{0,10,20,30,40,50,60,62,64,66,68,70,72,74,76,78,80,85,90,95,100})</f>
        <v>76</v>
      </c>
      <c r="Q30" s="5">
        <v>3.45</v>
      </c>
      <c r="R30" s="36">
        <f t="shared" si="3"/>
        <v>6.55</v>
      </c>
      <c r="S30" s="29">
        <f>LOOKUP(R30,{0,3.85,4.45,4.65,4.85,5.45,5.65,5.7,5.75,5.8,5.85,5.9,5.95,6,6.45,6.5,6.55,6.63,6.7,6.75,6.8},{0,10,20,30,40,50,60,62,64,66,68,70,72,74,76,78,80,85,90,95,100})</f>
        <v>80</v>
      </c>
      <c r="T30" s="27"/>
      <c r="U30" s="27"/>
      <c r="V30" s="27">
        <f t="shared" si="4"/>
        <v>80</v>
      </c>
      <c r="W30" s="27"/>
      <c r="X30" s="19">
        <f t="shared" si="5"/>
        <v>57.6</v>
      </c>
      <c r="Y30" s="13">
        <f t="shared" si="6"/>
        <v>84.2857142857143</v>
      </c>
    </row>
    <row r="31" ht="15.6" spans="1:25">
      <c r="A31" s="27">
        <v>316</v>
      </c>
      <c r="B31" s="27">
        <v>2</v>
      </c>
      <c r="C31" s="28" t="s">
        <v>789</v>
      </c>
      <c r="D31" s="28" t="s">
        <v>12</v>
      </c>
      <c r="E31" s="27">
        <v>4</v>
      </c>
      <c r="F31" s="29">
        <f>LOOKUP(E31,{0,-1.8,-0.8,0.2,1.2,2.2,3.2,4.6,6,7.4,8.8,10.2,11.6,13,14.4,15.8,17.2,19.1,21,22.8,24.6},{0,10,20,30,40,50,60,62,64,66,68,70,72,74,76,78,80,85,90,95,100})</f>
        <v>60</v>
      </c>
      <c r="G31" s="27">
        <v>250</v>
      </c>
      <c r="H31" s="29">
        <f>LOOKUP(G31,{0,180,185,190,195,200,205,209,213,217,221,225,229,233,237,241,245,253,260,265,270},{0,10,20,30,40,50,60,62,64,66,68,70,72,74,76,78,80,85,90,95,100})</f>
        <v>80</v>
      </c>
      <c r="I31" s="27">
        <v>29</v>
      </c>
      <c r="J31" s="29">
        <f>LOOKUP(I31,{0,4,5,6,7,8,9,10,11,12,13,14,15,16,17,18},{0,10,20,30,40,50,60,64,68,72,76,80,85,90,95,100})</f>
        <v>100</v>
      </c>
      <c r="K31" s="44">
        <f>I31-18</f>
        <v>11</v>
      </c>
      <c r="L31" s="29">
        <f>LOOKUP(K31,{0,1,2,3,4,5,6,7,8,9,10},{0,1,2,3,4,5,6,7,8,9,10})</f>
        <v>10</v>
      </c>
      <c r="M31" s="35">
        <f t="shared" si="1"/>
        <v>110</v>
      </c>
      <c r="N31" s="35">
        <v>7</v>
      </c>
      <c r="O31" s="36">
        <f t="shared" si="2"/>
        <v>11</v>
      </c>
      <c r="P31" s="29">
        <f>LOOKUP(O31,{0,7.8,8,8.2,8.4,8.6,8.8,9,9.2,9.4,9.6,9.8,10,10.2,10.4,10.6,10.8,10.9,11,11.1,11.2},{0,10,20,30,40,50,60,62,64,66,68,70,72,74,76,78,80,85,90,95,100})</f>
        <v>90</v>
      </c>
      <c r="Q31" s="5">
        <v>4.54</v>
      </c>
      <c r="R31" s="36">
        <f t="shared" si="3"/>
        <v>5.46</v>
      </c>
      <c r="S31" s="29">
        <f>LOOKUP(R31,{0,3.85,4.45,4.65,4.85,5.45,5.65,5.7,5.75,5.8,5.85,5.9,5.95,6,6.45,6.5,6.55,6.63,6.7,6.75,6.8},{0,10,20,30,40,50,60,62,64,66,68,70,72,74,76,78,80,85,90,95,100})</f>
        <v>50</v>
      </c>
      <c r="T31" s="27"/>
      <c r="U31" s="27"/>
      <c r="V31" s="27">
        <f t="shared" si="4"/>
        <v>50</v>
      </c>
      <c r="W31" s="27"/>
      <c r="X31" s="19">
        <f t="shared" si="5"/>
        <v>52</v>
      </c>
      <c r="Y31" s="13">
        <f t="shared" si="6"/>
        <v>84.2857142857143</v>
      </c>
    </row>
    <row r="32" ht="15.6" spans="1:25">
      <c r="A32" s="27">
        <v>312</v>
      </c>
      <c r="B32" s="27">
        <v>18</v>
      </c>
      <c r="C32" s="28" t="s">
        <v>592</v>
      </c>
      <c r="D32" s="28" t="s">
        <v>12</v>
      </c>
      <c r="E32" s="27">
        <v>12</v>
      </c>
      <c r="F32" s="29">
        <f>LOOKUP(E32,{0,-1.8,-0.8,0.2,1.2,2.2,3.2,4.6,6,7.4,8.8,10.2,11.6,13,14.4,15.8,17.2,19.1,21,22.8,24.6},{0,10,20,30,40,50,60,62,64,66,68,70,72,74,76,78,80,85,90,95,100})</f>
        <v>72</v>
      </c>
      <c r="G32" s="27">
        <v>265</v>
      </c>
      <c r="H32" s="29">
        <f>LOOKUP(G32,{0,180,185,190,195,200,205,209,213,217,221,225,229,233,237,241,245,253,260,265,270},{0,10,20,30,40,50,60,62,64,66,68,70,72,74,76,78,80,85,90,95,100})</f>
        <v>95</v>
      </c>
      <c r="I32" s="27">
        <v>30</v>
      </c>
      <c r="J32" s="29">
        <f>LOOKUP(I32,{0,4,5,6,7,8,9,10,11,12,13,14,15,16,17,18},{0,10,20,30,40,50,60,64,68,72,76,80,85,90,95,100})</f>
        <v>100</v>
      </c>
      <c r="K32" s="44">
        <f>I32-18</f>
        <v>12</v>
      </c>
      <c r="L32" s="29">
        <f>LOOKUP(K32,{0,1,2,3,4,5,6,7,8,9,10},{0,1,2,3,4,5,6,7,8,9,10})</f>
        <v>10</v>
      </c>
      <c r="M32" s="35">
        <f t="shared" si="1"/>
        <v>110</v>
      </c>
      <c r="N32" s="35">
        <v>7.5</v>
      </c>
      <c r="O32" s="36">
        <f t="shared" si="2"/>
        <v>10.5</v>
      </c>
      <c r="P32" s="29">
        <f>LOOKUP(O32,{0,7.8,8,8.2,8.4,8.6,8.8,9,9.2,9.4,9.6,9.8,10,10.2,10.4,10.6,10.8,10.9,11,11.1,11.2},{0,10,20,30,40,50,60,62,64,66,68,70,72,74,76,78,80,85,90,95,100})</f>
        <v>76</v>
      </c>
      <c r="Q32" s="5">
        <v>4.46</v>
      </c>
      <c r="R32" s="36">
        <f t="shared" si="3"/>
        <v>5.54</v>
      </c>
      <c r="S32" s="29">
        <f>LOOKUP(R32,{0,3.85,4.45,4.65,4.85,5.45,5.65,5.7,5.75,5.8,5.85,5.9,5.95,6,6.45,6.5,6.55,6.63,6.7,6.75,6.8},{0,10,20,30,40,50,60,62,64,66,68,70,72,74,76,78,80,85,90,95,100})</f>
        <v>50</v>
      </c>
      <c r="T32" s="27"/>
      <c r="U32" s="27"/>
      <c r="V32" s="27">
        <f t="shared" si="4"/>
        <v>50</v>
      </c>
      <c r="W32" s="27"/>
      <c r="X32" s="19">
        <f t="shared" si="5"/>
        <v>51.9</v>
      </c>
      <c r="Y32" s="13">
        <f t="shared" si="6"/>
        <v>84.1428571428571</v>
      </c>
    </row>
    <row r="33" ht="15.6" spans="1:25">
      <c r="A33" s="27">
        <v>302</v>
      </c>
      <c r="B33" s="27">
        <v>16</v>
      </c>
      <c r="C33" s="27" t="s">
        <v>74</v>
      </c>
      <c r="D33" s="27" t="s">
        <v>12</v>
      </c>
      <c r="E33" s="27">
        <v>16</v>
      </c>
      <c r="F33" s="29">
        <f>LOOKUP(E33,{0,-1.8,-0.8,0.2,1.2,2.2,3.2,4.6,6,7.4,8.8,10.2,11.6,13,14.4,15.8,17.2,19.1,21,22.8,24.6},{0,10,20,30,40,50,60,62,64,66,68,70,72,74,76,78,80,85,90,95,100})</f>
        <v>78</v>
      </c>
      <c r="G33" s="27">
        <v>260</v>
      </c>
      <c r="H33" s="29">
        <f>LOOKUP(G33,{0,180,185,190,195,200,205,209,213,217,221,225,229,233,237,241,245,253,260,265,270},{0,10,20,30,40,50,60,62,64,66,68,70,72,74,76,78,80,85,90,95,100})</f>
        <v>90</v>
      </c>
      <c r="I33" s="27">
        <v>10</v>
      </c>
      <c r="J33" s="29">
        <f>LOOKUP(I33,{0,4,5,6,7,8,9,10,11,12,13,14,15,16,17,18},{0,10,20,30,40,50,60,64,68,72,76,80,85,90,95,100})</f>
        <v>64</v>
      </c>
      <c r="K33" s="44"/>
      <c r="L33" s="35"/>
      <c r="M33" s="35">
        <f t="shared" si="1"/>
        <v>64</v>
      </c>
      <c r="N33" s="35">
        <v>6.8</v>
      </c>
      <c r="O33" s="36">
        <f t="shared" si="2"/>
        <v>11.2</v>
      </c>
      <c r="P33" s="29">
        <f>LOOKUP(O33,{0,7.8,8,8.2,8.4,8.6,8.8,9,9.2,9.4,9.6,9.8,10,10.2,10.4,10.6,10.8,10.9,11,11.1,11.2},{0,10,20,30,40,50,60,62,64,66,68,70,72,74,76,78,80,85,90,95,100})</f>
        <v>100</v>
      </c>
      <c r="Q33" s="5">
        <v>3.47</v>
      </c>
      <c r="R33" s="36">
        <f t="shared" si="3"/>
        <v>6.53</v>
      </c>
      <c r="S33" s="29">
        <f>LOOKUP(R33,{0,3.85,4.45,4.65,4.85,5.45,5.65,5.7,5.75,5.8,5.85,5.9,5.95,6,6.45,6.5,6.55,6.63,6.7,6.75,6.8},{0,10,20,30,40,50,60,62,64,66,68,70,72,74,76,78,80,85,90,95,100})</f>
        <v>78</v>
      </c>
      <c r="T33" s="27"/>
      <c r="U33" s="27"/>
      <c r="V33" s="27">
        <f t="shared" si="4"/>
        <v>78</v>
      </c>
      <c r="W33" s="27"/>
      <c r="X33" s="19">
        <f t="shared" si="5"/>
        <v>58.8</v>
      </c>
      <c r="Y33" s="13">
        <f t="shared" si="6"/>
        <v>84</v>
      </c>
    </row>
    <row r="34" ht="15.6" spans="1:25">
      <c r="A34" s="27">
        <v>311</v>
      </c>
      <c r="B34" s="27">
        <v>12</v>
      </c>
      <c r="C34" s="28" t="s">
        <v>525</v>
      </c>
      <c r="D34" s="28" t="s">
        <v>12</v>
      </c>
      <c r="E34" s="27">
        <v>15</v>
      </c>
      <c r="F34" s="29">
        <f>LOOKUP(E34,{0,-1.8,-0.8,0.2,1.2,2.2,3.2,4.6,6,7.4,8.8,10.2,11.6,13,14.4,15.8,17.2,19.1,21,22.8,24.6},{0,10,20,30,40,50,60,62,64,66,68,70,72,74,76,78,80,85,90,95,100})</f>
        <v>76</v>
      </c>
      <c r="G34" s="27">
        <v>250</v>
      </c>
      <c r="H34" s="29">
        <f>LOOKUP(G34,{0,180,185,190,195,200,205,209,213,217,221,225,229,233,237,241,245,253,260,265,270},{0,10,20,30,40,50,60,62,64,66,68,70,72,74,76,78,80,85,90,95,100})</f>
        <v>80</v>
      </c>
      <c r="I34" s="27">
        <v>18</v>
      </c>
      <c r="J34" s="29">
        <f>LOOKUP(I34,{0,4,5,6,7,8,9,10,11,12,13,14,15,16,17,18},{0,10,20,30,40,50,60,64,68,72,76,80,85,90,95,100})</f>
        <v>100</v>
      </c>
      <c r="K34" s="44"/>
      <c r="L34" s="35"/>
      <c r="M34" s="35">
        <f t="shared" si="1"/>
        <v>100</v>
      </c>
      <c r="N34" s="35">
        <v>6.8</v>
      </c>
      <c r="O34" s="36">
        <f t="shared" si="2"/>
        <v>11.2</v>
      </c>
      <c r="P34" s="29">
        <f>LOOKUP(O34,{0,7.8,8,8.2,8.4,8.6,8.8,9,9.2,9.4,9.6,9.8,10,10.2,10.4,10.6,10.8,10.9,11,11.1,11.2},{0,10,20,30,40,50,60,62,64,66,68,70,72,74,76,78,80,85,90,95,100})</f>
        <v>100</v>
      </c>
      <c r="Q34" s="5">
        <v>4.16</v>
      </c>
      <c r="R34" s="36">
        <f t="shared" si="3"/>
        <v>5.84</v>
      </c>
      <c r="S34" s="29">
        <f>LOOKUP(R34,{0,3.85,4.45,4.65,4.85,5.45,5.65,5.7,5.75,5.8,5.85,5.9,5.95,6,6.45,6.5,6.55,6.63,6.7,6.75,6.8},{0,10,20,30,40,50,60,62,64,66,68,70,72,74,76,78,80,85,90,95,100})</f>
        <v>66</v>
      </c>
      <c r="T34" s="27"/>
      <c r="U34" s="27"/>
      <c r="V34" s="27">
        <f t="shared" si="4"/>
        <v>66</v>
      </c>
      <c r="W34" s="27"/>
      <c r="X34" s="19">
        <f t="shared" si="5"/>
        <v>58.8</v>
      </c>
      <c r="Y34" s="13">
        <f t="shared" si="6"/>
        <v>84</v>
      </c>
    </row>
    <row r="35" ht="15.6" spans="1:25">
      <c r="A35" s="27">
        <v>306</v>
      </c>
      <c r="B35" s="27">
        <v>28</v>
      </c>
      <c r="C35" s="28" t="s">
        <v>271</v>
      </c>
      <c r="D35" s="28" t="s">
        <v>12</v>
      </c>
      <c r="E35" s="27">
        <v>20</v>
      </c>
      <c r="F35" s="29">
        <f>LOOKUP(E35,{0,-1.8,-0.8,0.2,1.2,2.2,3.2,4.6,6,7.4,8.8,10.2,11.6,13,14.4,15.8,17.2,19.1,21,22.8,24.6},{0,10,20,30,40,50,60,62,64,66,68,70,72,74,76,78,80,85,90,95,100})</f>
        <v>85</v>
      </c>
      <c r="G35" s="27">
        <v>273</v>
      </c>
      <c r="H35" s="29">
        <f>LOOKUP(G35,{0,180,185,190,195,200,205,209,213,217,221,225,229,233,237,241,245,253,260,265,270},{0,10,20,30,40,50,60,62,64,66,68,70,72,74,76,78,80,85,90,95,100})</f>
        <v>100</v>
      </c>
      <c r="I35" s="27">
        <v>18</v>
      </c>
      <c r="J35" s="29">
        <f>LOOKUP(I35,{0,4,5,6,7,8,9,10,11,12,13,14,15,16,17,18},{0,10,20,30,40,50,60,64,68,72,76,80,85,90,95,100})</f>
        <v>100</v>
      </c>
      <c r="K35" s="44"/>
      <c r="L35" s="35"/>
      <c r="M35" s="35">
        <f t="shared" si="1"/>
        <v>100</v>
      </c>
      <c r="N35" s="35">
        <v>6.7</v>
      </c>
      <c r="O35" s="36">
        <f t="shared" si="2"/>
        <v>11.3</v>
      </c>
      <c r="P35" s="29">
        <f>LOOKUP(O35,{0,7.8,8,8.2,8.4,8.6,8.8,9,9.2,9.4,9.6,9.8,10,10.2,10.4,10.6,10.8,10.9,11,11.1,11.2},{0,10,20,30,40,50,60,62,64,66,68,70,72,74,76,78,80,85,90,95,100})</f>
        <v>100</v>
      </c>
      <c r="Q35" s="5">
        <v>4.49</v>
      </c>
      <c r="R35" s="36">
        <f t="shared" si="3"/>
        <v>5.51</v>
      </c>
      <c r="S35" s="29">
        <f>LOOKUP(R35,{0,3.85,4.45,4.65,4.85,5.45,5.65,5.7,5.75,5.8,5.85,5.9,5.95,6,6.45,6.5,6.55,6.63,6.7,6.75,6.8},{0,10,20,30,40,50,60,62,64,66,68,70,72,74,76,78,80,85,90,95,100})</f>
        <v>50</v>
      </c>
      <c r="T35" s="27"/>
      <c r="U35" s="27"/>
      <c r="V35" s="27">
        <f t="shared" si="4"/>
        <v>50</v>
      </c>
      <c r="W35" s="27"/>
      <c r="X35" s="19">
        <f t="shared" si="5"/>
        <v>58.5</v>
      </c>
      <c r="Y35" s="13">
        <f t="shared" si="6"/>
        <v>83.5714285714286</v>
      </c>
    </row>
    <row r="36" ht="15.6" spans="1:25">
      <c r="A36" s="27">
        <v>307</v>
      </c>
      <c r="B36" s="27">
        <v>1</v>
      </c>
      <c r="C36" s="30" t="s">
        <v>299</v>
      </c>
      <c r="D36" s="28" t="s">
        <v>12</v>
      </c>
      <c r="E36" s="27">
        <v>17.5</v>
      </c>
      <c r="F36" s="29">
        <f>LOOKUP(E36,{0,-1.8,-0.8,0.2,1.2,2.2,3.2,4.6,6,7.4,8.8,10.2,11.6,13,14.4,15.8,17.2,19.1,21,22.8,24.6},{0,10,20,30,40,50,60,62,64,66,68,70,72,74,76,78,80,85,90,95,100})</f>
        <v>80</v>
      </c>
      <c r="G36" s="27">
        <v>245</v>
      </c>
      <c r="H36" s="29">
        <f>LOOKUP(G36,{0,180,185,190,195,200,205,209,213,217,221,225,229,233,237,241,245,253,260,265,270},{0,10,20,30,40,50,60,62,64,66,68,70,72,74,76,78,80,85,90,95,100})</f>
        <v>80</v>
      </c>
      <c r="I36" s="27">
        <v>4</v>
      </c>
      <c r="J36" s="29">
        <f>LOOKUP(I36,{0,4,5,6,7,8,9,10,11,12,13,14,15,16,17,18},{0,10,20,30,40,50,60,64,68,72,76,80,85,90,95,100})</f>
        <v>10</v>
      </c>
      <c r="K36" s="44"/>
      <c r="L36" s="35"/>
      <c r="M36" s="35">
        <f t="shared" si="1"/>
        <v>10</v>
      </c>
      <c r="N36" s="35">
        <v>6.7</v>
      </c>
      <c r="O36" s="36">
        <f t="shared" si="2"/>
        <v>11.3</v>
      </c>
      <c r="P36" s="29">
        <f>LOOKUP(O36,{0,7.8,8,8.2,8.4,8.6,8.8,9,9.2,9.4,9.6,9.8,10,10.2,10.4,10.6,10.8,10.9,11,11.1,11.2},{0,10,20,30,40,50,60,62,64,66,68,70,72,74,76,78,80,85,90,95,100})</f>
        <v>100</v>
      </c>
      <c r="Q36" s="5">
        <v>3.12</v>
      </c>
      <c r="R36" s="36">
        <f t="shared" si="3"/>
        <v>6.88</v>
      </c>
      <c r="S36" s="29">
        <f>LOOKUP(R36,{0,3.85,4.45,4.65,4.85,5.45,5.65,5.7,5.75,5.8,5.85,5.9,5.95,6,6.45,6.5,6.55,6.63,6.7,6.75,6.8},{0,10,20,30,40,50,60,62,64,66,68,70,72,74,76,78,80,85,90,95,100})</f>
        <v>100</v>
      </c>
      <c r="T36" s="27">
        <f>3.2-Q36</f>
        <v>0.0800000000000001</v>
      </c>
      <c r="U36" s="29">
        <f>LOOKUP(T36,{0,0.04,0.08,0.12,0.16,0.2,0.23,0.26,0.29,0.32,0.35},{0,1,2,3,4,5,6,7,8,9,10})</f>
        <v>2</v>
      </c>
      <c r="V36" s="27">
        <f t="shared" si="4"/>
        <v>102</v>
      </c>
      <c r="W36" s="27"/>
      <c r="X36" s="19">
        <f t="shared" si="5"/>
        <v>57</v>
      </c>
      <c r="Y36" s="13">
        <f t="shared" si="6"/>
        <v>83.4285714285714</v>
      </c>
    </row>
    <row r="37" ht="15.6" spans="1:25">
      <c r="A37" s="27">
        <v>304</v>
      </c>
      <c r="B37" s="27">
        <v>19</v>
      </c>
      <c r="C37" s="27" t="s">
        <v>167</v>
      </c>
      <c r="D37" s="27" t="s">
        <v>12</v>
      </c>
      <c r="E37" s="27">
        <v>14</v>
      </c>
      <c r="F37" s="29">
        <f>LOOKUP(E37,{0,-1.8,-0.8,0.2,1.2,2.2,3.2,4.6,6,7.4,8.8,10.2,11.6,13,14.4,15.8,17.2,19.1,21,22.8,24.6},{0,10,20,30,40,50,60,62,64,66,68,70,72,74,76,78,80,85,90,95,100})</f>
        <v>74</v>
      </c>
      <c r="G37" s="27">
        <v>240</v>
      </c>
      <c r="H37" s="29">
        <f>LOOKUP(G37,{0,180,185,190,195,200,205,209,213,217,221,225,229,233,237,241,245,253,260,265,270},{0,10,20,30,40,50,60,62,64,66,68,70,72,74,76,78,80,85,90,95,100})</f>
        <v>76</v>
      </c>
      <c r="I37" s="27">
        <v>13</v>
      </c>
      <c r="J37" s="29">
        <f>LOOKUP(I37,{0,4,5,6,7,8,9,10,11,12,13,14,15,16,17,18},{0,10,20,30,40,50,60,64,68,72,76,80,85,90,95,100})</f>
        <v>76</v>
      </c>
      <c r="K37" s="44"/>
      <c r="L37" s="35"/>
      <c r="M37" s="35">
        <f t="shared" si="1"/>
        <v>76</v>
      </c>
      <c r="N37" s="35">
        <v>7.3</v>
      </c>
      <c r="O37" s="36">
        <f t="shared" si="2"/>
        <v>10.7</v>
      </c>
      <c r="P37" s="29">
        <f>LOOKUP(O37,{0,7.8,8,8.2,8.4,8.6,8.8,9,9.2,9.4,9.6,9.8,10,10.2,10.4,10.6,10.8,10.9,11,11.1,11.2},{0,10,20,30,40,50,60,62,64,66,68,70,72,74,76,78,80,85,90,95,100})</f>
        <v>78</v>
      </c>
      <c r="Q37" s="5">
        <v>3.19</v>
      </c>
      <c r="R37" s="36">
        <f t="shared" si="3"/>
        <v>6.81</v>
      </c>
      <c r="S37" s="29">
        <f>LOOKUP(R37,{0,3.85,4.45,4.65,4.85,5.45,5.65,5.7,5.75,5.8,5.85,5.9,5.95,6,6.45,6.5,6.55,6.63,6.7,6.75,6.8},{0,10,20,30,40,50,60,62,64,66,68,70,72,74,76,78,80,85,90,95,100})</f>
        <v>100</v>
      </c>
      <c r="T37" s="27">
        <f>3.2-Q37</f>
        <v>0.0100000000000002</v>
      </c>
      <c r="U37" s="29">
        <f>LOOKUP(T37,{0,0.04,0.08,0.12,0.16,0.2,0.23,0.26,0.29,0.32,0.35},{0,1,2,3,4,5,6,7,8,9,10})</f>
        <v>0</v>
      </c>
      <c r="V37" s="27">
        <f t="shared" si="4"/>
        <v>100</v>
      </c>
      <c r="W37" s="27"/>
      <c r="X37" s="19">
        <f t="shared" si="5"/>
        <v>58.2</v>
      </c>
      <c r="Y37" s="13">
        <f t="shared" si="6"/>
        <v>83.1428571428572</v>
      </c>
    </row>
    <row r="38" ht="15.6" spans="1:25">
      <c r="A38" s="27">
        <v>307</v>
      </c>
      <c r="B38" s="27">
        <v>5</v>
      </c>
      <c r="C38" s="28" t="s">
        <v>303</v>
      </c>
      <c r="D38" s="28" t="s">
        <v>12</v>
      </c>
      <c r="E38" s="27">
        <v>9.4</v>
      </c>
      <c r="F38" s="29">
        <f>LOOKUP(E38,{0,-1.8,-0.8,0.2,1.2,2.2,3.2,4.6,6,7.4,8.8,10.2,11.6,13,14.4,15.8,17.2,19.1,21,22.8,24.6},{0,10,20,30,40,50,60,62,64,66,68,70,72,74,76,78,80,85,90,95,100})</f>
        <v>68</v>
      </c>
      <c r="G38" s="27">
        <v>240</v>
      </c>
      <c r="H38" s="29">
        <f>LOOKUP(G38,{0,180,185,190,195,200,205,209,213,217,221,225,229,233,237,241,245,253,260,265,270},{0,10,20,30,40,50,60,62,64,66,68,70,72,74,76,78,80,85,90,95,100})</f>
        <v>76</v>
      </c>
      <c r="I38" s="27">
        <v>18</v>
      </c>
      <c r="J38" s="29">
        <f>LOOKUP(I38,{0,4,5,6,7,8,9,10,11,12,13,14,15,16,17,18},{0,10,20,30,40,50,60,64,68,72,76,80,85,90,95,100})</f>
        <v>100</v>
      </c>
      <c r="K38" s="44"/>
      <c r="L38" s="35"/>
      <c r="M38" s="35">
        <f t="shared" si="1"/>
        <v>100</v>
      </c>
      <c r="N38" s="35">
        <v>6.9</v>
      </c>
      <c r="O38" s="36">
        <f t="shared" si="2"/>
        <v>11.1</v>
      </c>
      <c r="P38" s="29">
        <f>LOOKUP(O38,{0,7.8,8,8.2,8.4,8.6,8.8,9,9.2,9.4,9.6,9.8,10,10.2,10.4,10.6,10.8,10.9,11,11.1,11.2},{0,10,20,30,40,50,60,62,64,66,68,70,72,74,76,78,80,85,90,95,100})</f>
        <v>95</v>
      </c>
      <c r="Q38" s="5">
        <v>3.56</v>
      </c>
      <c r="R38" s="36">
        <f t="shared" si="3"/>
        <v>6.44</v>
      </c>
      <c r="S38" s="29">
        <f>LOOKUP(R38,{0,3.85,4.45,4.65,4.85,5.45,5.65,5.7,5.75,5.8,5.85,5.9,5.95,6,6.45,6.5,6.55,6.63,6.7,6.75,6.8},{0,10,20,30,40,50,60,62,64,66,68,70,72,74,76,78,80,85,90,95,100})</f>
        <v>74</v>
      </c>
      <c r="T38" s="27"/>
      <c r="U38" s="27"/>
      <c r="V38" s="27">
        <f t="shared" si="4"/>
        <v>74</v>
      </c>
      <c r="W38" s="27"/>
      <c r="X38" s="19">
        <f t="shared" si="5"/>
        <v>58.2</v>
      </c>
      <c r="Y38" s="13">
        <f t="shared" si="6"/>
        <v>83.1428571428572</v>
      </c>
    </row>
    <row r="39" ht="15.6" spans="1:25">
      <c r="A39" s="27">
        <v>312</v>
      </c>
      <c r="B39" s="27">
        <v>8</v>
      </c>
      <c r="C39" s="28" t="s">
        <v>581</v>
      </c>
      <c r="D39" s="28" t="s">
        <v>12</v>
      </c>
      <c r="E39" s="27">
        <v>15.3</v>
      </c>
      <c r="F39" s="29">
        <f>LOOKUP(E39,{0,-1.8,-0.8,0.2,1.2,2.2,3.2,4.6,6,7.4,8.8,10.2,11.6,13,14.4,15.8,17.2,19.1,21,22.8,24.6},{0,10,20,30,40,50,60,62,64,66,68,70,72,74,76,78,80,85,90,95,100})</f>
        <v>76</v>
      </c>
      <c r="G39" s="27">
        <v>255</v>
      </c>
      <c r="H39" s="29">
        <f>LOOKUP(G39,{0,180,185,190,195,200,205,209,213,217,221,225,229,233,237,241,245,253,260,265,270},{0,10,20,30,40,50,60,62,64,66,68,70,72,74,76,78,80,85,90,95,100})</f>
        <v>85</v>
      </c>
      <c r="I39" s="27">
        <v>14</v>
      </c>
      <c r="J39" s="29">
        <f>LOOKUP(I39,{0,4,5,6,7,8,9,10,11,12,13,14,15,16,17,18},{0,10,20,30,40,50,60,64,68,72,76,80,85,90,95,100})</f>
        <v>80</v>
      </c>
      <c r="K39" s="44"/>
      <c r="L39" s="35"/>
      <c r="M39" s="35">
        <f t="shared" si="1"/>
        <v>80</v>
      </c>
      <c r="N39" s="35">
        <v>7.8</v>
      </c>
      <c r="O39" s="36">
        <f t="shared" si="2"/>
        <v>10.2</v>
      </c>
      <c r="P39" s="29">
        <f>LOOKUP(O39,{0,7.8,8,8.2,8.4,8.6,8.8,9,9.2,9.4,9.6,9.8,10,10.2,10.4,10.6,10.8,10.9,11,11.1,11.2},{0,10,20,30,40,50,60,62,64,66,68,70,72,74,76,78,80,85,90,95,100})</f>
        <v>74</v>
      </c>
      <c r="Q39" s="5">
        <v>3.24</v>
      </c>
      <c r="R39" s="36">
        <f t="shared" si="3"/>
        <v>6.76</v>
      </c>
      <c r="S39" s="29">
        <f>LOOKUP(R39,{0,3.85,4.45,4.65,4.85,5.45,5.65,5.7,5.75,5.8,5.85,5.9,5.95,6,6.45,6.5,6.55,6.63,6.7,6.75,6.8},{0,10,20,30,40,50,60,62,64,66,68,70,72,74,76,78,80,85,90,95,100})</f>
        <v>95</v>
      </c>
      <c r="T39" s="27"/>
      <c r="U39" s="27"/>
      <c r="V39" s="27">
        <f t="shared" si="4"/>
        <v>95</v>
      </c>
      <c r="W39" s="27"/>
      <c r="X39" s="19">
        <f t="shared" si="5"/>
        <v>57.9</v>
      </c>
      <c r="Y39" s="13">
        <f t="shared" si="6"/>
        <v>82.7142857142857</v>
      </c>
    </row>
    <row r="40" ht="15.6" spans="1:25">
      <c r="A40" s="27">
        <v>306</v>
      </c>
      <c r="B40" s="27">
        <v>21</v>
      </c>
      <c r="C40" s="28" t="s">
        <v>263</v>
      </c>
      <c r="D40" s="28" t="s">
        <v>12</v>
      </c>
      <c r="E40" s="27">
        <v>17.7</v>
      </c>
      <c r="F40" s="29">
        <f>LOOKUP(E40,{0,-1.8,-0.8,0.2,1.2,2.2,3.2,4.6,6,7.4,8.8,10.2,11.6,13,14.4,15.8,17.2,19.1,21,22.8,24.6},{0,10,20,30,40,50,60,62,64,66,68,70,72,74,76,78,80,85,90,95,100})</f>
        <v>80</v>
      </c>
      <c r="G40" s="27">
        <v>270</v>
      </c>
      <c r="H40" s="29">
        <f>LOOKUP(G40,{0,180,185,190,195,200,205,209,213,217,221,225,229,233,237,241,245,253,260,265,270},{0,10,20,30,40,50,60,62,64,66,68,70,72,74,76,78,80,85,90,95,100})</f>
        <v>100</v>
      </c>
      <c r="I40" s="27">
        <v>7</v>
      </c>
      <c r="J40" s="29">
        <f>LOOKUP(I40,{0,4,5,6,7,8,9,10,11,12,13,14,15,16,17,18},{0,10,20,30,40,50,60,64,68,72,76,80,85,90,95,100})</f>
        <v>40</v>
      </c>
      <c r="K40" s="44"/>
      <c r="L40" s="35"/>
      <c r="M40" s="35">
        <f t="shared" si="1"/>
        <v>40</v>
      </c>
      <c r="N40" s="35">
        <v>6.9</v>
      </c>
      <c r="O40" s="36">
        <f t="shared" si="2"/>
        <v>11.1</v>
      </c>
      <c r="P40" s="29">
        <f>LOOKUP(O40,{0,7.8,8,8.2,8.4,8.6,8.8,9,9.2,9.4,9.6,9.8,10,10.2,10.4,10.6,10.8,10.9,11,11.1,11.2},{0,10,20,30,40,50,60,62,64,66,68,70,72,74,76,78,80,85,90,95,100})</f>
        <v>95</v>
      </c>
      <c r="Q40" s="5">
        <v>3.39</v>
      </c>
      <c r="R40" s="36">
        <f t="shared" si="3"/>
        <v>6.61</v>
      </c>
      <c r="S40" s="29">
        <f>LOOKUP(R40,{0,3.85,4.45,4.65,4.85,5.45,5.65,5.7,5.75,5.8,5.85,5.9,5.95,6,6.45,6.5,6.55,6.63,6.7,6.75,6.8},{0,10,20,30,40,50,60,62,64,66,68,70,72,74,76,78,80,85,90,95,100})</f>
        <v>80</v>
      </c>
      <c r="T40" s="27"/>
      <c r="U40" s="27"/>
      <c r="V40" s="27">
        <f t="shared" si="4"/>
        <v>80</v>
      </c>
      <c r="W40" s="27"/>
      <c r="X40" s="19">
        <f t="shared" si="5"/>
        <v>57</v>
      </c>
      <c r="Y40" s="13">
        <f t="shared" si="6"/>
        <v>81.4285714285714</v>
      </c>
    </row>
    <row r="41" ht="15.6" spans="1:25">
      <c r="A41" s="27">
        <v>310</v>
      </c>
      <c r="B41" s="27">
        <v>14</v>
      </c>
      <c r="C41" s="28" t="s">
        <v>472</v>
      </c>
      <c r="D41" s="28" t="s">
        <v>12</v>
      </c>
      <c r="E41" s="27">
        <v>18</v>
      </c>
      <c r="F41" s="29">
        <f>LOOKUP(E41,{0,-1.8,-0.8,0.2,1.2,2.2,3.2,4.6,6,7.4,8.8,10.2,11.6,13,14.4,15.8,17.2,19.1,21,22.8,24.6},{0,10,20,30,40,50,60,62,64,66,68,70,72,74,76,78,80,85,90,95,100})</f>
        <v>80</v>
      </c>
      <c r="G41" s="27">
        <v>245</v>
      </c>
      <c r="H41" s="29">
        <f>LOOKUP(G41,{0,180,185,190,195,200,205,209,213,217,221,225,229,233,237,241,245,253,260,265,270},{0,10,20,30,40,50,60,62,64,66,68,70,72,74,76,78,80,85,90,95,100})</f>
        <v>80</v>
      </c>
      <c r="I41" s="27">
        <v>18</v>
      </c>
      <c r="J41" s="29">
        <f>LOOKUP(I41,{0,4,5,6,7,8,9,10,11,12,13,14,15,16,17,18},{0,10,20,30,40,50,60,64,68,72,76,80,85,90,95,100})</f>
        <v>100</v>
      </c>
      <c r="K41" s="44"/>
      <c r="L41" s="35"/>
      <c r="M41" s="35">
        <f t="shared" si="1"/>
        <v>100</v>
      </c>
      <c r="N41" s="35">
        <v>7.5</v>
      </c>
      <c r="O41" s="36">
        <f t="shared" si="2"/>
        <v>10.5</v>
      </c>
      <c r="P41" s="29">
        <f>LOOKUP(O41,{0,7.8,8,8.2,8.4,8.6,8.8,9,9.2,9.4,9.6,9.8,10,10.2,10.4,10.6,10.8,10.9,11,11.1,11.2},{0,10,20,30,40,50,60,62,64,66,68,70,72,74,76,78,80,85,90,95,100})</f>
        <v>76</v>
      </c>
      <c r="Q41" s="5">
        <v>3.46</v>
      </c>
      <c r="R41" s="36">
        <f t="shared" si="3"/>
        <v>6.54</v>
      </c>
      <c r="S41" s="29">
        <f>LOOKUP(R41,{0,3.85,4.45,4.65,4.85,5.45,5.65,5.7,5.75,5.8,5.85,5.9,5.95,6,6.45,6.5,6.55,6.63,6.7,6.75,6.8},{0,10,20,30,40,50,60,62,64,66,68,70,72,74,76,78,80,85,90,95,100})</f>
        <v>78</v>
      </c>
      <c r="T41" s="27"/>
      <c r="U41" s="27"/>
      <c r="V41" s="27">
        <f t="shared" si="4"/>
        <v>78</v>
      </c>
      <c r="W41" s="27"/>
      <c r="X41" s="19">
        <f t="shared" si="5"/>
        <v>56.8</v>
      </c>
      <c r="Y41" s="13">
        <f t="shared" si="6"/>
        <v>81.1428571428572</v>
      </c>
    </row>
    <row r="42" ht="15.6" spans="1:25">
      <c r="A42" s="27">
        <v>309</v>
      </c>
      <c r="B42" s="27">
        <v>16</v>
      </c>
      <c r="C42" s="28" t="s">
        <v>421</v>
      </c>
      <c r="D42" s="28" t="s">
        <v>12</v>
      </c>
      <c r="E42" s="27">
        <v>27.5</v>
      </c>
      <c r="F42" s="29">
        <f>LOOKUP(E42,{0,-1.8,-0.8,0.2,1.2,2.2,3.2,4.6,6,7.4,8.8,10.2,11.6,13,14.4,15.8,17.2,19.1,21,22.8,24.6},{0,10,20,30,40,50,60,62,64,66,68,70,72,74,76,78,80,85,90,95,100})</f>
        <v>100</v>
      </c>
      <c r="G42" s="27">
        <v>235</v>
      </c>
      <c r="H42" s="29">
        <f>LOOKUP(G42,{0,180,185,190,195,200,205,209,213,217,221,225,229,233,237,241,245,253,260,265,270},{0,10,20,30,40,50,60,62,64,66,68,70,72,74,76,78,80,85,90,95,100})</f>
        <v>74</v>
      </c>
      <c r="I42" s="27">
        <v>18</v>
      </c>
      <c r="J42" s="29">
        <f>LOOKUP(I42,{0,4,5,6,7,8,9,10,11,12,13,14,15,16,17,18},{0,10,20,30,40,50,60,64,68,72,76,80,85,90,95,100})</f>
        <v>100</v>
      </c>
      <c r="K42" s="44"/>
      <c r="L42" s="35"/>
      <c r="M42" s="35">
        <f t="shared" si="1"/>
        <v>100</v>
      </c>
      <c r="N42" s="35">
        <v>7.3</v>
      </c>
      <c r="O42" s="36">
        <f t="shared" si="2"/>
        <v>10.7</v>
      </c>
      <c r="P42" s="29">
        <f>LOOKUP(O42,{0,7.8,8,8.2,8.4,8.6,8.8,9,9.2,9.4,9.6,9.8,10,10.2,10.4,10.6,10.8,10.9,11,11.1,11.2},{0,10,20,30,40,50,60,62,64,66,68,70,72,74,76,78,80,85,90,95,100})</f>
        <v>78</v>
      </c>
      <c r="Q42" s="5">
        <v>4.15</v>
      </c>
      <c r="R42" s="36">
        <f t="shared" si="3"/>
        <v>5.85</v>
      </c>
      <c r="S42" s="29">
        <f>LOOKUP(R42,{0,3.85,4.45,4.65,4.85,5.45,5.65,5.7,5.75,5.8,5.85,5.9,5.95,6,6.45,6.5,6.55,6.63,6.7,6.75,6.8},{0,10,20,30,40,50,60,62,64,66,68,70,72,74,76,78,80,85,90,95,100})</f>
        <v>68</v>
      </c>
      <c r="T42" s="27"/>
      <c r="U42" s="27"/>
      <c r="V42" s="27">
        <f t="shared" si="4"/>
        <v>68</v>
      </c>
      <c r="W42" s="27"/>
      <c r="X42" s="19">
        <f t="shared" si="5"/>
        <v>56.6</v>
      </c>
      <c r="Y42" s="13">
        <f t="shared" si="6"/>
        <v>80.8571428571429</v>
      </c>
    </row>
    <row r="43" ht="15.6" spans="1:25">
      <c r="A43" s="27">
        <v>311</v>
      </c>
      <c r="B43" s="27">
        <v>7</v>
      </c>
      <c r="C43" s="28" t="s">
        <v>520</v>
      </c>
      <c r="D43" s="28" t="s">
        <v>12</v>
      </c>
      <c r="E43" s="27">
        <v>5.5</v>
      </c>
      <c r="F43" s="29">
        <f>LOOKUP(E43,{0,-1.8,-0.8,0.2,1.2,2.2,3.2,4.6,6,7.4,8.8,10.2,11.6,13,14.4,15.8,17.2,19.1,21,22.8,24.6},{0,10,20,30,40,50,60,62,64,66,68,70,72,74,76,78,80,85,90,95,100})</f>
        <v>62</v>
      </c>
      <c r="G43" s="27">
        <v>225</v>
      </c>
      <c r="H43" s="29">
        <f>LOOKUP(G43,{0,180,185,190,195,200,205,209,213,217,221,225,229,233,237,241,245,253,260,265,270},{0,10,20,30,40,50,60,62,64,66,68,70,72,74,76,78,80,85,90,95,100})</f>
        <v>70</v>
      </c>
      <c r="I43" s="27">
        <v>20</v>
      </c>
      <c r="J43" s="29">
        <f>LOOKUP(I43,{0,4,5,6,7,8,9,10,11,12,13,14,15,16,17,18},{0,10,20,30,40,50,60,64,68,72,76,80,85,90,95,100})</f>
        <v>100</v>
      </c>
      <c r="K43" s="44">
        <f>I43-18</f>
        <v>2</v>
      </c>
      <c r="L43" s="29">
        <f>LOOKUP(K43,{0,1,2,3,4,5,6,7,8,9,10},{0,1,2,3,4,5,6,7,8,9,10})</f>
        <v>2</v>
      </c>
      <c r="M43" s="35">
        <f t="shared" si="1"/>
        <v>102</v>
      </c>
      <c r="N43" s="35">
        <v>6.6</v>
      </c>
      <c r="O43" s="36">
        <f t="shared" si="2"/>
        <v>11.4</v>
      </c>
      <c r="P43" s="29">
        <f>LOOKUP(O43,{0,7.8,8,8.2,8.4,8.6,8.8,9,9.2,9.4,9.6,9.8,10,10.2,10.4,10.6,10.8,10.9,11,11.1,11.2},{0,10,20,30,40,50,60,62,64,66,68,70,72,74,76,78,80,85,90,95,100})</f>
        <v>100</v>
      </c>
      <c r="Q43" s="5">
        <v>4.35</v>
      </c>
      <c r="R43" s="36">
        <f t="shared" si="3"/>
        <v>5.65</v>
      </c>
      <c r="S43" s="29">
        <f>LOOKUP(R43,{0,3.85,4.45,4.65,4.85,5.45,5.65,5.7,5.75,5.8,5.85,5.9,5.95,6,6.45,6.5,6.55,6.63,6.7,6.75,6.8},{0,10,20,30,40,50,60,62,64,66,68,70,72,74,76,78,80,85,90,95,100})</f>
        <v>60</v>
      </c>
      <c r="T43" s="27"/>
      <c r="U43" s="27"/>
      <c r="V43" s="27">
        <f t="shared" si="4"/>
        <v>60</v>
      </c>
      <c r="W43" s="27"/>
      <c r="X43" s="19">
        <f t="shared" si="5"/>
        <v>55.2</v>
      </c>
      <c r="Y43" s="13">
        <f t="shared" si="6"/>
        <v>80.8571428571429</v>
      </c>
    </row>
    <row r="44" ht="15.6" spans="1:25">
      <c r="A44" s="27">
        <v>315</v>
      </c>
      <c r="B44" s="27">
        <v>5</v>
      </c>
      <c r="C44" s="28" t="s">
        <v>738</v>
      </c>
      <c r="D44" s="28" t="s">
        <v>12</v>
      </c>
      <c r="E44" s="27">
        <v>7.6</v>
      </c>
      <c r="F44" s="29">
        <f>LOOKUP(E44,{0,-1.8,-0.8,0.2,1.2,2.2,3.2,4.6,6,7.4,8.8,10.2,11.6,13,14.4,15.8,17.2,19.1,21,22.8,24.6},{0,10,20,30,40,50,60,62,64,66,68,70,72,74,76,78,80,85,90,95,100})</f>
        <v>66</v>
      </c>
      <c r="G44" s="27">
        <v>253</v>
      </c>
      <c r="H44" s="29">
        <f>LOOKUP(G44,{0,180,185,190,195,200,205,209,213,217,221,225,229,233,237,241,245,253,260,265,270},{0,10,20,30,40,50,60,62,64,66,68,70,72,74,76,78,80,85,90,95,100})</f>
        <v>85</v>
      </c>
      <c r="I44" s="27">
        <v>20</v>
      </c>
      <c r="J44" s="29">
        <f>LOOKUP(I44,{0,4,5,6,7,8,9,10,11,12,13,14,15,16,17,18},{0,10,20,30,40,50,60,64,68,72,76,80,85,90,95,100})</f>
        <v>100</v>
      </c>
      <c r="K44" s="44">
        <f>I44-18</f>
        <v>2</v>
      </c>
      <c r="L44" s="29">
        <f>LOOKUP(K44,{0,1,2,3,4,5,6,7,8,9,10},{0,1,2,3,4,5,6,7,8,9,10})</f>
        <v>2</v>
      </c>
      <c r="M44" s="35">
        <f t="shared" si="1"/>
        <v>102</v>
      </c>
      <c r="N44" s="35">
        <v>6.8</v>
      </c>
      <c r="O44" s="36">
        <f t="shared" si="2"/>
        <v>11.2</v>
      </c>
      <c r="P44" s="29">
        <f>LOOKUP(O44,{0,7.8,8,8.2,8.4,8.6,8.8,9,9.2,9.4,9.6,9.8,10,10.2,10.4,10.6,10.8,10.9,11,11.1,11.2},{0,10,20,30,40,50,60,62,64,66,68,70,72,74,76,78,80,85,90,95,100})</f>
        <v>100</v>
      </c>
      <c r="Q44" s="5">
        <v>4.44</v>
      </c>
      <c r="R44" s="36">
        <f t="shared" si="3"/>
        <v>5.56</v>
      </c>
      <c r="S44" s="29">
        <f>LOOKUP(R44,{0,3.85,4.45,4.65,4.85,5.45,5.65,5.7,5.75,5.8,5.85,5.9,5.95,6,6.45,6.5,6.55,6.63,6.7,6.75,6.8},{0,10,20,30,40,50,60,62,64,66,68,70,72,74,76,78,80,85,90,95,100})</f>
        <v>50</v>
      </c>
      <c r="T44" s="27"/>
      <c r="U44" s="27"/>
      <c r="V44" s="27">
        <f t="shared" si="4"/>
        <v>50</v>
      </c>
      <c r="W44" s="27"/>
      <c r="X44" s="19">
        <f t="shared" si="5"/>
        <v>55.1</v>
      </c>
      <c r="Y44" s="13">
        <f t="shared" si="6"/>
        <v>80.7142857142857</v>
      </c>
    </row>
    <row r="45" ht="15.6" spans="1:25">
      <c r="A45" s="27">
        <v>311</v>
      </c>
      <c r="B45" s="27">
        <v>34</v>
      </c>
      <c r="C45" s="28" t="s">
        <v>549</v>
      </c>
      <c r="D45" s="28" t="s">
        <v>12</v>
      </c>
      <c r="E45" s="27">
        <v>14</v>
      </c>
      <c r="F45" s="29">
        <f>LOOKUP(E45,{0,-1.8,-0.8,0.2,1.2,2.2,3.2,4.6,6,7.4,8.8,10.2,11.6,13,14.4,15.8,17.2,19.1,21,22.8,24.6},{0,10,20,30,40,50,60,62,64,66,68,70,72,74,76,78,80,85,90,95,100})</f>
        <v>74</v>
      </c>
      <c r="G45" s="27">
        <v>230</v>
      </c>
      <c r="H45" s="29">
        <f>LOOKUP(G45,{0,180,185,190,195,200,205,209,213,217,221,225,229,233,237,241,245,253,260,265,270},{0,10,20,30,40,50,60,62,64,66,68,70,72,74,76,78,80,85,90,95,100})</f>
        <v>72</v>
      </c>
      <c r="I45" s="27">
        <v>35</v>
      </c>
      <c r="J45" s="29">
        <f>LOOKUP(I45,{0,4,5,6,7,8,9,10,11,12,13,14,15,16,17,18},{0,10,20,30,40,50,60,64,68,72,76,80,85,90,95,100})</f>
        <v>100</v>
      </c>
      <c r="K45" s="44">
        <f>I45-18</f>
        <v>17</v>
      </c>
      <c r="L45" s="29">
        <f>LOOKUP(K45,{0,1,2,3,4,5,6,7,8,9,10},{0,1,2,3,4,5,6,7,8,9,10})</f>
        <v>10</v>
      </c>
      <c r="M45" s="35">
        <f t="shared" si="1"/>
        <v>110</v>
      </c>
      <c r="N45" s="35">
        <v>7.7</v>
      </c>
      <c r="O45" s="36">
        <f t="shared" si="2"/>
        <v>10.3</v>
      </c>
      <c r="P45" s="29">
        <f>LOOKUP(O45,{0,7.8,8,8.2,8.4,8.6,8.8,9,9.2,9.4,9.6,9.8,10,10.2,10.4,10.6,10.8,10.9,11,11.1,11.2},{0,10,20,30,40,50,60,62,64,66,68,70,72,74,76,78,80,85,90,95,100})</f>
        <v>74</v>
      </c>
      <c r="Q45" s="5">
        <v>4.48</v>
      </c>
      <c r="R45" s="36">
        <f t="shared" si="3"/>
        <v>5.52</v>
      </c>
      <c r="S45" s="29">
        <f>LOOKUP(R45,{0,3.85,4.45,4.65,4.85,5.45,5.65,5.7,5.75,5.8,5.85,5.9,5.95,6,6.45,6.5,6.55,6.63,6.7,6.75,6.8},{0,10,20,30,40,50,60,62,64,66,68,70,72,74,76,78,80,85,90,95,100})</f>
        <v>50</v>
      </c>
      <c r="T45" s="27"/>
      <c r="U45" s="27"/>
      <c r="V45" s="27">
        <f t="shared" si="4"/>
        <v>50</v>
      </c>
      <c r="W45" s="27"/>
      <c r="X45" s="19">
        <f t="shared" si="5"/>
        <v>49.4</v>
      </c>
      <c r="Y45" s="13">
        <f t="shared" si="6"/>
        <v>80.5714285714286</v>
      </c>
    </row>
    <row r="46" ht="15.6" spans="1:25">
      <c r="A46" s="27">
        <v>311</v>
      </c>
      <c r="B46" s="27">
        <v>27</v>
      </c>
      <c r="C46" s="28" t="s">
        <v>542</v>
      </c>
      <c r="D46" s="28" t="s">
        <v>12</v>
      </c>
      <c r="E46" s="27">
        <v>15</v>
      </c>
      <c r="F46" s="29">
        <f>LOOKUP(E46,{0,-1.8,-0.8,0.2,1.2,2.2,3.2,4.6,6,7.4,8.8,10.2,11.6,13,14.4,15.8,17.2,19.1,21,22.8,24.6},{0,10,20,30,40,50,60,62,64,66,68,70,72,74,76,78,80,85,90,95,100})</f>
        <v>76</v>
      </c>
      <c r="G46" s="27">
        <v>235</v>
      </c>
      <c r="H46" s="29">
        <f>LOOKUP(G46,{0,180,185,190,195,200,205,209,213,217,221,225,229,233,237,241,245,253,260,265,270},{0,10,20,30,40,50,60,62,64,66,68,70,72,74,76,78,80,85,90,95,100})</f>
        <v>74</v>
      </c>
      <c r="I46" s="27">
        <v>16</v>
      </c>
      <c r="J46" s="29">
        <f>LOOKUP(I46,{0,4,5,6,7,8,9,10,11,12,13,14,15,16,17,18},{0,10,20,30,40,50,60,64,68,72,76,80,85,90,95,100})</f>
        <v>90</v>
      </c>
      <c r="K46" s="44"/>
      <c r="L46" s="35"/>
      <c r="M46" s="35">
        <f t="shared" si="1"/>
        <v>90</v>
      </c>
      <c r="N46" s="35">
        <v>7</v>
      </c>
      <c r="O46" s="36">
        <f t="shared" si="2"/>
        <v>11</v>
      </c>
      <c r="P46" s="29">
        <f>LOOKUP(O46,{0,7.8,8,8.2,8.4,8.6,8.8,9,9.2,9.4,9.6,9.8,10,10.2,10.4,10.6,10.8,10.9,11,11.1,11.2},{0,10,20,30,40,50,60,62,64,66,68,70,72,74,76,78,80,85,90,95,100})</f>
        <v>90</v>
      </c>
      <c r="Q46" s="5">
        <v>4.04</v>
      </c>
      <c r="R46" s="36">
        <f t="shared" si="3"/>
        <v>5.96</v>
      </c>
      <c r="S46" s="29">
        <f>LOOKUP(R46,{0,3.85,4.45,4.65,4.85,5.45,5.65,5.7,5.75,5.8,5.85,5.9,5.95,6,6.45,6.5,6.55,6.63,6.7,6.75,6.8},{0,10,20,30,40,50,60,62,64,66,68,70,72,74,76,78,80,85,90,95,100})</f>
        <v>72</v>
      </c>
      <c r="T46" s="27"/>
      <c r="U46" s="27"/>
      <c r="V46" s="27">
        <f t="shared" si="4"/>
        <v>72</v>
      </c>
      <c r="W46" s="27"/>
      <c r="X46" s="19">
        <f t="shared" si="5"/>
        <v>56.4</v>
      </c>
      <c r="Y46" s="13">
        <f t="shared" si="6"/>
        <v>80.5714285714286</v>
      </c>
    </row>
    <row r="47" ht="15.6" spans="1:25">
      <c r="A47" s="27">
        <v>311</v>
      </c>
      <c r="B47" s="27">
        <v>13</v>
      </c>
      <c r="C47" s="30" t="s">
        <v>527</v>
      </c>
      <c r="D47" s="28" t="s">
        <v>12</v>
      </c>
      <c r="E47" s="27">
        <v>15.6</v>
      </c>
      <c r="F47" s="29">
        <f>LOOKUP(E47,{0,-1.8,-0.8,0.2,1.2,2.2,3.2,4.6,6,7.4,8.8,10.2,11.6,13,14.4,15.8,17.2,19.1,21,22.8,24.6},{0,10,20,30,40,50,60,62,64,66,68,70,72,74,76,78,80,85,90,95,100})</f>
        <v>76</v>
      </c>
      <c r="G47" s="27">
        <v>268</v>
      </c>
      <c r="H47" s="29">
        <f>LOOKUP(G47,{0,180,185,190,195,200,205,209,213,217,221,225,229,233,237,241,245,253,260,265,270},{0,10,20,30,40,50,60,62,64,66,68,70,72,74,76,78,80,85,90,95,100})</f>
        <v>95</v>
      </c>
      <c r="I47" s="27">
        <v>9</v>
      </c>
      <c r="J47" s="29">
        <f>LOOKUP(I47,{0,4,5,6,7,8,9,10,11,12,13,14,15,16,17,18},{0,10,20,30,40,50,60,64,68,72,76,80,85,90,95,100})</f>
        <v>60</v>
      </c>
      <c r="K47" s="44"/>
      <c r="L47" s="35"/>
      <c r="M47" s="35">
        <f t="shared" si="1"/>
        <v>60</v>
      </c>
      <c r="N47" s="35">
        <v>6.8</v>
      </c>
      <c r="O47" s="36">
        <f t="shared" si="2"/>
        <v>11.2</v>
      </c>
      <c r="P47" s="29">
        <f>LOOKUP(O47,{0,7.8,8,8.2,8.4,8.6,8.8,9,9.2,9.4,9.6,9.8,10,10.2,10.4,10.6,10.8,10.9,11,11.1,11.2},{0,10,20,30,40,50,60,62,64,66,68,70,72,74,76,78,80,85,90,95,100})</f>
        <v>100</v>
      </c>
      <c r="Q47" s="5">
        <v>4.17</v>
      </c>
      <c r="R47" s="36">
        <f t="shared" si="3"/>
        <v>5.83</v>
      </c>
      <c r="S47" s="29">
        <f>LOOKUP(R47,{0,3.85,4.45,4.65,4.85,5.45,5.65,5.7,5.75,5.8,5.85,5.9,5.95,6,6.45,6.5,6.55,6.63,6.7,6.75,6.8},{0,10,20,30,40,50,60,62,64,66,68,70,72,74,76,78,80,85,90,95,100})</f>
        <v>66</v>
      </c>
      <c r="T47" s="27"/>
      <c r="U47" s="27"/>
      <c r="V47" s="27">
        <f t="shared" si="4"/>
        <v>66</v>
      </c>
      <c r="W47" s="27"/>
      <c r="X47" s="19">
        <f t="shared" si="5"/>
        <v>56.3</v>
      </c>
      <c r="Y47" s="13">
        <f t="shared" si="6"/>
        <v>80.4285714285714</v>
      </c>
    </row>
    <row r="48" ht="15.6" spans="1:25">
      <c r="A48" s="27">
        <v>309</v>
      </c>
      <c r="B48" s="27">
        <v>19</v>
      </c>
      <c r="C48" s="28" t="s">
        <v>424</v>
      </c>
      <c r="D48" s="28" t="s">
        <v>12</v>
      </c>
      <c r="E48" s="27">
        <v>14</v>
      </c>
      <c r="F48" s="29">
        <f>LOOKUP(E48,{0,-1.8,-0.8,0.2,1.2,2.2,3.2,4.6,6,7.4,8.8,10.2,11.6,13,14.4,15.8,17.2,19.1,21,22.8,24.6},{0,10,20,30,40,50,60,62,64,66,68,70,72,74,76,78,80,85,90,95,100})</f>
        <v>74</v>
      </c>
      <c r="G48" s="27">
        <v>253</v>
      </c>
      <c r="H48" s="29">
        <f>LOOKUP(G48,{0,180,185,190,195,200,205,209,213,217,221,225,229,233,237,241,245,253,260,265,270},{0,10,20,30,40,50,60,62,64,66,68,70,72,74,76,78,80,85,90,95,100})</f>
        <v>85</v>
      </c>
      <c r="I48" s="27">
        <v>18</v>
      </c>
      <c r="J48" s="29">
        <f>LOOKUP(I48,{0,4,5,6,7,8,9,10,11,12,13,14,15,16,17,18},{0,10,20,30,40,50,60,64,68,72,76,80,85,90,95,100})</f>
        <v>100</v>
      </c>
      <c r="K48" s="44"/>
      <c r="L48" s="35"/>
      <c r="M48" s="35">
        <f t="shared" si="1"/>
        <v>100</v>
      </c>
      <c r="N48" s="35">
        <v>7.3</v>
      </c>
      <c r="O48" s="36">
        <f t="shared" si="2"/>
        <v>10.7</v>
      </c>
      <c r="P48" s="29">
        <f>LOOKUP(O48,{0,7.8,8,8.2,8.4,8.6,8.8,9,9.2,9.4,9.6,9.8,10,10.2,10.4,10.6,10.8,10.9,11,11.1,11.2},{0,10,20,30,40,50,60,62,64,66,68,70,72,74,76,78,80,85,90,95,100})</f>
        <v>78</v>
      </c>
      <c r="Q48" s="5">
        <v>3.56</v>
      </c>
      <c r="R48" s="36">
        <f t="shared" si="3"/>
        <v>6.44</v>
      </c>
      <c r="S48" s="29">
        <f>LOOKUP(R48,{0,3.85,4.45,4.65,4.85,5.45,5.65,5.7,5.75,5.8,5.85,5.9,5.95,6,6.45,6.5,6.55,6.63,6.7,6.75,6.8},{0,10,20,30,40,50,60,62,64,66,68,70,72,74,76,78,80,85,90,95,100})</f>
        <v>74</v>
      </c>
      <c r="T48" s="27"/>
      <c r="U48" s="27"/>
      <c r="V48" s="27">
        <f t="shared" si="4"/>
        <v>74</v>
      </c>
      <c r="W48" s="27"/>
      <c r="X48" s="19">
        <f t="shared" si="5"/>
        <v>56.3</v>
      </c>
      <c r="Y48" s="13">
        <f t="shared" si="6"/>
        <v>80.4285714285714</v>
      </c>
    </row>
    <row r="49" ht="15.6" spans="1:25">
      <c r="A49" s="27">
        <v>306</v>
      </c>
      <c r="B49" s="27">
        <v>9</v>
      </c>
      <c r="C49" s="28" t="s">
        <v>250</v>
      </c>
      <c r="D49" s="28" t="s">
        <v>12</v>
      </c>
      <c r="E49" s="27">
        <v>20.5</v>
      </c>
      <c r="F49" s="29">
        <f>LOOKUP(E49,{0,-1.8,-0.8,0.2,1.2,2.2,3.2,4.6,6,7.4,8.8,10.2,11.6,13,14.4,15.8,17.2,19.1,21,22.8,24.6},{0,10,20,30,40,50,60,62,64,66,68,70,72,74,76,78,80,85,90,95,100})</f>
        <v>85</v>
      </c>
      <c r="G49" s="27">
        <v>244</v>
      </c>
      <c r="H49" s="29">
        <f>LOOKUP(G49,{0,180,185,190,195,200,205,209,213,217,221,225,229,233,237,241,245,253,260,265,270},{0,10,20,30,40,50,60,62,64,66,68,70,72,74,76,78,80,85,90,95,100})</f>
        <v>78</v>
      </c>
      <c r="I49" s="27">
        <v>11</v>
      </c>
      <c r="J49" s="29">
        <f>LOOKUP(I49,{0,4,5,6,7,8,9,10,11,12,13,14,15,16,17,18},{0,10,20,30,40,50,60,64,68,72,76,80,85,90,95,100})</f>
        <v>68</v>
      </c>
      <c r="K49" s="44"/>
      <c r="L49" s="35"/>
      <c r="M49" s="35">
        <f t="shared" si="1"/>
        <v>68</v>
      </c>
      <c r="N49" s="35">
        <v>7.1</v>
      </c>
      <c r="O49" s="36">
        <f t="shared" si="2"/>
        <v>10.9</v>
      </c>
      <c r="P49" s="29">
        <f>LOOKUP(O49,{0,7.8,8,8.2,8.4,8.6,8.8,9,9.2,9.4,9.6,9.8,10,10.2,10.4,10.6,10.8,10.9,11,11.1,11.2},{0,10,20,30,40,50,60,62,64,66,68,70,72,74,76,78,80,85,90,95,100})</f>
        <v>85</v>
      </c>
      <c r="Q49" s="5">
        <v>3.41</v>
      </c>
      <c r="R49" s="36">
        <f t="shared" si="3"/>
        <v>6.59</v>
      </c>
      <c r="S49" s="29">
        <f>LOOKUP(R49,{0,3.85,4.45,4.65,4.85,5.45,5.65,5.7,5.75,5.8,5.85,5.9,5.95,6,6.45,6.5,6.55,6.63,6.7,6.75,6.8},{0,10,20,30,40,50,60,62,64,66,68,70,72,74,76,78,80,85,90,95,100})</f>
        <v>80</v>
      </c>
      <c r="T49" s="27"/>
      <c r="U49" s="27"/>
      <c r="V49" s="27">
        <f t="shared" si="4"/>
        <v>80</v>
      </c>
      <c r="W49" s="27"/>
      <c r="X49" s="19">
        <f t="shared" si="5"/>
        <v>56.1</v>
      </c>
      <c r="Y49" s="13">
        <f t="shared" si="6"/>
        <v>80.1428571428572</v>
      </c>
    </row>
    <row r="50" ht="15.6" spans="1:25">
      <c r="A50" s="27">
        <v>310</v>
      </c>
      <c r="B50" s="27">
        <v>28</v>
      </c>
      <c r="C50" s="28" t="s">
        <v>487</v>
      </c>
      <c r="D50" s="28" t="s">
        <v>12</v>
      </c>
      <c r="E50" s="27">
        <v>15.7</v>
      </c>
      <c r="F50" s="29">
        <f>LOOKUP(E50,{0,-1.8,-0.8,0.2,1.2,2.2,3.2,4.6,6,7.4,8.8,10.2,11.6,13,14.4,15.8,17.2,19.1,21,22.8,24.6},{0,10,20,30,40,50,60,62,64,66,68,70,72,74,76,78,80,85,90,95,100})</f>
        <v>76</v>
      </c>
      <c r="G50" s="27">
        <v>245</v>
      </c>
      <c r="H50" s="29">
        <f>LOOKUP(G50,{0,180,185,190,195,200,205,209,213,217,221,225,229,233,237,241,245,253,260,265,270},{0,10,20,30,40,50,60,62,64,66,68,70,72,74,76,78,80,85,90,95,100})</f>
        <v>80</v>
      </c>
      <c r="I50" s="27">
        <v>21</v>
      </c>
      <c r="J50" s="29">
        <f>LOOKUP(I50,{0,4,5,6,7,8,9,10,11,12,13,14,15,16,17,18},{0,10,20,30,40,50,60,64,68,72,76,80,85,90,95,100})</f>
        <v>100</v>
      </c>
      <c r="K50" s="44">
        <f>I50-18</f>
        <v>3</v>
      </c>
      <c r="L50" s="29">
        <f>LOOKUP(K50,{0,1,2,3,4,5,6,7,8,9,10},{0,1,2,3,4,5,6,7,8,9,10})</f>
        <v>3</v>
      </c>
      <c r="M50" s="35">
        <f t="shared" si="1"/>
        <v>103</v>
      </c>
      <c r="N50" s="35">
        <v>7.3</v>
      </c>
      <c r="O50" s="36">
        <f t="shared" si="2"/>
        <v>10.7</v>
      </c>
      <c r="P50" s="29">
        <f>LOOKUP(O50,{0,7.8,8,8.2,8.4,8.6,8.8,9,9.2,9.4,9.6,9.8,10,10.2,10.4,10.6,10.8,10.9,11,11.1,11.2},{0,10,20,30,40,50,60,62,64,66,68,70,72,74,76,78,80,85,90,95,100})</f>
        <v>78</v>
      </c>
      <c r="Q50" s="5">
        <v>4.24</v>
      </c>
      <c r="R50" s="36">
        <f t="shared" si="3"/>
        <v>5.76</v>
      </c>
      <c r="S50" s="29">
        <f>LOOKUP(R50,{0,3.85,4.45,4.65,4.85,5.45,5.65,5.7,5.75,5.8,5.85,5.9,5.95,6,6.45,6.5,6.55,6.63,6.7,6.75,6.8},{0,10,20,30,40,50,60,62,64,66,68,70,72,74,76,78,80,85,90,95,100})</f>
        <v>64</v>
      </c>
      <c r="T50" s="27"/>
      <c r="U50" s="27"/>
      <c r="V50" s="27">
        <f t="shared" si="4"/>
        <v>64</v>
      </c>
      <c r="W50" s="27"/>
      <c r="X50" s="19">
        <f t="shared" si="5"/>
        <v>54</v>
      </c>
      <c r="Y50" s="13">
        <f t="shared" si="6"/>
        <v>80.1428571428572</v>
      </c>
    </row>
    <row r="51" ht="15.6" spans="1:25">
      <c r="A51" s="27">
        <v>312</v>
      </c>
      <c r="B51" s="27">
        <v>5</v>
      </c>
      <c r="C51" s="28" t="s">
        <v>578</v>
      </c>
      <c r="D51" s="28" t="s">
        <v>12</v>
      </c>
      <c r="E51" s="27">
        <v>9</v>
      </c>
      <c r="F51" s="29">
        <f>LOOKUP(E51,{0,-1.8,-0.8,0.2,1.2,2.2,3.2,4.6,6,7.4,8.8,10.2,11.6,13,14.4,15.8,17.2,19.1,21,22.8,24.6},{0,10,20,30,40,50,60,62,64,66,68,70,72,74,76,78,80,85,90,95,100})</f>
        <v>68</v>
      </c>
      <c r="G51" s="27">
        <v>260</v>
      </c>
      <c r="H51" s="29">
        <f>LOOKUP(G51,{0,180,185,190,195,200,205,209,213,217,221,225,229,233,237,241,245,253,260,265,270},{0,10,20,30,40,50,60,62,64,66,68,70,72,74,76,78,80,85,90,95,100})</f>
        <v>90</v>
      </c>
      <c r="I51" s="27">
        <v>19</v>
      </c>
      <c r="J51" s="29">
        <f>LOOKUP(I51,{0,4,5,6,7,8,9,10,11,12,13,14,15,16,17,18},{0,10,20,30,40,50,60,64,68,72,76,80,85,90,95,100})</f>
        <v>100</v>
      </c>
      <c r="K51" s="44">
        <f>I51-18</f>
        <v>1</v>
      </c>
      <c r="L51" s="29">
        <f>LOOKUP(K51,{0,1,2,3,4,5,6,7,8,9,10},{0,1,2,3,4,5,6,7,8,9,10})</f>
        <v>1</v>
      </c>
      <c r="M51" s="35">
        <f t="shared" si="1"/>
        <v>101</v>
      </c>
      <c r="N51" s="35">
        <v>7.4</v>
      </c>
      <c r="O51" s="36">
        <f t="shared" si="2"/>
        <v>10.6</v>
      </c>
      <c r="P51" s="29">
        <f>LOOKUP(O51,{0,7.8,8,8.2,8.4,8.6,8.8,9,9.2,9.4,9.6,9.8,10,10.2,10.4,10.6,10.8,10.9,11,11.1,11.2},{0,10,20,30,40,50,60,62,64,66,68,70,72,74,76,78,80,85,90,95,100})</f>
        <v>78</v>
      </c>
      <c r="Q51" s="5">
        <v>4.09</v>
      </c>
      <c r="R51" s="36">
        <f t="shared" si="3"/>
        <v>5.91</v>
      </c>
      <c r="S51" s="29">
        <f>LOOKUP(R51,{0,3.85,4.45,4.65,4.85,5.45,5.65,5.7,5.75,5.8,5.85,5.9,5.95,6,6.45,6.5,6.55,6.63,6.7,6.75,6.8},{0,10,20,30,40,50,60,62,64,66,68,70,72,74,76,78,80,85,90,95,100})</f>
        <v>70</v>
      </c>
      <c r="T51" s="27"/>
      <c r="U51" s="27"/>
      <c r="V51" s="27">
        <f t="shared" si="4"/>
        <v>70</v>
      </c>
      <c r="W51" s="27"/>
      <c r="X51" s="19">
        <f t="shared" si="5"/>
        <v>55.4</v>
      </c>
      <c r="Y51" s="13">
        <f t="shared" si="6"/>
        <v>80.1428571428572</v>
      </c>
    </row>
    <row r="52" ht="15.6" spans="1:25">
      <c r="A52" s="27">
        <v>307</v>
      </c>
      <c r="B52" s="27">
        <v>3</v>
      </c>
      <c r="C52" s="28" t="s">
        <v>301</v>
      </c>
      <c r="D52" s="28" t="s">
        <v>12</v>
      </c>
      <c r="E52" s="27">
        <v>14</v>
      </c>
      <c r="F52" s="29">
        <f>LOOKUP(E52,{0,-1.8,-0.8,0.2,1.2,2.2,3.2,4.6,6,7.4,8.8,10.2,11.6,13,14.4,15.8,17.2,19.1,21,22.8,24.6},{0,10,20,30,40,50,60,62,64,66,68,70,72,74,76,78,80,85,90,95,100})</f>
        <v>74</v>
      </c>
      <c r="G52" s="27">
        <v>282</v>
      </c>
      <c r="H52" s="29">
        <f>LOOKUP(G52,{0,180,185,190,195,200,205,209,213,217,221,225,229,233,237,241,245,253,260,265,270},{0,10,20,30,40,50,60,62,64,66,68,70,72,74,76,78,80,85,90,95,100})</f>
        <v>100</v>
      </c>
      <c r="I52" s="27">
        <v>9</v>
      </c>
      <c r="J52" s="29">
        <f>LOOKUP(I52,{0,4,5,6,7,8,9,10,11,12,13,14,15,16,17,18},{0,10,20,30,40,50,60,64,68,72,76,80,85,90,95,100})</f>
        <v>60</v>
      </c>
      <c r="K52" s="44"/>
      <c r="L52" s="35"/>
      <c r="M52" s="35">
        <f t="shared" si="1"/>
        <v>60</v>
      </c>
      <c r="N52" s="35">
        <v>6.8</v>
      </c>
      <c r="O52" s="36">
        <f t="shared" si="2"/>
        <v>11.2</v>
      </c>
      <c r="P52" s="29">
        <f>LOOKUP(O52,{0,7.8,8,8.2,8.4,8.6,8.8,9,9.2,9.4,9.6,9.8,10,10.2,10.4,10.6,10.8,10.9,11,11.1,11.2},{0,10,20,30,40,50,60,62,64,66,68,70,72,74,76,78,80,85,90,95,100})</f>
        <v>100</v>
      </c>
      <c r="Q52" s="5">
        <v>4.26</v>
      </c>
      <c r="R52" s="36">
        <f t="shared" si="3"/>
        <v>5.74</v>
      </c>
      <c r="S52" s="29">
        <f>LOOKUP(R52,{0,3.85,4.45,4.65,4.85,5.45,5.65,5.7,5.75,5.8,5.85,5.9,5.95,6,6.45,6.5,6.55,6.63,6.7,6.75,6.8},{0,10,20,30,40,50,60,62,64,66,68,70,72,74,76,78,80,85,90,95,100})</f>
        <v>62</v>
      </c>
      <c r="T52" s="27"/>
      <c r="U52" s="27"/>
      <c r="V52" s="27">
        <f t="shared" si="4"/>
        <v>62</v>
      </c>
      <c r="W52" s="27"/>
      <c r="X52" s="19">
        <f t="shared" si="5"/>
        <v>55.8</v>
      </c>
      <c r="Y52" s="13">
        <f t="shared" si="6"/>
        <v>79.7142857142857</v>
      </c>
    </row>
    <row r="53" ht="15.6" spans="1:25">
      <c r="A53" s="27">
        <v>305</v>
      </c>
      <c r="B53" s="27">
        <v>20</v>
      </c>
      <c r="C53" s="28" t="s">
        <v>205</v>
      </c>
      <c r="D53" s="28" t="s">
        <v>12</v>
      </c>
      <c r="E53" s="27">
        <v>14.1</v>
      </c>
      <c r="F53" s="29">
        <f>LOOKUP(E53,{0,-1.8,-0.8,0.2,1.2,2.2,3.2,4.6,6,7.4,8.8,10.2,11.6,13,14.4,15.8,17.2,19.1,21,22.8,24.6},{0,10,20,30,40,50,60,62,64,66,68,70,72,74,76,78,80,85,90,95,100})</f>
        <v>74</v>
      </c>
      <c r="G53" s="27">
        <v>222</v>
      </c>
      <c r="H53" s="29">
        <f>LOOKUP(G53,{0,180,185,190,195,200,205,209,213,217,221,225,229,233,237,241,245,253,260,265,270},{0,10,20,30,40,50,60,62,64,66,68,70,72,74,76,78,80,85,90,95,100})</f>
        <v>68</v>
      </c>
      <c r="I53" s="27">
        <v>20</v>
      </c>
      <c r="J53" s="29">
        <f>LOOKUP(I53,{0,4,5,6,7,8,9,10,11,12,13,14,15,16,17,18},{0,10,20,30,40,50,60,64,68,72,76,80,85,90,95,100})</f>
        <v>100</v>
      </c>
      <c r="K53" s="44">
        <f>I53-18</f>
        <v>2</v>
      </c>
      <c r="L53" s="29">
        <f>LOOKUP(K53,{0,1,2,3,4,5,6,7,8,9,10},{0,1,2,3,4,5,6,7,8,9,10})</f>
        <v>2</v>
      </c>
      <c r="M53" s="35">
        <f t="shared" si="1"/>
        <v>102</v>
      </c>
      <c r="N53" s="35">
        <v>7.7</v>
      </c>
      <c r="O53" s="36">
        <f t="shared" si="2"/>
        <v>10.3</v>
      </c>
      <c r="P53" s="29">
        <f>LOOKUP(O53,{0,7.8,8,8.2,8.4,8.6,8.8,9,9.2,9.4,9.6,9.8,10,10.2,10.4,10.6,10.8,10.9,11,11.1,11.2},{0,10,20,30,40,50,60,62,64,66,68,70,72,74,76,78,80,85,90,95,100})</f>
        <v>74</v>
      </c>
      <c r="Q53" s="5">
        <v>3.53</v>
      </c>
      <c r="R53" s="36">
        <f t="shared" si="3"/>
        <v>6.47</v>
      </c>
      <c r="S53" s="29">
        <f>LOOKUP(R53,{0,3.85,4.45,4.65,4.85,5.45,5.65,5.7,5.75,5.8,5.85,5.9,5.95,6,6.45,6.5,6.55,6.63,6.7,6.75,6.8},{0,10,20,30,40,50,60,62,64,66,68,70,72,74,76,78,80,85,90,95,100})</f>
        <v>76</v>
      </c>
      <c r="T53" s="27"/>
      <c r="U53" s="27"/>
      <c r="V53" s="27">
        <f t="shared" si="4"/>
        <v>76</v>
      </c>
      <c r="W53" s="27"/>
      <c r="X53" s="19">
        <f t="shared" si="5"/>
        <v>54.2</v>
      </c>
      <c r="Y53" s="13">
        <f t="shared" si="6"/>
        <v>79.4285714285714</v>
      </c>
    </row>
    <row r="54" ht="15.6" spans="1:25">
      <c r="A54" s="27">
        <v>308</v>
      </c>
      <c r="B54" s="27">
        <v>11</v>
      </c>
      <c r="C54" s="30" t="s">
        <v>363</v>
      </c>
      <c r="D54" s="28" t="s">
        <v>12</v>
      </c>
      <c r="E54" s="27">
        <v>6</v>
      </c>
      <c r="F54" s="29">
        <f>LOOKUP(E54,{0,-1.8,-0.8,0.2,1.2,2.2,3.2,4.6,6,7.4,8.8,10.2,11.6,13,14.4,15.8,17.2,19.1,21,22.8,24.6},{0,10,20,30,40,50,60,62,64,66,68,70,72,74,76,78,80,85,90,95,100})</f>
        <v>64</v>
      </c>
      <c r="G54" s="27">
        <v>240</v>
      </c>
      <c r="H54" s="29">
        <f>LOOKUP(G54,{0,180,185,190,195,200,205,209,213,217,221,225,229,233,237,241,245,253,260,265,270},{0,10,20,30,40,50,60,62,64,66,68,70,72,74,76,78,80,85,90,95,100})</f>
        <v>76</v>
      </c>
      <c r="I54" s="27">
        <v>15</v>
      </c>
      <c r="J54" s="29">
        <f>LOOKUP(I54,{0,4,5,6,7,8,9,10,11,12,13,14,15,16,17,18},{0,10,20,30,40,50,60,64,68,72,76,80,85,90,95,100})</f>
        <v>85</v>
      </c>
      <c r="K54" s="44"/>
      <c r="L54" s="35"/>
      <c r="M54" s="35">
        <f t="shared" si="1"/>
        <v>85</v>
      </c>
      <c r="N54" s="35">
        <v>7.2</v>
      </c>
      <c r="O54" s="36">
        <f t="shared" si="2"/>
        <v>10.8</v>
      </c>
      <c r="P54" s="29">
        <f>LOOKUP(O54,{0,7.8,8,8.2,8.4,8.6,8.8,9,9.2,9.4,9.6,9.8,10,10.2,10.4,10.6,10.8,10.9,11,11.1,11.2},{0,10,20,30,40,50,60,62,64,66,68,70,72,74,76,78,80,85,90,95,100})</f>
        <v>80</v>
      </c>
      <c r="Q54" s="5">
        <v>3.35</v>
      </c>
      <c r="R54" s="36">
        <f t="shared" si="3"/>
        <v>6.65</v>
      </c>
      <c r="S54" s="29">
        <f>LOOKUP(R54,{0,3.85,4.45,4.65,4.85,5.45,5.65,5.7,5.75,5.8,5.85,5.9,5.95,6,6.45,6.5,6.55,6.63,6.7,6.75,6.8},{0,10,20,30,40,50,60,62,64,66,68,70,72,74,76,78,80,85,90,95,100})</f>
        <v>85</v>
      </c>
      <c r="T54" s="27"/>
      <c r="U54" s="27"/>
      <c r="V54" s="27">
        <f t="shared" si="4"/>
        <v>85</v>
      </c>
      <c r="W54" s="27"/>
      <c r="X54" s="19">
        <f t="shared" si="5"/>
        <v>55.5</v>
      </c>
      <c r="Y54" s="13">
        <f t="shared" si="6"/>
        <v>79.2857142857143</v>
      </c>
    </row>
    <row r="55" ht="15.6" spans="1:25">
      <c r="A55" s="27">
        <v>305</v>
      </c>
      <c r="B55" s="27">
        <v>32</v>
      </c>
      <c r="C55" s="28" t="s">
        <v>219</v>
      </c>
      <c r="D55" s="28" t="s">
        <v>12</v>
      </c>
      <c r="E55" s="27">
        <v>24</v>
      </c>
      <c r="F55" s="29">
        <f>LOOKUP(E55,{0,-1.8,-0.8,0.2,1.2,2.2,3.2,4.6,6,7.4,8.8,10.2,11.6,13,14.4,15.8,17.2,19.1,21,22.8,24.6},{0,10,20,30,40,50,60,62,64,66,68,70,72,74,76,78,80,85,90,95,100})</f>
        <v>95</v>
      </c>
      <c r="G55" s="27">
        <v>265</v>
      </c>
      <c r="H55" s="29">
        <f>LOOKUP(G55,{0,180,185,190,195,200,205,209,213,217,221,225,229,233,237,241,245,253,260,265,270},{0,10,20,30,40,50,60,62,64,66,68,70,72,74,76,78,80,85,90,95,100})</f>
        <v>95</v>
      </c>
      <c r="I55" s="27">
        <v>8</v>
      </c>
      <c r="J55" s="29">
        <f>LOOKUP(I55,{0,4,5,6,7,8,9,10,11,12,13,14,15,16,17,18},{0,10,20,30,40,50,60,64,68,72,76,80,85,90,95,100})</f>
        <v>50</v>
      </c>
      <c r="K55" s="44"/>
      <c r="L55" s="35"/>
      <c r="M55" s="35">
        <f t="shared" si="1"/>
        <v>50</v>
      </c>
      <c r="N55" s="35">
        <v>7.1</v>
      </c>
      <c r="O55" s="36">
        <f t="shared" si="2"/>
        <v>10.9</v>
      </c>
      <c r="P55" s="29">
        <f>LOOKUP(O55,{0,7.8,8,8.2,8.4,8.6,8.8,9,9.2,9.4,9.6,9.8,10,10.2,10.4,10.6,10.8,10.9,11,11.1,11.2},{0,10,20,30,40,50,60,62,64,66,68,70,72,74,76,78,80,85,90,95,100})</f>
        <v>85</v>
      </c>
      <c r="Q55" s="5">
        <v>4.03</v>
      </c>
      <c r="R55" s="36">
        <f t="shared" si="3"/>
        <v>5.97</v>
      </c>
      <c r="S55" s="29">
        <f>LOOKUP(R55,{0,3.85,4.45,4.65,4.85,5.45,5.65,5.7,5.75,5.8,5.85,5.9,5.95,6,6.45,6.5,6.55,6.63,6.7,6.75,6.8},{0,10,20,30,40,50,60,62,64,66,68,70,72,74,76,78,80,85,90,95,100})</f>
        <v>72</v>
      </c>
      <c r="T55" s="27"/>
      <c r="U55" s="27"/>
      <c r="V55" s="27">
        <f t="shared" si="4"/>
        <v>72</v>
      </c>
      <c r="W55" s="27"/>
      <c r="X55" s="19">
        <f t="shared" si="5"/>
        <v>55.4</v>
      </c>
      <c r="Y55" s="13">
        <f t="shared" si="6"/>
        <v>79.1428571428571</v>
      </c>
    </row>
    <row r="56" ht="15.6" spans="1:25">
      <c r="A56" s="27">
        <v>312</v>
      </c>
      <c r="B56" s="27">
        <v>24</v>
      </c>
      <c r="C56" s="28" t="s">
        <v>599</v>
      </c>
      <c r="D56" s="28" t="s">
        <v>12</v>
      </c>
      <c r="E56" s="27">
        <v>16</v>
      </c>
      <c r="F56" s="29">
        <f>LOOKUP(E56,{0,-1.8,-0.8,0.2,1.2,2.2,3.2,4.6,6,7.4,8.8,10.2,11.6,13,14.4,15.8,17.2,19.1,21,22.8,24.6},{0,10,20,30,40,50,60,62,64,66,68,70,72,74,76,78,80,85,90,95,100})</f>
        <v>78</v>
      </c>
      <c r="G56" s="27">
        <v>255</v>
      </c>
      <c r="H56" s="29">
        <f>LOOKUP(G56,{0,180,185,190,195,200,205,209,213,217,221,225,229,233,237,241,245,253,260,265,270},{0,10,20,30,40,50,60,62,64,66,68,70,72,74,76,78,80,85,90,95,100})</f>
        <v>85</v>
      </c>
      <c r="I56" s="27">
        <v>21</v>
      </c>
      <c r="J56" s="29">
        <f>LOOKUP(I56,{0,4,5,6,7,8,9,10,11,12,13,14,15,16,17,18},{0,10,20,30,40,50,60,64,68,72,76,80,85,90,95,100})</f>
        <v>100</v>
      </c>
      <c r="K56" s="44">
        <f>I56-18</f>
        <v>3</v>
      </c>
      <c r="L56" s="29">
        <f>LOOKUP(K56,{0,1,2,3,4,5,6,7,8,9,10},{0,1,2,3,4,5,6,7,8,9,10})</f>
        <v>3</v>
      </c>
      <c r="M56" s="35">
        <f t="shared" si="1"/>
        <v>103</v>
      </c>
      <c r="N56" s="35">
        <v>7.1</v>
      </c>
      <c r="O56" s="36">
        <f t="shared" si="2"/>
        <v>10.9</v>
      </c>
      <c r="P56" s="29">
        <f>LOOKUP(O56,{0,7.8,8,8.2,8.4,8.6,8.8,9,9.2,9.4,9.6,9.8,10,10.2,10.4,10.6,10.8,10.9,11,11.1,11.2},{0,10,20,30,40,50,60,62,64,66,68,70,72,74,76,78,80,85,90,95,100})</f>
        <v>85</v>
      </c>
      <c r="Q56" s="5">
        <v>4.51</v>
      </c>
      <c r="R56" s="36">
        <f t="shared" si="3"/>
        <v>5.49</v>
      </c>
      <c r="S56" s="29">
        <f>LOOKUP(R56,{0,3.85,4.45,4.65,4.85,5.45,5.65,5.7,5.75,5.8,5.85,5.9,5.95,6,6.45,6.5,6.55,6.63,6.7,6.75,6.8},{0,10,20,30,40,50,60,62,64,66,68,70,72,74,76,78,80,85,90,95,100})</f>
        <v>50</v>
      </c>
      <c r="T56" s="27"/>
      <c r="U56" s="27"/>
      <c r="V56" s="27">
        <f t="shared" si="4"/>
        <v>50</v>
      </c>
      <c r="W56" s="27"/>
      <c r="X56" s="19">
        <f t="shared" si="5"/>
        <v>53.3</v>
      </c>
      <c r="Y56" s="13">
        <f t="shared" si="6"/>
        <v>79.1428571428571</v>
      </c>
    </row>
    <row r="57" ht="15.6" spans="1:25">
      <c r="A57" s="27">
        <v>309</v>
      </c>
      <c r="B57" s="27">
        <v>15</v>
      </c>
      <c r="C57" s="28" t="s">
        <v>420</v>
      </c>
      <c r="D57" s="28" t="s">
        <v>12</v>
      </c>
      <c r="E57" s="27">
        <v>17</v>
      </c>
      <c r="F57" s="29">
        <f>LOOKUP(E57,{0,-1.8,-0.8,0.2,1.2,2.2,3.2,4.6,6,7.4,8.8,10.2,11.6,13,14.4,15.8,17.2,19.1,21,22.8,24.6},{0,10,20,30,40,50,60,62,64,66,68,70,72,74,76,78,80,85,90,95,100})</f>
        <v>78</v>
      </c>
      <c r="G57" s="27">
        <v>250</v>
      </c>
      <c r="H57" s="29">
        <f>LOOKUP(G57,{0,180,185,190,195,200,205,209,213,217,221,225,229,233,237,241,245,253,260,265,270},{0,10,20,30,40,50,60,62,64,66,68,70,72,74,76,78,80,85,90,95,100})</f>
        <v>80</v>
      </c>
      <c r="I57" s="27">
        <v>10</v>
      </c>
      <c r="J57" s="29">
        <f>LOOKUP(I57,{0,4,5,6,7,8,9,10,11,12,13,14,15,16,17,18},{0,10,20,30,40,50,60,64,68,72,76,80,85,90,95,100})</f>
        <v>64</v>
      </c>
      <c r="K57" s="44"/>
      <c r="L57" s="35"/>
      <c r="M57" s="35">
        <f t="shared" si="1"/>
        <v>64</v>
      </c>
      <c r="N57" s="35">
        <v>6.9</v>
      </c>
      <c r="O57" s="36">
        <f t="shared" si="2"/>
        <v>11.1</v>
      </c>
      <c r="P57" s="29">
        <f>LOOKUP(O57,{0,7.8,8,8.2,8.4,8.6,8.8,9,9.2,9.4,9.6,9.8,10,10.2,10.4,10.6,10.8,10.9,11,11.1,11.2},{0,10,20,30,40,50,60,62,64,66,68,70,72,74,76,78,80,85,90,95,100})</f>
        <v>95</v>
      </c>
      <c r="Q57" s="5">
        <v>4.07</v>
      </c>
      <c r="R57" s="36">
        <f t="shared" si="3"/>
        <v>5.93</v>
      </c>
      <c r="S57" s="29">
        <f>LOOKUP(R57,{0,3.85,4.45,4.65,4.85,5.45,5.65,5.7,5.75,5.8,5.85,5.9,5.95,6,6.45,6.5,6.55,6.63,6.7,6.75,6.8},{0,10,20,30,40,50,60,62,64,66,68,70,72,74,76,78,80,85,90,95,100})</f>
        <v>70</v>
      </c>
      <c r="T57" s="27"/>
      <c r="U57" s="27"/>
      <c r="V57" s="27">
        <f t="shared" si="4"/>
        <v>70</v>
      </c>
      <c r="W57" s="27"/>
      <c r="X57" s="19">
        <f t="shared" si="5"/>
        <v>55.2</v>
      </c>
      <c r="Y57" s="13">
        <f t="shared" si="6"/>
        <v>78.8571428571429</v>
      </c>
    </row>
    <row r="58" ht="15.6" spans="1:25">
      <c r="A58" s="27">
        <v>307</v>
      </c>
      <c r="B58" s="27">
        <v>13</v>
      </c>
      <c r="C58" s="28" t="s">
        <v>312</v>
      </c>
      <c r="D58" s="28" t="s">
        <v>12</v>
      </c>
      <c r="E58" s="27">
        <v>20</v>
      </c>
      <c r="F58" s="29">
        <f>LOOKUP(E58,{0,-1.8,-0.8,0.2,1.2,2.2,3.2,4.6,6,7.4,8.8,10.2,11.6,13,14.4,15.8,17.2,19.1,21,22.8,24.6},{0,10,20,30,40,50,60,62,64,66,68,70,72,74,76,78,80,85,90,95,100})</f>
        <v>85</v>
      </c>
      <c r="G58" s="27">
        <v>230</v>
      </c>
      <c r="H58" s="29">
        <f>LOOKUP(G58,{0,180,185,190,195,200,205,209,213,217,221,225,229,233,237,241,245,253,260,265,270},{0,10,20,30,40,50,60,62,64,66,68,70,72,74,76,78,80,85,90,95,100})</f>
        <v>72</v>
      </c>
      <c r="I58" s="27">
        <v>10</v>
      </c>
      <c r="J58" s="29">
        <f>LOOKUP(I58,{0,4,5,6,7,8,9,10,11,12,13,14,15,16,17,18},{0,10,20,30,40,50,60,64,68,72,76,80,85,90,95,100})</f>
        <v>64</v>
      </c>
      <c r="K58" s="44"/>
      <c r="L58" s="35"/>
      <c r="M58" s="35">
        <f t="shared" si="1"/>
        <v>64</v>
      </c>
      <c r="N58" s="35">
        <v>7</v>
      </c>
      <c r="O58" s="36">
        <f t="shared" si="2"/>
        <v>11</v>
      </c>
      <c r="P58" s="29">
        <f>LOOKUP(O58,{0,7.8,8,8.2,8.4,8.6,8.8,9,9.2,9.4,9.6,9.8,10,10.2,10.4,10.6,10.8,10.9,11,11.1,11.2},{0,10,20,30,40,50,60,62,64,66,68,70,72,74,76,78,80,85,90,95,100})</f>
        <v>90</v>
      </c>
      <c r="Q58" s="5">
        <v>3.56</v>
      </c>
      <c r="R58" s="36">
        <f t="shared" si="3"/>
        <v>6.44</v>
      </c>
      <c r="S58" s="29">
        <f>LOOKUP(R58,{0,3.85,4.45,4.65,4.85,5.45,5.65,5.7,5.75,5.8,5.85,5.9,5.95,6,6.45,6.5,6.55,6.63,6.7,6.75,6.8},{0,10,20,30,40,50,60,62,64,66,68,70,72,74,76,78,80,85,90,95,100})</f>
        <v>74</v>
      </c>
      <c r="T58" s="27"/>
      <c r="U58" s="27"/>
      <c r="V58" s="27">
        <f t="shared" si="4"/>
        <v>74</v>
      </c>
      <c r="W58" s="27"/>
      <c r="X58" s="19">
        <f t="shared" si="5"/>
        <v>54.9</v>
      </c>
      <c r="Y58" s="13">
        <f t="shared" si="6"/>
        <v>78.4285714285714</v>
      </c>
    </row>
    <row r="59" ht="15.6" spans="1:25">
      <c r="A59" s="27">
        <v>312</v>
      </c>
      <c r="B59" s="27">
        <v>19</v>
      </c>
      <c r="C59" s="27" t="s">
        <v>593</v>
      </c>
      <c r="D59" s="27" t="s">
        <v>12</v>
      </c>
      <c r="E59" s="27">
        <v>13</v>
      </c>
      <c r="F59" s="29">
        <f>LOOKUP(E59,{0,-1.8,-0.8,0.2,1.2,2.2,3.2,4.6,6,7.4,8.8,10.2,11.6,13,14.4,15.8,17.2,19.1,21,22.8,24.6},{0,10,20,30,40,50,60,62,64,66,68,70,72,74,76,78,80,85,90,95,100})</f>
        <v>74</v>
      </c>
      <c r="G59" s="27">
        <v>260</v>
      </c>
      <c r="H59" s="29">
        <f>LOOKUP(G59,{0,180,185,190,195,200,205,209,213,217,221,225,229,233,237,241,245,253,260,265,270},{0,10,20,30,40,50,60,62,64,66,68,70,72,74,76,78,80,85,90,95,100})</f>
        <v>90</v>
      </c>
      <c r="I59" s="27">
        <v>17</v>
      </c>
      <c r="J59" s="29">
        <f>LOOKUP(I59,{0,4,5,6,7,8,9,10,11,12,13,14,15,16,17,18},{0,10,20,30,40,50,60,64,68,72,76,80,85,90,95,100})</f>
        <v>95</v>
      </c>
      <c r="K59" s="44"/>
      <c r="L59" s="35"/>
      <c r="M59" s="35">
        <f t="shared" si="1"/>
        <v>95</v>
      </c>
      <c r="N59" s="35">
        <v>6.9</v>
      </c>
      <c r="O59" s="36">
        <f t="shared" si="2"/>
        <v>11.1</v>
      </c>
      <c r="P59" s="29">
        <f>LOOKUP(O59,{0,7.8,8,8.2,8.4,8.6,8.8,9,9.2,9.4,9.6,9.8,10,10.2,10.4,10.6,10.8,10.9,11,11.1,11.2},{0,10,20,30,40,50,60,62,64,66,68,70,72,74,76,78,80,85,90,95,100})</f>
        <v>95</v>
      </c>
      <c r="Q59" s="5">
        <v>4.52</v>
      </c>
      <c r="R59" s="36">
        <f t="shared" si="3"/>
        <v>5.48</v>
      </c>
      <c r="S59" s="29">
        <f>LOOKUP(R59,{0,3.85,4.45,4.65,4.85,5.45,5.65,5.7,5.75,5.8,5.85,5.9,5.95,6,6.45,6.5,6.55,6.63,6.7,6.75,6.8},{0,10,20,30,40,50,60,62,64,66,68,70,72,74,76,78,80,85,90,95,100})</f>
        <v>50</v>
      </c>
      <c r="T59" s="27"/>
      <c r="U59" s="27"/>
      <c r="V59" s="27">
        <f t="shared" si="4"/>
        <v>50</v>
      </c>
      <c r="W59" s="27"/>
      <c r="X59" s="19">
        <f t="shared" si="5"/>
        <v>54.9</v>
      </c>
      <c r="Y59" s="13">
        <f t="shared" si="6"/>
        <v>78.4285714285714</v>
      </c>
    </row>
    <row r="60" ht="15.6" spans="1:25">
      <c r="A60" s="27">
        <v>316</v>
      </c>
      <c r="B60" s="27">
        <v>5</v>
      </c>
      <c r="C60" s="28" t="s">
        <v>792</v>
      </c>
      <c r="D60" s="28" t="s">
        <v>12</v>
      </c>
      <c r="E60" s="27">
        <v>11</v>
      </c>
      <c r="F60" s="29">
        <f>LOOKUP(E60,{0,-1.8,-0.8,0.2,1.2,2.2,3.2,4.6,6,7.4,8.8,10.2,11.6,13,14.4,15.8,17.2,19.1,21,22.8,24.6},{0,10,20,30,40,50,60,62,64,66,68,70,72,74,76,78,80,85,90,95,100})</f>
        <v>70</v>
      </c>
      <c r="G60" s="27">
        <v>260</v>
      </c>
      <c r="H60" s="29">
        <f>LOOKUP(G60,{0,180,185,190,195,200,205,209,213,217,221,225,229,233,237,241,245,253,260,265,270},{0,10,20,30,40,50,60,62,64,66,68,70,72,74,76,78,80,85,90,95,100})</f>
        <v>90</v>
      </c>
      <c r="I60" s="27">
        <v>17</v>
      </c>
      <c r="J60" s="29">
        <f>LOOKUP(I60,{0,4,5,6,7,8,9,10,11,12,13,14,15,16,17,18},{0,10,20,30,40,50,60,64,68,72,76,80,85,90,95,100})</f>
        <v>95</v>
      </c>
      <c r="K60" s="44"/>
      <c r="L60" s="35"/>
      <c r="M60" s="35">
        <f t="shared" si="1"/>
        <v>95</v>
      </c>
      <c r="N60" s="35">
        <v>6.9</v>
      </c>
      <c r="O60" s="36">
        <f t="shared" si="2"/>
        <v>11.1</v>
      </c>
      <c r="P60" s="29">
        <f>LOOKUP(O60,{0,7.8,8,8.2,8.4,8.6,8.8,9,9.2,9.4,9.6,9.8,10,10.2,10.4,10.6,10.8,10.9,11,11.1,11.2},{0,10,20,30,40,50,60,62,64,66,68,70,72,74,76,78,80,85,90,95,100})</f>
        <v>95</v>
      </c>
      <c r="Q60" s="5">
        <v>4.54</v>
      </c>
      <c r="R60" s="36">
        <f t="shared" si="3"/>
        <v>5.46</v>
      </c>
      <c r="S60" s="29">
        <f>LOOKUP(R60,{0,3.85,4.45,4.65,4.85,5.45,5.65,5.7,5.75,5.8,5.85,5.9,5.95,6,6.45,6.5,6.55,6.63,6.7,6.75,6.8},{0,10,20,30,40,50,60,62,64,66,68,70,72,74,76,78,80,85,90,95,100})</f>
        <v>50</v>
      </c>
      <c r="T60" s="27"/>
      <c r="U60" s="27"/>
      <c r="V60" s="27">
        <f t="shared" si="4"/>
        <v>50</v>
      </c>
      <c r="W60" s="27"/>
      <c r="X60" s="19">
        <f t="shared" si="5"/>
        <v>54.5</v>
      </c>
      <c r="Y60" s="13">
        <f t="shared" si="6"/>
        <v>77.8571428571429</v>
      </c>
    </row>
    <row r="61" ht="15.6" spans="1:25">
      <c r="A61" s="27">
        <v>301</v>
      </c>
      <c r="B61" s="27">
        <v>26</v>
      </c>
      <c r="C61" s="27" t="s">
        <v>38</v>
      </c>
      <c r="D61" s="27" t="s">
        <v>12</v>
      </c>
      <c r="E61" s="27">
        <v>19</v>
      </c>
      <c r="F61" s="29">
        <f>LOOKUP(E61,{0,-1.8,-0.8,0.2,1.2,2.2,3.2,4.6,6,7.4,8.8,10.2,11.6,13,14.4,15.8,17.2,19.1,21,22.8,24.6},{0,10,20,30,40,50,60,62,64,66,68,70,72,74,76,78,80,85,90,95,100})</f>
        <v>80</v>
      </c>
      <c r="G61" s="27">
        <v>255</v>
      </c>
      <c r="H61" s="29">
        <f>LOOKUP(G61,{0,180,185,190,195,200,205,209,213,217,221,225,229,233,237,241,245,253,260,265,270},{0,10,20,30,40,50,60,62,64,66,68,70,72,74,76,78,80,85,90,95,100})</f>
        <v>85</v>
      </c>
      <c r="I61" s="27">
        <v>10</v>
      </c>
      <c r="J61" s="29">
        <f>LOOKUP(I61,{0,4,5,6,7,8,9,10,11,12,13,14,15,16,17,18},{0,10,20,30,40,50,60,64,68,72,76,80,85,90,95,100})</f>
        <v>64</v>
      </c>
      <c r="K61" s="44"/>
      <c r="L61" s="35"/>
      <c r="M61" s="35">
        <f t="shared" si="1"/>
        <v>64</v>
      </c>
      <c r="N61" s="35">
        <v>7.1</v>
      </c>
      <c r="O61" s="36">
        <f t="shared" si="2"/>
        <v>10.9</v>
      </c>
      <c r="P61" s="29">
        <f>LOOKUP(O61,{0,7.8,8,8.2,8.4,8.6,8.8,9,9.2,9.4,9.6,9.8,10,10.2,10.4,10.6,10.8,10.9,11,11.1,11.2},{0,10,20,30,40,50,60,62,64,66,68,70,72,74,76,78,80,85,90,95,100})</f>
        <v>85</v>
      </c>
      <c r="Q61" s="5">
        <v>4.02</v>
      </c>
      <c r="R61" s="36">
        <f t="shared" si="3"/>
        <v>5.98</v>
      </c>
      <c r="S61" s="29">
        <f>LOOKUP(R61,{0,3.85,4.45,4.65,4.85,5.45,5.65,5.7,5.75,5.8,5.85,5.9,5.95,6,6.45,6.5,6.55,6.63,6.7,6.75,6.8},{0,10,20,30,40,50,60,62,64,66,68,70,72,74,76,78,80,85,90,95,100})</f>
        <v>72</v>
      </c>
      <c r="T61" s="27"/>
      <c r="U61" s="27"/>
      <c r="V61" s="27">
        <f t="shared" si="4"/>
        <v>72</v>
      </c>
      <c r="W61" s="27"/>
      <c r="X61" s="19">
        <f t="shared" si="5"/>
        <v>54.3</v>
      </c>
      <c r="Y61" s="13">
        <f t="shared" si="6"/>
        <v>77.5714285714286</v>
      </c>
    </row>
    <row r="62" ht="15.6" spans="1:25">
      <c r="A62" s="27">
        <v>312</v>
      </c>
      <c r="B62" s="27">
        <v>27</v>
      </c>
      <c r="C62" s="28" t="s">
        <v>602</v>
      </c>
      <c r="D62" s="28" t="s">
        <v>12</v>
      </c>
      <c r="E62" s="27">
        <v>6</v>
      </c>
      <c r="F62" s="29">
        <f>LOOKUP(E62,{0,-1.8,-0.8,0.2,1.2,2.2,3.2,4.6,6,7.4,8.8,10.2,11.6,13,14.4,15.8,17.2,19.1,21,22.8,24.6},{0,10,20,30,40,50,60,62,64,66,68,70,72,74,76,78,80,85,90,95,100})</f>
        <v>64</v>
      </c>
      <c r="G62" s="27">
        <v>235</v>
      </c>
      <c r="H62" s="29">
        <f>LOOKUP(G62,{0,180,185,190,195,200,205,209,213,217,221,225,229,233,237,241,245,253,260,265,270},{0,10,20,30,40,50,60,62,64,66,68,70,72,74,76,78,80,85,90,95,100})</f>
        <v>74</v>
      </c>
      <c r="I62" s="27">
        <v>18</v>
      </c>
      <c r="J62" s="29">
        <f>LOOKUP(I62,{0,4,5,6,7,8,9,10,11,12,13,14,15,16,17,18},{0,10,20,30,40,50,60,64,68,72,76,80,85,90,95,100})</f>
        <v>100</v>
      </c>
      <c r="K62" s="44"/>
      <c r="L62" s="35"/>
      <c r="M62" s="35">
        <f t="shared" si="1"/>
        <v>100</v>
      </c>
      <c r="N62" s="35">
        <v>7.6</v>
      </c>
      <c r="O62" s="36">
        <f t="shared" si="2"/>
        <v>10.4</v>
      </c>
      <c r="P62" s="29">
        <f>LOOKUP(O62,{0,7.8,8,8.2,8.4,8.6,8.8,9,9.2,9.4,9.6,9.8,10,10.2,10.4,10.6,10.8,10.9,11,11.1,11.2},{0,10,20,30,40,50,60,62,64,66,68,70,72,74,76,78,80,85,90,95,100})</f>
        <v>76</v>
      </c>
      <c r="Q62" s="5">
        <v>3.52</v>
      </c>
      <c r="R62" s="36">
        <f t="shared" si="3"/>
        <v>6.48</v>
      </c>
      <c r="S62" s="29">
        <f>LOOKUP(R62,{0,3.85,4.45,4.65,4.85,5.45,5.65,5.7,5.75,5.8,5.85,5.9,5.95,6,6.45,6.5,6.55,6.63,6.7,6.75,6.8},{0,10,20,30,40,50,60,62,64,66,68,70,72,74,76,78,80,85,90,95,100})</f>
        <v>76</v>
      </c>
      <c r="T62" s="27"/>
      <c r="U62" s="27"/>
      <c r="V62" s="27">
        <f t="shared" si="4"/>
        <v>76</v>
      </c>
      <c r="W62" s="27"/>
      <c r="X62" s="19">
        <f t="shared" si="5"/>
        <v>54.2</v>
      </c>
      <c r="Y62" s="13">
        <f t="shared" si="6"/>
        <v>77.4285714285714</v>
      </c>
    </row>
    <row r="63" ht="15.6" spans="1:25">
      <c r="A63" s="27">
        <v>312</v>
      </c>
      <c r="B63" s="27">
        <v>26</v>
      </c>
      <c r="C63" s="28" t="s">
        <v>601</v>
      </c>
      <c r="D63" s="28" t="s">
        <v>12</v>
      </c>
      <c r="E63" s="27">
        <v>24</v>
      </c>
      <c r="F63" s="29">
        <f>LOOKUP(E63,{0,-1.8,-0.8,0.2,1.2,2.2,3.2,4.6,6,7.4,8.8,10.2,11.6,13,14.4,15.8,17.2,19.1,21,22.8,24.6},{0,10,20,30,40,50,60,62,64,66,68,70,72,74,76,78,80,85,90,95,100})</f>
        <v>95</v>
      </c>
      <c r="G63" s="27">
        <v>245</v>
      </c>
      <c r="H63" s="29">
        <f>LOOKUP(G63,{0,180,185,190,195,200,205,209,213,217,221,225,229,233,237,241,245,253,260,265,270},{0,10,20,30,40,50,60,62,64,66,68,70,72,74,76,78,80,85,90,95,100})</f>
        <v>80</v>
      </c>
      <c r="I63" s="27">
        <v>16</v>
      </c>
      <c r="J63" s="29">
        <f>LOOKUP(I63,{0,4,5,6,7,8,9,10,11,12,13,14,15,16,17,18},{0,10,20,30,40,50,60,64,68,72,76,80,85,90,95,100})</f>
        <v>90</v>
      </c>
      <c r="K63" s="44"/>
      <c r="L63" s="35"/>
      <c r="M63" s="35">
        <f t="shared" si="1"/>
        <v>90</v>
      </c>
      <c r="N63" s="35">
        <v>7.6</v>
      </c>
      <c r="O63" s="36">
        <f t="shared" si="2"/>
        <v>10.4</v>
      </c>
      <c r="P63" s="29">
        <f>LOOKUP(O63,{0,7.8,8,8.2,8.4,8.6,8.8,9,9.2,9.4,9.6,9.8,10,10.2,10.4,10.6,10.8,10.9,11,11.1,11.2},{0,10,20,30,40,50,60,62,64,66,68,70,72,74,76,78,80,85,90,95,100})</f>
        <v>76</v>
      </c>
      <c r="Q63" s="5">
        <v>4.29</v>
      </c>
      <c r="R63" s="36">
        <f t="shared" si="3"/>
        <v>5.71</v>
      </c>
      <c r="S63" s="29">
        <f>LOOKUP(R63,{0,3.85,4.45,4.65,4.85,5.45,5.65,5.7,5.75,5.8,5.85,5.9,5.95,6,6.45,6.5,6.55,6.63,6.7,6.75,6.8},{0,10,20,30,40,50,60,62,64,66,68,70,72,74,76,78,80,85,90,95,100})</f>
        <v>62</v>
      </c>
      <c r="T63" s="27"/>
      <c r="U63" s="27"/>
      <c r="V63" s="27">
        <f t="shared" si="4"/>
        <v>62</v>
      </c>
      <c r="W63" s="27"/>
      <c r="X63" s="19">
        <f t="shared" si="5"/>
        <v>54.1</v>
      </c>
      <c r="Y63" s="13">
        <f t="shared" si="6"/>
        <v>77.2857142857143</v>
      </c>
    </row>
    <row r="64" ht="15.6" spans="1:25">
      <c r="A64" s="27">
        <v>313</v>
      </c>
      <c r="B64" s="27">
        <v>7</v>
      </c>
      <c r="C64" s="28" t="s">
        <v>633</v>
      </c>
      <c r="D64" s="28" t="s">
        <v>12</v>
      </c>
      <c r="E64" s="27">
        <v>16.5</v>
      </c>
      <c r="F64" s="29">
        <f>LOOKUP(E64,{0,-1.8,-0.8,0.2,1.2,2.2,3.2,4.6,6,7.4,8.8,10.2,11.6,13,14.4,15.8,17.2,19.1,21,22.8,24.6},{0,10,20,30,40,50,60,62,64,66,68,70,72,74,76,78,80,85,90,95,100})</f>
        <v>78</v>
      </c>
      <c r="G64" s="27">
        <v>260</v>
      </c>
      <c r="H64" s="29">
        <f>LOOKUP(G64,{0,180,185,190,195,200,205,209,213,217,221,225,229,233,237,241,245,253,260,265,270},{0,10,20,30,40,50,60,62,64,66,68,70,72,74,76,78,80,85,90,95,100})</f>
        <v>90</v>
      </c>
      <c r="I64" s="27">
        <v>16</v>
      </c>
      <c r="J64" s="29">
        <f>LOOKUP(I64,{0,4,5,6,7,8,9,10,11,12,13,14,15,16,17,18},{0,10,20,30,40,50,60,64,68,72,76,80,85,90,95,100})</f>
        <v>90</v>
      </c>
      <c r="K64" s="44"/>
      <c r="L64" s="35"/>
      <c r="M64" s="35">
        <f t="shared" si="1"/>
        <v>90</v>
      </c>
      <c r="N64" s="35">
        <v>6.6</v>
      </c>
      <c r="O64" s="36">
        <f t="shared" si="2"/>
        <v>11.4</v>
      </c>
      <c r="P64" s="29">
        <f>LOOKUP(O64,{0,7.8,8,8.2,8.4,8.6,8.8,9,9.2,9.4,9.6,9.8,10,10.2,10.4,10.6,10.8,10.9,11,11.1,11.2},{0,10,20,30,40,50,60,62,64,66,68,70,72,74,76,78,80,85,90,95,100})</f>
        <v>100</v>
      </c>
      <c r="Q64" s="5">
        <v>5.09</v>
      </c>
      <c r="R64" s="36">
        <f t="shared" si="3"/>
        <v>4.91</v>
      </c>
      <c r="S64" s="29">
        <f>LOOKUP(R64,{0,3.85,4.45,4.65,4.85,5.45,5.65,5.7,5.75,5.8,5.85,5.9,5.95,6,6.45,6.5,6.55,6.63,6.7,6.75,6.8},{0,10,20,30,40,50,60,62,64,66,68,70,72,74,76,78,80,85,90,95,100})</f>
        <v>40</v>
      </c>
      <c r="T64" s="27"/>
      <c r="U64" s="27"/>
      <c r="V64" s="27">
        <f t="shared" si="4"/>
        <v>40</v>
      </c>
      <c r="W64" s="27"/>
      <c r="X64" s="19">
        <f t="shared" si="5"/>
        <v>53.8</v>
      </c>
      <c r="Y64" s="13">
        <f t="shared" si="6"/>
        <v>76.8571428571429</v>
      </c>
    </row>
    <row r="65" ht="15.6" spans="1:25">
      <c r="A65" s="27">
        <v>308</v>
      </c>
      <c r="B65" s="27">
        <v>15</v>
      </c>
      <c r="C65" s="28" t="s">
        <v>367</v>
      </c>
      <c r="D65" s="28" t="s">
        <v>12</v>
      </c>
      <c r="E65" s="27">
        <v>21</v>
      </c>
      <c r="F65" s="29">
        <f>LOOKUP(E65,{0,-1.8,-0.8,0.2,1.2,2.2,3.2,4.6,6,7.4,8.8,10.2,11.6,13,14.4,15.8,17.2,19.1,21,22.8,24.6},{0,10,20,30,40,50,60,62,64,66,68,70,72,74,76,78,80,85,90,95,100})</f>
        <v>90</v>
      </c>
      <c r="G65" s="27">
        <v>220</v>
      </c>
      <c r="H65" s="29">
        <f>LOOKUP(G65,{0,180,185,190,195,200,205,209,213,217,221,225,229,233,237,241,245,253,260,265,270},{0,10,20,30,40,50,60,62,64,66,68,70,72,74,76,78,80,85,90,95,100})</f>
        <v>66</v>
      </c>
      <c r="I65" s="27">
        <v>8</v>
      </c>
      <c r="J65" s="29">
        <f>LOOKUP(I65,{0,4,5,6,7,8,9,10,11,12,13,14,15,16,17,18},{0,10,20,30,40,50,60,64,68,72,76,80,85,90,95,100})</f>
        <v>50</v>
      </c>
      <c r="K65" s="44"/>
      <c r="L65" s="35"/>
      <c r="M65" s="35">
        <f t="shared" si="1"/>
        <v>50</v>
      </c>
      <c r="N65" s="35">
        <v>7.1</v>
      </c>
      <c r="O65" s="36">
        <f t="shared" si="2"/>
        <v>10.9</v>
      </c>
      <c r="P65" s="29">
        <f>LOOKUP(O65,{0,7.8,8,8.2,8.4,8.6,8.8,9,9.2,9.4,9.6,9.8,10,10.2,10.4,10.6,10.8,10.9,11,11.1,11.2},{0,10,20,30,40,50,60,62,64,66,68,70,72,74,76,78,80,85,90,95,100})</f>
        <v>85</v>
      </c>
      <c r="Q65" s="5">
        <v>3.4</v>
      </c>
      <c r="R65" s="36">
        <f t="shared" si="3"/>
        <v>6.6</v>
      </c>
      <c r="S65" s="29">
        <f>LOOKUP(R65,{0,3.85,4.45,4.65,4.85,5.45,5.65,5.7,5.75,5.8,5.85,5.9,5.95,6,6.45,6.5,6.55,6.63,6.7,6.75,6.8},{0,10,20,30,40,50,60,62,64,66,68,70,72,74,76,78,80,85,90,95,100})</f>
        <v>80</v>
      </c>
      <c r="T65" s="27"/>
      <c r="U65" s="27"/>
      <c r="V65" s="27">
        <f t="shared" si="4"/>
        <v>80</v>
      </c>
      <c r="W65" s="27"/>
      <c r="X65" s="19">
        <f t="shared" si="5"/>
        <v>53.6</v>
      </c>
      <c r="Y65" s="13">
        <f t="shared" si="6"/>
        <v>76.5714285714286</v>
      </c>
    </row>
    <row r="66" ht="15.6" spans="1:25">
      <c r="A66" s="27">
        <v>310</v>
      </c>
      <c r="B66" s="27">
        <v>32</v>
      </c>
      <c r="C66" s="30" t="s">
        <v>492</v>
      </c>
      <c r="D66" s="28" t="s">
        <v>12</v>
      </c>
      <c r="E66" s="27">
        <v>6</v>
      </c>
      <c r="F66" s="29">
        <f>LOOKUP(E66,{0,-1.8,-0.8,0.2,1.2,2.2,3.2,4.6,6,7.4,8.8,10.2,11.6,13,14.4,15.8,17.2,19.1,21,22.8,24.6},{0,10,20,30,40,50,60,62,64,66,68,70,72,74,76,78,80,85,90,95,100})</f>
        <v>64</v>
      </c>
      <c r="G66" s="27">
        <v>235</v>
      </c>
      <c r="H66" s="29">
        <f>LOOKUP(G66,{0,180,185,190,195,200,205,209,213,217,221,225,229,233,237,241,245,253,260,265,270},{0,10,20,30,40,50,60,62,64,66,68,70,72,74,76,78,80,85,90,95,100})</f>
        <v>74</v>
      </c>
      <c r="I66" s="27">
        <v>12</v>
      </c>
      <c r="J66" s="29">
        <f>LOOKUP(I66,{0,4,5,6,7,8,9,10,11,12,13,14,15,16,17,18},{0,10,20,30,40,50,60,64,68,72,76,80,85,90,95,100})</f>
        <v>72</v>
      </c>
      <c r="K66" s="44"/>
      <c r="L66" s="35"/>
      <c r="M66" s="35">
        <f t="shared" ref="M66:M129" si="7">J66+L66</f>
        <v>72</v>
      </c>
      <c r="N66" s="35">
        <v>7.3</v>
      </c>
      <c r="O66" s="36">
        <f t="shared" ref="O66:O129" si="8">18-N66</f>
        <v>10.7</v>
      </c>
      <c r="P66" s="29">
        <f>LOOKUP(O66,{0,7.8,8,8.2,8.4,8.6,8.8,9,9.2,9.4,9.6,9.8,10,10.2,10.4,10.6,10.8,10.9,11,11.1,11.2},{0,10,20,30,40,50,60,62,64,66,68,70,72,74,76,78,80,85,90,95,100})</f>
        <v>78</v>
      </c>
      <c r="Q66" s="5">
        <v>3.36</v>
      </c>
      <c r="R66" s="36">
        <f t="shared" ref="R66:R129" si="9">10-Q66</f>
        <v>6.64</v>
      </c>
      <c r="S66" s="29">
        <f>LOOKUP(R66,{0,3.85,4.45,4.65,4.85,5.45,5.65,5.7,5.75,5.8,5.85,5.9,5.95,6,6.45,6.5,6.55,6.63,6.7,6.75,6.8},{0,10,20,30,40,50,60,62,64,66,68,70,72,74,76,78,80,85,90,95,100})</f>
        <v>85</v>
      </c>
      <c r="T66" s="27"/>
      <c r="U66" s="27"/>
      <c r="V66" s="27">
        <f t="shared" ref="V66:V129" si="10">S66+U66</f>
        <v>85</v>
      </c>
      <c r="W66" s="27"/>
      <c r="X66" s="19">
        <f t="shared" ref="X66:X129" si="11">F66*0.1+H66*0.1+J66*0.1+P66*0.2+S66*0.2</f>
        <v>53.6</v>
      </c>
      <c r="Y66" s="13">
        <f t="shared" ref="Y66:Y129" si="12">X66/0.7+L66+U66</f>
        <v>76.5714285714286</v>
      </c>
    </row>
    <row r="67" ht="15.6" spans="1:25">
      <c r="A67" s="27">
        <v>301</v>
      </c>
      <c r="B67" s="27">
        <v>20</v>
      </c>
      <c r="C67" s="27" t="s">
        <v>31</v>
      </c>
      <c r="D67" s="27" t="s">
        <v>12</v>
      </c>
      <c r="E67" s="27">
        <v>14.5</v>
      </c>
      <c r="F67" s="29">
        <f>LOOKUP(E67,{0,-1.8,-0.8,0.2,1.2,2.2,3.2,4.6,6,7.4,8.8,10.2,11.6,13,14.4,15.8,17.2,19.1,21,22.8,24.6},{0,10,20,30,40,50,60,62,64,66,68,70,72,74,76,78,80,85,90,95,100})</f>
        <v>76</v>
      </c>
      <c r="G67" s="27">
        <v>242</v>
      </c>
      <c r="H67" s="29">
        <f>LOOKUP(G67,{0,180,185,190,195,200,205,209,213,217,221,225,229,233,237,241,245,253,260,265,270},{0,10,20,30,40,50,60,62,64,66,68,70,72,74,76,78,80,85,90,95,100})</f>
        <v>78</v>
      </c>
      <c r="I67" s="27">
        <v>13</v>
      </c>
      <c r="J67" s="29">
        <f>LOOKUP(I67,{0,4,5,6,7,8,9,10,11,12,13,14,15,16,17,18},{0,10,20,30,40,50,60,64,68,72,76,80,85,90,95,100})</f>
        <v>76</v>
      </c>
      <c r="K67" s="44"/>
      <c r="L67" s="35"/>
      <c r="M67" s="35">
        <f t="shared" si="7"/>
        <v>76</v>
      </c>
      <c r="N67" s="35">
        <v>7.8</v>
      </c>
      <c r="O67" s="36">
        <f t="shared" si="8"/>
        <v>10.2</v>
      </c>
      <c r="P67" s="29">
        <f>LOOKUP(O67,{0,7.8,8,8.2,8.4,8.6,8.8,9,9.2,9.4,9.6,9.8,10,10.2,10.4,10.6,10.8,10.9,11,11.1,11.2},{0,10,20,30,40,50,60,62,64,66,68,70,72,74,76,78,80,85,90,95,100})</f>
        <v>74</v>
      </c>
      <c r="Q67" s="5">
        <v>3.47</v>
      </c>
      <c r="R67" s="36">
        <f t="shared" si="9"/>
        <v>6.53</v>
      </c>
      <c r="S67" s="29">
        <f>LOOKUP(R67,{0,3.85,4.45,4.65,4.85,5.45,5.65,5.7,5.75,5.8,5.85,5.9,5.95,6,6.45,6.5,6.55,6.63,6.7,6.75,6.8},{0,10,20,30,40,50,60,62,64,66,68,70,72,74,76,78,80,85,90,95,100})</f>
        <v>78</v>
      </c>
      <c r="T67" s="27"/>
      <c r="U67" s="27"/>
      <c r="V67" s="27">
        <f t="shared" si="10"/>
        <v>78</v>
      </c>
      <c r="W67" s="27"/>
      <c r="X67" s="19">
        <f t="shared" si="11"/>
        <v>53.4</v>
      </c>
      <c r="Y67" s="13">
        <f t="shared" si="12"/>
        <v>76.2857142857143</v>
      </c>
    </row>
    <row r="68" ht="15.6" spans="1:25">
      <c r="A68" s="27">
        <v>305</v>
      </c>
      <c r="B68" s="27">
        <v>15</v>
      </c>
      <c r="C68" s="28" t="s">
        <v>200</v>
      </c>
      <c r="D68" s="28" t="s">
        <v>12</v>
      </c>
      <c r="E68" s="27">
        <v>6</v>
      </c>
      <c r="F68" s="29">
        <f>LOOKUP(E68,{0,-1.8,-0.8,0.2,1.2,2.2,3.2,4.6,6,7.4,8.8,10.2,11.6,13,14.4,15.8,17.2,19.1,21,22.8,24.6},{0,10,20,30,40,50,60,62,64,66,68,70,72,74,76,78,80,85,90,95,100})</f>
        <v>64</v>
      </c>
      <c r="G68" s="27">
        <v>228</v>
      </c>
      <c r="H68" s="29">
        <f>LOOKUP(G68,{0,180,185,190,195,200,205,209,213,217,221,225,229,233,237,241,245,253,260,265,270},{0,10,20,30,40,50,60,62,64,66,68,70,72,74,76,78,80,85,90,95,100})</f>
        <v>70</v>
      </c>
      <c r="I68" s="27">
        <v>22</v>
      </c>
      <c r="J68" s="29">
        <f>LOOKUP(I68,{0,4,5,6,7,8,9,10,11,12,13,14,15,16,17,18},{0,10,20,30,40,50,60,64,68,72,76,80,85,90,95,100})</f>
        <v>100</v>
      </c>
      <c r="K68" s="44">
        <f>I68-18</f>
        <v>4</v>
      </c>
      <c r="L68" s="29">
        <f>LOOKUP(K68,{0,1,2,3,4,5,6,7,8,9,10},{0,1,2,3,4,5,6,7,8,9,10})</f>
        <v>4</v>
      </c>
      <c r="M68" s="35">
        <f t="shared" si="7"/>
        <v>104</v>
      </c>
      <c r="N68" s="35">
        <v>7.7</v>
      </c>
      <c r="O68" s="36">
        <f t="shared" si="8"/>
        <v>10.3</v>
      </c>
      <c r="P68" s="29">
        <f>LOOKUP(O68,{0,7.8,8,8.2,8.4,8.6,8.8,9,9.2,9.4,9.6,9.8,10,10.2,10.4,10.6,10.8,10.9,11,11.1,11.2},{0,10,20,30,40,50,60,62,64,66,68,70,72,74,76,78,80,85,90,95,100})</f>
        <v>74</v>
      </c>
      <c r="Q68" s="5">
        <v>4.26</v>
      </c>
      <c r="R68" s="36">
        <f t="shared" si="9"/>
        <v>5.74</v>
      </c>
      <c r="S68" s="29">
        <f>LOOKUP(R68,{0,3.85,4.45,4.65,4.85,5.45,5.65,5.7,5.75,5.8,5.85,5.9,5.95,6,6.45,6.5,6.55,6.63,6.7,6.75,6.8},{0,10,20,30,40,50,60,62,64,66,68,70,72,74,76,78,80,85,90,95,100})</f>
        <v>62</v>
      </c>
      <c r="T68" s="27"/>
      <c r="U68" s="27"/>
      <c r="V68" s="27">
        <f t="shared" si="10"/>
        <v>62</v>
      </c>
      <c r="W68" s="27"/>
      <c r="X68" s="19">
        <f t="shared" si="11"/>
        <v>50.6</v>
      </c>
      <c r="Y68" s="13">
        <f t="shared" si="12"/>
        <v>76.2857142857143</v>
      </c>
    </row>
    <row r="69" ht="15.6" spans="1:25">
      <c r="A69" s="27">
        <v>307</v>
      </c>
      <c r="B69" s="27">
        <v>16</v>
      </c>
      <c r="C69" s="28" t="s">
        <v>315</v>
      </c>
      <c r="D69" s="28" t="s">
        <v>12</v>
      </c>
      <c r="E69" s="27">
        <v>15.6</v>
      </c>
      <c r="F69" s="29">
        <f>LOOKUP(E69,{0,-1.8,-0.8,0.2,1.2,2.2,3.2,4.6,6,7.4,8.8,10.2,11.6,13,14.4,15.8,17.2,19.1,21,22.8,24.6},{0,10,20,30,40,50,60,62,64,66,68,70,72,74,76,78,80,85,90,95,100})</f>
        <v>76</v>
      </c>
      <c r="G69" s="27">
        <v>230</v>
      </c>
      <c r="H69" s="29">
        <f>LOOKUP(G69,{0,180,185,190,195,200,205,209,213,217,221,225,229,233,237,241,245,253,260,265,270},{0,10,20,30,40,50,60,62,64,66,68,70,72,74,76,78,80,85,90,95,100})</f>
        <v>72</v>
      </c>
      <c r="I69" s="27">
        <v>14</v>
      </c>
      <c r="J69" s="29">
        <f>LOOKUP(I69,{0,4,5,6,7,8,9,10,11,12,13,14,15,16,17,18},{0,10,20,30,40,50,60,64,68,72,76,80,85,90,95,100})</f>
        <v>80</v>
      </c>
      <c r="K69" s="44"/>
      <c r="L69" s="35"/>
      <c r="M69" s="35">
        <f t="shared" si="7"/>
        <v>80</v>
      </c>
      <c r="N69" s="35">
        <v>7.3</v>
      </c>
      <c r="O69" s="36">
        <f t="shared" si="8"/>
        <v>10.7</v>
      </c>
      <c r="P69" s="29">
        <f>LOOKUP(O69,{0,7.8,8,8.2,8.4,8.6,8.8,9,9.2,9.4,9.6,9.8,10,10.2,10.4,10.6,10.8,10.9,11,11.1,11.2},{0,10,20,30,40,50,60,62,64,66,68,70,72,74,76,78,80,85,90,95,100})</f>
        <v>78</v>
      </c>
      <c r="Q69" s="5">
        <v>3.56</v>
      </c>
      <c r="R69" s="36">
        <f t="shared" si="9"/>
        <v>6.44</v>
      </c>
      <c r="S69" s="29">
        <f>LOOKUP(R69,{0,3.85,4.45,4.65,4.85,5.45,5.65,5.7,5.75,5.8,5.85,5.9,5.95,6,6.45,6.5,6.55,6.63,6.7,6.75,6.8},{0,10,20,30,40,50,60,62,64,66,68,70,72,74,76,78,80,85,90,95,100})</f>
        <v>74</v>
      </c>
      <c r="T69" s="27"/>
      <c r="U69" s="27"/>
      <c r="V69" s="27">
        <f t="shared" si="10"/>
        <v>74</v>
      </c>
      <c r="W69" s="27"/>
      <c r="X69" s="19">
        <f t="shared" si="11"/>
        <v>53.2</v>
      </c>
      <c r="Y69" s="13">
        <f t="shared" si="12"/>
        <v>76</v>
      </c>
    </row>
    <row r="70" ht="15.6" spans="1:25">
      <c r="A70" s="27">
        <v>313</v>
      </c>
      <c r="B70" s="27">
        <v>16</v>
      </c>
      <c r="C70" s="28" t="s">
        <v>643</v>
      </c>
      <c r="D70" s="28" t="s">
        <v>12</v>
      </c>
      <c r="E70" s="27">
        <v>13</v>
      </c>
      <c r="F70" s="29">
        <f>LOOKUP(E70,{0,-1.8,-0.8,0.2,1.2,2.2,3.2,4.6,6,7.4,8.8,10.2,11.6,13,14.4,15.8,17.2,19.1,21,22.8,24.6},{0,10,20,30,40,50,60,62,64,66,68,70,72,74,76,78,80,85,90,95,100})</f>
        <v>74</v>
      </c>
      <c r="G70" s="27">
        <v>254</v>
      </c>
      <c r="H70" s="29">
        <f>LOOKUP(G70,{0,180,185,190,195,200,205,209,213,217,221,225,229,233,237,241,245,253,260,265,270},{0,10,20,30,40,50,60,62,64,66,68,70,72,74,76,78,80,85,90,95,100})</f>
        <v>85</v>
      </c>
      <c r="I70" s="27">
        <v>18</v>
      </c>
      <c r="J70" s="29">
        <f>LOOKUP(I70,{0,4,5,6,7,8,9,10,11,12,13,14,15,16,17,18},{0,10,20,30,40,50,60,64,68,72,76,80,85,90,95,100})</f>
        <v>100</v>
      </c>
      <c r="K70" s="44"/>
      <c r="L70" s="35"/>
      <c r="M70" s="35">
        <f t="shared" si="7"/>
        <v>100</v>
      </c>
      <c r="N70" s="35">
        <v>6.9</v>
      </c>
      <c r="O70" s="36">
        <f t="shared" si="8"/>
        <v>11.1</v>
      </c>
      <c r="P70" s="29">
        <f>LOOKUP(O70,{0,7.8,8,8.2,8.4,8.6,8.8,9,9.2,9.4,9.6,9.8,10,10.2,10.4,10.6,10.8,10.9,11,11.1,11.2},{0,10,20,30,40,50,60,62,64,66,68,70,72,74,76,78,80,85,90,95,100})</f>
        <v>95</v>
      </c>
      <c r="Q70" s="5">
        <v>5.09</v>
      </c>
      <c r="R70" s="36">
        <f t="shared" si="9"/>
        <v>4.91</v>
      </c>
      <c r="S70" s="29">
        <f>LOOKUP(R70,{0,3.85,4.45,4.65,4.85,5.45,5.65,5.7,5.75,5.8,5.85,5.9,5.95,6,6.45,6.5,6.55,6.63,6.7,6.75,6.8},{0,10,20,30,40,50,60,62,64,66,68,70,72,74,76,78,80,85,90,95,100})</f>
        <v>40</v>
      </c>
      <c r="T70" s="27"/>
      <c r="U70" s="27"/>
      <c r="V70" s="27">
        <f t="shared" si="10"/>
        <v>40</v>
      </c>
      <c r="W70" s="27"/>
      <c r="X70" s="19">
        <f t="shared" si="11"/>
        <v>52.9</v>
      </c>
      <c r="Y70" s="13">
        <f t="shared" si="12"/>
        <v>75.5714285714286</v>
      </c>
    </row>
    <row r="71" ht="15.6" spans="1:25">
      <c r="A71" s="27">
        <v>307</v>
      </c>
      <c r="B71" s="27">
        <v>17</v>
      </c>
      <c r="C71" s="28" t="s">
        <v>316</v>
      </c>
      <c r="D71" s="28" t="s">
        <v>12</v>
      </c>
      <c r="E71" s="27">
        <v>13.4</v>
      </c>
      <c r="F71" s="29">
        <f>LOOKUP(E71,{0,-1.8,-0.8,0.2,1.2,2.2,3.2,4.6,6,7.4,8.8,10.2,11.6,13,14.4,15.8,17.2,19.1,21,22.8,24.6},{0,10,20,30,40,50,60,62,64,66,68,70,72,74,76,78,80,85,90,95,100})</f>
        <v>74</v>
      </c>
      <c r="G71" s="27">
        <v>260</v>
      </c>
      <c r="H71" s="29">
        <f>LOOKUP(G71,{0,180,185,190,195,200,205,209,213,217,221,225,229,233,237,241,245,253,260,265,270},{0,10,20,30,40,50,60,62,64,66,68,70,72,74,76,78,80,85,90,95,100})</f>
        <v>90</v>
      </c>
      <c r="I71" s="27">
        <v>5</v>
      </c>
      <c r="J71" s="29">
        <f>LOOKUP(I71,{0,4,5,6,7,8,9,10,11,12,13,14,15,16,17,18},{0,10,20,30,40,50,60,64,68,72,76,80,85,90,95,100})</f>
        <v>20</v>
      </c>
      <c r="K71" s="44"/>
      <c r="L71" s="35"/>
      <c r="M71" s="35">
        <f t="shared" si="7"/>
        <v>20</v>
      </c>
      <c r="N71" s="35">
        <v>6.8</v>
      </c>
      <c r="O71" s="36">
        <f t="shared" si="8"/>
        <v>11.2</v>
      </c>
      <c r="P71" s="29">
        <f>LOOKUP(O71,{0,7.8,8,8.2,8.4,8.6,8.8,9,9.2,9.4,9.6,9.8,10,10.2,10.4,10.6,10.8,10.9,11,11.1,11.2},{0,10,20,30,40,50,60,62,64,66,68,70,72,74,76,78,80,85,90,95,100})</f>
        <v>100</v>
      </c>
      <c r="Q71" s="5">
        <v>4.04</v>
      </c>
      <c r="R71" s="36">
        <f t="shared" si="9"/>
        <v>5.96</v>
      </c>
      <c r="S71" s="29">
        <f>LOOKUP(R71,{0,3.85,4.45,4.65,4.85,5.45,5.65,5.7,5.75,5.8,5.85,5.9,5.95,6,6.45,6.5,6.55,6.63,6.7,6.75,6.8},{0,10,20,30,40,50,60,62,64,66,68,70,72,74,76,78,80,85,90,95,100})</f>
        <v>72</v>
      </c>
      <c r="T71" s="27"/>
      <c r="U71" s="27"/>
      <c r="V71" s="27">
        <f t="shared" si="10"/>
        <v>72</v>
      </c>
      <c r="W71" s="27"/>
      <c r="X71" s="19">
        <f t="shared" si="11"/>
        <v>52.8</v>
      </c>
      <c r="Y71" s="13">
        <f t="shared" si="12"/>
        <v>75.4285714285714</v>
      </c>
    </row>
    <row r="72" ht="15.6" spans="1:25">
      <c r="A72" s="27">
        <v>313</v>
      </c>
      <c r="B72" s="27">
        <v>10</v>
      </c>
      <c r="C72" s="28" t="s">
        <v>637</v>
      </c>
      <c r="D72" s="28" t="s">
        <v>12</v>
      </c>
      <c r="E72" s="27">
        <v>12</v>
      </c>
      <c r="F72" s="29">
        <f>LOOKUP(E72,{0,-1.8,-0.8,0.2,1.2,2.2,3.2,4.6,6,7.4,8.8,10.2,11.6,13,14.4,15.8,17.2,19.1,21,22.8,24.6},{0,10,20,30,40,50,60,62,64,66,68,70,72,74,76,78,80,85,90,95,100})</f>
        <v>72</v>
      </c>
      <c r="G72" s="27">
        <v>257</v>
      </c>
      <c r="H72" s="29">
        <f>LOOKUP(G72,{0,180,185,190,195,200,205,209,213,217,221,225,229,233,237,241,245,253,260,265,270},{0,10,20,30,40,50,60,62,64,66,68,70,72,74,76,78,80,85,90,95,100})</f>
        <v>85</v>
      </c>
      <c r="I72" s="27">
        <v>18</v>
      </c>
      <c r="J72" s="29">
        <f>LOOKUP(I72,{0,4,5,6,7,8,9,10,11,12,13,14,15,16,17,18},{0,10,20,30,40,50,60,64,68,72,76,80,85,90,95,100})</f>
        <v>100</v>
      </c>
      <c r="K72" s="44"/>
      <c r="L72" s="35"/>
      <c r="M72" s="35">
        <f t="shared" si="7"/>
        <v>100</v>
      </c>
      <c r="N72" s="35">
        <v>6.9</v>
      </c>
      <c r="O72" s="36">
        <f t="shared" si="8"/>
        <v>11.1</v>
      </c>
      <c r="P72" s="29">
        <f>LOOKUP(O72,{0,7.8,8,8.2,8.4,8.6,8.8,9,9.2,9.4,9.6,9.8,10,10.2,10.4,10.6,10.8,10.9,11,11.1,11.2},{0,10,20,30,40,50,60,62,64,66,68,70,72,74,76,78,80,85,90,95,100})</f>
        <v>95</v>
      </c>
      <c r="Q72" s="5">
        <v>5.09</v>
      </c>
      <c r="R72" s="36">
        <f t="shared" si="9"/>
        <v>4.91</v>
      </c>
      <c r="S72" s="29">
        <f>LOOKUP(R72,{0,3.85,4.45,4.65,4.85,5.45,5.65,5.7,5.75,5.8,5.85,5.9,5.95,6,6.45,6.5,6.55,6.63,6.7,6.75,6.8},{0,10,20,30,40,50,60,62,64,66,68,70,72,74,76,78,80,85,90,95,100})</f>
        <v>40</v>
      </c>
      <c r="T72" s="27"/>
      <c r="U72" s="27"/>
      <c r="V72" s="27">
        <f t="shared" si="10"/>
        <v>40</v>
      </c>
      <c r="W72" s="27"/>
      <c r="X72" s="19">
        <f t="shared" si="11"/>
        <v>52.7</v>
      </c>
      <c r="Y72" s="13">
        <f t="shared" si="12"/>
        <v>75.2857142857143</v>
      </c>
    </row>
    <row r="73" ht="15.6" spans="1:25">
      <c r="A73" s="27">
        <v>309</v>
      </c>
      <c r="B73" s="27">
        <v>14</v>
      </c>
      <c r="C73" s="28" t="s">
        <v>419</v>
      </c>
      <c r="D73" s="28" t="s">
        <v>12</v>
      </c>
      <c r="E73" s="27">
        <v>11.2</v>
      </c>
      <c r="F73" s="29">
        <f>LOOKUP(E73,{0,-1.8,-0.8,0.2,1.2,2.2,3.2,4.6,6,7.4,8.8,10.2,11.6,13,14.4,15.8,17.2,19.1,21,22.8,24.6},{0,10,20,30,40,50,60,62,64,66,68,70,72,74,76,78,80,85,90,95,100})</f>
        <v>70</v>
      </c>
      <c r="G73" s="27">
        <v>235</v>
      </c>
      <c r="H73" s="29">
        <f>LOOKUP(G73,{0,180,185,190,195,200,205,209,213,217,221,225,229,233,237,241,245,253,260,265,270},{0,10,20,30,40,50,60,62,64,66,68,70,72,74,76,78,80,85,90,95,100})</f>
        <v>74</v>
      </c>
      <c r="I73" s="27">
        <v>12</v>
      </c>
      <c r="J73" s="29">
        <f>LOOKUP(I73,{0,4,5,6,7,8,9,10,11,12,13,14,15,16,17,18},{0,10,20,30,40,50,60,64,68,72,76,80,85,90,95,100})</f>
        <v>72</v>
      </c>
      <c r="K73" s="44"/>
      <c r="L73" s="35"/>
      <c r="M73" s="35">
        <f t="shared" si="7"/>
        <v>72</v>
      </c>
      <c r="N73" s="35">
        <v>7.1</v>
      </c>
      <c r="O73" s="36">
        <f t="shared" si="8"/>
        <v>10.9</v>
      </c>
      <c r="P73" s="29">
        <f>LOOKUP(O73,{0,7.8,8,8.2,8.4,8.6,8.8,9,9.2,9.4,9.6,9.8,10,10.2,10.4,10.6,10.8,10.9,11,11.1,11.2},{0,10,20,30,40,50,60,62,64,66,68,70,72,74,76,78,80,85,90,95,100})</f>
        <v>85</v>
      </c>
      <c r="Q73" s="5">
        <v>4.1</v>
      </c>
      <c r="R73" s="36">
        <f t="shared" si="9"/>
        <v>5.9</v>
      </c>
      <c r="S73" s="29">
        <f>LOOKUP(R73,{0,3.85,4.45,4.65,4.85,5.45,5.65,5.7,5.75,5.8,5.85,5.9,5.95,6,6.45,6.5,6.55,6.63,6.7,6.75,6.8},{0,10,20,30,40,50,60,62,64,66,68,70,72,74,76,78,80,85,90,95,100})</f>
        <v>70</v>
      </c>
      <c r="T73" s="27"/>
      <c r="U73" s="27"/>
      <c r="V73" s="27">
        <f t="shared" si="10"/>
        <v>70</v>
      </c>
      <c r="W73" s="27"/>
      <c r="X73" s="19">
        <f t="shared" si="11"/>
        <v>52.6</v>
      </c>
      <c r="Y73" s="13">
        <f t="shared" si="12"/>
        <v>75.1428571428572</v>
      </c>
    </row>
    <row r="74" ht="15.6" spans="1:25">
      <c r="A74" s="27">
        <v>309</v>
      </c>
      <c r="B74" s="27">
        <v>23</v>
      </c>
      <c r="C74" s="28" t="s">
        <v>429</v>
      </c>
      <c r="D74" s="28" t="s">
        <v>12</v>
      </c>
      <c r="E74" s="27">
        <v>15.4</v>
      </c>
      <c r="F74" s="29">
        <f>LOOKUP(E74,{0,-1.8,-0.8,0.2,1.2,2.2,3.2,4.6,6,7.4,8.8,10.2,11.6,13,14.4,15.8,17.2,19.1,21,22.8,24.6},{0,10,20,30,40,50,60,62,64,66,68,70,72,74,76,78,80,85,90,95,100})</f>
        <v>76</v>
      </c>
      <c r="G74" s="27">
        <v>226</v>
      </c>
      <c r="H74" s="29">
        <f>LOOKUP(G74,{0,180,185,190,195,200,205,209,213,217,221,225,229,233,237,241,245,253,260,265,270},{0,10,20,30,40,50,60,62,64,66,68,70,72,74,76,78,80,85,90,95,100})</f>
        <v>70</v>
      </c>
      <c r="I74" s="27">
        <v>14</v>
      </c>
      <c r="J74" s="29">
        <f>LOOKUP(I74,{0,4,5,6,7,8,9,10,11,12,13,14,15,16,17,18},{0,10,20,30,40,50,60,64,68,72,76,80,85,90,95,100})</f>
        <v>80</v>
      </c>
      <c r="K74" s="44"/>
      <c r="L74" s="35"/>
      <c r="M74" s="35">
        <f t="shared" si="7"/>
        <v>80</v>
      </c>
      <c r="N74" s="35">
        <v>7.7</v>
      </c>
      <c r="O74" s="36">
        <f t="shared" si="8"/>
        <v>10.3</v>
      </c>
      <c r="P74" s="29">
        <f>LOOKUP(O74,{0,7.8,8,8.2,8.4,8.6,8.8,9,9.2,9.4,9.6,9.8,10,10.2,10.4,10.6,10.8,10.9,11,11.1,11.2},{0,10,20,30,40,50,60,62,64,66,68,70,72,74,76,78,80,85,90,95,100})</f>
        <v>74</v>
      </c>
      <c r="Q74" s="5">
        <v>3.55</v>
      </c>
      <c r="R74" s="36">
        <f t="shared" si="9"/>
        <v>6.45</v>
      </c>
      <c r="S74" s="29">
        <f>LOOKUP(R74,{0,3.85,4.45,4.65,4.85,5.45,5.65,5.7,5.75,5.8,5.85,5.9,5.95,6,6.45,6.5,6.55,6.63,6.7,6.75,6.8},{0,10,20,30,40,50,60,62,64,66,68,70,72,74,76,78,80,85,90,95,100})</f>
        <v>76</v>
      </c>
      <c r="T74" s="27"/>
      <c r="U74" s="27"/>
      <c r="V74" s="27">
        <f t="shared" si="10"/>
        <v>76</v>
      </c>
      <c r="W74" s="27"/>
      <c r="X74" s="19">
        <f t="shared" si="11"/>
        <v>52.6</v>
      </c>
      <c r="Y74" s="13">
        <f t="shared" si="12"/>
        <v>75.1428571428572</v>
      </c>
    </row>
    <row r="75" ht="15.6" spans="1:25">
      <c r="A75" s="27">
        <v>303</v>
      </c>
      <c r="B75" s="27">
        <v>6</v>
      </c>
      <c r="C75" s="27" t="s">
        <v>108</v>
      </c>
      <c r="D75" s="27" t="s">
        <v>12</v>
      </c>
      <c r="E75" s="27">
        <v>16</v>
      </c>
      <c r="F75" s="29">
        <f>LOOKUP(E75,{0,-1.8,-0.8,0.2,1.2,2.2,3.2,4.6,6,7.4,8.8,10.2,11.6,13,14.4,15.8,17.2,19.1,21,22.8,24.6},{0,10,20,30,40,50,60,62,64,66,68,70,72,74,76,78,80,85,90,95,100})</f>
        <v>78</v>
      </c>
      <c r="G75" s="27">
        <v>235</v>
      </c>
      <c r="H75" s="29">
        <f>LOOKUP(G75,{0,180,185,190,195,200,205,209,213,217,221,225,229,233,237,241,245,253,260,265,270},{0,10,20,30,40,50,60,62,64,66,68,70,72,74,76,78,80,85,90,95,100})</f>
        <v>74</v>
      </c>
      <c r="I75" s="27">
        <v>12</v>
      </c>
      <c r="J75" s="29">
        <f>LOOKUP(I75,{0,4,5,6,7,8,9,10,11,12,13,14,15,16,17,18},{0,10,20,30,40,50,60,64,68,72,76,80,85,90,95,100})</f>
        <v>72</v>
      </c>
      <c r="K75" s="44"/>
      <c r="L75" s="35"/>
      <c r="M75" s="35">
        <f t="shared" si="7"/>
        <v>72</v>
      </c>
      <c r="N75" s="35">
        <v>7.1</v>
      </c>
      <c r="O75" s="36">
        <f t="shared" si="8"/>
        <v>10.9</v>
      </c>
      <c r="P75" s="29">
        <f>LOOKUP(O75,{0,7.8,8,8.2,8.4,8.6,8.8,9,9.2,9.4,9.6,9.8,10,10.2,10.4,10.6,10.8,10.9,11,11.1,11.2},{0,10,20,30,40,50,60,62,64,66,68,70,72,74,76,78,80,85,90,95,100})</f>
        <v>85</v>
      </c>
      <c r="Q75" s="5">
        <v>4.25</v>
      </c>
      <c r="R75" s="36">
        <f t="shared" si="9"/>
        <v>5.75</v>
      </c>
      <c r="S75" s="29">
        <f>LOOKUP(R75,{0,3.85,4.45,4.65,4.85,5.45,5.65,5.7,5.75,5.8,5.85,5.9,5.95,6,6.45,6.5,6.55,6.63,6.7,6.75,6.8},{0,10,20,30,40,50,60,62,64,66,68,70,72,74,76,78,80,85,90,95,100})</f>
        <v>64</v>
      </c>
      <c r="T75" s="27"/>
      <c r="U75" s="27"/>
      <c r="V75" s="27">
        <f t="shared" si="10"/>
        <v>64</v>
      </c>
      <c r="W75" s="27"/>
      <c r="X75" s="19">
        <f t="shared" si="11"/>
        <v>52.2</v>
      </c>
      <c r="Y75" s="13">
        <f t="shared" si="12"/>
        <v>74.5714285714286</v>
      </c>
    </row>
    <row r="76" ht="15.6" spans="1:25">
      <c r="A76" s="27">
        <v>301</v>
      </c>
      <c r="B76" s="27">
        <v>16</v>
      </c>
      <c r="C76" s="27" t="s">
        <v>27</v>
      </c>
      <c r="D76" s="27" t="s">
        <v>12</v>
      </c>
      <c r="E76" s="27">
        <v>7.5</v>
      </c>
      <c r="F76" s="29">
        <f>LOOKUP(E76,{0,-1.8,-0.8,0.2,1.2,2.2,3.2,4.6,6,7.4,8.8,10.2,11.6,13,14.4,15.8,17.2,19.1,21,22.8,24.6},{0,10,20,30,40,50,60,62,64,66,68,70,72,74,76,78,80,85,90,95,100})</f>
        <v>66</v>
      </c>
      <c r="G76" s="27">
        <v>218</v>
      </c>
      <c r="H76" s="29">
        <f>LOOKUP(G76,{0,180,185,190,195,200,205,209,213,217,221,225,229,233,237,241,245,253,260,265,270},{0,10,20,30,40,50,60,62,64,66,68,70,72,74,76,78,80,85,90,95,100})</f>
        <v>66</v>
      </c>
      <c r="I76" s="27">
        <v>13</v>
      </c>
      <c r="J76" s="29">
        <f>LOOKUP(I76,{0,4,5,6,7,8,9,10,11,12,13,14,15,16,17,18},{0,10,20,30,40,50,60,64,68,72,76,80,85,90,95,100})</f>
        <v>76</v>
      </c>
      <c r="K76" s="44"/>
      <c r="L76" s="35"/>
      <c r="M76" s="35">
        <f t="shared" si="7"/>
        <v>76</v>
      </c>
      <c r="N76" s="35">
        <v>7.4</v>
      </c>
      <c r="O76" s="36">
        <f t="shared" si="8"/>
        <v>10.6</v>
      </c>
      <c r="P76" s="29">
        <f>LOOKUP(O76,{0,7.8,8,8.2,8.4,8.6,8.8,9,9.2,9.4,9.6,9.8,10,10.2,10.4,10.6,10.8,10.9,11,11.1,11.2},{0,10,20,30,40,50,60,62,64,66,68,70,72,74,76,78,80,85,90,95,100})</f>
        <v>78</v>
      </c>
      <c r="Q76" s="5">
        <v>3.47</v>
      </c>
      <c r="R76" s="36">
        <f t="shared" si="9"/>
        <v>6.53</v>
      </c>
      <c r="S76" s="29">
        <f>LOOKUP(R76,{0,3.85,4.45,4.65,4.85,5.45,5.65,5.7,5.75,5.8,5.85,5.9,5.95,6,6.45,6.5,6.55,6.63,6.7,6.75,6.8},{0,10,20,30,40,50,60,62,64,66,68,70,72,74,76,78,80,85,90,95,100})</f>
        <v>78</v>
      </c>
      <c r="T76" s="27"/>
      <c r="U76" s="27"/>
      <c r="V76" s="27">
        <f t="shared" si="10"/>
        <v>78</v>
      </c>
      <c r="W76" s="27"/>
      <c r="X76" s="19">
        <f t="shared" si="11"/>
        <v>52</v>
      </c>
      <c r="Y76" s="13">
        <f t="shared" si="12"/>
        <v>74.2857142857143</v>
      </c>
    </row>
    <row r="77" ht="15.6" spans="1:25">
      <c r="A77" s="27">
        <v>310</v>
      </c>
      <c r="B77" s="27">
        <v>13</v>
      </c>
      <c r="C77" s="28" t="s">
        <v>471</v>
      </c>
      <c r="D77" s="28" t="s">
        <v>12</v>
      </c>
      <c r="E77" s="27">
        <v>17.5</v>
      </c>
      <c r="F77" s="29">
        <f>LOOKUP(E77,{0,-1.8,-0.8,0.2,1.2,2.2,3.2,4.6,6,7.4,8.8,10.2,11.6,13,14.4,15.8,17.2,19.1,21,22.8,24.6},{0,10,20,30,40,50,60,62,64,66,68,70,72,74,76,78,80,85,90,95,100})</f>
        <v>80</v>
      </c>
      <c r="G77" s="27">
        <v>260</v>
      </c>
      <c r="H77" s="29">
        <f>LOOKUP(G77,{0,180,185,190,195,200,205,209,213,217,221,225,229,233,237,241,245,253,260,265,270},{0,10,20,30,40,50,60,62,64,66,68,70,72,74,76,78,80,85,90,95,100})</f>
        <v>90</v>
      </c>
      <c r="I77" s="27">
        <v>4</v>
      </c>
      <c r="J77" s="29">
        <f>LOOKUP(I77,{0,4,5,6,7,8,9,10,11,12,13,14,15,16,17,18},{0,10,20,30,40,50,60,64,68,72,76,80,85,90,95,100})</f>
        <v>10</v>
      </c>
      <c r="K77" s="44"/>
      <c r="L77" s="35"/>
      <c r="M77" s="35">
        <f t="shared" si="7"/>
        <v>10</v>
      </c>
      <c r="N77" s="35">
        <v>7</v>
      </c>
      <c r="O77" s="36">
        <f t="shared" si="8"/>
        <v>11</v>
      </c>
      <c r="P77" s="29">
        <f>LOOKUP(O77,{0,7.8,8,8.2,8.4,8.6,8.8,9,9.2,9.4,9.6,9.8,10,10.2,10.4,10.6,10.8,10.9,11,11.1,11.2},{0,10,20,30,40,50,60,62,64,66,68,70,72,74,76,78,80,85,90,95,100})</f>
        <v>90</v>
      </c>
      <c r="Q77" s="5">
        <v>3.4</v>
      </c>
      <c r="R77" s="36">
        <f t="shared" si="9"/>
        <v>6.6</v>
      </c>
      <c r="S77" s="29">
        <f>LOOKUP(R77,{0,3.85,4.45,4.65,4.85,5.45,5.65,5.7,5.75,5.8,5.85,5.9,5.95,6,6.45,6.5,6.55,6.63,6.7,6.75,6.8},{0,10,20,30,40,50,60,62,64,66,68,70,72,74,76,78,80,85,90,95,100})</f>
        <v>80</v>
      </c>
      <c r="T77" s="27"/>
      <c r="U77" s="27"/>
      <c r="V77" s="27">
        <f t="shared" si="10"/>
        <v>80</v>
      </c>
      <c r="W77" s="27"/>
      <c r="X77" s="19">
        <f t="shared" si="11"/>
        <v>52</v>
      </c>
      <c r="Y77" s="13">
        <f t="shared" si="12"/>
        <v>74.2857142857143</v>
      </c>
    </row>
    <row r="78" ht="15.6" spans="1:25">
      <c r="A78" s="27">
        <v>301</v>
      </c>
      <c r="B78" s="27">
        <v>18</v>
      </c>
      <c r="C78" s="27" t="s">
        <v>29</v>
      </c>
      <c r="D78" s="27" t="s">
        <v>12</v>
      </c>
      <c r="E78" s="27">
        <v>18</v>
      </c>
      <c r="F78" s="29">
        <f>LOOKUP(E78,{0,-1.8,-0.8,0.2,1.2,2.2,3.2,4.6,6,7.4,8.8,10.2,11.6,13,14.4,15.8,17.2,19.1,21,22.8,24.6},{0,10,20,30,40,50,60,62,64,66,68,70,72,74,76,78,80,85,90,95,100})</f>
        <v>80</v>
      </c>
      <c r="G78" s="27">
        <v>265</v>
      </c>
      <c r="H78" s="29">
        <f>LOOKUP(G78,{0,180,185,190,195,200,205,209,213,217,221,225,229,233,237,241,245,253,260,265,270},{0,10,20,30,40,50,60,62,64,66,68,70,72,74,76,78,80,85,90,95,100})</f>
        <v>95</v>
      </c>
      <c r="I78" s="27">
        <v>10</v>
      </c>
      <c r="J78" s="29">
        <f>LOOKUP(I78,{0,4,5,6,7,8,9,10,11,12,13,14,15,16,17,18},{0,10,20,30,40,50,60,64,68,72,76,80,85,90,95,100})</f>
        <v>64</v>
      </c>
      <c r="K78" s="44"/>
      <c r="L78" s="35"/>
      <c r="M78" s="35">
        <f t="shared" si="7"/>
        <v>64</v>
      </c>
      <c r="N78" s="35">
        <v>7.8</v>
      </c>
      <c r="O78" s="36">
        <f t="shared" si="8"/>
        <v>10.2</v>
      </c>
      <c r="P78" s="29">
        <f>LOOKUP(O78,{0,7.8,8,8.2,8.4,8.6,8.8,9,9.2,9.4,9.6,9.8,10,10.2,10.4,10.6,10.8,10.9,11,11.1,11.2},{0,10,20,30,40,50,60,62,64,66,68,70,72,74,76,78,80,85,90,95,100})</f>
        <v>74</v>
      </c>
      <c r="Q78" s="5">
        <v>4.2</v>
      </c>
      <c r="R78" s="36">
        <f t="shared" si="9"/>
        <v>5.8</v>
      </c>
      <c r="S78" s="29">
        <f>LOOKUP(R78,{0,3.85,4.45,4.65,4.85,5.45,5.65,5.7,5.75,5.8,5.85,5.9,5.95,6,6.45,6.5,6.55,6.63,6.7,6.75,6.8},{0,10,20,30,40,50,60,62,64,66,68,70,72,74,76,78,80,85,90,95,100})</f>
        <v>66</v>
      </c>
      <c r="T78" s="27"/>
      <c r="U78" s="27"/>
      <c r="V78" s="27">
        <f t="shared" si="10"/>
        <v>66</v>
      </c>
      <c r="W78" s="27"/>
      <c r="X78" s="19">
        <f t="shared" si="11"/>
        <v>51.9</v>
      </c>
      <c r="Y78" s="13">
        <f t="shared" si="12"/>
        <v>74.1428571428572</v>
      </c>
    </row>
    <row r="79" ht="15.6" spans="1:25">
      <c r="A79" s="27">
        <v>310</v>
      </c>
      <c r="B79" s="27">
        <v>1</v>
      </c>
      <c r="C79" s="30" t="s">
        <v>458</v>
      </c>
      <c r="D79" s="28" t="s">
        <v>12</v>
      </c>
      <c r="E79" s="27">
        <v>9.5</v>
      </c>
      <c r="F79" s="29">
        <f>LOOKUP(E79,{0,-1.8,-0.8,0.2,1.2,2.2,3.2,4.6,6,7.4,8.8,10.2,11.6,13,14.4,15.8,17.2,19.1,21,22.8,24.6},{0,10,20,30,40,50,60,62,64,66,68,70,72,74,76,78,80,85,90,95,100})</f>
        <v>68</v>
      </c>
      <c r="G79" s="27">
        <v>225</v>
      </c>
      <c r="H79" s="29">
        <f>LOOKUP(G79,{0,180,185,190,195,200,205,209,213,217,221,225,229,233,237,241,245,253,260,265,270},{0,10,20,30,40,50,60,62,64,66,68,70,72,74,76,78,80,85,90,95,100})</f>
        <v>70</v>
      </c>
      <c r="I79" s="27">
        <v>6</v>
      </c>
      <c r="J79" s="29">
        <f>LOOKUP(I79,{0,4,5,6,7,8,9,10,11,12,13,14,15,16,17,18},{0,10,20,30,40,50,60,64,68,72,76,80,85,90,95,100})</f>
        <v>30</v>
      </c>
      <c r="K79" s="44"/>
      <c r="L79" s="35"/>
      <c r="M79" s="35">
        <f t="shared" si="7"/>
        <v>30</v>
      </c>
      <c r="N79" s="35">
        <v>7</v>
      </c>
      <c r="O79" s="36">
        <f t="shared" si="8"/>
        <v>11</v>
      </c>
      <c r="P79" s="29">
        <f>LOOKUP(O79,{0,7.8,8,8.2,8.4,8.6,8.8,9,9.2,9.4,9.6,9.8,10,10.2,10.4,10.6,10.8,10.9,11,11.1,11.2},{0,10,20,30,40,50,60,62,64,66,68,70,72,74,76,78,80,85,90,95,100})</f>
        <v>90</v>
      </c>
      <c r="Q79" s="5">
        <v>3.35</v>
      </c>
      <c r="R79" s="36">
        <f t="shared" si="9"/>
        <v>6.65</v>
      </c>
      <c r="S79" s="29">
        <f>LOOKUP(R79,{0,3.85,4.45,4.65,4.85,5.45,5.65,5.7,5.75,5.8,5.85,5.9,5.95,6,6.45,6.5,6.55,6.63,6.7,6.75,6.8},{0,10,20,30,40,50,60,62,64,66,68,70,72,74,76,78,80,85,90,95,100})</f>
        <v>85</v>
      </c>
      <c r="T79" s="27"/>
      <c r="U79" s="27"/>
      <c r="V79" s="27">
        <f t="shared" si="10"/>
        <v>85</v>
      </c>
      <c r="W79" s="27"/>
      <c r="X79" s="19">
        <f t="shared" si="11"/>
        <v>51.8</v>
      </c>
      <c r="Y79" s="13">
        <f t="shared" si="12"/>
        <v>74</v>
      </c>
    </row>
    <row r="80" ht="15.6" spans="1:25">
      <c r="A80" s="27">
        <v>310</v>
      </c>
      <c r="B80" s="27">
        <v>25</v>
      </c>
      <c r="C80" s="28" t="s">
        <v>484</v>
      </c>
      <c r="D80" s="28" t="s">
        <v>12</v>
      </c>
      <c r="E80" s="27">
        <v>15</v>
      </c>
      <c r="F80" s="29">
        <f>LOOKUP(E80,{0,-1.8,-0.8,0.2,1.2,2.2,3.2,4.6,6,7.4,8.8,10.2,11.6,13,14.4,15.8,17.2,19.1,21,22.8,24.6},{0,10,20,30,40,50,60,62,64,66,68,70,72,74,76,78,80,85,90,95,100})</f>
        <v>76</v>
      </c>
      <c r="G80" s="27">
        <v>232</v>
      </c>
      <c r="H80" s="29">
        <f>LOOKUP(G80,{0,180,185,190,195,200,205,209,213,217,221,225,229,233,237,241,245,253,260,265,270},{0,10,20,30,40,50,60,62,64,66,68,70,72,74,76,78,80,85,90,95,100})</f>
        <v>72</v>
      </c>
      <c r="I80" s="27">
        <v>5</v>
      </c>
      <c r="J80" s="29">
        <f>LOOKUP(I80,{0,4,5,6,7,8,9,10,11,12,13,14,15,16,17,18},{0,10,20,30,40,50,60,64,68,72,76,80,85,90,95,100})</f>
        <v>20</v>
      </c>
      <c r="K80" s="44"/>
      <c r="L80" s="35"/>
      <c r="M80" s="35">
        <f t="shared" si="7"/>
        <v>20</v>
      </c>
      <c r="N80" s="35">
        <v>7</v>
      </c>
      <c r="O80" s="36">
        <f t="shared" si="8"/>
        <v>11</v>
      </c>
      <c r="P80" s="29">
        <f>LOOKUP(O80,{0,7.8,8,8.2,8.4,8.6,8.8,9,9.2,9.4,9.6,9.8,10,10.2,10.4,10.6,10.8,10.9,11,11.1,11.2},{0,10,20,30,40,50,60,62,64,66,68,70,72,74,76,78,80,85,90,95,100})</f>
        <v>90</v>
      </c>
      <c r="Q80" s="5">
        <v>3.33</v>
      </c>
      <c r="R80" s="36">
        <f t="shared" si="9"/>
        <v>6.67</v>
      </c>
      <c r="S80" s="29">
        <f>LOOKUP(R80,{0,3.85,4.45,4.65,4.85,5.45,5.65,5.7,5.75,5.8,5.85,5.9,5.95,6,6.45,6.5,6.55,6.63,6.7,6.75,6.8},{0,10,20,30,40,50,60,62,64,66,68,70,72,74,76,78,80,85,90,95,100})</f>
        <v>85</v>
      </c>
      <c r="T80" s="27"/>
      <c r="U80" s="27"/>
      <c r="V80" s="27">
        <f t="shared" si="10"/>
        <v>85</v>
      </c>
      <c r="W80" s="27"/>
      <c r="X80" s="19">
        <f t="shared" si="11"/>
        <v>51.8</v>
      </c>
      <c r="Y80" s="13">
        <f t="shared" si="12"/>
        <v>74</v>
      </c>
    </row>
    <row r="81" ht="15.6" spans="1:25">
      <c r="A81" s="27">
        <v>315</v>
      </c>
      <c r="B81" s="27">
        <v>6</v>
      </c>
      <c r="C81" s="28" t="s">
        <v>739</v>
      </c>
      <c r="D81" s="28" t="s">
        <v>12</v>
      </c>
      <c r="E81" s="27">
        <v>20</v>
      </c>
      <c r="F81" s="29">
        <f>LOOKUP(E81,{0,-1.8,-0.8,0.2,1.2,2.2,3.2,4.6,6,7.4,8.8,10.2,11.6,13,14.4,15.8,17.2,19.1,21,22.8,24.6},{0,10,20,30,40,50,60,62,64,66,68,70,72,74,76,78,80,85,90,95,100})</f>
        <v>85</v>
      </c>
      <c r="G81" s="27">
        <v>255</v>
      </c>
      <c r="H81" s="29">
        <f>LOOKUP(G81,{0,180,185,190,195,200,205,209,213,217,221,225,229,233,237,241,245,253,260,265,270},{0,10,20,30,40,50,60,62,64,66,68,70,72,74,76,78,80,85,90,95,100})</f>
        <v>85</v>
      </c>
      <c r="I81" s="27">
        <v>11</v>
      </c>
      <c r="J81" s="29">
        <f>LOOKUP(I81,{0,4,5,6,7,8,9,10,11,12,13,14,15,16,17,18},{0,10,20,30,40,50,60,64,68,72,76,80,85,90,95,100})</f>
        <v>68</v>
      </c>
      <c r="K81" s="44"/>
      <c r="L81" s="35"/>
      <c r="M81" s="35">
        <f t="shared" si="7"/>
        <v>68</v>
      </c>
      <c r="N81" s="35">
        <v>6.5</v>
      </c>
      <c r="O81" s="36">
        <f t="shared" si="8"/>
        <v>11.5</v>
      </c>
      <c r="P81" s="29">
        <f>LOOKUP(O81,{0,7.8,8,8.2,8.4,8.6,8.8,9,9.2,9.4,9.6,9.8,10,10.2,10.4,10.6,10.8,10.9,11,11.1,11.2},{0,10,20,30,40,50,60,62,64,66,68,70,72,74,76,78,80,85,90,95,100})</f>
        <v>100</v>
      </c>
      <c r="Q81" s="5">
        <v>5.07</v>
      </c>
      <c r="R81" s="36">
        <f t="shared" si="9"/>
        <v>4.93</v>
      </c>
      <c r="S81" s="29">
        <f>LOOKUP(R81,{0,3.85,4.45,4.65,4.85,5.45,5.65,5.7,5.75,5.8,5.85,5.9,5.95,6,6.45,6.5,6.55,6.63,6.7,6.75,6.8},{0,10,20,30,40,50,60,62,64,66,68,70,72,74,76,78,80,85,90,95,100})</f>
        <v>40</v>
      </c>
      <c r="T81" s="27"/>
      <c r="U81" s="27"/>
      <c r="V81" s="27">
        <f t="shared" si="10"/>
        <v>40</v>
      </c>
      <c r="W81" s="27"/>
      <c r="X81" s="19">
        <f t="shared" si="11"/>
        <v>51.8</v>
      </c>
      <c r="Y81" s="13">
        <f t="shared" si="12"/>
        <v>74</v>
      </c>
    </row>
    <row r="82" ht="15.6" spans="1:25">
      <c r="A82" s="27">
        <v>305</v>
      </c>
      <c r="B82" s="27">
        <v>37</v>
      </c>
      <c r="C82" s="28" t="s">
        <v>224</v>
      </c>
      <c r="D82" s="28" t="s">
        <v>12</v>
      </c>
      <c r="E82" s="27">
        <v>21.5</v>
      </c>
      <c r="F82" s="29">
        <f>LOOKUP(E82,{0,-1.8,-0.8,0.2,1.2,2.2,3.2,4.6,6,7.4,8.8,10.2,11.6,13,14.4,15.8,17.2,19.1,21,22.8,24.6},{0,10,20,30,40,50,60,62,64,66,68,70,72,74,76,78,80,85,90,95,100})</f>
        <v>90</v>
      </c>
      <c r="G82" s="27">
        <v>228</v>
      </c>
      <c r="H82" s="29">
        <f>LOOKUP(G82,{0,180,185,190,195,200,205,209,213,217,221,225,229,233,237,241,245,253,260,265,270},{0,10,20,30,40,50,60,62,64,66,68,70,72,74,76,78,80,85,90,95,100})</f>
        <v>70</v>
      </c>
      <c r="I82" s="27">
        <v>10</v>
      </c>
      <c r="J82" s="29">
        <f>LOOKUP(I82,{0,4,5,6,7,8,9,10,11,12,13,14,15,16,17,18},{0,10,20,30,40,50,60,64,68,72,76,80,85,90,95,100})</f>
        <v>64</v>
      </c>
      <c r="K82" s="44"/>
      <c r="L82" s="35"/>
      <c r="M82" s="35">
        <f t="shared" si="7"/>
        <v>64</v>
      </c>
      <c r="N82" s="35">
        <v>7.6</v>
      </c>
      <c r="O82" s="36">
        <f t="shared" si="8"/>
        <v>10.4</v>
      </c>
      <c r="P82" s="29">
        <f>LOOKUP(O82,{0,7.8,8,8.2,8.4,8.6,8.8,9,9.2,9.4,9.6,9.8,10,10.2,10.4,10.6,10.8,10.9,11,11.1,11.2},{0,10,20,30,40,50,60,62,64,66,68,70,72,74,76,78,80,85,90,95,100})</f>
        <v>76</v>
      </c>
      <c r="Q82" s="5">
        <v>4.06</v>
      </c>
      <c r="R82" s="36">
        <f t="shared" si="9"/>
        <v>5.94</v>
      </c>
      <c r="S82" s="29">
        <f>LOOKUP(R82,{0,3.85,4.45,4.65,4.85,5.45,5.65,5.7,5.75,5.8,5.85,5.9,5.95,6,6.45,6.5,6.55,6.63,6.7,6.75,6.8},{0,10,20,30,40,50,60,62,64,66,68,70,72,74,76,78,80,85,90,95,100})</f>
        <v>70</v>
      </c>
      <c r="T82" s="27"/>
      <c r="U82" s="27"/>
      <c r="V82" s="27">
        <f t="shared" si="10"/>
        <v>70</v>
      </c>
      <c r="W82" s="27"/>
      <c r="X82" s="19">
        <f t="shared" si="11"/>
        <v>51.6</v>
      </c>
      <c r="Y82" s="13">
        <f t="shared" si="12"/>
        <v>73.7142857142857</v>
      </c>
    </row>
    <row r="83" ht="15.6" spans="1:25">
      <c r="A83" s="27">
        <v>304</v>
      </c>
      <c r="B83" s="27">
        <v>16</v>
      </c>
      <c r="C83" s="27" t="s">
        <v>164</v>
      </c>
      <c r="D83" s="27" t="s">
        <v>12</v>
      </c>
      <c r="E83" s="27">
        <v>10</v>
      </c>
      <c r="F83" s="29">
        <f>LOOKUP(E83,{0,-1.8,-0.8,0.2,1.2,2.2,3.2,4.6,6,7.4,8.8,10.2,11.6,13,14.4,15.8,17.2,19.1,21,22.8,24.6},{0,10,20,30,40,50,60,62,64,66,68,70,72,74,76,78,80,85,90,95,100})</f>
        <v>68</v>
      </c>
      <c r="G83" s="27">
        <v>275</v>
      </c>
      <c r="H83" s="29">
        <f>LOOKUP(G83,{0,180,185,190,195,200,205,209,213,217,221,225,229,233,237,241,245,253,260,265,270},{0,10,20,30,40,50,60,62,64,66,68,70,72,74,76,78,80,85,90,95,100})</f>
        <v>100</v>
      </c>
      <c r="I83" s="27">
        <v>13</v>
      </c>
      <c r="J83" s="29">
        <f>LOOKUP(I83,{0,4,5,6,7,8,9,10,11,12,13,14,15,16,17,18},{0,10,20,30,40,50,60,64,68,72,76,80,85,90,95,100})</f>
        <v>76</v>
      </c>
      <c r="K83" s="44"/>
      <c r="L83" s="35"/>
      <c r="M83" s="35">
        <f t="shared" si="7"/>
        <v>76</v>
      </c>
      <c r="N83" s="35">
        <v>7.1</v>
      </c>
      <c r="O83" s="36">
        <f t="shared" si="8"/>
        <v>10.9</v>
      </c>
      <c r="P83" s="29">
        <f>LOOKUP(O83,{0,7.8,8,8.2,8.4,8.6,8.8,9,9.2,9.4,9.6,9.8,10,10.2,10.4,10.6,10.8,10.9,11,11.1,11.2},{0,10,20,30,40,50,60,62,64,66,68,70,72,74,76,78,80,85,90,95,100})</f>
        <v>85</v>
      </c>
      <c r="Q83" s="5">
        <v>4.5</v>
      </c>
      <c r="R83" s="36">
        <f t="shared" si="9"/>
        <v>5.5</v>
      </c>
      <c r="S83" s="29">
        <f>LOOKUP(R83,{0,3.85,4.45,4.65,4.85,5.45,5.65,5.7,5.75,5.8,5.85,5.9,5.95,6,6.45,6.5,6.55,6.63,6.7,6.75,6.8},{0,10,20,30,40,50,60,62,64,66,68,70,72,74,76,78,80,85,90,95,100})</f>
        <v>50</v>
      </c>
      <c r="T83" s="27"/>
      <c r="U83" s="27"/>
      <c r="V83" s="27">
        <f t="shared" si="10"/>
        <v>50</v>
      </c>
      <c r="W83" s="27"/>
      <c r="X83" s="19">
        <f t="shared" si="11"/>
        <v>51.4</v>
      </c>
      <c r="Y83" s="13">
        <f t="shared" si="12"/>
        <v>73.4285714285714</v>
      </c>
    </row>
    <row r="84" ht="15.6" spans="1:25">
      <c r="A84" s="27">
        <v>305</v>
      </c>
      <c r="B84" s="27">
        <v>30</v>
      </c>
      <c r="C84" s="28" t="s">
        <v>216</v>
      </c>
      <c r="D84" s="28" t="s">
        <v>12</v>
      </c>
      <c r="E84" s="27">
        <v>5</v>
      </c>
      <c r="F84" s="29">
        <f>LOOKUP(E84,{0,-1.8,-0.8,0.2,1.2,2.2,3.2,4.6,6,7.4,8.8,10.2,11.6,13,14.4,15.8,17.2,19.1,21,22.8,24.6},{0,10,20,30,40,50,60,62,64,66,68,70,72,74,76,78,80,85,90,95,100})</f>
        <v>62</v>
      </c>
      <c r="G84" s="27">
        <v>230</v>
      </c>
      <c r="H84" s="29">
        <f>LOOKUP(G84,{0,180,185,190,195,200,205,209,213,217,221,225,229,233,237,241,245,253,260,265,270},{0,10,20,30,40,50,60,62,64,66,68,70,72,74,76,78,80,85,90,95,100})</f>
        <v>72</v>
      </c>
      <c r="I84" s="27">
        <v>11</v>
      </c>
      <c r="J84" s="29">
        <f>LOOKUP(I84,{0,4,5,6,7,8,9,10,11,12,13,14,15,16,17,18},{0,10,20,30,40,50,60,64,68,72,76,80,85,90,95,100})</f>
        <v>68</v>
      </c>
      <c r="K84" s="44"/>
      <c r="L84" s="35"/>
      <c r="M84" s="35">
        <f t="shared" si="7"/>
        <v>68</v>
      </c>
      <c r="N84" s="35">
        <v>7.2</v>
      </c>
      <c r="O84" s="36">
        <f t="shared" si="8"/>
        <v>10.8</v>
      </c>
      <c r="P84" s="29">
        <f>LOOKUP(O84,{0,7.8,8,8.2,8.4,8.6,8.8,9,9.2,9.4,9.6,9.8,10,10.2,10.4,10.6,10.8,10.9,11,11.1,11.2},{0,10,20,30,40,50,60,62,64,66,68,70,72,74,76,78,80,85,90,95,100})</f>
        <v>80</v>
      </c>
      <c r="Q84" s="5">
        <v>3.51</v>
      </c>
      <c r="R84" s="36">
        <f t="shared" si="9"/>
        <v>6.49</v>
      </c>
      <c r="S84" s="29">
        <f>LOOKUP(R84,{0,3.85,4.45,4.65,4.85,5.45,5.65,5.7,5.75,5.8,5.85,5.9,5.95,6,6.45,6.5,6.55,6.63,6.7,6.75,6.8},{0,10,20,30,40,50,60,62,64,66,68,70,72,74,76,78,80,85,90,95,100})</f>
        <v>76</v>
      </c>
      <c r="T84" s="27"/>
      <c r="U84" s="27"/>
      <c r="V84" s="27">
        <f t="shared" si="10"/>
        <v>76</v>
      </c>
      <c r="W84" s="27"/>
      <c r="X84" s="19">
        <f t="shared" si="11"/>
        <v>51.4</v>
      </c>
      <c r="Y84" s="13">
        <f t="shared" si="12"/>
        <v>73.4285714285714</v>
      </c>
    </row>
    <row r="85" ht="15.6" spans="1:25">
      <c r="A85" s="27">
        <v>307</v>
      </c>
      <c r="B85" s="27">
        <v>14</v>
      </c>
      <c r="C85" s="28" t="s">
        <v>313</v>
      </c>
      <c r="D85" s="28" t="s">
        <v>12</v>
      </c>
      <c r="E85" s="27">
        <v>2.6</v>
      </c>
      <c r="F85" s="29">
        <f>LOOKUP(E85,{0,-1.8,-0.8,0.2,1.2,2.2,3.2,4.6,6,7.4,8.8,10.2,11.6,13,14.4,15.8,17.2,19.1,21,22.8,24.6},{0,10,20,30,40,50,60,62,64,66,68,70,72,74,76,78,80,85,90,95,100})</f>
        <v>50</v>
      </c>
      <c r="G85" s="27">
        <v>230</v>
      </c>
      <c r="H85" s="29">
        <f>LOOKUP(G85,{0,180,185,190,195,200,205,209,213,217,221,225,229,233,237,241,245,253,260,265,270},{0,10,20,30,40,50,60,62,64,66,68,70,72,74,76,78,80,85,90,95,100})</f>
        <v>72</v>
      </c>
      <c r="I85" s="27">
        <v>12</v>
      </c>
      <c r="J85" s="29">
        <f>LOOKUP(I85,{0,4,5,6,7,8,9,10,11,12,13,14,15,16,17,18},{0,10,20,30,40,50,60,64,68,72,76,80,85,90,95,100})</f>
        <v>72</v>
      </c>
      <c r="K85" s="44"/>
      <c r="L85" s="35"/>
      <c r="M85" s="35">
        <f t="shared" si="7"/>
        <v>72</v>
      </c>
      <c r="N85" s="35">
        <v>7.2</v>
      </c>
      <c r="O85" s="36">
        <f t="shared" si="8"/>
        <v>10.8</v>
      </c>
      <c r="P85" s="29">
        <f>LOOKUP(O85,{0,7.8,8,8.2,8.4,8.6,8.8,9,9.2,9.4,9.6,9.8,10,10.2,10.4,10.6,10.8,10.9,11,11.1,11.2},{0,10,20,30,40,50,60,62,64,66,68,70,72,74,76,78,80,85,90,95,100})</f>
        <v>80</v>
      </c>
      <c r="Q85" s="5">
        <v>3.43</v>
      </c>
      <c r="R85" s="36">
        <f t="shared" si="9"/>
        <v>6.57</v>
      </c>
      <c r="S85" s="29">
        <f>LOOKUP(R85,{0,3.85,4.45,4.65,4.85,5.45,5.65,5.7,5.75,5.8,5.85,5.9,5.95,6,6.45,6.5,6.55,6.63,6.7,6.75,6.8},{0,10,20,30,40,50,60,62,64,66,68,70,72,74,76,78,80,85,90,95,100})</f>
        <v>80</v>
      </c>
      <c r="T85" s="27"/>
      <c r="U85" s="27"/>
      <c r="V85" s="27">
        <f t="shared" si="10"/>
        <v>80</v>
      </c>
      <c r="W85" s="27"/>
      <c r="X85" s="19">
        <f t="shared" si="11"/>
        <v>51.4</v>
      </c>
      <c r="Y85" s="13">
        <f t="shared" si="12"/>
        <v>73.4285714285714</v>
      </c>
    </row>
    <row r="86" ht="15.6" spans="1:25">
      <c r="A86" s="27">
        <v>311</v>
      </c>
      <c r="B86" s="27">
        <v>24</v>
      </c>
      <c r="C86" s="28" t="s">
        <v>538</v>
      </c>
      <c r="D86" s="28" t="s">
        <v>12</v>
      </c>
      <c r="E86" s="27">
        <v>11</v>
      </c>
      <c r="F86" s="29">
        <f>LOOKUP(E86,{0,-1.8,-0.8,0.2,1.2,2.2,3.2,4.6,6,7.4,8.8,10.2,11.6,13,14.4,15.8,17.2,19.1,21,22.8,24.6},{0,10,20,30,40,50,60,62,64,66,68,70,72,74,76,78,80,85,90,95,100})</f>
        <v>70</v>
      </c>
      <c r="G86" s="27">
        <v>228</v>
      </c>
      <c r="H86" s="29">
        <f>LOOKUP(G86,{0,180,185,190,195,200,205,209,213,217,221,225,229,233,237,241,245,253,260,265,270},{0,10,20,30,40,50,60,62,64,66,68,70,72,74,76,78,80,85,90,95,100})</f>
        <v>70</v>
      </c>
      <c r="I86" s="27">
        <v>15</v>
      </c>
      <c r="J86" s="29">
        <f>LOOKUP(I86,{0,4,5,6,7,8,9,10,11,12,13,14,15,16,17,18},{0,10,20,30,40,50,60,64,68,72,76,80,85,90,95,100})</f>
        <v>85</v>
      </c>
      <c r="K86" s="44"/>
      <c r="L86" s="35"/>
      <c r="M86" s="35">
        <f t="shared" si="7"/>
        <v>85</v>
      </c>
      <c r="N86" s="35">
        <v>7.4</v>
      </c>
      <c r="O86" s="36">
        <f t="shared" si="8"/>
        <v>10.6</v>
      </c>
      <c r="P86" s="29">
        <f>LOOKUP(O86,{0,7.8,8,8.2,8.4,8.6,8.8,9,9.2,9.4,9.6,9.8,10,10.2,10.4,10.6,10.8,10.9,11,11.1,11.2},{0,10,20,30,40,50,60,62,64,66,68,70,72,74,76,78,80,85,90,95,100})</f>
        <v>78</v>
      </c>
      <c r="Q86" s="5">
        <v>4.18</v>
      </c>
      <c r="R86" s="36">
        <f t="shared" si="9"/>
        <v>5.82</v>
      </c>
      <c r="S86" s="29">
        <f>LOOKUP(R86,{0,3.85,4.45,4.65,4.85,5.45,5.65,5.7,5.75,5.8,5.85,5.9,5.95,6,6.45,6.5,6.55,6.63,6.7,6.75,6.8},{0,10,20,30,40,50,60,62,64,66,68,70,72,74,76,78,80,85,90,95,100})</f>
        <v>66</v>
      </c>
      <c r="T86" s="27"/>
      <c r="U86" s="27"/>
      <c r="V86" s="27">
        <f t="shared" si="10"/>
        <v>66</v>
      </c>
      <c r="W86" s="27"/>
      <c r="X86" s="19">
        <f t="shared" si="11"/>
        <v>51.3</v>
      </c>
      <c r="Y86" s="13">
        <f t="shared" si="12"/>
        <v>73.2857142857143</v>
      </c>
    </row>
    <row r="87" ht="15.6" spans="1:25">
      <c r="A87" s="27">
        <v>311</v>
      </c>
      <c r="B87" s="27">
        <v>39</v>
      </c>
      <c r="C87" s="28" t="s">
        <v>555</v>
      </c>
      <c r="D87" s="28" t="s">
        <v>12</v>
      </c>
      <c r="E87" s="27">
        <v>-6</v>
      </c>
      <c r="F87" s="29">
        <v>0</v>
      </c>
      <c r="G87" s="27">
        <v>255</v>
      </c>
      <c r="H87" s="29">
        <f>LOOKUP(G87,{0,180,185,190,195,200,205,209,213,217,221,225,229,233,237,241,245,253,260,265,270},{0,10,20,30,40,50,60,62,64,66,68,70,72,74,76,78,80,85,90,95,100})</f>
        <v>85</v>
      </c>
      <c r="I87" s="27">
        <v>11</v>
      </c>
      <c r="J87" s="29">
        <f>LOOKUP(I87,{0,4,5,6,7,8,9,10,11,12,13,14,15,16,17,18},{0,10,20,30,40,50,60,64,68,72,76,80,85,90,95,100})</f>
        <v>68</v>
      </c>
      <c r="K87" s="44"/>
      <c r="L87" s="35"/>
      <c r="M87" s="35">
        <f t="shared" si="7"/>
        <v>68</v>
      </c>
      <c r="N87" s="35">
        <v>6.6</v>
      </c>
      <c r="O87" s="36">
        <f t="shared" si="8"/>
        <v>11.4</v>
      </c>
      <c r="P87" s="29">
        <f>LOOKUP(O87,{0,7.8,8,8.2,8.4,8.6,8.8,9,9.2,9.4,9.6,9.8,10,10.2,10.4,10.6,10.8,10.9,11,11.1,11.2},{0,10,20,30,40,50,60,62,64,66,68,70,72,74,76,78,80,85,90,95,100})</f>
        <v>100</v>
      </c>
      <c r="Q87" s="5">
        <v>3.41</v>
      </c>
      <c r="R87" s="36">
        <f t="shared" si="9"/>
        <v>6.59</v>
      </c>
      <c r="S87" s="29">
        <f>LOOKUP(R87,{0,3.85,4.45,4.65,4.85,5.45,5.65,5.7,5.75,5.8,5.85,5.9,5.95,6,6.45,6.5,6.55,6.63,6.7,6.75,6.8},{0,10,20,30,40,50,60,62,64,66,68,70,72,74,76,78,80,85,90,95,100})</f>
        <v>80</v>
      </c>
      <c r="T87" s="27"/>
      <c r="U87" s="27"/>
      <c r="V87" s="27">
        <f t="shared" si="10"/>
        <v>80</v>
      </c>
      <c r="W87" s="27"/>
      <c r="X87" s="19">
        <f t="shared" si="11"/>
        <v>51.3</v>
      </c>
      <c r="Y87" s="13">
        <f t="shared" si="12"/>
        <v>73.2857142857143</v>
      </c>
    </row>
    <row r="88" ht="15.6" spans="1:25">
      <c r="A88" s="27">
        <v>304</v>
      </c>
      <c r="B88" s="27">
        <v>3</v>
      </c>
      <c r="C88" s="27" t="s">
        <v>150</v>
      </c>
      <c r="D88" s="27" t="s">
        <v>12</v>
      </c>
      <c r="E88" s="27">
        <v>27</v>
      </c>
      <c r="F88" s="29">
        <f>LOOKUP(E88,{0,-1.8,-0.8,0.2,1.2,2.2,3.2,4.6,6,7.4,8.8,10.2,11.6,13,14.4,15.8,17.2,19.1,21,22.8,24.6},{0,10,20,30,40,50,60,62,64,66,68,70,72,74,76,78,80,85,90,95,100})</f>
        <v>100</v>
      </c>
      <c r="G88" s="27">
        <v>248</v>
      </c>
      <c r="H88" s="29">
        <f>LOOKUP(G88,{0,180,185,190,195,200,205,209,213,217,221,225,229,233,237,241,245,253,260,265,270},{0,10,20,30,40,50,60,62,64,66,68,70,72,74,76,78,80,85,90,95,100})</f>
        <v>80</v>
      </c>
      <c r="I88" s="27">
        <v>4</v>
      </c>
      <c r="J88" s="29">
        <f>LOOKUP(I88,{0,4,5,6,7,8,9,10,11,12,13,14,15,16,17,18},{0,10,20,30,40,50,60,64,68,72,76,80,85,90,95,100})</f>
        <v>10</v>
      </c>
      <c r="K88" s="44"/>
      <c r="L88" s="35"/>
      <c r="M88" s="35">
        <f t="shared" si="7"/>
        <v>10</v>
      </c>
      <c r="N88" s="35">
        <v>7.1</v>
      </c>
      <c r="O88" s="36">
        <f t="shared" si="8"/>
        <v>10.9</v>
      </c>
      <c r="P88" s="29">
        <f>LOOKUP(O88,{0,7.8,8,8.2,8.4,8.6,8.8,9,9.2,9.4,9.6,9.8,10,10.2,10.4,10.6,10.8,10.9,11,11.1,11.2},{0,10,20,30,40,50,60,62,64,66,68,70,72,74,76,78,80,85,90,95,100})</f>
        <v>85</v>
      </c>
      <c r="Q88" s="5">
        <v>3.54</v>
      </c>
      <c r="R88" s="36">
        <f t="shared" si="9"/>
        <v>6.46</v>
      </c>
      <c r="S88" s="29">
        <f>LOOKUP(R88,{0,3.85,4.45,4.65,4.85,5.45,5.65,5.7,5.75,5.8,5.85,5.9,5.95,6,6.45,6.5,6.55,6.63,6.7,6.75,6.8},{0,10,20,30,40,50,60,62,64,66,68,70,72,74,76,78,80,85,90,95,100})</f>
        <v>76</v>
      </c>
      <c r="T88" s="27"/>
      <c r="U88" s="27"/>
      <c r="V88" s="27">
        <f t="shared" si="10"/>
        <v>76</v>
      </c>
      <c r="W88" s="27"/>
      <c r="X88" s="19">
        <f t="shared" si="11"/>
        <v>51.2</v>
      </c>
      <c r="Y88" s="13">
        <f t="shared" si="12"/>
        <v>73.1428571428572</v>
      </c>
    </row>
    <row r="89" ht="15.6" spans="1:25">
      <c r="A89" s="27">
        <v>316</v>
      </c>
      <c r="B89" s="27">
        <v>9</v>
      </c>
      <c r="C89" s="28" t="s">
        <v>796</v>
      </c>
      <c r="D89" s="28" t="s">
        <v>12</v>
      </c>
      <c r="E89" s="27">
        <v>14</v>
      </c>
      <c r="F89" s="29">
        <f>LOOKUP(E89,{0,-1.8,-0.8,0.2,1.2,2.2,3.2,4.6,6,7.4,8.8,10.2,11.6,13,14.4,15.8,17.2,19.1,21,22.8,24.6},{0,10,20,30,40,50,60,62,64,66,68,70,72,74,76,78,80,85,90,95,100})</f>
        <v>74</v>
      </c>
      <c r="G89" s="27">
        <v>235</v>
      </c>
      <c r="H89" s="29">
        <f>LOOKUP(G89,{0,180,185,190,195,200,205,209,213,217,221,225,229,233,237,241,245,253,260,265,270},{0,10,20,30,40,50,60,62,64,66,68,70,72,74,76,78,80,85,90,95,100})</f>
        <v>74</v>
      </c>
      <c r="I89" s="27">
        <v>10</v>
      </c>
      <c r="J89" s="29">
        <f>LOOKUP(I89,{0,4,5,6,7,8,9,10,11,12,13,14,15,16,17,18},{0,10,20,30,40,50,60,64,68,72,76,80,85,90,95,100})</f>
        <v>64</v>
      </c>
      <c r="K89" s="44"/>
      <c r="L89" s="35"/>
      <c r="M89" s="35">
        <f t="shared" si="7"/>
        <v>64</v>
      </c>
      <c r="N89" s="35">
        <v>6.7</v>
      </c>
      <c r="O89" s="36">
        <f t="shared" si="8"/>
        <v>11.3</v>
      </c>
      <c r="P89" s="29">
        <f>LOOKUP(O89,{0,7.8,8,8.2,8.4,8.6,8.8,9,9.2,9.4,9.6,9.8,10,10.2,10.4,10.6,10.8,10.9,11,11.1,11.2},{0,10,20,30,40,50,60,62,64,66,68,70,72,74,76,78,80,85,90,95,100})</f>
        <v>100</v>
      </c>
      <c r="Q89" s="5">
        <v>4.54</v>
      </c>
      <c r="R89" s="36">
        <f t="shared" si="9"/>
        <v>5.46</v>
      </c>
      <c r="S89" s="29">
        <f>LOOKUP(R89,{0,3.85,4.45,4.65,4.85,5.45,5.65,5.7,5.75,5.8,5.85,5.9,5.95,6,6.45,6.5,6.55,6.63,6.7,6.75,6.8},{0,10,20,30,40,50,60,62,64,66,68,70,72,74,76,78,80,85,90,95,100})</f>
        <v>50</v>
      </c>
      <c r="T89" s="27"/>
      <c r="U89" s="27"/>
      <c r="V89" s="27">
        <f t="shared" si="10"/>
        <v>50</v>
      </c>
      <c r="W89" s="27"/>
      <c r="X89" s="19">
        <f t="shared" si="11"/>
        <v>51.2</v>
      </c>
      <c r="Y89" s="13">
        <f t="shared" si="12"/>
        <v>73.1428571428572</v>
      </c>
    </row>
    <row r="90" ht="15.6" spans="1:25">
      <c r="A90" s="27">
        <v>311</v>
      </c>
      <c r="B90" s="27">
        <v>6</v>
      </c>
      <c r="C90" s="28" t="s">
        <v>519</v>
      </c>
      <c r="D90" s="28" t="s">
        <v>12</v>
      </c>
      <c r="E90" s="27">
        <v>11</v>
      </c>
      <c r="F90" s="29">
        <f>LOOKUP(E90,{0,-1.8,-0.8,0.2,1.2,2.2,3.2,4.6,6,7.4,8.8,10.2,11.6,13,14.4,15.8,17.2,19.1,21,22.8,24.6},{0,10,20,30,40,50,60,62,64,66,68,70,72,74,76,78,80,85,90,95,100})</f>
        <v>70</v>
      </c>
      <c r="G90" s="27">
        <v>270</v>
      </c>
      <c r="H90" s="29">
        <f>LOOKUP(G90,{0,180,185,190,195,200,205,209,213,217,221,225,229,233,237,241,245,253,260,265,270},{0,10,20,30,40,50,60,62,64,66,68,70,72,74,76,78,80,85,90,95,100})</f>
        <v>100</v>
      </c>
      <c r="I90" s="27">
        <v>7</v>
      </c>
      <c r="J90" s="29">
        <f>LOOKUP(I90,{0,4,5,6,7,8,9,10,11,12,13,14,15,16,17,18},{0,10,20,30,40,50,60,64,68,72,76,80,85,90,95,100})</f>
        <v>40</v>
      </c>
      <c r="K90" s="44"/>
      <c r="L90" s="35"/>
      <c r="M90" s="35">
        <f t="shared" si="7"/>
        <v>40</v>
      </c>
      <c r="N90" s="35">
        <v>6.8</v>
      </c>
      <c r="O90" s="36">
        <f t="shared" si="8"/>
        <v>11.2</v>
      </c>
      <c r="P90" s="29">
        <f>LOOKUP(O90,{0,7.8,8,8.2,8.4,8.6,8.8,9,9.2,9.4,9.6,9.8,10,10.2,10.4,10.6,10.8,10.9,11,11.1,11.2},{0,10,20,30,40,50,60,62,64,66,68,70,72,74,76,78,80,85,90,95,100})</f>
        <v>100</v>
      </c>
      <c r="Q90" s="5">
        <v>4.47</v>
      </c>
      <c r="R90" s="36">
        <f t="shared" si="9"/>
        <v>5.53</v>
      </c>
      <c r="S90" s="29">
        <f>LOOKUP(R90,{0,3.85,4.45,4.65,4.85,5.45,5.65,5.7,5.75,5.8,5.85,5.9,5.95,6,6.45,6.5,6.55,6.63,6.7,6.75,6.8},{0,10,20,30,40,50,60,62,64,66,68,70,72,74,76,78,80,85,90,95,100})</f>
        <v>50</v>
      </c>
      <c r="T90" s="27"/>
      <c r="U90" s="27"/>
      <c r="V90" s="27">
        <f t="shared" si="10"/>
        <v>50</v>
      </c>
      <c r="W90" s="27"/>
      <c r="X90" s="19">
        <f t="shared" si="11"/>
        <v>51</v>
      </c>
      <c r="Y90" s="13">
        <f t="shared" si="12"/>
        <v>72.8571428571429</v>
      </c>
    </row>
    <row r="91" ht="15.6" spans="1:25">
      <c r="A91" s="27">
        <v>305</v>
      </c>
      <c r="B91" s="27">
        <v>10</v>
      </c>
      <c r="C91" s="28" t="s">
        <v>194</v>
      </c>
      <c r="D91" s="28" t="s">
        <v>12</v>
      </c>
      <c r="E91" s="27">
        <v>4.4</v>
      </c>
      <c r="F91" s="29">
        <f>LOOKUP(E91,{0,-1.8,-0.8,0.2,1.2,2.2,3.2,4.6,6,7.4,8.8,10.2,11.6,13,14.4,15.8,17.2,19.1,21,22.8,24.6},{0,10,20,30,40,50,60,62,64,66,68,70,72,74,76,78,80,85,90,95,100})</f>
        <v>60</v>
      </c>
      <c r="G91" s="27">
        <v>240</v>
      </c>
      <c r="H91" s="29">
        <f>LOOKUP(G91,{0,180,185,190,195,200,205,209,213,217,221,225,229,233,237,241,245,253,260,265,270},{0,10,20,30,40,50,60,62,64,66,68,70,72,74,76,78,80,85,90,95,100})</f>
        <v>76</v>
      </c>
      <c r="I91" s="27">
        <v>18</v>
      </c>
      <c r="J91" s="29">
        <f>LOOKUP(I91,{0,4,5,6,7,8,9,10,11,12,13,14,15,16,17,18},{0,10,20,30,40,50,60,64,68,72,76,80,85,90,95,100})</f>
        <v>100</v>
      </c>
      <c r="K91" s="44"/>
      <c r="L91" s="35"/>
      <c r="M91" s="35">
        <f t="shared" si="7"/>
        <v>100</v>
      </c>
      <c r="N91" s="35">
        <v>7.1</v>
      </c>
      <c r="O91" s="36">
        <f t="shared" si="8"/>
        <v>10.9</v>
      </c>
      <c r="P91" s="29">
        <f>LOOKUP(O91,{0,7.8,8,8.2,8.4,8.6,8.8,9,9.2,9.4,9.6,9.8,10,10.2,10.4,10.6,10.8,10.9,11,11.1,11.2},{0,10,20,30,40,50,60,62,64,66,68,70,72,74,76,78,80,85,90,95,100})</f>
        <v>85</v>
      </c>
      <c r="Q91" s="5">
        <v>4.37</v>
      </c>
      <c r="R91" s="36">
        <f t="shared" si="9"/>
        <v>5.63</v>
      </c>
      <c r="S91" s="29">
        <f>LOOKUP(R91,{0,3.85,4.45,4.65,4.85,5.45,5.65,5.7,5.75,5.8,5.85,5.9,5.95,6,6.45,6.5,6.55,6.63,6.7,6.75,6.8},{0,10,20,30,40,50,60,62,64,66,68,70,72,74,76,78,80,85,90,95,100})</f>
        <v>50</v>
      </c>
      <c r="T91" s="27"/>
      <c r="U91" s="27"/>
      <c r="V91" s="27">
        <f t="shared" si="10"/>
        <v>50</v>
      </c>
      <c r="W91" s="27"/>
      <c r="X91" s="19">
        <f t="shared" si="11"/>
        <v>50.6</v>
      </c>
      <c r="Y91" s="13">
        <f t="shared" si="12"/>
        <v>72.2857142857143</v>
      </c>
    </row>
    <row r="92" ht="15.6" spans="1:25">
      <c r="A92" s="27">
        <v>311</v>
      </c>
      <c r="B92" s="27">
        <v>9</v>
      </c>
      <c r="C92" s="28" t="s">
        <v>522</v>
      </c>
      <c r="D92" s="28" t="s">
        <v>12</v>
      </c>
      <c r="E92" s="27">
        <v>9.7</v>
      </c>
      <c r="F92" s="29">
        <f>LOOKUP(E92,{0,-1.8,-0.8,0.2,1.2,2.2,3.2,4.6,6,7.4,8.8,10.2,11.6,13,14.4,15.8,17.2,19.1,21,22.8,24.6},{0,10,20,30,40,50,60,62,64,66,68,70,72,74,76,78,80,85,90,95,100})</f>
        <v>68</v>
      </c>
      <c r="G92" s="27">
        <v>240</v>
      </c>
      <c r="H92" s="29">
        <f>LOOKUP(G92,{0,180,185,190,195,200,205,209,213,217,221,225,229,233,237,241,245,253,260,265,270},{0,10,20,30,40,50,60,62,64,66,68,70,72,74,76,78,80,85,90,95,100})</f>
        <v>76</v>
      </c>
      <c r="I92" s="27">
        <v>16</v>
      </c>
      <c r="J92" s="29">
        <f>LOOKUP(I92,{0,4,5,6,7,8,9,10,11,12,13,14,15,16,17,18},{0,10,20,30,40,50,60,64,68,72,76,80,85,90,95,100})</f>
        <v>90</v>
      </c>
      <c r="K92" s="44"/>
      <c r="L92" s="35"/>
      <c r="M92" s="35">
        <f t="shared" si="7"/>
        <v>90</v>
      </c>
      <c r="N92" s="35">
        <v>7.5</v>
      </c>
      <c r="O92" s="36">
        <f t="shared" si="8"/>
        <v>10.5</v>
      </c>
      <c r="P92" s="29">
        <f>LOOKUP(O92,{0,7.8,8,8.2,8.4,8.6,8.8,9,9.2,9.4,9.6,9.8,10,10.2,10.4,10.6,10.8,10.9,11,11.1,11.2},{0,10,20,30,40,50,60,62,64,66,68,70,72,74,76,78,80,85,90,95,100})</f>
        <v>76</v>
      </c>
      <c r="Q92" s="5">
        <v>4.32</v>
      </c>
      <c r="R92" s="36">
        <f t="shared" si="9"/>
        <v>5.68</v>
      </c>
      <c r="S92" s="29">
        <f>LOOKUP(R92,{0,3.85,4.45,4.65,4.85,5.45,5.65,5.7,5.75,5.8,5.85,5.9,5.95,6,6.45,6.5,6.55,6.63,6.7,6.75,6.8},{0,10,20,30,40,50,60,62,64,66,68,70,72,74,76,78,80,85,90,95,100})</f>
        <v>60</v>
      </c>
      <c r="T92" s="27"/>
      <c r="U92" s="27"/>
      <c r="V92" s="27">
        <f t="shared" si="10"/>
        <v>60</v>
      </c>
      <c r="W92" s="27"/>
      <c r="X92" s="19">
        <f t="shared" si="11"/>
        <v>50.6</v>
      </c>
      <c r="Y92" s="13">
        <f t="shared" si="12"/>
        <v>72.2857142857143</v>
      </c>
    </row>
    <row r="93" ht="15.6" spans="1:25">
      <c r="A93" s="27">
        <v>311</v>
      </c>
      <c r="B93" s="27">
        <v>42</v>
      </c>
      <c r="C93" s="28" t="s">
        <v>558</v>
      </c>
      <c r="D93" s="28" t="s">
        <v>12</v>
      </c>
      <c r="E93" s="27">
        <v>10.4</v>
      </c>
      <c r="F93" s="29">
        <f>LOOKUP(E93,{0,-1.8,-0.8,0.2,1.2,2.2,3.2,4.6,6,7.4,8.8,10.2,11.6,13,14.4,15.8,17.2,19.1,21,22.8,24.6},{0,10,20,30,40,50,60,62,64,66,68,70,72,74,76,78,80,85,90,95,100})</f>
        <v>70</v>
      </c>
      <c r="G93" s="27">
        <v>237</v>
      </c>
      <c r="H93" s="29">
        <f>LOOKUP(G93,{0,180,185,190,195,200,205,209,213,217,221,225,229,233,237,241,245,253,260,265,270},{0,10,20,30,40,50,60,62,64,66,68,70,72,74,76,78,80,85,90,95,100})</f>
        <v>76</v>
      </c>
      <c r="I93" s="27">
        <v>11</v>
      </c>
      <c r="J93" s="29">
        <f>LOOKUP(I93,{0,4,5,6,7,8,9,10,11,12,13,14,15,16,17,18},{0,10,20,30,40,50,60,64,68,72,76,80,85,90,95,100})</f>
        <v>68</v>
      </c>
      <c r="K93" s="44"/>
      <c r="L93" s="35"/>
      <c r="M93" s="35">
        <f t="shared" si="7"/>
        <v>68</v>
      </c>
      <c r="N93" s="35">
        <v>7.4</v>
      </c>
      <c r="O93" s="36">
        <f t="shared" si="8"/>
        <v>10.6</v>
      </c>
      <c r="P93" s="29">
        <f>LOOKUP(O93,{0,7.8,8,8.2,8.4,8.6,8.8,9,9.2,9.4,9.6,9.8,10,10.2,10.4,10.6,10.8,10.9,11,11.1,11.2},{0,10,20,30,40,50,60,62,64,66,68,70,72,74,76,78,80,85,90,95,100})</f>
        <v>78</v>
      </c>
      <c r="Q93" s="5">
        <v>4.14</v>
      </c>
      <c r="R93" s="36">
        <f t="shared" si="9"/>
        <v>5.86</v>
      </c>
      <c r="S93" s="29">
        <f>LOOKUP(R93,{0,3.85,4.45,4.65,4.85,5.45,5.65,5.7,5.75,5.8,5.85,5.9,5.95,6,6.45,6.5,6.55,6.63,6.7,6.75,6.8},{0,10,20,30,40,50,60,62,64,66,68,70,72,74,76,78,80,85,90,95,100})</f>
        <v>68</v>
      </c>
      <c r="T93" s="27"/>
      <c r="U93" s="27"/>
      <c r="V93" s="27">
        <f t="shared" si="10"/>
        <v>68</v>
      </c>
      <c r="W93" s="27"/>
      <c r="X93" s="19">
        <f t="shared" si="11"/>
        <v>50.6</v>
      </c>
      <c r="Y93" s="13">
        <f t="shared" si="12"/>
        <v>72.2857142857143</v>
      </c>
    </row>
    <row r="94" ht="15.6" spans="1:25">
      <c r="A94" s="27">
        <v>309</v>
      </c>
      <c r="B94" s="27">
        <v>13</v>
      </c>
      <c r="C94" s="28" t="s">
        <v>418</v>
      </c>
      <c r="D94" s="28" t="s">
        <v>12</v>
      </c>
      <c r="E94" s="27">
        <v>12.5</v>
      </c>
      <c r="F94" s="29">
        <f>LOOKUP(E94,{0,-1.8,-0.8,0.2,1.2,2.2,3.2,4.6,6,7.4,8.8,10.2,11.6,13,14.4,15.8,17.2,19.1,21,22.8,24.6},{0,10,20,30,40,50,60,62,64,66,68,70,72,74,76,78,80,85,90,95,100})</f>
        <v>72</v>
      </c>
      <c r="G94" s="27">
        <v>225</v>
      </c>
      <c r="H94" s="29">
        <f>LOOKUP(G94,{0,180,185,190,195,200,205,209,213,217,221,225,229,233,237,241,245,253,260,265,270},{0,10,20,30,40,50,60,62,64,66,68,70,72,74,76,78,80,85,90,95,100})</f>
        <v>70</v>
      </c>
      <c r="I94" s="27">
        <v>11</v>
      </c>
      <c r="J94" s="29">
        <f>LOOKUP(I94,{0,4,5,6,7,8,9,10,11,12,13,14,15,16,17,18},{0,10,20,30,40,50,60,64,68,72,76,80,85,90,95,100})</f>
        <v>68</v>
      </c>
      <c r="K94" s="44"/>
      <c r="L94" s="35"/>
      <c r="M94" s="35">
        <f t="shared" si="7"/>
        <v>68</v>
      </c>
      <c r="N94" s="35">
        <v>7.8</v>
      </c>
      <c r="O94" s="36">
        <f t="shared" si="8"/>
        <v>10.2</v>
      </c>
      <c r="P94" s="29">
        <f>LOOKUP(O94,{0,7.8,8,8.2,8.4,8.6,8.8,9,9.2,9.4,9.6,9.8,10,10.2,10.4,10.6,10.8,10.9,11,11.1,11.2},{0,10,20,30,40,50,60,62,64,66,68,70,72,74,76,78,80,85,90,95,100})</f>
        <v>74</v>
      </c>
      <c r="Q94" s="5">
        <v>3.57</v>
      </c>
      <c r="R94" s="36">
        <f t="shared" si="9"/>
        <v>6.43</v>
      </c>
      <c r="S94" s="29">
        <f>LOOKUP(R94,{0,3.85,4.45,4.65,4.85,5.45,5.65,5.7,5.75,5.8,5.85,5.9,5.95,6,6.45,6.5,6.55,6.63,6.7,6.75,6.8},{0,10,20,30,40,50,60,62,64,66,68,70,72,74,76,78,80,85,90,95,100})</f>
        <v>74</v>
      </c>
      <c r="T94" s="27"/>
      <c r="U94" s="27"/>
      <c r="V94" s="27">
        <f t="shared" si="10"/>
        <v>74</v>
      </c>
      <c r="W94" s="27"/>
      <c r="X94" s="19">
        <f t="shared" si="11"/>
        <v>50.6</v>
      </c>
      <c r="Y94" s="13">
        <f t="shared" si="12"/>
        <v>72.2857142857143</v>
      </c>
    </row>
    <row r="95" ht="15.6" spans="1:25">
      <c r="A95" s="27">
        <v>316</v>
      </c>
      <c r="B95" s="27">
        <v>10</v>
      </c>
      <c r="C95" s="28" t="s">
        <v>797</v>
      </c>
      <c r="D95" s="28" t="s">
        <v>12</v>
      </c>
      <c r="E95" s="27">
        <v>8.2</v>
      </c>
      <c r="F95" s="29">
        <f>LOOKUP(E95,{0,-1.8,-0.8,0.2,1.2,2.2,3.2,4.6,6,7.4,8.8,10.2,11.6,13,14.4,15.8,17.2,19.1,21,22.8,24.6},{0,10,20,30,40,50,60,62,64,66,68,70,72,74,76,78,80,85,90,95,100})</f>
        <v>66</v>
      </c>
      <c r="G95" s="27">
        <v>265</v>
      </c>
      <c r="H95" s="29">
        <f>LOOKUP(G95,{0,180,185,190,195,200,205,209,213,217,221,225,229,233,237,241,245,253,260,265,270},{0,10,20,30,40,50,60,62,64,66,68,70,72,74,76,78,80,85,90,95,100})</f>
        <v>95</v>
      </c>
      <c r="I95" s="27">
        <v>10</v>
      </c>
      <c r="J95" s="29">
        <f>LOOKUP(I95,{0,4,5,6,7,8,9,10,11,12,13,14,15,16,17,18},{0,10,20,30,40,50,60,64,68,72,76,80,85,90,95,100})</f>
        <v>64</v>
      </c>
      <c r="K95" s="44"/>
      <c r="L95" s="35"/>
      <c r="M95" s="35">
        <f t="shared" si="7"/>
        <v>64</v>
      </c>
      <c r="N95" s="35">
        <v>7</v>
      </c>
      <c r="O95" s="36">
        <f t="shared" si="8"/>
        <v>11</v>
      </c>
      <c r="P95" s="29">
        <f>LOOKUP(O95,{0,7.8,8,8.2,8.4,8.6,8.8,9,9.2,9.4,9.6,9.8,10,10.2,10.4,10.6,10.8,10.9,11,11.1,11.2},{0,10,20,30,40,50,60,62,64,66,68,70,72,74,76,78,80,85,90,95,100})</f>
        <v>90</v>
      </c>
      <c r="Q95" s="5">
        <v>4.54</v>
      </c>
      <c r="R95" s="36">
        <f t="shared" si="9"/>
        <v>5.46</v>
      </c>
      <c r="S95" s="29">
        <f>LOOKUP(R95,{0,3.85,4.45,4.65,4.85,5.45,5.65,5.7,5.75,5.8,5.85,5.9,5.95,6,6.45,6.5,6.55,6.63,6.7,6.75,6.8},{0,10,20,30,40,50,60,62,64,66,68,70,72,74,76,78,80,85,90,95,100})</f>
        <v>50</v>
      </c>
      <c r="T95" s="27"/>
      <c r="U95" s="27"/>
      <c r="V95" s="27">
        <f t="shared" si="10"/>
        <v>50</v>
      </c>
      <c r="W95" s="27"/>
      <c r="X95" s="19">
        <f t="shared" si="11"/>
        <v>50.5</v>
      </c>
      <c r="Y95" s="13">
        <f t="shared" si="12"/>
        <v>72.1428571428572</v>
      </c>
    </row>
    <row r="96" ht="15.6" spans="1:25">
      <c r="A96" s="27">
        <v>309</v>
      </c>
      <c r="B96" s="27">
        <v>26</v>
      </c>
      <c r="C96" s="27" t="s">
        <v>432</v>
      </c>
      <c r="D96" s="27" t="s">
        <v>12</v>
      </c>
      <c r="E96" s="27">
        <v>18.3</v>
      </c>
      <c r="F96" s="29">
        <f>LOOKUP(E96,{0,-1.8,-0.8,0.2,1.2,2.2,3.2,4.6,6,7.4,8.8,10.2,11.6,13,14.4,15.8,17.2,19.1,21,22.8,24.6},{0,10,20,30,40,50,60,62,64,66,68,70,72,74,76,78,80,85,90,95,100})</f>
        <v>80</v>
      </c>
      <c r="G96" s="27">
        <v>232</v>
      </c>
      <c r="H96" s="29">
        <f>LOOKUP(G96,{0,180,185,190,195,200,205,209,213,217,221,225,229,233,237,241,245,253,260,265,270},{0,10,20,30,40,50,60,62,64,66,68,70,72,74,76,78,80,85,90,95,100})</f>
        <v>72</v>
      </c>
      <c r="I96" s="27">
        <v>3</v>
      </c>
      <c r="J96" s="29">
        <f>LOOKUP(I96,{0,4,5,6,7,8,9,10,11,12,13,14,15,16,17,18},{0,10,20,30,40,50,60,64,68,72,76,80,85,90,95,100})</f>
        <v>0</v>
      </c>
      <c r="K96" s="44"/>
      <c r="L96" s="35"/>
      <c r="M96" s="35">
        <f t="shared" si="7"/>
        <v>0</v>
      </c>
      <c r="N96" s="35">
        <v>6.8</v>
      </c>
      <c r="O96" s="36">
        <f t="shared" si="8"/>
        <v>11.2</v>
      </c>
      <c r="P96" s="29">
        <f>LOOKUP(O96,{0,7.8,8,8.2,8.4,8.6,8.8,9,9.2,9.4,9.6,9.8,10,10.2,10.4,10.6,10.8,10.9,11,11.1,11.2},{0,10,20,30,40,50,60,62,64,66,68,70,72,74,76,78,80,85,90,95,100})</f>
        <v>100</v>
      </c>
      <c r="Q96" s="5">
        <v>3.52</v>
      </c>
      <c r="R96" s="36">
        <f t="shared" si="9"/>
        <v>6.48</v>
      </c>
      <c r="S96" s="29">
        <f>LOOKUP(R96,{0,3.85,4.45,4.65,4.85,5.45,5.65,5.7,5.75,5.8,5.85,5.9,5.95,6,6.45,6.5,6.55,6.63,6.7,6.75,6.8},{0,10,20,30,40,50,60,62,64,66,68,70,72,74,76,78,80,85,90,95,100})</f>
        <v>76</v>
      </c>
      <c r="T96" s="27"/>
      <c r="U96" s="27"/>
      <c r="V96" s="27">
        <f t="shared" si="10"/>
        <v>76</v>
      </c>
      <c r="W96" s="27"/>
      <c r="X96" s="19">
        <f t="shared" si="11"/>
        <v>50.4</v>
      </c>
      <c r="Y96" s="13">
        <f t="shared" si="12"/>
        <v>72</v>
      </c>
    </row>
    <row r="97" ht="15.6" spans="1:25">
      <c r="A97" s="27">
        <v>305</v>
      </c>
      <c r="B97" s="27">
        <v>36</v>
      </c>
      <c r="C97" s="28" t="s">
        <v>223</v>
      </c>
      <c r="D97" s="28" t="s">
        <v>12</v>
      </c>
      <c r="E97" s="27">
        <v>16</v>
      </c>
      <c r="F97" s="29">
        <f>LOOKUP(E97,{0,-1.8,-0.8,0.2,1.2,2.2,3.2,4.6,6,7.4,8.8,10.2,11.6,13,14.4,15.8,17.2,19.1,21,22.8,24.6},{0,10,20,30,40,50,60,62,64,66,68,70,72,74,76,78,80,85,90,95,100})</f>
        <v>78</v>
      </c>
      <c r="G97" s="27">
        <v>232</v>
      </c>
      <c r="H97" s="29">
        <f>LOOKUP(G97,{0,180,185,190,195,200,205,209,213,217,221,225,229,233,237,241,245,253,260,265,270},{0,10,20,30,40,50,60,62,64,66,68,70,72,74,76,78,80,85,90,95,100})</f>
        <v>72</v>
      </c>
      <c r="I97" s="27">
        <v>8</v>
      </c>
      <c r="J97" s="29">
        <f>LOOKUP(I97,{0,4,5,6,7,8,9,10,11,12,13,14,15,16,17,18},{0,10,20,30,40,50,60,64,68,72,76,80,85,90,95,100})</f>
        <v>50</v>
      </c>
      <c r="K97" s="44"/>
      <c r="L97" s="35"/>
      <c r="M97" s="35">
        <f t="shared" si="7"/>
        <v>50</v>
      </c>
      <c r="N97" s="35">
        <v>7.3</v>
      </c>
      <c r="O97" s="36">
        <f t="shared" si="8"/>
        <v>10.7</v>
      </c>
      <c r="P97" s="29">
        <f>LOOKUP(O97,{0,7.8,8,8.2,8.4,8.6,8.8,9,9.2,9.4,9.6,9.8,10,10.2,10.4,10.6,10.8,10.9,11,11.1,11.2},{0,10,20,30,40,50,60,62,64,66,68,70,72,74,76,78,80,85,90,95,100})</f>
        <v>78</v>
      </c>
      <c r="Q97" s="5">
        <v>4.04</v>
      </c>
      <c r="R97" s="36">
        <f t="shared" si="9"/>
        <v>5.96</v>
      </c>
      <c r="S97" s="29">
        <f>LOOKUP(R97,{0,3.85,4.45,4.65,4.85,5.45,5.65,5.7,5.75,5.8,5.85,5.9,5.95,6,6.45,6.5,6.55,6.63,6.7,6.75,6.8},{0,10,20,30,40,50,60,62,64,66,68,70,72,74,76,78,80,85,90,95,100})</f>
        <v>72</v>
      </c>
      <c r="T97" s="27"/>
      <c r="U97" s="27"/>
      <c r="V97" s="27">
        <f t="shared" si="10"/>
        <v>72</v>
      </c>
      <c r="W97" s="27"/>
      <c r="X97" s="19">
        <f t="shared" si="11"/>
        <v>50</v>
      </c>
      <c r="Y97" s="13">
        <f t="shared" si="12"/>
        <v>71.4285714285714</v>
      </c>
    </row>
    <row r="98" ht="15.6" spans="1:25">
      <c r="A98" s="27">
        <v>303</v>
      </c>
      <c r="B98" s="27">
        <v>13</v>
      </c>
      <c r="C98" s="27" t="s">
        <v>116</v>
      </c>
      <c r="D98" s="27" t="s">
        <v>12</v>
      </c>
      <c r="E98" s="27">
        <v>7</v>
      </c>
      <c r="F98" s="29">
        <f>LOOKUP(E98,{0,-1.8,-0.8,0.2,1.2,2.2,3.2,4.6,6,7.4,8.8,10.2,11.6,13,14.4,15.8,17.2,19.1,21,22.8,24.6},{0,10,20,30,40,50,60,62,64,66,68,70,72,74,76,78,80,85,90,95,100})</f>
        <v>64</v>
      </c>
      <c r="G98" s="27">
        <v>190</v>
      </c>
      <c r="H98" s="29">
        <f>LOOKUP(G98,{0,180,185,190,195,200,205,209,213,217,221,225,229,233,237,241,245,253,260,265,270},{0,10,20,30,40,50,60,62,64,66,68,70,72,74,76,78,80,85,90,95,100})</f>
        <v>30</v>
      </c>
      <c r="I98" s="27">
        <v>18</v>
      </c>
      <c r="J98" s="29">
        <f>LOOKUP(I98,{0,4,5,6,7,8,9,10,11,12,13,14,15,16,17,18},{0,10,20,30,40,50,60,64,68,72,76,80,85,90,95,100})</f>
        <v>100</v>
      </c>
      <c r="K98" s="44"/>
      <c r="L98" s="35"/>
      <c r="M98" s="35">
        <f t="shared" si="7"/>
        <v>100</v>
      </c>
      <c r="N98" s="35">
        <v>7.3</v>
      </c>
      <c r="O98" s="36">
        <f t="shared" si="8"/>
        <v>10.7</v>
      </c>
      <c r="P98" s="29">
        <f>LOOKUP(O98,{0,7.8,8,8.2,8.4,8.6,8.8,9,9.2,9.4,9.6,9.8,10,10.2,10.4,10.6,10.8,10.9,11,11.1,11.2},{0,10,20,30,40,50,60,62,64,66,68,70,72,74,76,78,80,85,90,95,100})</f>
        <v>78</v>
      </c>
      <c r="Q98" s="5">
        <v>3.58</v>
      </c>
      <c r="R98" s="36">
        <f t="shared" si="9"/>
        <v>6.42</v>
      </c>
      <c r="S98" s="29">
        <f>LOOKUP(R98,{0,3.85,4.45,4.65,4.85,5.45,5.65,5.7,5.75,5.8,5.85,5.9,5.95,6,6.45,6.5,6.55,6.63,6.7,6.75,6.8},{0,10,20,30,40,50,60,62,64,66,68,70,72,74,76,78,80,85,90,95,100})</f>
        <v>74</v>
      </c>
      <c r="T98" s="27"/>
      <c r="U98" s="27"/>
      <c r="V98" s="27">
        <f t="shared" si="10"/>
        <v>74</v>
      </c>
      <c r="W98" s="27"/>
      <c r="X98" s="19">
        <f t="shared" si="11"/>
        <v>49.8</v>
      </c>
      <c r="Y98" s="13">
        <f t="shared" si="12"/>
        <v>71.1428571428571</v>
      </c>
    </row>
    <row r="99" ht="15.6" spans="1:25">
      <c r="A99" s="27">
        <v>310</v>
      </c>
      <c r="B99" s="27">
        <v>4</v>
      </c>
      <c r="C99" s="27" t="s">
        <v>461</v>
      </c>
      <c r="D99" s="27" t="s">
        <v>12</v>
      </c>
      <c r="E99" s="27">
        <v>17</v>
      </c>
      <c r="F99" s="29">
        <f>LOOKUP(E99,{0,-1.8,-0.8,0.2,1.2,2.2,3.2,4.6,6,7.4,8.8,10.2,11.6,13,14.4,15.8,17.2,19.1,21,22.8,24.6},{0,10,20,30,40,50,60,62,64,66,68,70,72,74,76,78,80,85,90,95,100})</f>
        <v>78</v>
      </c>
      <c r="G99" s="27">
        <v>250</v>
      </c>
      <c r="H99" s="29">
        <f>LOOKUP(G99,{0,180,185,190,195,200,205,209,213,217,221,225,229,233,237,241,245,253,260,265,270},{0,10,20,30,40,50,60,62,64,66,68,70,72,74,76,78,80,85,90,95,100})</f>
        <v>80</v>
      </c>
      <c r="I99" s="27">
        <v>6</v>
      </c>
      <c r="J99" s="29">
        <f>LOOKUP(I99,{0,4,5,6,7,8,9,10,11,12,13,14,15,16,17,18},{0,10,20,30,40,50,60,64,68,72,76,80,85,90,95,100})</f>
        <v>30</v>
      </c>
      <c r="K99" s="44"/>
      <c r="L99" s="35"/>
      <c r="M99" s="35">
        <f t="shared" si="7"/>
        <v>30</v>
      </c>
      <c r="N99" s="35">
        <v>7.2</v>
      </c>
      <c r="O99" s="36">
        <f t="shared" si="8"/>
        <v>10.8</v>
      </c>
      <c r="P99" s="29">
        <f>LOOKUP(O99,{0,7.8,8,8.2,8.4,8.6,8.8,9,9.2,9.4,9.6,9.8,10,10.2,10.4,10.6,10.8,10.9,11,11.1,11.2},{0,10,20,30,40,50,60,62,64,66,68,70,72,74,76,78,80,85,90,95,100})</f>
        <v>80</v>
      </c>
      <c r="Q99" s="5">
        <v>3.59</v>
      </c>
      <c r="R99" s="36">
        <f t="shared" si="9"/>
        <v>6.41</v>
      </c>
      <c r="S99" s="29">
        <f>LOOKUP(R99,{0,3.85,4.45,4.65,4.85,5.45,5.65,5.7,5.75,5.8,5.85,5.9,5.95,6,6.45,6.5,6.55,6.63,6.7,6.75,6.8},{0,10,20,30,40,50,60,62,64,66,68,70,72,74,76,78,80,85,90,95,100})</f>
        <v>74</v>
      </c>
      <c r="T99" s="27"/>
      <c r="U99" s="27"/>
      <c r="V99" s="27">
        <f t="shared" si="10"/>
        <v>74</v>
      </c>
      <c r="W99" s="27"/>
      <c r="X99" s="19">
        <f t="shared" si="11"/>
        <v>49.6</v>
      </c>
      <c r="Y99" s="13">
        <f t="shared" si="12"/>
        <v>70.8571428571428</v>
      </c>
    </row>
    <row r="100" ht="15.6" spans="1:25">
      <c r="A100" s="27">
        <v>310</v>
      </c>
      <c r="B100" s="27">
        <v>37</v>
      </c>
      <c r="C100" s="28" t="s">
        <v>497</v>
      </c>
      <c r="D100" s="28" t="s">
        <v>12</v>
      </c>
      <c r="E100" s="27">
        <v>25.3</v>
      </c>
      <c r="F100" s="29">
        <f>LOOKUP(E100,{0,-1.8,-0.8,0.2,1.2,2.2,3.2,4.6,6,7.4,8.8,10.2,11.6,13,14.4,15.8,17.2,19.1,21,22.8,24.6},{0,10,20,30,40,50,60,62,64,66,68,70,72,74,76,78,80,85,90,95,100})</f>
        <v>100</v>
      </c>
      <c r="G100" s="27">
        <v>245</v>
      </c>
      <c r="H100" s="29">
        <f>LOOKUP(G100,{0,180,185,190,195,200,205,209,213,217,221,225,229,233,237,241,245,253,260,265,270},{0,10,20,30,40,50,60,62,64,66,68,70,72,74,76,78,80,85,90,95,100})</f>
        <v>80</v>
      </c>
      <c r="I100" s="27">
        <v>4</v>
      </c>
      <c r="J100" s="29">
        <f>LOOKUP(I100,{0,4,5,6,7,8,9,10,11,12,13,14,15,16,17,18},{0,10,20,30,40,50,60,64,68,72,76,80,85,90,95,100})</f>
        <v>10</v>
      </c>
      <c r="K100" s="44"/>
      <c r="L100" s="35"/>
      <c r="M100" s="35">
        <f t="shared" si="7"/>
        <v>10</v>
      </c>
      <c r="N100" s="35">
        <v>7.3</v>
      </c>
      <c r="O100" s="36">
        <f t="shared" si="8"/>
        <v>10.7</v>
      </c>
      <c r="P100" s="29">
        <f>LOOKUP(O100,{0,7.8,8,8.2,8.4,8.6,8.8,9,9.2,9.4,9.6,9.8,10,10.2,10.4,10.6,10.8,10.9,11,11.1,11.2},{0,10,20,30,40,50,60,62,64,66,68,70,72,74,76,78,80,85,90,95,100})</f>
        <v>78</v>
      </c>
      <c r="Q100" s="5">
        <v>3.58</v>
      </c>
      <c r="R100" s="36">
        <f t="shared" si="9"/>
        <v>6.42</v>
      </c>
      <c r="S100" s="29">
        <f>LOOKUP(R100,{0,3.85,4.45,4.65,4.85,5.45,5.65,5.7,5.75,5.8,5.85,5.9,5.95,6,6.45,6.5,6.55,6.63,6.7,6.75,6.8},{0,10,20,30,40,50,60,62,64,66,68,70,72,74,76,78,80,85,90,95,100})</f>
        <v>74</v>
      </c>
      <c r="T100" s="27"/>
      <c r="U100" s="27"/>
      <c r="V100" s="27">
        <f t="shared" si="10"/>
        <v>74</v>
      </c>
      <c r="W100" s="27"/>
      <c r="X100" s="19">
        <f t="shared" si="11"/>
        <v>49.4</v>
      </c>
      <c r="Y100" s="13">
        <f t="shared" si="12"/>
        <v>70.5714285714286</v>
      </c>
    </row>
    <row r="101" ht="15.6" spans="1:25">
      <c r="A101" s="27">
        <v>311</v>
      </c>
      <c r="B101" s="27">
        <v>19</v>
      </c>
      <c r="C101" s="28" t="s">
        <v>533</v>
      </c>
      <c r="D101" s="28" t="s">
        <v>12</v>
      </c>
      <c r="E101" s="27">
        <v>13</v>
      </c>
      <c r="F101" s="29">
        <f>LOOKUP(E101,{0,-1.8,-0.8,0.2,1.2,2.2,3.2,4.6,6,7.4,8.8,10.2,11.6,13,14.4,15.8,17.2,19.1,21,22.8,24.6},{0,10,20,30,40,50,60,62,64,66,68,70,72,74,76,78,80,85,90,95,100})</f>
        <v>74</v>
      </c>
      <c r="G101" s="27">
        <v>240</v>
      </c>
      <c r="H101" s="29">
        <f>LOOKUP(G101,{0,180,185,190,195,200,205,209,213,217,221,225,229,233,237,241,245,253,260,265,270},{0,10,20,30,40,50,60,62,64,66,68,70,72,74,76,78,80,85,90,95,100})</f>
        <v>76</v>
      </c>
      <c r="I101" s="27">
        <v>11</v>
      </c>
      <c r="J101" s="29">
        <f>LOOKUP(I101,{0,4,5,6,7,8,9,10,11,12,13,14,15,16,17,18},{0,10,20,30,40,50,60,64,68,72,76,80,85,90,95,100})</f>
        <v>68</v>
      </c>
      <c r="K101" s="44"/>
      <c r="L101" s="35"/>
      <c r="M101" s="35">
        <f t="shared" si="7"/>
        <v>68</v>
      </c>
      <c r="N101" s="35">
        <v>7.4</v>
      </c>
      <c r="O101" s="36">
        <f t="shared" si="8"/>
        <v>10.6</v>
      </c>
      <c r="P101" s="29">
        <f>LOOKUP(O101,{0,7.8,8,8.2,8.4,8.6,8.8,9,9.2,9.4,9.6,9.8,10,10.2,10.4,10.6,10.8,10.9,11,11.1,11.2},{0,10,20,30,40,50,60,62,64,66,68,70,72,74,76,78,80,85,90,95,100})</f>
        <v>78</v>
      </c>
      <c r="Q101" s="5">
        <v>4.32</v>
      </c>
      <c r="R101" s="36">
        <f t="shared" si="9"/>
        <v>5.68</v>
      </c>
      <c r="S101" s="29">
        <f>LOOKUP(R101,{0,3.85,4.45,4.65,4.85,5.45,5.65,5.7,5.75,5.8,5.85,5.9,5.95,6,6.45,6.5,6.55,6.63,6.7,6.75,6.8},{0,10,20,30,40,50,60,62,64,66,68,70,72,74,76,78,80,85,90,95,100})</f>
        <v>60</v>
      </c>
      <c r="T101" s="27"/>
      <c r="U101" s="27"/>
      <c r="V101" s="27">
        <f t="shared" si="10"/>
        <v>60</v>
      </c>
      <c r="W101" s="27"/>
      <c r="X101" s="19">
        <f t="shared" si="11"/>
        <v>49.4</v>
      </c>
      <c r="Y101" s="13">
        <f t="shared" si="12"/>
        <v>70.5714285714286</v>
      </c>
    </row>
    <row r="102" ht="15.6" spans="1:25">
      <c r="A102" s="27">
        <v>304</v>
      </c>
      <c r="B102" s="27">
        <v>12</v>
      </c>
      <c r="C102" s="31" t="s">
        <v>160</v>
      </c>
      <c r="D102" s="27" t="s">
        <v>12</v>
      </c>
      <c r="E102" s="27">
        <v>7.5</v>
      </c>
      <c r="F102" s="29">
        <f>LOOKUP(E102,{0,-1.8,-0.8,0.2,1.2,2.2,3.2,4.6,6,7.4,8.8,10.2,11.6,13,14.4,15.8,17.2,19.1,21,22.8,24.6},{0,10,20,30,40,50,60,62,64,66,68,70,72,74,76,78,80,85,90,95,100})</f>
        <v>66</v>
      </c>
      <c r="G102" s="27">
        <v>238</v>
      </c>
      <c r="H102" s="29">
        <f>LOOKUP(G102,{0,180,185,190,195,200,205,209,213,217,221,225,229,233,237,241,245,253,260,265,270},{0,10,20,30,40,50,60,62,64,66,68,70,72,74,76,78,80,85,90,95,100})</f>
        <v>76</v>
      </c>
      <c r="I102" s="27">
        <v>17</v>
      </c>
      <c r="J102" s="29">
        <f>LOOKUP(I102,{0,4,5,6,7,8,9,10,11,12,13,14,15,16,17,18},{0,10,20,30,40,50,60,64,68,72,76,80,85,90,95,100})</f>
        <v>95</v>
      </c>
      <c r="K102" s="44"/>
      <c r="L102" s="35"/>
      <c r="M102" s="35">
        <f t="shared" si="7"/>
        <v>95</v>
      </c>
      <c r="N102" s="35">
        <v>7.4</v>
      </c>
      <c r="O102" s="36">
        <f t="shared" si="8"/>
        <v>10.6</v>
      </c>
      <c r="P102" s="29">
        <f>LOOKUP(O102,{0,7.8,8,8.2,8.4,8.6,8.8,9,9.2,9.4,9.6,9.8,10,10.2,10.4,10.6,10.8,10.9,11,11.1,11.2},{0,10,20,30,40,50,60,62,64,66,68,70,72,74,76,78,80,85,90,95,100})</f>
        <v>78</v>
      </c>
      <c r="Q102" s="5">
        <v>4.5</v>
      </c>
      <c r="R102" s="36">
        <f t="shared" si="9"/>
        <v>5.5</v>
      </c>
      <c r="S102" s="29">
        <f>LOOKUP(R102,{0,3.85,4.45,4.65,4.85,5.45,5.65,5.7,5.75,5.8,5.85,5.9,5.95,6,6.45,6.5,6.55,6.63,6.7,6.75,6.8},{0,10,20,30,40,50,60,62,64,66,68,70,72,74,76,78,80,85,90,95,100})</f>
        <v>50</v>
      </c>
      <c r="T102" s="27"/>
      <c r="U102" s="27"/>
      <c r="V102" s="27">
        <f t="shared" si="10"/>
        <v>50</v>
      </c>
      <c r="W102" s="27"/>
      <c r="X102" s="19">
        <f t="shared" si="11"/>
        <v>49.3</v>
      </c>
      <c r="Y102" s="13">
        <f t="shared" si="12"/>
        <v>70.4285714285714</v>
      </c>
    </row>
    <row r="103" ht="15.6" spans="1:25">
      <c r="A103" s="27">
        <v>303</v>
      </c>
      <c r="B103" s="27">
        <v>11</v>
      </c>
      <c r="C103" s="27" t="s">
        <v>113</v>
      </c>
      <c r="D103" s="27" t="s">
        <v>12</v>
      </c>
      <c r="E103" s="27">
        <v>12.5</v>
      </c>
      <c r="F103" s="29">
        <f>LOOKUP(E103,{0,-1.8,-0.8,0.2,1.2,2.2,3.2,4.6,6,7.4,8.8,10.2,11.6,13,14.4,15.8,17.2,19.1,21,22.8,24.6},{0,10,20,30,40,50,60,62,64,66,68,70,72,74,76,78,80,85,90,95,100})</f>
        <v>72</v>
      </c>
      <c r="G103" s="27">
        <v>270</v>
      </c>
      <c r="H103" s="29">
        <f>LOOKUP(G103,{0,180,185,190,195,200,205,209,213,217,221,225,229,233,237,241,245,253,260,265,270},{0,10,20,30,40,50,60,62,64,66,68,70,72,74,76,78,80,85,90,95,100})</f>
        <v>100</v>
      </c>
      <c r="I103" s="27">
        <v>5</v>
      </c>
      <c r="J103" s="29">
        <f>LOOKUP(I103,{0,4,5,6,7,8,9,10,11,12,13,14,15,16,17,18},{0,10,20,30,40,50,60,64,68,72,76,80,85,90,95,100})</f>
        <v>20</v>
      </c>
      <c r="K103" s="44"/>
      <c r="L103" s="35"/>
      <c r="M103" s="35">
        <f t="shared" si="7"/>
        <v>20</v>
      </c>
      <c r="N103" s="35">
        <v>7.2</v>
      </c>
      <c r="O103" s="36">
        <f t="shared" si="8"/>
        <v>10.8</v>
      </c>
      <c r="P103" s="29">
        <f>LOOKUP(O103,{0,7.8,8,8.2,8.4,8.6,8.8,9,9.2,9.4,9.6,9.8,10,10.2,10.4,10.6,10.8,10.9,11,11.1,11.2},{0,10,20,30,40,50,60,62,64,66,68,70,72,74,76,78,80,85,90,95,100})</f>
        <v>80</v>
      </c>
      <c r="Q103" s="5">
        <v>4.1</v>
      </c>
      <c r="R103" s="36">
        <f t="shared" si="9"/>
        <v>5.9</v>
      </c>
      <c r="S103" s="29">
        <f>LOOKUP(R103,{0,3.85,4.45,4.65,4.85,5.45,5.65,5.7,5.75,5.8,5.85,5.9,5.95,6,6.45,6.5,6.55,6.63,6.7,6.75,6.8},{0,10,20,30,40,50,60,62,64,66,68,70,72,74,76,78,80,85,90,95,100})</f>
        <v>70</v>
      </c>
      <c r="T103" s="27"/>
      <c r="U103" s="27"/>
      <c r="V103" s="27">
        <f t="shared" si="10"/>
        <v>70</v>
      </c>
      <c r="W103" s="27"/>
      <c r="X103" s="19">
        <f t="shared" si="11"/>
        <v>49.2</v>
      </c>
      <c r="Y103" s="13">
        <f t="shared" si="12"/>
        <v>70.2857142857143</v>
      </c>
    </row>
    <row r="104" ht="15.6" spans="1:25">
      <c r="A104" s="27">
        <v>302</v>
      </c>
      <c r="B104" s="27">
        <v>6</v>
      </c>
      <c r="C104" s="27" t="s">
        <v>63</v>
      </c>
      <c r="D104" s="27" t="s">
        <v>12</v>
      </c>
      <c r="E104" s="27">
        <v>12.5</v>
      </c>
      <c r="F104" s="29">
        <f>LOOKUP(E104,{0,-1.8,-0.8,0.2,1.2,2.2,3.2,4.6,6,7.4,8.8,10.2,11.6,13,14.4,15.8,17.2,19.1,21,22.8,24.6},{0,10,20,30,40,50,60,62,64,66,68,70,72,74,76,78,80,85,90,95,100})</f>
        <v>72</v>
      </c>
      <c r="G104" s="27">
        <v>235</v>
      </c>
      <c r="H104" s="29">
        <f>LOOKUP(G104,{0,180,185,190,195,200,205,209,213,217,221,225,229,233,237,241,245,253,260,265,270},{0,10,20,30,40,50,60,62,64,66,68,70,72,74,76,78,80,85,90,95,100})</f>
        <v>74</v>
      </c>
      <c r="I104" s="27">
        <v>10</v>
      </c>
      <c r="J104" s="29">
        <f>LOOKUP(I104,{0,4,5,6,7,8,9,10,11,12,13,14,15,16,17,18},{0,10,20,30,40,50,60,64,68,72,76,80,85,90,95,100})</f>
        <v>64</v>
      </c>
      <c r="K104" s="44"/>
      <c r="L104" s="35"/>
      <c r="M104" s="35">
        <f t="shared" si="7"/>
        <v>64</v>
      </c>
      <c r="N104" s="35">
        <v>7.6</v>
      </c>
      <c r="O104" s="36">
        <f t="shared" si="8"/>
        <v>10.4</v>
      </c>
      <c r="P104" s="29">
        <f>LOOKUP(O104,{0,7.8,8,8.2,8.4,8.6,8.8,9,9.2,9.4,9.6,9.8,10,10.2,10.4,10.6,10.8,10.9,11,11.1,11.2},{0,10,20,30,40,50,60,62,64,66,68,70,72,74,76,78,80,85,90,95,100})</f>
        <v>76</v>
      </c>
      <c r="Q104" s="5">
        <v>4.21</v>
      </c>
      <c r="R104" s="36">
        <f t="shared" si="9"/>
        <v>5.79</v>
      </c>
      <c r="S104" s="29">
        <f>LOOKUP(R104,{0,3.85,4.45,4.65,4.85,5.45,5.65,5.7,5.75,5.8,5.85,5.9,5.95,6,6.45,6.5,6.55,6.63,6.7,6.75,6.8},{0,10,20,30,40,50,60,62,64,66,68,70,72,74,76,78,80,85,90,95,100})</f>
        <v>64</v>
      </c>
      <c r="T104" s="27"/>
      <c r="U104" s="27"/>
      <c r="V104" s="27">
        <f t="shared" si="10"/>
        <v>64</v>
      </c>
      <c r="W104" s="27"/>
      <c r="X104" s="19">
        <f t="shared" si="11"/>
        <v>49</v>
      </c>
      <c r="Y104" s="13">
        <f t="shared" si="12"/>
        <v>70</v>
      </c>
    </row>
    <row r="105" ht="15.6" spans="1:25">
      <c r="A105" s="27">
        <v>310</v>
      </c>
      <c r="B105" s="27">
        <v>19</v>
      </c>
      <c r="C105" s="28" t="s">
        <v>477</v>
      </c>
      <c r="D105" s="28" t="s">
        <v>12</v>
      </c>
      <c r="E105" s="27">
        <v>13.5</v>
      </c>
      <c r="F105" s="29">
        <f>LOOKUP(E105,{0,-1.8,-0.8,0.2,1.2,2.2,3.2,4.6,6,7.4,8.8,10.2,11.6,13,14.4,15.8,17.2,19.1,21,22.8,24.6},{0,10,20,30,40,50,60,62,64,66,68,70,72,74,76,78,80,85,90,95,100})</f>
        <v>74</v>
      </c>
      <c r="G105" s="27">
        <v>262</v>
      </c>
      <c r="H105" s="29">
        <f>LOOKUP(G105,{0,180,185,190,195,200,205,209,213,217,221,225,229,233,237,241,245,253,260,265,270},{0,10,20,30,40,50,60,62,64,66,68,70,72,74,76,78,80,85,90,95,100})</f>
        <v>90</v>
      </c>
      <c r="I105" s="27">
        <v>4</v>
      </c>
      <c r="J105" s="29">
        <f>LOOKUP(I105,{0,4,5,6,7,8,9,10,11,12,13,14,15,16,17,18},{0,10,20,30,40,50,60,64,68,72,76,80,85,90,95,100})</f>
        <v>10</v>
      </c>
      <c r="K105" s="44"/>
      <c r="L105" s="35"/>
      <c r="M105" s="35">
        <f t="shared" si="7"/>
        <v>10</v>
      </c>
      <c r="N105" s="35">
        <v>7</v>
      </c>
      <c r="O105" s="36">
        <f t="shared" si="8"/>
        <v>11</v>
      </c>
      <c r="P105" s="29">
        <f>LOOKUP(O105,{0,7.8,8,8.2,8.4,8.6,8.8,9,9.2,9.4,9.6,9.8,10,10.2,10.4,10.6,10.8,10.9,11,11.1,11.2},{0,10,20,30,40,50,60,62,64,66,68,70,72,74,76,78,80,85,90,95,100})</f>
        <v>90</v>
      </c>
      <c r="Q105" s="5">
        <v>4.12</v>
      </c>
      <c r="R105" s="36">
        <f t="shared" si="9"/>
        <v>5.88</v>
      </c>
      <c r="S105" s="29">
        <f>LOOKUP(R105,{0,3.85,4.45,4.65,4.85,5.45,5.65,5.7,5.75,5.8,5.85,5.9,5.95,6,6.45,6.5,6.55,6.63,6.7,6.75,6.8},{0,10,20,30,40,50,60,62,64,66,68,70,72,74,76,78,80,85,90,95,100})</f>
        <v>68</v>
      </c>
      <c r="T105" s="27"/>
      <c r="U105" s="27"/>
      <c r="V105" s="27">
        <f t="shared" si="10"/>
        <v>68</v>
      </c>
      <c r="W105" s="27"/>
      <c r="X105" s="19">
        <f t="shared" si="11"/>
        <v>49</v>
      </c>
      <c r="Y105" s="13">
        <f t="shared" si="12"/>
        <v>70</v>
      </c>
    </row>
    <row r="106" ht="15.6" spans="1:25">
      <c r="A106" s="27">
        <v>311</v>
      </c>
      <c r="B106" s="27">
        <v>44</v>
      </c>
      <c r="C106" s="28" t="s">
        <v>560</v>
      </c>
      <c r="D106" s="28" t="s">
        <v>12</v>
      </c>
      <c r="E106" s="27">
        <v>10</v>
      </c>
      <c r="F106" s="29">
        <f>LOOKUP(E106,{0,-1.8,-0.8,0.2,1.2,2.2,3.2,4.6,6,7.4,8.8,10.2,11.6,13,14.4,15.8,17.2,19.1,21,22.8,24.6},{0,10,20,30,40,50,60,62,64,66,68,70,72,74,76,78,80,85,90,95,100})</f>
        <v>68</v>
      </c>
      <c r="G106" s="27">
        <v>241</v>
      </c>
      <c r="H106" s="29">
        <f>LOOKUP(G106,{0,180,185,190,195,200,205,209,213,217,221,225,229,233,237,241,245,253,260,265,270},{0,10,20,30,40,50,60,62,64,66,68,70,72,74,76,78,80,85,90,95,100})</f>
        <v>78</v>
      </c>
      <c r="I106" s="27">
        <v>11</v>
      </c>
      <c r="J106" s="29">
        <f>LOOKUP(I106,{0,4,5,6,7,8,9,10,11,12,13,14,15,16,17,18},{0,10,20,30,40,50,60,64,68,72,76,80,85,90,95,100})</f>
        <v>68</v>
      </c>
      <c r="K106" s="44"/>
      <c r="L106" s="35"/>
      <c r="M106" s="35">
        <f t="shared" si="7"/>
        <v>68</v>
      </c>
      <c r="N106" s="35">
        <v>7.7</v>
      </c>
      <c r="O106" s="36">
        <f t="shared" si="8"/>
        <v>10.3</v>
      </c>
      <c r="P106" s="29">
        <f>LOOKUP(O106,{0,7.8,8,8.2,8.4,8.6,8.8,9,9.2,9.4,9.6,9.8,10,10.2,10.4,10.6,10.8,10.9,11,11.1,11.2},{0,10,20,30,40,50,60,62,64,66,68,70,72,74,76,78,80,85,90,95,100})</f>
        <v>74</v>
      </c>
      <c r="Q106" s="5">
        <v>4.22</v>
      </c>
      <c r="R106" s="36">
        <f t="shared" si="9"/>
        <v>5.78</v>
      </c>
      <c r="S106" s="29">
        <f>LOOKUP(R106,{0,3.85,4.45,4.65,4.85,5.45,5.65,5.7,5.75,5.8,5.85,5.9,5.95,6,6.45,6.5,6.55,6.63,6.7,6.75,6.8},{0,10,20,30,40,50,60,62,64,66,68,70,72,74,76,78,80,85,90,95,100})</f>
        <v>64</v>
      </c>
      <c r="T106" s="27"/>
      <c r="U106" s="27"/>
      <c r="V106" s="27">
        <f t="shared" si="10"/>
        <v>64</v>
      </c>
      <c r="W106" s="27"/>
      <c r="X106" s="19">
        <f t="shared" si="11"/>
        <v>49</v>
      </c>
      <c r="Y106" s="13">
        <f t="shared" si="12"/>
        <v>70</v>
      </c>
    </row>
    <row r="107" ht="15.6" spans="1:25">
      <c r="A107" s="27">
        <v>309</v>
      </c>
      <c r="B107" s="27">
        <v>34</v>
      </c>
      <c r="C107" s="28" t="s">
        <v>441</v>
      </c>
      <c r="D107" s="28" t="s">
        <v>12</v>
      </c>
      <c r="E107" s="27">
        <v>9.8</v>
      </c>
      <c r="F107" s="29">
        <f>LOOKUP(E107,{0,-1.8,-0.8,0.2,1.2,2.2,3.2,4.6,6,7.4,8.8,10.2,11.6,13,14.4,15.8,17.2,19.1,21,22.8,24.6},{0,10,20,30,40,50,60,62,64,66,68,70,72,74,76,78,80,85,90,95,100})</f>
        <v>68</v>
      </c>
      <c r="G107" s="27">
        <v>250</v>
      </c>
      <c r="H107" s="29">
        <f>LOOKUP(G107,{0,180,185,190,195,200,205,209,213,217,221,225,229,233,237,241,245,253,260,265,270},{0,10,20,30,40,50,60,62,64,66,68,70,72,74,76,78,80,85,90,95,100})</f>
        <v>80</v>
      </c>
      <c r="I107" s="27">
        <v>2</v>
      </c>
      <c r="J107" s="29">
        <f>LOOKUP(I107,{0,4,5,6,7,8,9,10,11,12,13,14,15,16,17,18},{0,10,20,30,40,50,60,64,68,72,76,80,85,90,95,100})</f>
        <v>0</v>
      </c>
      <c r="K107" s="44"/>
      <c r="L107" s="35"/>
      <c r="M107" s="35">
        <f t="shared" si="7"/>
        <v>0</v>
      </c>
      <c r="N107" s="35">
        <v>7.2</v>
      </c>
      <c r="O107" s="36">
        <f t="shared" si="8"/>
        <v>10.8</v>
      </c>
      <c r="P107" s="29">
        <f>LOOKUP(O107,{0,7.8,8,8.2,8.4,8.6,8.8,9,9.2,9.4,9.6,9.8,10,10.2,10.4,10.6,10.8,10.9,11,11.1,11.2},{0,10,20,30,40,50,60,62,64,66,68,70,72,74,76,78,80,85,90,95,100})</f>
        <v>80</v>
      </c>
      <c r="Q107" s="5">
        <v>3.29</v>
      </c>
      <c r="R107" s="36">
        <f t="shared" si="9"/>
        <v>6.71</v>
      </c>
      <c r="S107" s="29">
        <f>LOOKUP(R107,{0,3.85,4.45,4.65,4.85,5.45,5.65,5.7,5.75,5.8,5.85,5.9,5.95,6,6.45,6.5,6.55,6.63,6.7,6.75,6.8},{0,10,20,30,40,50,60,62,64,66,68,70,72,74,76,78,80,85,90,95,100})</f>
        <v>90</v>
      </c>
      <c r="T107" s="27"/>
      <c r="U107" s="27"/>
      <c r="V107" s="27">
        <f t="shared" si="10"/>
        <v>90</v>
      </c>
      <c r="W107" s="27"/>
      <c r="X107" s="19">
        <f t="shared" si="11"/>
        <v>48.8</v>
      </c>
      <c r="Y107" s="13">
        <f t="shared" si="12"/>
        <v>69.7142857142857</v>
      </c>
    </row>
    <row r="108" ht="15.6" spans="1:25">
      <c r="A108" s="27">
        <v>313</v>
      </c>
      <c r="B108" s="27">
        <v>6</v>
      </c>
      <c r="C108" s="28" t="s">
        <v>632</v>
      </c>
      <c r="D108" s="28" t="s">
        <v>12</v>
      </c>
      <c r="E108" s="27">
        <v>9.5</v>
      </c>
      <c r="F108" s="29">
        <f>LOOKUP(E108,{0,-1.8,-0.8,0.2,1.2,2.2,3.2,4.6,6,7.4,8.8,10.2,11.6,13,14.4,15.8,17.2,19.1,21,22.8,24.6},{0,10,20,30,40,50,60,62,64,66,68,70,72,74,76,78,80,85,90,95,100})</f>
        <v>68</v>
      </c>
      <c r="G108" s="27">
        <v>245</v>
      </c>
      <c r="H108" s="29">
        <f>LOOKUP(G108,{0,180,185,190,195,200,205,209,213,217,221,225,229,233,237,241,245,253,260,265,270},{0,10,20,30,40,50,60,62,64,66,68,70,72,74,76,78,80,85,90,95,100})</f>
        <v>80</v>
      </c>
      <c r="I108" s="27">
        <v>19</v>
      </c>
      <c r="J108" s="29">
        <f>LOOKUP(I108,{0,4,5,6,7,8,9,10,11,12,13,14,15,16,17,18},{0,10,20,30,40,50,60,64,68,72,76,80,85,90,95,100})</f>
        <v>100</v>
      </c>
      <c r="K108" s="44">
        <f>I108-18</f>
        <v>1</v>
      </c>
      <c r="L108" s="29">
        <f>LOOKUP(K108,{0,1,2,3,4,5,6,7,8,9,10},{0,1,2,3,4,5,6,7,8,9,10})</f>
        <v>1</v>
      </c>
      <c r="M108" s="35">
        <f t="shared" si="7"/>
        <v>101</v>
      </c>
      <c r="N108" s="35">
        <v>7.6</v>
      </c>
      <c r="O108" s="36">
        <f t="shared" si="8"/>
        <v>10.4</v>
      </c>
      <c r="P108" s="29">
        <f>LOOKUP(O108,{0,7.8,8,8.2,8.4,8.6,8.8,9,9.2,9.4,9.6,9.8,10,10.2,10.4,10.6,10.8,10.9,11,11.1,11.2},{0,10,20,30,40,50,60,62,64,66,68,70,72,74,76,78,80,85,90,95,100})</f>
        <v>76</v>
      </c>
      <c r="Q108" s="5">
        <v>5.09</v>
      </c>
      <c r="R108" s="36">
        <f t="shared" si="9"/>
        <v>4.91</v>
      </c>
      <c r="S108" s="29">
        <f>LOOKUP(R108,{0,3.85,4.45,4.65,4.85,5.45,5.65,5.7,5.75,5.8,5.85,5.9,5.95,6,6.45,6.5,6.55,6.63,6.7,6.75,6.8},{0,10,20,30,40,50,60,62,64,66,68,70,72,74,76,78,80,85,90,95,100})</f>
        <v>40</v>
      </c>
      <c r="T108" s="27"/>
      <c r="U108" s="27"/>
      <c r="V108" s="27">
        <f t="shared" si="10"/>
        <v>40</v>
      </c>
      <c r="W108" s="27"/>
      <c r="X108" s="19">
        <f t="shared" si="11"/>
        <v>48</v>
      </c>
      <c r="Y108" s="13">
        <f t="shared" si="12"/>
        <v>69.5714285714286</v>
      </c>
    </row>
    <row r="109" ht="15.6" spans="1:25">
      <c r="A109" s="27">
        <v>305</v>
      </c>
      <c r="B109" s="27">
        <v>34</v>
      </c>
      <c r="C109" s="28" t="s">
        <v>221</v>
      </c>
      <c r="D109" s="28" t="s">
        <v>12</v>
      </c>
      <c r="E109" s="27">
        <v>15.5</v>
      </c>
      <c r="F109" s="29">
        <f>LOOKUP(E109,{0,-1.8,-0.8,0.2,1.2,2.2,3.2,4.6,6,7.4,8.8,10.2,11.6,13,14.4,15.8,17.2,19.1,21,22.8,24.6},{0,10,20,30,40,50,60,62,64,66,68,70,72,74,76,78,80,85,90,95,100})</f>
        <v>76</v>
      </c>
      <c r="G109" s="27">
        <v>250</v>
      </c>
      <c r="H109" s="29">
        <f>LOOKUP(G109,{0,180,185,190,195,200,205,209,213,217,221,225,229,233,237,241,245,253,260,265,270},{0,10,20,30,40,50,60,62,64,66,68,70,72,74,76,78,80,85,90,95,100})</f>
        <v>80</v>
      </c>
      <c r="I109" s="27">
        <v>8</v>
      </c>
      <c r="J109" s="29">
        <f>LOOKUP(I109,{0,4,5,6,7,8,9,10,11,12,13,14,15,16,17,18},{0,10,20,30,40,50,60,64,68,72,76,80,85,90,95,100})</f>
        <v>50</v>
      </c>
      <c r="K109" s="44"/>
      <c r="L109" s="35"/>
      <c r="M109" s="35">
        <f t="shared" si="7"/>
        <v>50</v>
      </c>
      <c r="N109" s="35">
        <v>7.4</v>
      </c>
      <c r="O109" s="36">
        <f t="shared" si="8"/>
        <v>10.6</v>
      </c>
      <c r="P109" s="29">
        <f>LOOKUP(O109,{0,7.8,8,8.2,8.4,8.6,8.8,9,9.2,9.4,9.6,9.8,10,10.2,10.4,10.6,10.8,10.9,11,11.1,11.2},{0,10,20,30,40,50,60,62,64,66,68,70,72,74,76,78,80,85,90,95,100})</f>
        <v>78</v>
      </c>
      <c r="Q109" s="5">
        <v>4.26</v>
      </c>
      <c r="R109" s="36">
        <f t="shared" si="9"/>
        <v>5.74</v>
      </c>
      <c r="S109" s="29">
        <f>LOOKUP(R109,{0,3.85,4.45,4.65,4.85,5.45,5.65,5.7,5.75,5.8,5.85,5.9,5.95,6,6.45,6.5,6.55,6.63,6.7,6.75,6.8},{0,10,20,30,40,50,60,62,64,66,68,70,72,74,76,78,80,85,90,95,100})</f>
        <v>62</v>
      </c>
      <c r="T109" s="27"/>
      <c r="U109" s="27"/>
      <c r="V109" s="27">
        <f t="shared" si="10"/>
        <v>62</v>
      </c>
      <c r="W109" s="27"/>
      <c r="X109" s="19">
        <f t="shared" si="11"/>
        <v>48.6</v>
      </c>
      <c r="Y109" s="13">
        <f t="shared" si="12"/>
        <v>69.4285714285714</v>
      </c>
    </row>
    <row r="110" ht="15.6" spans="1:25">
      <c r="A110" s="27">
        <v>306</v>
      </c>
      <c r="B110" s="27">
        <v>7</v>
      </c>
      <c r="C110" s="28" t="s">
        <v>248</v>
      </c>
      <c r="D110" s="28" t="s">
        <v>12</v>
      </c>
      <c r="E110" s="27">
        <v>0.5</v>
      </c>
      <c r="F110" s="29">
        <f>LOOKUP(E110,{0,-1.8,-0.8,0.2,1.2,2.2,3.2,4.6,6,7.4,8.8,10.2,11.6,13,14.4,15.8,17.2,19.1,21,22.8,24.6},{0,10,20,30,40,50,60,62,64,66,68,70,72,74,76,78,80,85,90,95,100})</f>
        <v>30</v>
      </c>
      <c r="G110" s="27">
        <v>227</v>
      </c>
      <c r="H110" s="29">
        <f>LOOKUP(G110,{0,180,185,190,195,200,205,209,213,217,221,225,229,233,237,241,245,253,260,265,270},{0,10,20,30,40,50,60,62,64,66,68,70,72,74,76,78,80,85,90,95,100})</f>
        <v>70</v>
      </c>
      <c r="I110" s="27">
        <v>17</v>
      </c>
      <c r="J110" s="29">
        <f>LOOKUP(I110,{0,4,5,6,7,8,9,10,11,12,13,14,15,16,17,18},{0,10,20,30,40,50,60,64,68,72,76,80,85,90,95,100})</f>
        <v>95</v>
      </c>
      <c r="K110" s="44"/>
      <c r="L110" s="35"/>
      <c r="M110" s="35">
        <f t="shared" si="7"/>
        <v>95</v>
      </c>
      <c r="N110" s="35">
        <v>6.9</v>
      </c>
      <c r="O110" s="36">
        <f t="shared" si="8"/>
        <v>11.1</v>
      </c>
      <c r="P110" s="29">
        <f>LOOKUP(O110,{0,7.8,8,8.2,8.4,8.6,8.8,9,9.2,9.4,9.6,9.8,10,10.2,10.4,10.6,10.8,10.9,11,11.1,11.2},{0,10,20,30,40,50,60,62,64,66,68,70,72,74,76,78,80,85,90,95,100})</f>
        <v>95</v>
      </c>
      <c r="Q110" s="5">
        <v>4.36</v>
      </c>
      <c r="R110" s="36">
        <f t="shared" si="9"/>
        <v>5.64</v>
      </c>
      <c r="S110" s="29">
        <f>LOOKUP(R110,{0,3.85,4.45,4.65,4.85,5.45,5.65,5.7,5.75,5.8,5.85,5.9,5.95,6,6.45,6.5,6.55,6.63,6.7,6.75,6.8},{0,10,20,30,40,50,60,62,64,66,68,70,72,74,76,78,80,85,90,95,100})</f>
        <v>50</v>
      </c>
      <c r="T110" s="27"/>
      <c r="U110" s="27"/>
      <c r="V110" s="27">
        <f t="shared" si="10"/>
        <v>50</v>
      </c>
      <c r="W110" s="27"/>
      <c r="X110" s="19">
        <f t="shared" si="11"/>
        <v>48.5</v>
      </c>
      <c r="Y110" s="13">
        <f t="shared" si="12"/>
        <v>69.2857142857143</v>
      </c>
    </row>
    <row r="111" ht="15.6" spans="1:25">
      <c r="A111" s="27">
        <v>307</v>
      </c>
      <c r="B111" s="27">
        <v>6</v>
      </c>
      <c r="C111" s="28" t="s">
        <v>304</v>
      </c>
      <c r="D111" s="28" t="s">
        <v>12</v>
      </c>
      <c r="E111" s="27">
        <v>7</v>
      </c>
      <c r="F111" s="29">
        <f>LOOKUP(E111,{0,-1.8,-0.8,0.2,1.2,2.2,3.2,4.6,6,7.4,8.8,10.2,11.6,13,14.4,15.8,17.2,19.1,21,22.8,24.6},{0,10,20,30,40,50,60,62,64,66,68,70,72,74,76,78,80,85,90,95,100})</f>
        <v>64</v>
      </c>
      <c r="G111" s="27">
        <v>252</v>
      </c>
      <c r="H111" s="29">
        <f>LOOKUP(G111,{0,180,185,190,195,200,205,209,213,217,221,225,229,233,237,241,245,253,260,265,270},{0,10,20,30,40,50,60,62,64,66,68,70,72,74,76,78,80,85,90,95,100})</f>
        <v>80</v>
      </c>
      <c r="I111" s="27">
        <v>10</v>
      </c>
      <c r="J111" s="29">
        <f>LOOKUP(I111,{0,4,5,6,7,8,9,10,11,12,13,14,15,16,17,18},{0,10,20,30,40,50,60,64,68,72,76,80,85,90,95,100})</f>
        <v>64</v>
      </c>
      <c r="K111" s="44"/>
      <c r="L111" s="35"/>
      <c r="M111" s="35">
        <f t="shared" si="7"/>
        <v>64</v>
      </c>
      <c r="N111" s="35">
        <v>7.4</v>
      </c>
      <c r="O111" s="36">
        <f t="shared" si="8"/>
        <v>10.6</v>
      </c>
      <c r="P111" s="29">
        <f>LOOKUP(O111,{0,7.8,8,8.2,8.4,8.6,8.8,9,9.2,9.4,9.6,9.8,10,10.2,10.4,10.6,10.8,10.9,11,11.1,11.2},{0,10,20,30,40,50,60,62,64,66,68,70,72,74,76,78,80,85,90,95,100})</f>
        <v>78</v>
      </c>
      <c r="Q111" s="5">
        <v>4.34</v>
      </c>
      <c r="R111" s="36">
        <f t="shared" si="9"/>
        <v>5.66</v>
      </c>
      <c r="S111" s="29">
        <f>LOOKUP(R111,{0,3.85,4.45,4.65,4.85,5.45,5.65,5.7,5.75,5.8,5.85,5.9,5.95,6,6.45,6.5,6.55,6.63,6.7,6.75,6.8},{0,10,20,30,40,50,60,62,64,66,68,70,72,74,76,78,80,85,90,95,100})</f>
        <v>60</v>
      </c>
      <c r="T111" s="27"/>
      <c r="U111" s="27"/>
      <c r="V111" s="27">
        <f t="shared" si="10"/>
        <v>60</v>
      </c>
      <c r="W111" s="27"/>
      <c r="X111" s="19">
        <f t="shared" si="11"/>
        <v>48.4</v>
      </c>
      <c r="Y111" s="13">
        <f t="shared" si="12"/>
        <v>69.1428571428572</v>
      </c>
    </row>
    <row r="112" ht="15.6" spans="1:25">
      <c r="A112" s="27">
        <v>310</v>
      </c>
      <c r="B112" s="27">
        <v>24</v>
      </c>
      <c r="C112" s="28" t="s">
        <v>483</v>
      </c>
      <c r="D112" s="28" t="s">
        <v>12</v>
      </c>
      <c r="E112" s="27">
        <v>26.5</v>
      </c>
      <c r="F112" s="29">
        <f>LOOKUP(E112,{0,-1.8,-0.8,0.2,1.2,2.2,3.2,4.6,6,7.4,8.8,10.2,11.6,13,14.4,15.8,17.2,19.1,21,22.8,24.6},{0,10,20,30,40,50,60,62,64,66,68,70,72,74,76,78,80,85,90,95,100})</f>
        <v>100</v>
      </c>
      <c r="G112" s="27">
        <v>232</v>
      </c>
      <c r="H112" s="29">
        <f>LOOKUP(G112,{0,180,185,190,195,200,205,209,213,217,221,225,229,233,237,241,245,253,260,265,270},{0,10,20,30,40,50,60,62,64,66,68,70,72,74,76,78,80,85,90,95,100})</f>
        <v>72</v>
      </c>
      <c r="I112" s="27">
        <v>7</v>
      </c>
      <c r="J112" s="29">
        <f>LOOKUP(I112,{0,4,5,6,7,8,9,10,11,12,13,14,15,16,17,18},{0,10,20,30,40,50,60,64,68,72,76,80,85,90,95,100})</f>
        <v>40</v>
      </c>
      <c r="K112" s="44"/>
      <c r="L112" s="35"/>
      <c r="M112" s="35">
        <f t="shared" si="7"/>
        <v>40</v>
      </c>
      <c r="N112" s="35">
        <v>7.7</v>
      </c>
      <c r="O112" s="36">
        <f t="shared" si="8"/>
        <v>10.3</v>
      </c>
      <c r="P112" s="29">
        <f>LOOKUP(O112,{0,7.8,8,8.2,8.4,8.6,8.8,9,9.2,9.4,9.6,9.8,10,10.2,10.4,10.6,10.8,10.9,11,11.1,11.2},{0,10,20,30,40,50,60,62,64,66,68,70,72,74,76,78,80,85,90,95,100})</f>
        <v>74</v>
      </c>
      <c r="Q112" s="5">
        <v>4.3</v>
      </c>
      <c r="R112" s="36">
        <f t="shared" si="9"/>
        <v>5.7</v>
      </c>
      <c r="S112" s="29">
        <f>LOOKUP(R112,{0,3.85,4.45,4.65,4.85,5.45,5.65,5.7,5.75,5.8,5.85,5.9,5.95,6,6.45,6.5,6.55,6.63,6.7,6.75,6.8},{0,10,20,30,40,50,60,62,64,66,68,70,72,74,76,78,80,85,90,95,100})</f>
        <v>62</v>
      </c>
      <c r="T112" s="27"/>
      <c r="U112" s="27"/>
      <c r="V112" s="27">
        <f t="shared" si="10"/>
        <v>62</v>
      </c>
      <c r="W112" s="27"/>
      <c r="X112" s="19">
        <f t="shared" si="11"/>
        <v>48.4</v>
      </c>
      <c r="Y112" s="13">
        <f t="shared" si="12"/>
        <v>69.1428571428571</v>
      </c>
    </row>
    <row r="113" ht="15.6" spans="1:25">
      <c r="A113" s="27">
        <v>302</v>
      </c>
      <c r="B113" s="27">
        <v>17</v>
      </c>
      <c r="C113" s="27" t="s">
        <v>75</v>
      </c>
      <c r="D113" s="27" t="s">
        <v>12</v>
      </c>
      <c r="E113" s="27">
        <v>-5</v>
      </c>
      <c r="F113" s="29">
        <v>0</v>
      </c>
      <c r="G113" s="27">
        <v>260</v>
      </c>
      <c r="H113" s="29">
        <f>LOOKUP(G113,{0,180,185,190,195,200,205,209,213,217,221,225,229,233,237,241,245,253,260,265,270},{0,10,20,30,40,50,60,62,64,66,68,70,72,74,76,78,80,85,90,95,100})</f>
        <v>90</v>
      </c>
      <c r="I113" s="27">
        <v>14</v>
      </c>
      <c r="J113" s="29">
        <f>LOOKUP(I113,{0,4,5,6,7,8,9,10,11,12,13,14,15,16,17,18},{0,10,20,30,40,50,60,64,68,72,76,80,85,90,95,100})</f>
        <v>80</v>
      </c>
      <c r="K113" s="44"/>
      <c r="L113" s="35"/>
      <c r="M113" s="35">
        <f t="shared" si="7"/>
        <v>80</v>
      </c>
      <c r="N113" s="35">
        <v>7.5</v>
      </c>
      <c r="O113" s="36">
        <f t="shared" si="8"/>
        <v>10.5</v>
      </c>
      <c r="P113" s="29">
        <f>LOOKUP(O113,{0,7.8,8,8.2,8.4,8.6,8.8,9,9.2,9.4,9.6,9.8,10,10.2,10.4,10.6,10.8,10.9,11,11.1,11.2},{0,10,20,30,40,50,60,62,64,66,68,70,72,74,76,78,80,85,90,95,100})</f>
        <v>76</v>
      </c>
      <c r="Q113" s="5">
        <v>3.38</v>
      </c>
      <c r="R113" s="36">
        <f t="shared" si="9"/>
        <v>6.62</v>
      </c>
      <c r="S113" s="29">
        <f>LOOKUP(R113,{0,3.85,4.45,4.65,4.85,5.45,5.65,5.7,5.75,5.8,5.85,5.9,5.95,6,6.45,6.5,6.55,6.63,6.7,6.75,6.8},{0,10,20,30,40,50,60,62,64,66,68,70,72,74,76,78,80,85,90,95,100})</f>
        <v>80</v>
      </c>
      <c r="T113" s="27"/>
      <c r="U113" s="27"/>
      <c r="V113" s="27">
        <f t="shared" si="10"/>
        <v>80</v>
      </c>
      <c r="W113" s="27"/>
      <c r="X113" s="19">
        <f t="shared" si="11"/>
        <v>48.2</v>
      </c>
      <c r="Y113" s="13">
        <f t="shared" si="12"/>
        <v>68.8571428571429</v>
      </c>
    </row>
    <row r="114" ht="15.6" spans="1:25">
      <c r="A114" s="27">
        <v>305</v>
      </c>
      <c r="B114" s="27">
        <v>4</v>
      </c>
      <c r="C114" s="28" t="s">
        <v>188</v>
      </c>
      <c r="D114" s="28" t="s">
        <v>12</v>
      </c>
      <c r="E114" s="27">
        <v>14</v>
      </c>
      <c r="F114" s="29">
        <f>LOOKUP(E114,{0,-1.8,-0.8,0.2,1.2,2.2,3.2,4.6,6,7.4,8.8,10.2,11.6,13,14.4,15.8,17.2,19.1,21,22.8,24.6},{0,10,20,30,40,50,60,62,64,66,68,70,72,74,76,78,80,85,90,95,100})</f>
        <v>74</v>
      </c>
      <c r="G114" s="27">
        <v>210</v>
      </c>
      <c r="H114" s="29">
        <f>LOOKUP(G114,{0,180,185,190,195,200,205,209,213,217,221,225,229,233,237,241,245,253,260,265,270},{0,10,20,30,40,50,60,62,64,66,68,70,72,74,76,78,80,85,90,95,100})</f>
        <v>62</v>
      </c>
      <c r="I114" s="27">
        <v>10</v>
      </c>
      <c r="J114" s="29">
        <f>LOOKUP(I114,{0,4,5,6,7,8,9,10,11,12,13,14,15,16,17,18},{0,10,20,30,40,50,60,64,68,72,76,80,85,90,95,100})</f>
        <v>64</v>
      </c>
      <c r="K114" s="44"/>
      <c r="L114" s="35"/>
      <c r="M114" s="35">
        <f t="shared" si="7"/>
        <v>64</v>
      </c>
      <c r="N114" s="35">
        <v>7.3</v>
      </c>
      <c r="O114" s="36">
        <f t="shared" si="8"/>
        <v>10.7</v>
      </c>
      <c r="P114" s="29">
        <f>LOOKUP(O114,{0,7.8,8,8.2,8.4,8.6,8.8,9,9.2,9.4,9.6,9.8,10,10.2,10.4,10.6,10.8,10.9,11,11.1,11.2},{0,10,20,30,40,50,60,62,64,66,68,70,72,74,76,78,80,85,90,95,100})</f>
        <v>78</v>
      </c>
      <c r="Q114" s="5">
        <v>4.3</v>
      </c>
      <c r="R114" s="36">
        <f t="shared" si="9"/>
        <v>5.7</v>
      </c>
      <c r="S114" s="29">
        <f>LOOKUP(R114,{0,3.85,4.45,4.65,4.85,5.45,5.65,5.7,5.75,5.8,5.85,5.9,5.95,6,6.45,6.5,6.55,6.63,6.7,6.75,6.8},{0,10,20,30,40,50,60,62,64,66,68,70,72,74,76,78,80,85,90,95,100})</f>
        <v>62</v>
      </c>
      <c r="T114" s="27"/>
      <c r="U114" s="27"/>
      <c r="V114" s="27">
        <f t="shared" si="10"/>
        <v>62</v>
      </c>
      <c r="W114" s="27"/>
      <c r="X114" s="19">
        <f t="shared" si="11"/>
        <v>48</v>
      </c>
      <c r="Y114" s="13">
        <f t="shared" si="12"/>
        <v>68.5714285714286</v>
      </c>
    </row>
    <row r="115" ht="15.6" spans="1:25">
      <c r="A115" s="27">
        <v>306</v>
      </c>
      <c r="B115" s="27">
        <v>11</v>
      </c>
      <c r="C115" s="30" t="s">
        <v>253</v>
      </c>
      <c r="D115" s="28" t="s">
        <v>12</v>
      </c>
      <c r="E115" s="27">
        <v>20</v>
      </c>
      <c r="F115" s="29">
        <f>LOOKUP(E115,{0,-1.8,-0.8,0.2,1.2,2.2,3.2,4.6,6,7.4,8.8,10.2,11.6,13,14.4,15.8,17.2,19.1,21,22.8,24.6},{0,10,20,30,40,50,60,62,64,66,68,70,72,74,76,78,80,85,90,95,100})</f>
        <v>85</v>
      </c>
      <c r="G115" s="27">
        <v>242</v>
      </c>
      <c r="H115" s="29">
        <f>LOOKUP(G115,{0,180,185,190,195,200,205,209,213,217,221,225,229,233,237,241,245,253,260,265,270},{0,10,20,30,40,50,60,62,64,66,68,70,72,74,76,78,80,85,90,95,100})</f>
        <v>78</v>
      </c>
      <c r="I115" s="27">
        <v>5</v>
      </c>
      <c r="J115" s="29">
        <f>LOOKUP(I115,{0,4,5,6,7,8,9,10,11,12,13,14,15,16,17,18},{0,10,20,30,40,50,60,64,68,72,76,80,85,90,95,100})</f>
        <v>20</v>
      </c>
      <c r="K115" s="44"/>
      <c r="L115" s="35"/>
      <c r="M115" s="35">
        <f t="shared" si="7"/>
        <v>20</v>
      </c>
      <c r="N115" s="35">
        <v>7.5</v>
      </c>
      <c r="O115" s="36">
        <f t="shared" si="8"/>
        <v>10.5</v>
      </c>
      <c r="P115" s="29">
        <f>LOOKUP(O115,{0,7.8,8,8.2,8.4,8.6,8.8,9,9.2,9.4,9.6,9.8,10,10.2,10.4,10.6,10.8,10.9,11,11.1,11.2},{0,10,20,30,40,50,60,62,64,66,68,70,72,74,76,78,80,85,90,95,100})</f>
        <v>76</v>
      </c>
      <c r="Q115" s="5">
        <v>4.05</v>
      </c>
      <c r="R115" s="36">
        <f t="shared" si="9"/>
        <v>5.95</v>
      </c>
      <c r="S115" s="29">
        <f>LOOKUP(R115,{0,3.85,4.45,4.65,4.85,5.45,5.65,5.7,5.75,5.8,5.85,5.9,5.95,6,6.45,6.5,6.55,6.63,6.7,6.75,6.8},{0,10,20,30,40,50,60,62,64,66,68,70,72,74,76,78,80,85,90,95,100})</f>
        <v>72</v>
      </c>
      <c r="T115" s="27"/>
      <c r="U115" s="27"/>
      <c r="V115" s="27">
        <f t="shared" si="10"/>
        <v>72</v>
      </c>
      <c r="W115" s="27"/>
      <c r="X115" s="19">
        <f t="shared" si="11"/>
        <v>47.9</v>
      </c>
      <c r="Y115" s="13">
        <f t="shared" si="12"/>
        <v>68.4285714285714</v>
      </c>
    </row>
    <row r="116" ht="15.6" spans="1:25">
      <c r="A116" s="27">
        <v>304</v>
      </c>
      <c r="B116" s="27">
        <v>27</v>
      </c>
      <c r="C116" s="27" t="s">
        <v>176</v>
      </c>
      <c r="D116" s="27" t="s">
        <v>12</v>
      </c>
      <c r="E116" s="27">
        <v>9</v>
      </c>
      <c r="F116" s="29">
        <f>LOOKUP(E116,{0,-1.8,-0.8,0.2,1.2,2.2,3.2,4.6,6,7.4,8.8,10.2,11.6,13,14.4,15.8,17.2,19.1,21,22.8,24.6},{0,10,20,30,40,50,60,62,64,66,68,70,72,74,76,78,80,85,90,95,100})</f>
        <v>68</v>
      </c>
      <c r="G116" s="27">
        <v>245</v>
      </c>
      <c r="H116" s="29">
        <f>LOOKUP(G116,{0,180,185,190,195,200,205,209,213,217,221,225,229,233,237,241,245,253,260,265,270},{0,10,20,30,40,50,60,62,64,66,68,70,72,74,76,78,80,85,90,95,100})</f>
        <v>80</v>
      </c>
      <c r="I116" s="27">
        <v>16</v>
      </c>
      <c r="J116" s="29">
        <f>LOOKUP(I116,{0,4,5,6,7,8,9,10,11,12,13,14,15,16,17,18},{0,10,20,30,40,50,60,64,68,72,76,80,85,90,95,100})</f>
        <v>90</v>
      </c>
      <c r="K116" s="44"/>
      <c r="L116" s="35"/>
      <c r="M116" s="35">
        <f t="shared" si="7"/>
        <v>90</v>
      </c>
      <c r="N116" s="35">
        <v>7.2</v>
      </c>
      <c r="O116" s="36">
        <f t="shared" si="8"/>
        <v>10.8</v>
      </c>
      <c r="P116" s="29">
        <f>LOOKUP(O116,{0,7.8,8,8.2,8.4,8.6,8.8,9,9.2,9.4,9.6,9.8,10,10.2,10.4,10.6,10.8,10.9,11,11.1,11.2},{0,10,20,30,40,50,60,62,64,66,68,70,72,74,76,78,80,85,90,95,100})</f>
        <v>80</v>
      </c>
      <c r="Q116" s="5">
        <v>5.1</v>
      </c>
      <c r="R116" s="36">
        <f t="shared" si="9"/>
        <v>4.9</v>
      </c>
      <c r="S116" s="29">
        <f>LOOKUP(R116,{0,3.85,4.45,4.65,4.85,5.45,5.65,5.7,5.75,5.8,5.85,5.9,5.95,6,6.45,6.5,6.55,6.63,6.7,6.75,6.8},{0,10,20,30,40,50,60,62,64,66,68,70,72,74,76,78,80,85,90,95,100})</f>
        <v>40</v>
      </c>
      <c r="T116" s="27"/>
      <c r="U116" s="27"/>
      <c r="V116" s="27">
        <f t="shared" si="10"/>
        <v>40</v>
      </c>
      <c r="W116" s="27"/>
      <c r="X116" s="19">
        <f t="shared" si="11"/>
        <v>47.8</v>
      </c>
      <c r="Y116" s="13">
        <f t="shared" si="12"/>
        <v>68.2857142857143</v>
      </c>
    </row>
    <row r="117" ht="15.6" spans="1:25">
      <c r="A117" s="27">
        <v>308</v>
      </c>
      <c r="B117" s="27">
        <v>9</v>
      </c>
      <c r="C117" s="28" t="s">
        <v>360</v>
      </c>
      <c r="D117" s="28" t="s">
        <v>12</v>
      </c>
      <c r="E117" s="27">
        <v>15</v>
      </c>
      <c r="F117" s="29">
        <f>LOOKUP(E117,{0,-1.8,-0.8,0.2,1.2,2.2,3.2,4.6,6,7.4,8.8,10.2,11.6,13,14.4,15.8,17.2,19.1,21,22.8,24.6},{0,10,20,30,40,50,60,62,64,66,68,70,72,74,76,78,80,85,90,95,100})</f>
        <v>76</v>
      </c>
      <c r="G117" s="27">
        <v>200</v>
      </c>
      <c r="H117" s="29">
        <f>LOOKUP(G117,{0,180,185,190,195,200,205,209,213,217,221,225,229,233,237,241,245,253,260,265,270},{0,10,20,30,40,50,60,62,64,66,68,70,72,74,76,78,80,85,90,95,100})</f>
        <v>50</v>
      </c>
      <c r="I117" s="27">
        <v>7</v>
      </c>
      <c r="J117" s="29">
        <f>LOOKUP(I117,{0,4,5,6,7,8,9,10,11,12,13,14,15,16,17,18},{0,10,20,30,40,50,60,64,68,72,76,80,85,90,95,100})</f>
        <v>40</v>
      </c>
      <c r="K117" s="44"/>
      <c r="L117" s="35"/>
      <c r="M117" s="35">
        <f t="shared" si="7"/>
        <v>40</v>
      </c>
      <c r="N117" s="35">
        <v>7.6</v>
      </c>
      <c r="O117" s="36">
        <f t="shared" si="8"/>
        <v>10.4</v>
      </c>
      <c r="P117" s="29">
        <f>LOOKUP(O117,{0,7.8,8,8.2,8.4,8.6,8.8,9,9.2,9.4,9.6,9.8,10,10.2,10.4,10.6,10.8,10.9,11,11.1,11.2},{0,10,20,30,40,50,60,62,64,66,68,70,72,74,76,78,80,85,90,95,100})</f>
        <v>76</v>
      </c>
      <c r="Q117" s="5">
        <v>3.45</v>
      </c>
      <c r="R117" s="36">
        <f t="shared" si="9"/>
        <v>6.55</v>
      </c>
      <c r="S117" s="29">
        <f>LOOKUP(R117,{0,3.85,4.45,4.65,4.85,5.45,5.65,5.7,5.75,5.8,5.85,5.9,5.95,6,6.45,6.5,6.55,6.63,6.7,6.75,6.8},{0,10,20,30,40,50,60,62,64,66,68,70,72,74,76,78,80,85,90,95,100})</f>
        <v>80</v>
      </c>
      <c r="T117" s="27"/>
      <c r="U117" s="27"/>
      <c r="V117" s="27">
        <f t="shared" si="10"/>
        <v>80</v>
      </c>
      <c r="W117" s="27"/>
      <c r="X117" s="19">
        <f t="shared" si="11"/>
        <v>47.8</v>
      </c>
      <c r="Y117" s="13">
        <f t="shared" si="12"/>
        <v>68.2857142857143</v>
      </c>
    </row>
    <row r="118" ht="15.6" spans="1:25">
      <c r="A118" s="27">
        <v>309</v>
      </c>
      <c r="B118" s="27">
        <v>24</v>
      </c>
      <c r="C118" s="28" t="s">
        <v>430</v>
      </c>
      <c r="D118" s="28" t="s">
        <v>12</v>
      </c>
      <c r="E118" s="27">
        <v>11</v>
      </c>
      <c r="F118" s="29">
        <f>LOOKUP(E118,{0,-1.8,-0.8,0.2,1.2,2.2,3.2,4.6,6,7.4,8.8,10.2,11.6,13,14.4,15.8,17.2,19.1,21,22.8,24.6},{0,10,20,30,40,50,60,62,64,66,68,70,72,74,76,78,80,85,90,95,100})</f>
        <v>70</v>
      </c>
      <c r="G118" s="27">
        <v>262</v>
      </c>
      <c r="H118" s="29">
        <f>LOOKUP(G118,{0,180,185,190,195,200,205,209,213,217,221,225,229,233,237,241,245,253,260,265,270},{0,10,20,30,40,50,60,62,64,66,68,70,72,74,76,78,80,85,90,95,100})</f>
        <v>90</v>
      </c>
      <c r="I118" s="27">
        <v>10</v>
      </c>
      <c r="J118" s="29">
        <f>LOOKUP(I118,{0,4,5,6,7,8,9,10,11,12,13,14,15,16,17,18},{0,10,20,30,40,50,60,64,68,72,76,80,85,90,95,100})</f>
        <v>64</v>
      </c>
      <c r="K118" s="44"/>
      <c r="L118" s="35"/>
      <c r="M118" s="35">
        <f t="shared" si="7"/>
        <v>64</v>
      </c>
      <c r="N118" s="35">
        <v>7.6</v>
      </c>
      <c r="O118" s="36">
        <f t="shared" si="8"/>
        <v>10.4</v>
      </c>
      <c r="P118" s="29">
        <f>LOOKUP(O118,{0,7.8,8,8.2,8.4,8.6,8.8,9,9.2,9.4,9.6,9.8,10,10.2,10.4,10.6,10.8,10.9,11,11.1,11.2},{0,10,20,30,40,50,60,62,64,66,68,70,72,74,76,78,80,85,90,95,100})</f>
        <v>76</v>
      </c>
      <c r="Q118" s="5">
        <v>4.36</v>
      </c>
      <c r="R118" s="36">
        <f t="shared" si="9"/>
        <v>5.64</v>
      </c>
      <c r="S118" s="29">
        <f>LOOKUP(R118,{0,3.85,4.45,4.65,4.85,5.45,5.65,5.7,5.75,5.8,5.85,5.9,5.95,6,6.45,6.5,6.55,6.63,6.7,6.75,6.8},{0,10,20,30,40,50,60,62,64,66,68,70,72,74,76,78,80,85,90,95,100})</f>
        <v>50</v>
      </c>
      <c r="T118" s="27"/>
      <c r="U118" s="27"/>
      <c r="V118" s="27">
        <f t="shared" si="10"/>
        <v>50</v>
      </c>
      <c r="W118" s="27"/>
      <c r="X118" s="19">
        <f t="shared" si="11"/>
        <v>47.6</v>
      </c>
      <c r="Y118" s="13">
        <f t="shared" si="12"/>
        <v>68</v>
      </c>
    </row>
    <row r="119" ht="15.6" spans="1:25">
      <c r="A119" s="27">
        <v>309</v>
      </c>
      <c r="B119" s="27">
        <v>36</v>
      </c>
      <c r="C119" s="28" t="s">
        <v>443</v>
      </c>
      <c r="D119" s="28" t="s">
        <v>12</v>
      </c>
      <c r="E119" s="27">
        <v>4.4</v>
      </c>
      <c r="F119" s="29">
        <f>LOOKUP(E119,{0,-1.8,-0.8,0.2,1.2,2.2,3.2,4.6,6,7.4,8.8,10.2,11.6,13,14.4,15.8,17.2,19.1,21,22.8,24.6},{0,10,20,30,40,50,60,62,64,66,68,70,72,74,76,78,80,85,90,95,100})</f>
        <v>60</v>
      </c>
      <c r="G119" s="27">
        <v>252</v>
      </c>
      <c r="H119" s="29">
        <f>LOOKUP(G119,{0,180,185,190,195,200,205,209,213,217,221,225,229,233,237,241,245,253,260,265,270},{0,10,20,30,40,50,60,62,64,66,68,70,72,74,76,78,80,85,90,95,100})</f>
        <v>80</v>
      </c>
      <c r="I119" s="27">
        <v>9</v>
      </c>
      <c r="J119" s="29">
        <f>LOOKUP(I119,{0,4,5,6,7,8,9,10,11,12,13,14,15,16,17,18},{0,10,20,30,40,50,60,64,68,72,76,80,85,90,95,100})</f>
        <v>60</v>
      </c>
      <c r="K119" s="44"/>
      <c r="L119" s="35"/>
      <c r="M119" s="35">
        <f t="shared" si="7"/>
        <v>60</v>
      </c>
      <c r="N119" s="35">
        <v>7.8</v>
      </c>
      <c r="O119" s="36">
        <f t="shared" si="8"/>
        <v>10.2</v>
      </c>
      <c r="P119" s="29">
        <f>LOOKUP(O119,{0,7.8,8,8.2,8.4,8.6,8.8,9,9.2,9.4,9.6,9.8,10,10.2,10.4,10.6,10.8,10.9,11,11.1,11.2},{0,10,20,30,40,50,60,62,64,66,68,70,72,74,76,78,80,85,90,95,100})</f>
        <v>74</v>
      </c>
      <c r="Q119" s="5">
        <v>4.21</v>
      </c>
      <c r="R119" s="36">
        <f t="shared" si="9"/>
        <v>5.79</v>
      </c>
      <c r="S119" s="29">
        <f>LOOKUP(R119,{0,3.85,4.45,4.65,4.85,5.45,5.65,5.7,5.75,5.8,5.85,5.9,5.95,6,6.45,6.5,6.55,6.63,6.7,6.75,6.8},{0,10,20,30,40,50,60,62,64,66,68,70,72,74,76,78,80,85,90,95,100})</f>
        <v>64</v>
      </c>
      <c r="T119" s="27"/>
      <c r="U119" s="27"/>
      <c r="V119" s="27">
        <f t="shared" si="10"/>
        <v>64</v>
      </c>
      <c r="W119" s="27"/>
      <c r="X119" s="19">
        <f t="shared" si="11"/>
        <v>47.6</v>
      </c>
      <c r="Y119" s="13">
        <f t="shared" si="12"/>
        <v>68</v>
      </c>
    </row>
    <row r="120" ht="15.6" spans="1:25">
      <c r="A120" s="27">
        <v>310</v>
      </c>
      <c r="B120" s="27">
        <v>8</v>
      </c>
      <c r="C120" s="28" t="s">
        <v>465</v>
      </c>
      <c r="D120" s="28" t="s">
        <v>12</v>
      </c>
      <c r="E120" s="27">
        <v>5</v>
      </c>
      <c r="F120" s="29">
        <f>LOOKUP(E120,{0,-1.8,-0.8,0.2,1.2,2.2,3.2,4.6,6,7.4,8.8,10.2,11.6,13,14.4,15.8,17.2,19.1,21,22.8,24.6},{0,10,20,30,40,50,60,62,64,66,68,70,72,74,76,78,80,85,90,95,100})</f>
        <v>62</v>
      </c>
      <c r="G120" s="27">
        <v>270</v>
      </c>
      <c r="H120" s="29">
        <f>LOOKUP(G120,{0,180,185,190,195,200,205,209,213,217,221,225,229,233,237,241,245,253,260,265,270},{0,10,20,30,40,50,60,62,64,66,68,70,72,74,76,78,80,85,90,95,100})</f>
        <v>100</v>
      </c>
      <c r="I120" s="27">
        <v>0</v>
      </c>
      <c r="J120" s="29">
        <f>LOOKUP(I120,{0,4,5,6,7,8,9,10,11,12,13,14,15,16,17,18},{0,10,20,30,40,50,60,64,68,72,76,80,85,90,95,100})</f>
        <v>0</v>
      </c>
      <c r="K120" s="44"/>
      <c r="L120" s="35"/>
      <c r="M120" s="35">
        <f t="shared" si="7"/>
        <v>0</v>
      </c>
      <c r="N120" s="35">
        <v>6.9</v>
      </c>
      <c r="O120" s="36">
        <f t="shared" si="8"/>
        <v>11.1</v>
      </c>
      <c r="P120" s="29">
        <f>LOOKUP(O120,{0,7.8,8,8.2,8.4,8.6,8.8,9,9.2,9.4,9.6,9.8,10,10.2,10.4,10.6,10.8,10.9,11,11.1,11.2},{0,10,20,30,40,50,60,62,64,66,68,70,72,74,76,78,80,85,90,95,100})</f>
        <v>95</v>
      </c>
      <c r="Q120" s="5">
        <v>4.26</v>
      </c>
      <c r="R120" s="36">
        <f t="shared" si="9"/>
        <v>5.74</v>
      </c>
      <c r="S120" s="29">
        <f>LOOKUP(R120,{0,3.85,4.45,4.65,4.85,5.45,5.65,5.7,5.75,5.8,5.85,5.9,5.95,6,6.45,6.5,6.55,6.63,6.7,6.75,6.8},{0,10,20,30,40,50,60,62,64,66,68,70,72,74,76,78,80,85,90,95,100})</f>
        <v>62</v>
      </c>
      <c r="T120" s="27"/>
      <c r="U120" s="27"/>
      <c r="V120" s="27">
        <f t="shared" si="10"/>
        <v>62</v>
      </c>
      <c r="W120" s="27"/>
      <c r="X120" s="19">
        <f t="shared" si="11"/>
        <v>47.6</v>
      </c>
      <c r="Y120" s="13">
        <f t="shared" si="12"/>
        <v>68</v>
      </c>
    </row>
    <row r="121" ht="15.6" spans="1:25">
      <c r="A121" s="27">
        <v>306</v>
      </c>
      <c r="B121" s="27">
        <v>19</v>
      </c>
      <c r="C121" s="28" t="s">
        <v>261</v>
      </c>
      <c r="D121" s="28" t="s">
        <v>12</v>
      </c>
      <c r="E121" s="27">
        <v>3.5</v>
      </c>
      <c r="F121" s="29">
        <f>LOOKUP(E121,{0,-1.8,-0.8,0.2,1.2,2.2,3.2,4.6,6,7.4,8.8,10.2,11.6,13,14.4,15.8,17.2,19.1,21,22.8,24.6},{0,10,20,30,40,50,60,62,64,66,68,70,72,74,76,78,80,85,90,95,100})</f>
        <v>60</v>
      </c>
      <c r="G121" s="27">
        <v>253</v>
      </c>
      <c r="H121" s="29">
        <f>LOOKUP(G121,{0,180,185,190,195,200,205,209,213,217,221,225,229,233,237,241,245,253,260,265,270},{0,10,20,30,40,50,60,62,64,66,68,70,72,74,76,78,80,85,90,95,100})</f>
        <v>85</v>
      </c>
      <c r="I121" s="27">
        <v>3</v>
      </c>
      <c r="J121" s="29">
        <f>LOOKUP(I121,{0,4,5,6,7,8,9,10,11,12,13,14,15,16,17,18},{0,10,20,30,40,50,60,64,68,72,76,80,85,90,95,100})</f>
        <v>0</v>
      </c>
      <c r="K121" s="44"/>
      <c r="L121" s="35"/>
      <c r="M121" s="35">
        <f t="shared" si="7"/>
        <v>0</v>
      </c>
      <c r="N121" s="35">
        <v>6.9</v>
      </c>
      <c r="O121" s="36">
        <f t="shared" si="8"/>
        <v>11.1</v>
      </c>
      <c r="P121" s="29">
        <f>LOOKUP(O121,{0,7.8,8,8.2,8.4,8.6,8.8,9,9.2,9.4,9.6,9.8,10,10.2,10.4,10.6,10.8,10.9,11,11.1,11.2},{0,10,20,30,40,50,60,62,64,66,68,70,72,74,76,78,80,85,90,95,100})</f>
        <v>95</v>
      </c>
      <c r="Q121" s="5">
        <v>4.09</v>
      </c>
      <c r="R121" s="36">
        <f t="shared" si="9"/>
        <v>5.91</v>
      </c>
      <c r="S121" s="29">
        <f>LOOKUP(R121,{0,3.85,4.45,4.65,4.85,5.45,5.65,5.7,5.75,5.8,5.85,5.9,5.95,6,6.45,6.5,6.55,6.63,6.7,6.75,6.8},{0,10,20,30,40,50,60,62,64,66,68,70,72,74,76,78,80,85,90,95,100})</f>
        <v>70</v>
      </c>
      <c r="T121" s="27"/>
      <c r="U121" s="27"/>
      <c r="V121" s="27">
        <f t="shared" si="10"/>
        <v>70</v>
      </c>
      <c r="W121" s="27"/>
      <c r="X121" s="19">
        <f t="shared" si="11"/>
        <v>47.5</v>
      </c>
      <c r="Y121" s="13">
        <f t="shared" si="12"/>
        <v>67.8571428571429</v>
      </c>
    </row>
    <row r="122" ht="15.6" spans="1:25">
      <c r="A122" s="27">
        <v>303</v>
      </c>
      <c r="B122" s="27">
        <v>32</v>
      </c>
      <c r="C122" s="27" t="s">
        <v>134</v>
      </c>
      <c r="D122" s="27" t="s">
        <v>12</v>
      </c>
      <c r="E122" s="27">
        <v>17</v>
      </c>
      <c r="F122" s="29">
        <f>LOOKUP(E122,{0,-1.8,-0.8,0.2,1.2,2.2,3.2,4.6,6,7.4,8.8,10.2,11.6,13,14.4,15.8,17.2,19.1,21,22.8,24.6},{0,10,20,30,40,50,60,62,64,66,68,70,72,74,76,78,80,85,90,95,100})</f>
        <v>78</v>
      </c>
      <c r="G122" s="27">
        <v>205</v>
      </c>
      <c r="H122" s="29">
        <f>LOOKUP(G122,{0,180,185,190,195,200,205,209,213,217,221,225,229,233,237,241,245,253,260,265,270},{0,10,20,30,40,50,60,62,64,66,68,70,72,74,76,78,80,85,90,95,100})</f>
        <v>60</v>
      </c>
      <c r="I122" s="27">
        <v>7</v>
      </c>
      <c r="J122" s="29">
        <f>LOOKUP(I122,{0,4,5,6,7,8,9,10,11,12,13,14,15,16,17,18},{0,10,20,30,40,50,60,64,68,72,76,80,85,90,95,100})</f>
        <v>40</v>
      </c>
      <c r="K122" s="44"/>
      <c r="L122" s="35"/>
      <c r="M122" s="35">
        <f t="shared" si="7"/>
        <v>40</v>
      </c>
      <c r="N122" s="35">
        <v>7.8</v>
      </c>
      <c r="O122" s="36">
        <f t="shared" si="8"/>
        <v>10.2</v>
      </c>
      <c r="P122" s="29">
        <f>LOOKUP(O122,{0,7.8,8,8.2,8.4,8.6,8.8,9,9.2,9.4,9.6,9.8,10,10.2,10.4,10.6,10.8,10.9,11,11.1,11.2},{0,10,20,30,40,50,60,62,64,66,68,70,72,74,76,78,80,85,90,95,100})</f>
        <v>74</v>
      </c>
      <c r="Q122" s="5">
        <v>3.59</v>
      </c>
      <c r="R122" s="36">
        <f t="shared" si="9"/>
        <v>6.41</v>
      </c>
      <c r="S122" s="29">
        <f>LOOKUP(R122,{0,3.85,4.45,4.65,4.85,5.45,5.65,5.7,5.75,5.8,5.85,5.9,5.95,6,6.45,6.5,6.55,6.63,6.7,6.75,6.8},{0,10,20,30,40,50,60,62,64,66,68,70,72,74,76,78,80,85,90,95,100})</f>
        <v>74</v>
      </c>
      <c r="T122" s="27"/>
      <c r="U122" s="27"/>
      <c r="V122" s="27">
        <f t="shared" si="10"/>
        <v>74</v>
      </c>
      <c r="W122" s="27"/>
      <c r="X122" s="19">
        <f t="shared" si="11"/>
        <v>47.4</v>
      </c>
      <c r="Y122" s="13">
        <f t="shared" si="12"/>
        <v>67.7142857142857</v>
      </c>
    </row>
    <row r="123" ht="15.6" spans="1:25">
      <c r="A123" s="27">
        <v>313</v>
      </c>
      <c r="B123" s="27">
        <v>11</v>
      </c>
      <c r="C123" s="28" t="s">
        <v>638</v>
      </c>
      <c r="D123" s="28" t="s">
        <v>12</v>
      </c>
      <c r="E123" s="27">
        <v>11</v>
      </c>
      <c r="F123" s="29">
        <f>LOOKUP(E123,{0,-1.8,-0.8,0.2,1.2,2.2,3.2,4.6,6,7.4,8.8,10.2,11.6,13,14.4,15.8,17.2,19.1,21,22.8,24.6},{0,10,20,30,40,50,60,62,64,66,68,70,72,74,76,78,80,85,90,95,100})</f>
        <v>70</v>
      </c>
      <c r="G123" s="27">
        <v>260</v>
      </c>
      <c r="H123" s="29">
        <f>LOOKUP(G123,{0,180,185,190,195,200,205,209,213,217,221,225,229,233,237,241,245,253,260,265,270},{0,10,20,30,40,50,60,62,64,66,68,70,72,74,76,78,80,85,90,95,100})</f>
        <v>90</v>
      </c>
      <c r="I123" s="27">
        <v>10</v>
      </c>
      <c r="J123" s="29">
        <f>LOOKUP(I123,{0,4,5,6,7,8,9,10,11,12,13,14,15,16,17,18},{0,10,20,30,40,50,60,64,68,72,76,80,85,90,95,100})</f>
        <v>64</v>
      </c>
      <c r="K123" s="44"/>
      <c r="L123" s="35"/>
      <c r="M123" s="35">
        <f t="shared" si="7"/>
        <v>64</v>
      </c>
      <c r="N123" s="35">
        <v>7.1</v>
      </c>
      <c r="O123" s="36">
        <f t="shared" si="8"/>
        <v>10.9</v>
      </c>
      <c r="P123" s="29">
        <f>LOOKUP(O123,{0,7.8,8,8.2,8.4,8.6,8.8,9,9.2,9.4,9.6,9.8,10,10.2,10.4,10.6,10.8,10.9,11,11.1,11.2},{0,10,20,30,40,50,60,62,64,66,68,70,72,74,76,78,80,85,90,95,100})</f>
        <v>85</v>
      </c>
      <c r="Q123" s="5">
        <v>5.09</v>
      </c>
      <c r="R123" s="36">
        <f t="shared" si="9"/>
        <v>4.91</v>
      </c>
      <c r="S123" s="29">
        <f>LOOKUP(R123,{0,3.85,4.45,4.65,4.85,5.45,5.65,5.7,5.75,5.8,5.85,5.9,5.95,6,6.45,6.5,6.55,6.63,6.7,6.75,6.8},{0,10,20,30,40,50,60,62,64,66,68,70,72,74,76,78,80,85,90,95,100})</f>
        <v>40</v>
      </c>
      <c r="T123" s="27"/>
      <c r="U123" s="27"/>
      <c r="V123" s="27">
        <f t="shared" si="10"/>
        <v>40</v>
      </c>
      <c r="W123" s="27"/>
      <c r="X123" s="19">
        <f t="shared" si="11"/>
        <v>47.4</v>
      </c>
      <c r="Y123" s="13">
        <f t="shared" si="12"/>
        <v>67.7142857142857</v>
      </c>
    </row>
    <row r="124" ht="15.6" spans="1:25">
      <c r="A124" s="27">
        <v>302</v>
      </c>
      <c r="B124" s="27">
        <v>27</v>
      </c>
      <c r="C124" s="27" t="s">
        <v>87</v>
      </c>
      <c r="D124" s="27" t="s">
        <v>12</v>
      </c>
      <c r="E124" s="27">
        <v>23</v>
      </c>
      <c r="F124" s="29">
        <f>LOOKUP(E124,{0,-1.8,-0.8,0.2,1.2,2.2,3.2,4.6,6,7.4,8.8,10.2,11.6,13,14.4,15.8,17.2,19.1,21,22.8,24.6},{0,10,20,30,40,50,60,62,64,66,68,70,72,74,76,78,80,85,90,95,100})</f>
        <v>95</v>
      </c>
      <c r="G124" s="27">
        <v>223</v>
      </c>
      <c r="H124" s="29">
        <f>LOOKUP(G124,{0,180,185,190,195,200,205,209,213,217,221,225,229,233,237,241,245,253,260,265,270},{0,10,20,30,40,50,60,62,64,66,68,70,72,74,76,78,80,85,90,95,100})</f>
        <v>68</v>
      </c>
      <c r="I124" s="27">
        <v>6</v>
      </c>
      <c r="J124" s="29">
        <f>LOOKUP(I124,{0,4,5,6,7,8,9,10,11,12,13,14,15,16,17,18},{0,10,20,30,40,50,60,64,68,72,76,80,85,90,95,100})</f>
        <v>30</v>
      </c>
      <c r="K124" s="44"/>
      <c r="L124" s="35"/>
      <c r="M124" s="35">
        <f t="shared" si="7"/>
        <v>30</v>
      </c>
      <c r="N124" s="35">
        <v>7.5</v>
      </c>
      <c r="O124" s="36">
        <f t="shared" si="8"/>
        <v>10.5</v>
      </c>
      <c r="P124" s="29">
        <f>LOOKUP(O124,{0,7.8,8,8.2,8.4,8.6,8.8,9,9.2,9.4,9.6,9.8,10,10.2,10.4,10.6,10.8,10.9,11,11.1,11.2},{0,10,20,30,40,50,60,62,64,66,68,70,72,74,76,78,80,85,90,95,100})</f>
        <v>76</v>
      </c>
      <c r="Q124" s="5">
        <v>4.22</v>
      </c>
      <c r="R124" s="36">
        <f t="shared" si="9"/>
        <v>5.78</v>
      </c>
      <c r="S124" s="29">
        <f>LOOKUP(R124,{0,3.85,4.45,4.65,4.85,5.45,5.65,5.7,5.75,5.8,5.85,5.9,5.95,6,6.45,6.5,6.55,6.63,6.7,6.75,6.8},{0,10,20,30,40,50,60,62,64,66,68,70,72,74,76,78,80,85,90,95,100})</f>
        <v>64</v>
      </c>
      <c r="T124" s="27"/>
      <c r="U124" s="27"/>
      <c r="V124" s="27">
        <f t="shared" si="10"/>
        <v>64</v>
      </c>
      <c r="W124" s="27"/>
      <c r="X124" s="19">
        <f t="shared" si="11"/>
        <v>47.3</v>
      </c>
      <c r="Y124" s="13">
        <f t="shared" si="12"/>
        <v>67.5714285714286</v>
      </c>
    </row>
    <row r="125" ht="15.6" spans="1:25">
      <c r="A125" s="27">
        <v>302</v>
      </c>
      <c r="B125" s="27">
        <v>14</v>
      </c>
      <c r="C125" s="27" t="s">
        <v>72</v>
      </c>
      <c r="D125" s="27" t="s">
        <v>12</v>
      </c>
      <c r="E125" s="27">
        <v>7.5</v>
      </c>
      <c r="F125" s="29">
        <f>LOOKUP(E125,{0,-1.8,-0.8,0.2,1.2,2.2,3.2,4.6,6,7.4,8.8,10.2,11.6,13,14.4,15.8,17.2,19.1,21,22.8,24.6},{0,10,20,30,40,50,60,62,64,66,68,70,72,74,76,78,80,85,90,95,100})</f>
        <v>66</v>
      </c>
      <c r="G125" s="27">
        <v>210</v>
      </c>
      <c r="H125" s="29">
        <f>LOOKUP(G125,{0,180,185,190,195,200,205,209,213,217,221,225,229,233,237,241,245,253,260,265,270},{0,10,20,30,40,50,60,62,64,66,68,70,72,74,76,78,80,85,90,95,100})</f>
        <v>62</v>
      </c>
      <c r="I125" s="27">
        <v>11</v>
      </c>
      <c r="J125" s="29">
        <f>LOOKUP(I125,{0,4,5,6,7,8,9,10,11,12,13,14,15,16,17,18},{0,10,20,30,40,50,60,64,68,72,76,80,85,90,95,100})</f>
        <v>68</v>
      </c>
      <c r="K125" s="44"/>
      <c r="L125" s="35"/>
      <c r="M125" s="35">
        <f t="shared" si="7"/>
        <v>68</v>
      </c>
      <c r="N125" s="35">
        <v>7.6</v>
      </c>
      <c r="O125" s="36">
        <f t="shared" si="8"/>
        <v>10.4</v>
      </c>
      <c r="P125" s="29">
        <f>LOOKUP(O125,{0,7.8,8,8.2,8.4,8.6,8.8,9,9.2,9.4,9.6,9.8,10,10.2,10.4,10.6,10.8,10.9,11,11.1,11.2},{0,10,20,30,40,50,60,62,64,66,68,70,72,74,76,78,80,85,90,95,100})</f>
        <v>76</v>
      </c>
      <c r="Q125" s="5">
        <v>4.26</v>
      </c>
      <c r="R125" s="36">
        <f t="shared" si="9"/>
        <v>5.74</v>
      </c>
      <c r="S125" s="29">
        <f>LOOKUP(R125,{0,3.85,4.45,4.65,4.85,5.45,5.65,5.7,5.75,5.8,5.85,5.9,5.95,6,6.45,6.5,6.55,6.63,6.7,6.75,6.8},{0,10,20,30,40,50,60,62,64,66,68,70,72,74,76,78,80,85,90,95,100})</f>
        <v>62</v>
      </c>
      <c r="T125" s="27"/>
      <c r="U125" s="27"/>
      <c r="V125" s="27">
        <f t="shared" si="10"/>
        <v>62</v>
      </c>
      <c r="W125" s="27"/>
      <c r="X125" s="19">
        <f t="shared" si="11"/>
        <v>47.2</v>
      </c>
      <c r="Y125" s="13">
        <f t="shared" si="12"/>
        <v>67.4285714285714</v>
      </c>
    </row>
    <row r="126" ht="15.6" spans="1:25">
      <c r="A126" s="27">
        <v>304</v>
      </c>
      <c r="B126" s="27">
        <v>7</v>
      </c>
      <c r="C126" s="27" t="s">
        <v>154</v>
      </c>
      <c r="D126" s="27" t="s">
        <v>12</v>
      </c>
      <c r="E126" s="27">
        <v>16</v>
      </c>
      <c r="F126" s="29">
        <f>LOOKUP(E126,{0,-1.8,-0.8,0.2,1.2,2.2,3.2,4.6,6,7.4,8.8,10.2,11.6,13,14.4,15.8,17.2,19.1,21,22.8,24.6},{0,10,20,30,40,50,60,62,64,66,68,70,72,74,76,78,80,85,90,95,100})</f>
        <v>78</v>
      </c>
      <c r="G126" s="27">
        <v>240</v>
      </c>
      <c r="H126" s="29">
        <f>LOOKUP(G126,{0,180,185,190,195,200,205,209,213,217,221,225,229,233,237,241,245,253,260,265,270},{0,10,20,30,40,50,60,62,64,66,68,70,72,74,76,78,80,85,90,95,100})</f>
        <v>76</v>
      </c>
      <c r="I126" s="27">
        <v>4</v>
      </c>
      <c r="J126" s="29">
        <f>LOOKUP(I126,{0,4,5,6,7,8,9,10,11,12,13,14,15,16,17,18},{0,10,20,30,40,50,60,64,68,72,76,80,85,90,95,100})</f>
        <v>10</v>
      </c>
      <c r="K126" s="44"/>
      <c r="L126" s="35"/>
      <c r="M126" s="35">
        <f t="shared" si="7"/>
        <v>10</v>
      </c>
      <c r="N126" s="35">
        <v>7.2</v>
      </c>
      <c r="O126" s="36">
        <f t="shared" si="8"/>
        <v>10.8</v>
      </c>
      <c r="P126" s="29">
        <f>LOOKUP(O126,{0,7.8,8,8.2,8.4,8.6,8.8,9,9.2,9.4,9.6,9.8,10,10.2,10.4,10.6,10.8,10.9,11,11.1,11.2},{0,10,20,30,40,50,60,62,64,66,68,70,72,74,76,78,80,85,90,95,100})</f>
        <v>80</v>
      </c>
      <c r="Q126" s="5">
        <v>3.56</v>
      </c>
      <c r="R126" s="36">
        <f t="shared" si="9"/>
        <v>6.44</v>
      </c>
      <c r="S126" s="29">
        <f>LOOKUP(R126,{0,3.85,4.45,4.65,4.85,5.45,5.65,5.7,5.75,5.8,5.85,5.9,5.95,6,6.45,6.5,6.55,6.63,6.7,6.75,6.8},{0,10,20,30,40,50,60,62,64,66,68,70,72,74,76,78,80,85,90,95,100})</f>
        <v>74</v>
      </c>
      <c r="T126" s="27"/>
      <c r="U126" s="27"/>
      <c r="V126" s="27">
        <f t="shared" si="10"/>
        <v>74</v>
      </c>
      <c r="W126" s="27"/>
      <c r="X126" s="19">
        <f t="shared" si="11"/>
        <v>47.2</v>
      </c>
      <c r="Y126" s="13">
        <f t="shared" si="12"/>
        <v>67.4285714285714</v>
      </c>
    </row>
    <row r="127" ht="15.6" spans="1:25">
      <c r="A127" s="27">
        <v>306</v>
      </c>
      <c r="B127" s="27">
        <v>32</v>
      </c>
      <c r="C127" s="28" t="s">
        <v>275</v>
      </c>
      <c r="D127" s="28" t="s">
        <v>12</v>
      </c>
      <c r="E127" s="27">
        <v>7.2</v>
      </c>
      <c r="F127" s="29">
        <f>LOOKUP(E127,{0,-1.8,-0.8,0.2,1.2,2.2,3.2,4.6,6,7.4,8.8,10.2,11.6,13,14.4,15.8,17.2,19.1,21,22.8,24.6},{0,10,20,30,40,50,60,62,64,66,68,70,72,74,76,78,80,85,90,95,100})</f>
        <v>64</v>
      </c>
      <c r="G127" s="27">
        <v>250</v>
      </c>
      <c r="H127" s="29">
        <f>LOOKUP(G127,{0,180,185,190,195,200,205,209,213,217,221,225,229,233,237,241,245,253,260,265,270},{0,10,20,30,40,50,60,62,64,66,68,70,72,74,76,78,80,85,90,95,100})</f>
        <v>80</v>
      </c>
      <c r="I127" s="27">
        <v>3</v>
      </c>
      <c r="J127" s="29">
        <f>LOOKUP(I127,{0,4,5,6,7,8,9,10,11,12,13,14,15,16,17,18},{0,10,20,30,40,50,60,64,68,72,76,80,85,90,95,100})</f>
        <v>0</v>
      </c>
      <c r="K127" s="44"/>
      <c r="L127" s="35"/>
      <c r="M127" s="35">
        <f t="shared" si="7"/>
        <v>0</v>
      </c>
      <c r="N127" s="35">
        <v>6.8</v>
      </c>
      <c r="O127" s="36">
        <f t="shared" si="8"/>
        <v>11.2</v>
      </c>
      <c r="P127" s="29">
        <f>LOOKUP(O127,{0,7.8,8,8.2,8.4,8.6,8.8,9,9.2,9.4,9.6,9.8,10,10.2,10.4,10.6,10.8,10.9,11,11.1,11.2},{0,10,20,30,40,50,60,62,64,66,68,70,72,74,76,78,80,85,90,95,100})</f>
        <v>100</v>
      </c>
      <c r="Q127" s="5">
        <v>4.22</v>
      </c>
      <c r="R127" s="36">
        <f t="shared" si="9"/>
        <v>5.78</v>
      </c>
      <c r="S127" s="29">
        <f>LOOKUP(R127,{0,3.85,4.45,4.65,4.85,5.45,5.65,5.7,5.75,5.8,5.85,5.9,5.95,6,6.45,6.5,6.55,6.63,6.7,6.75,6.8},{0,10,20,30,40,50,60,62,64,66,68,70,72,74,76,78,80,85,90,95,100})</f>
        <v>64</v>
      </c>
      <c r="T127" s="27"/>
      <c r="U127" s="27"/>
      <c r="V127" s="27">
        <f t="shared" si="10"/>
        <v>64</v>
      </c>
      <c r="W127" s="27"/>
      <c r="X127" s="19">
        <f t="shared" si="11"/>
        <v>47.2</v>
      </c>
      <c r="Y127" s="13">
        <f t="shared" si="12"/>
        <v>67.4285714285714</v>
      </c>
    </row>
    <row r="128" ht="15.6" spans="1:25">
      <c r="A128" s="27">
        <v>308</v>
      </c>
      <c r="B128" s="27">
        <v>19</v>
      </c>
      <c r="C128" s="28" t="s">
        <v>371</v>
      </c>
      <c r="D128" s="28" t="s">
        <v>12</v>
      </c>
      <c r="E128" s="27">
        <v>9</v>
      </c>
      <c r="F128" s="29">
        <f>LOOKUP(E128,{0,-1.8,-0.8,0.2,1.2,2.2,3.2,4.6,6,7.4,8.8,10.2,11.6,13,14.4,15.8,17.2,19.1,21,22.8,24.6},{0,10,20,30,40,50,60,62,64,66,68,70,72,74,76,78,80,85,90,95,100})</f>
        <v>68</v>
      </c>
      <c r="G128" s="27">
        <v>240</v>
      </c>
      <c r="H128" s="29">
        <f>LOOKUP(G128,{0,180,185,190,195,200,205,209,213,217,221,225,229,233,237,241,245,253,260,265,270},{0,10,20,30,40,50,60,62,64,66,68,70,72,74,76,78,80,85,90,95,100})</f>
        <v>76</v>
      </c>
      <c r="I128" s="27">
        <v>13</v>
      </c>
      <c r="J128" s="29">
        <f>LOOKUP(I128,{0,4,5,6,7,8,9,10,11,12,13,14,15,16,17,18},{0,10,20,30,40,50,60,64,68,72,76,80,85,90,95,100})</f>
        <v>76</v>
      </c>
      <c r="K128" s="44"/>
      <c r="L128" s="35"/>
      <c r="M128" s="35">
        <f t="shared" si="7"/>
        <v>76</v>
      </c>
      <c r="N128" s="35">
        <v>7.6</v>
      </c>
      <c r="O128" s="36">
        <f t="shared" si="8"/>
        <v>10.4</v>
      </c>
      <c r="P128" s="29">
        <f>LOOKUP(O128,{0,7.8,8,8.2,8.4,8.6,8.8,9,9.2,9.4,9.6,9.8,10,10.2,10.4,10.6,10.8,10.9,11,11.1,11.2},{0,10,20,30,40,50,60,62,64,66,68,70,72,74,76,78,80,85,90,95,100})</f>
        <v>76</v>
      </c>
      <c r="Q128" s="5">
        <v>4.49</v>
      </c>
      <c r="R128" s="36">
        <f t="shared" si="9"/>
        <v>5.51</v>
      </c>
      <c r="S128" s="29">
        <f>LOOKUP(R128,{0,3.85,4.45,4.65,4.85,5.45,5.65,5.7,5.75,5.8,5.85,5.9,5.95,6,6.45,6.5,6.55,6.63,6.7,6.75,6.8},{0,10,20,30,40,50,60,62,64,66,68,70,72,74,76,78,80,85,90,95,100})</f>
        <v>50</v>
      </c>
      <c r="T128" s="27"/>
      <c r="U128" s="27"/>
      <c r="V128" s="27">
        <f t="shared" si="10"/>
        <v>50</v>
      </c>
      <c r="W128" s="27"/>
      <c r="X128" s="19">
        <f t="shared" si="11"/>
        <v>47.2</v>
      </c>
      <c r="Y128" s="13">
        <f t="shared" si="12"/>
        <v>67.4285714285714</v>
      </c>
    </row>
    <row r="129" ht="15.6" spans="1:25">
      <c r="A129" s="27">
        <v>311</v>
      </c>
      <c r="B129" s="27">
        <v>18</v>
      </c>
      <c r="C129" s="28" t="s">
        <v>532</v>
      </c>
      <c r="D129" s="28" t="s">
        <v>12</v>
      </c>
      <c r="E129" s="27">
        <v>2</v>
      </c>
      <c r="F129" s="29">
        <f>LOOKUP(E129,{0,-1.8,-0.8,0.2,1.2,2.2,3.2,4.6,6,7.4,8.8,10.2,11.6,13,14.4,15.8,17.2,19.1,21,22.8,24.6},{0,10,20,30,40,50,60,62,64,66,68,70,72,74,76,78,80,85,90,95,100})</f>
        <v>40</v>
      </c>
      <c r="G129" s="27">
        <v>245</v>
      </c>
      <c r="H129" s="29">
        <f>LOOKUP(G129,{0,180,185,190,195,200,205,209,213,217,221,225,229,233,237,241,245,253,260,265,270},{0,10,20,30,40,50,60,62,64,66,68,70,72,74,76,78,80,85,90,95,100})</f>
        <v>80</v>
      </c>
      <c r="I129" s="27">
        <v>18</v>
      </c>
      <c r="J129" s="29">
        <f>LOOKUP(I129,{0,4,5,6,7,8,9,10,11,12,13,14,15,16,17,18},{0,10,20,30,40,50,60,64,68,72,76,80,85,90,95,100})</f>
        <v>100</v>
      </c>
      <c r="K129" s="44"/>
      <c r="L129" s="35"/>
      <c r="M129" s="35">
        <f t="shared" si="7"/>
        <v>100</v>
      </c>
      <c r="N129" s="35">
        <v>7.5</v>
      </c>
      <c r="O129" s="36">
        <f t="shared" si="8"/>
        <v>10.5</v>
      </c>
      <c r="P129" s="29">
        <f>LOOKUP(O129,{0,7.8,8,8.2,8.4,8.6,8.8,9,9.2,9.4,9.6,9.8,10,10.2,10.4,10.6,10.8,10.9,11,11.1,11.2},{0,10,20,30,40,50,60,62,64,66,68,70,72,74,76,78,80,85,90,95,100})</f>
        <v>76</v>
      </c>
      <c r="Q129" s="5">
        <v>4.52</v>
      </c>
      <c r="R129" s="36">
        <f t="shared" si="9"/>
        <v>5.48</v>
      </c>
      <c r="S129" s="29">
        <f>LOOKUP(R129,{0,3.85,4.45,4.65,4.85,5.45,5.65,5.7,5.75,5.8,5.85,5.9,5.95,6,6.45,6.5,6.55,6.63,6.7,6.75,6.8},{0,10,20,30,40,50,60,62,64,66,68,70,72,74,76,78,80,85,90,95,100})</f>
        <v>50</v>
      </c>
      <c r="T129" s="27"/>
      <c r="U129" s="27"/>
      <c r="V129" s="27">
        <f t="shared" si="10"/>
        <v>50</v>
      </c>
      <c r="W129" s="27"/>
      <c r="X129" s="19">
        <f t="shared" si="11"/>
        <v>47.2</v>
      </c>
      <c r="Y129" s="13">
        <f t="shared" si="12"/>
        <v>67.4285714285714</v>
      </c>
    </row>
    <row r="130" ht="15.6" spans="1:25">
      <c r="A130" s="27">
        <v>312</v>
      </c>
      <c r="B130" s="27">
        <v>22</v>
      </c>
      <c r="C130" s="28" t="s">
        <v>596</v>
      </c>
      <c r="D130" s="28" t="s">
        <v>12</v>
      </c>
      <c r="E130" s="27">
        <v>13</v>
      </c>
      <c r="F130" s="29">
        <f>LOOKUP(E130,{0,-1.8,-0.8,0.2,1.2,2.2,3.2,4.6,6,7.4,8.8,10.2,11.6,13,14.4,15.8,17.2,19.1,21,22.8,24.6},{0,10,20,30,40,50,60,62,64,66,68,70,72,74,76,78,80,85,90,95,100})</f>
        <v>74</v>
      </c>
      <c r="G130" s="27">
        <v>235</v>
      </c>
      <c r="H130" s="29">
        <f>LOOKUP(G130,{0,180,185,190,195,200,205,209,213,217,221,225,229,233,237,241,245,253,260,265,270},{0,10,20,30,40,50,60,62,64,66,68,70,72,74,76,78,80,85,90,95,100})</f>
        <v>74</v>
      </c>
      <c r="I130" s="27">
        <v>12</v>
      </c>
      <c r="J130" s="29">
        <f>LOOKUP(I130,{0,4,5,6,7,8,9,10,11,12,13,14,15,16,17,18},{0,10,20,30,40,50,60,64,68,72,76,80,85,90,95,100})</f>
        <v>72</v>
      </c>
      <c r="K130" s="44"/>
      <c r="L130" s="35"/>
      <c r="M130" s="35">
        <f t="shared" ref="M130:M193" si="13">J130+L130</f>
        <v>72</v>
      </c>
      <c r="N130" s="35">
        <v>7.5</v>
      </c>
      <c r="O130" s="36">
        <f t="shared" ref="O130:O193" si="14">18-N130</f>
        <v>10.5</v>
      </c>
      <c r="P130" s="29">
        <f>LOOKUP(O130,{0,7.8,8,8.2,8.4,8.6,8.8,9,9.2,9.4,9.6,9.8,10,10.2,10.4,10.6,10.8,10.9,11,11.1,11.2},{0,10,20,30,40,50,60,62,64,66,68,70,72,74,76,78,80,85,90,95,100})</f>
        <v>76</v>
      </c>
      <c r="Q130" s="5">
        <v>4.48</v>
      </c>
      <c r="R130" s="36">
        <f t="shared" ref="R130:R193" si="15">10-Q130</f>
        <v>5.52</v>
      </c>
      <c r="S130" s="29">
        <f>LOOKUP(R130,{0,3.85,4.45,4.65,4.85,5.45,5.65,5.7,5.75,5.8,5.85,5.9,5.95,6,6.45,6.5,6.55,6.63,6.7,6.75,6.8},{0,10,20,30,40,50,60,62,64,66,68,70,72,74,76,78,80,85,90,95,100})</f>
        <v>50</v>
      </c>
      <c r="T130" s="27"/>
      <c r="U130" s="27"/>
      <c r="V130" s="27">
        <f t="shared" ref="V130:V193" si="16">S130+U130</f>
        <v>50</v>
      </c>
      <c r="W130" s="27"/>
      <c r="X130" s="19">
        <f t="shared" ref="X130:X193" si="17">F130*0.1+H130*0.1+J130*0.1+P130*0.2+S130*0.2</f>
        <v>47.2</v>
      </c>
      <c r="Y130" s="13">
        <f t="shared" ref="Y130:Y193" si="18">X130/0.7+L130+U130</f>
        <v>67.4285714285714</v>
      </c>
    </row>
    <row r="131" ht="15.6" spans="1:25">
      <c r="A131" s="27">
        <v>303</v>
      </c>
      <c r="B131" s="27">
        <v>12</v>
      </c>
      <c r="C131" s="31" t="s">
        <v>115</v>
      </c>
      <c r="D131" s="27" t="s">
        <v>12</v>
      </c>
      <c r="E131" s="27">
        <v>9.5</v>
      </c>
      <c r="F131" s="29">
        <f>LOOKUP(E131,{0,-1.8,-0.8,0.2,1.2,2.2,3.2,4.6,6,7.4,8.8,10.2,11.6,13,14.4,15.8,17.2,19.1,21,22.8,24.6},{0,10,20,30,40,50,60,62,64,66,68,70,72,74,76,78,80,85,90,95,100})</f>
        <v>68</v>
      </c>
      <c r="G131" s="27">
        <v>200</v>
      </c>
      <c r="H131" s="29">
        <f>LOOKUP(G131,{0,180,185,190,195,200,205,209,213,217,221,225,229,233,237,241,245,253,260,265,270},{0,10,20,30,40,50,60,62,64,66,68,70,72,74,76,78,80,85,90,95,100})</f>
        <v>50</v>
      </c>
      <c r="I131" s="27">
        <v>10</v>
      </c>
      <c r="J131" s="29">
        <f>LOOKUP(I131,{0,4,5,6,7,8,9,10,11,12,13,14,15,16,17,18},{0,10,20,30,40,50,60,64,68,72,76,80,85,90,95,100})</f>
        <v>64</v>
      </c>
      <c r="K131" s="44"/>
      <c r="L131" s="35"/>
      <c r="M131" s="35">
        <f t="shared" si="13"/>
        <v>64</v>
      </c>
      <c r="N131" s="35">
        <v>7.5</v>
      </c>
      <c r="O131" s="36">
        <f t="shared" si="14"/>
        <v>10.5</v>
      </c>
      <c r="P131" s="29">
        <f>LOOKUP(O131,{0,7.8,8,8.2,8.4,8.6,8.8,9,9.2,9.4,9.6,9.8,10,10.2,10.4,10.6,10.8,10.9,11,11.1,11.2},{0,10,20,30,40,50,60,62,64,66,68,70,72,74,76,78,80,85,90,95,100})</f>
        <v>76</v>
      </c>
      <c r="Q131" s="5">
        <v>4.13</v>
      </c>
      <c r="R131" s="36">
        <f t="shared" si="15"/>
        <v>5.87</v>
      </c>
      <c r="S131" s="29">
        <f>LOOKUP(R131,{0,3.85,4.45,4.65,4.85,5.45,5.65,5.7,5.75,5.8,5.85,5.9,5.95,6,6.45,6.5,6.55,6.63,6.7,6.75,6.8},{0,10,20,30,40,50,60,62,64,66,68,70,72,74,76,78,80,85,90,95,100})</f>
        <v>68</v>
      </c>
      <c r="T131" s="27"/>
      <c r="U131" s="27"/>
      <c r="V131" s="27">
        <f t="shared" si="16"/>
        <v>68</v>
      </c>
      <c r="W131" s="27"/>
      <c r="X131" s="19">
        <f t="shared" si="17"/>
        <v>47</v>
      </c>
      <c r="Y131" s="13">
        <f t="shared" si="18"/>
        <v>67.1428571428572</v>
      </c>
    </row>
    <row r="132" ht="15.6" spans="1:25">
      <c r="A132" s="27">
        <v>309</v>
      </c>
      <c r="B132" s="27">
        <v>11</v>
      </c>
      <c r="C132" s="30" t="s">
        <v>416</v>
      </c>
      <c r="D132" s="28" t="s">
        <v>12</v>
      </c>
      <c r="E132" s="27">
        <v>14.5</v>
      </c>
      <c r="F132" s="29">
        <f>LOOKUP(E132,{0,-1.8,-0.8,0.2,1.2,2.2,3.2,4.6,6,7.4,8.8,10.2,11.6,13,14.4,15.8,17.2,19.1,21,22.8,24.6},{0,10,20,30,40,50,60,62,64,66,68,70,72,74,76,78,80,85,90,95,100})</f>
        <v>76</v>
      </c>
      <c r="G132" s="27">
        <v>255</v>
      </c>
      <c r="H132" s="29">
        <f>LOOKUP(G132,{0,180,185,190,195,200,205,209,213,217,221,225,229,233,237,241,245,253,260,265,270},{0,10,20,30,40,50,60,62,64,66,68,70,72,74,76,78,80,85,90,95,100})</f>
        <v>85</v>
      </c>
      <c r="I132" s="27">
        <v>5</v>
      </c>
      <c r="J132" s="29">
        <f>LOOKUP(I132,{0,4,5,6,7,8,9,10,11,12,13,14,15,16,17,18},{0,10,20,30,40,50,60,64,68,72,76,80,85,90,95,100})</f>
        <v>20</v>
      </c>
      <c r="K132" s="44"/>
      <c r="L132" s="35"/>
      <c r="M132" s="35">
        <f t="shared" si="13"/>
        <v>20</v>
      </c>
      <c r="N132" s="35">
        <v>7.2</v>
      </c>
      <c r="O132" s="36">
        <f t="shared" si="14"/>
        <v>10.8</v>
      </c>
      <c r="P132" s="29">
        <f>LOOKUP(O132,{0,7.8,8,8.2,8.4,8.6,8.8,9,9.2,9.4,9.6,9.8,10,10.2,10.4,10.6,10.8,10.9,11,11.1,11.2},{0,10,20,30,40,50,60,62,64,66,68,70,72,74,76,78,80,85,90,95,100})</f>
        <v>80</v>
      </c>
      <c r="Q132" s="5">
        <v>4.25</v>
      </c>
      <c r="R132" s="36">
        <f t="shared" si="15"/>
        <v>5.75</v>
      </c>
      <c r="S132" s="29">
        <f>LOOKUP(R132,{0,3.85,4.45,4.65,4.85,5.45,5.65,5.7,5.75,5.8,5.85,5.9,5.95,6,6.45,6.5,6.55,6.63,6.7,6.75,6.8},{0,10,20,30,40,50,60,62,64,66,68,70,72,74,76,78,80,85,90,95,100})</f>
        <v>64</v>
      </c>
      <c r="T132" s="27"/>
      <c r="U132" s="27"/>
      <c r="V132" s="27">
        <f t="shared" si="16"/>
        <v>64</v>
      </c>
      <c r="W132" s="27"/>
      <c r="X132" s="19">
        <f t="shared" si="17"/>
        <v>46.9</v>
      </c>
      <c r="Y132" s="13">
        <f t="shared" si="18"/>
        <v>67</v>
      </c>
    </row>
    <row r="133" ht="15.6" spans="1:25">
      <c r="A133" s="27">
        <v>305</v>
      </c>
      <c r="B133" s="27">
        <v>39</v>
      </c>
      <c r="C133" s="28" t="s">
        <v>226</v>
      </c>
      <c r="D133" s="28" t="s">
        <v>12</v>
      </c>
      <c r="E133" s="27">
        <v>20.5</v>
      </c>
      <c r="F133" s="29">
        <f>LOOKUP(E133,{0,-1.8,-0.8,0.2,1.2,2.2,3.2,4.6,6,7.4,8.8,10.2,11.6,13,14.4,15.8,17.2,19.1,21,22.8,24.6},{0,10,20,30,40,50,60,62,64,66,68,70,72,74,76,78,80,85,90,95,100})</f>
        <v>85</v>
      </c>
      <c r="G133" s="27">
        <v>230</v>
      </c>
      <c r="H133" s="29">
        <f>LOOKUP(G133,{0,180,185,190,195,200,205,209,213,217,221,225,229,233,237,241,245,253,260,265,270},{0,10,20,30,40,50,60,62,64,66,68,70,72,74,76,78,80,85,90,95,100})</f>
        <v>72</v>
      </c>
      <c r="I133" s="27">
        <v>9</v>
      </c>
      <c r="J133" s="29">
        <f>LOOKUP(I133,{0,4,5,6,7,8,9,10,11,12,13,14,15,16,17,18},{0,10,20,30,40,50,60,64,68,72,76,80,85,90,95,100})</f>
        <v>60</v>
      </c>
      <c r="K133" s="44"/>
      <c r="L133" s="35"/>
      <c r="M133" s="35">
        <f t="shared" si="13"/>
        <v>60</v>
      </c>
      <c r="N133" s="35">
        <v>7.5</v>
      </c>
      <c r="O133" s="36">
        <f t="shared" si="14"/>
        <v>10.5</v>
      </c>
      <c r="P133" s="29">
        <f>LOOKUP(O133,{0,7.8,8,8.2,8.4,8.6,8.8,9,9.2,9.4,9.6,9.8,10,10.2,10.4,10.6,10.8,10.9,11,11.1,11.2},{0,10,20,30,40,50,60,62,64,66,68,70,72,74,76,78,80,85,90,95,100})</f>
        <v>76</v>
      </c>
      <c r="Q133" s="5">
        <v>4.37</v>
      </c>
      <c r="R133" s="36">
        <f t="shared" si="15"/>
        <v>5.63</v>
      </c>
      <c r="S133" s="29">
        <f>LOOKUP(R133,{0,3.85,4.45,4.65,4.85,5.45,5.65,5.7,5.75,5.8,5.85,5.9,5.95,6,6.45,6.5,6.55,6.63,6.7,6.75,6.8},{0,10,20,30,40,50,60,62,64,66,68,70,72,74,76,78,80,85,90,95,100})</f>
        <v>50</v>
      </c>
      <c r="T133" s="27"/>
      <c r="U133" s="27"/>
      <c r="V133" s="27">
        <f t="shared" si="16"/>
        <v>50</v>
      </c>
      <c r="W133" s="27"/>
      <c r="X133" s="19">
        <f t="shared" si="17"/>
        <v>46.9</v>
      </c>
      <c r="Y133" s="13">
        <f t="shared" si="18"/>
        <v>67</v>
      </c>
    </row>
    <row r="134" ht="15.6" spans="1:25">
      <c r="A134" s="27">
        <v>314</v>
      </c>
      <c r="B134" s="27">
        <v>5</v>
      </c>
      <c r="C134" s="28" t="s">
        <v>685</v>
      </c>
      <c r="D134" s="28" t="s">
        <v>12</v>
      </c>
      <c r="E134" s="27">
        <v>12</v>
      </c>
      <c r="F134" s="29">
        <f>LOOKUP(E134,{0,-1.8,-0.8,0.2,1.2,2.2,3.2,4.6,6,7.4,8.8,10.2,11.6,13,14.4,15.8,17.2,19.1,21,22.8,24.6},{0,10,20,30,40,50,60,62,64,66,68,70,72,74,76,78,80,85,90,95,100})</f>
        <v>72</v>
      </c>
      <c r="G134" s="27">
        <v>235</v>
      </c>
      <c r="H134" s="29">
        <f>LOOKUP(G134,{0,180,185,190,195,200,205,209,213,217,221,225,229,233,237,241,245,253,260,265,270},{0,10,20,30,40,50,60,62,64,66,68,70,72,74,76,78,80,85,90,95,100})</f>
        <v>74</v>
      </c>
      <c r="I134" s="27">
        <v>12</v>
      </c>
      <c r="J134" s="29">
        <f>LOOKUP(I134,{0,4,5,6,7,8,9,10,11,12,13,14,15,16,17,18},{0,10,20,30,40,50,60,64,68,72,76,80,85,90,95,100})</f>
        <v>72</v>
      </c>
      <c r="K134" s="44"/>
      <c r="L134" s="35"/>
      <c r="M134" s="35">
        <f t="shared" si="13"/>
        <v>72</v>
      </c>
      <c r="N134" s="35">
        <v>6.9</v>
      </c>
      <c r="O134" s="36">
        <f t="shared" si="14"/>
        <v>11.1</v>
      </c>
      <c r="P134" s="29">
        <f>LOOKUP(O134,{0,7.8,8,8.2,8.4,8.6,8.8,9,9.2,9.4,9.6,9.8,10,10.2,10.4,10.6,10.8,10.9,11,11.1,11.2},{0,10,20,30,40,50,60,62,64,66,68,70,72,74,76,78,80,85,90,95,100})</f>
        <v>95</v>
      </c>
      <c r="Q134" s="5">
        <v>5.2</v>
      </c>
      <c r="R134" s="36">
        <f t="shared" si="15"/>
        <v>4.8</v>
      </c>
      <c r="S134" s="29">
        <f>LOOKUP(R134,{0,3.85,4.45,4.65,4.85,5.45,5.65,5.7,5.75,5.8,5.85,5.9,5.95,6,6.45,6.5,6.55,6.63,6.7,6.75,6.8},{0,10,20,30,40,50,60,62,64,66,68,70,72,74,76,78,80,85,90,95,100})</f>
        <v>30</v>
      </c>
      <c r="T134" s="27"/>
      <c r="U134" s="27"/>
      <c r="V134" s="27">
        <f t="shared" si="16"/>
        <v>30</v>
      </c>
      <c r="W134" s="27"/>
      <c r="X134" s="19">
        <f t="shared" si="17"/>
        <v>46.8</v>
      </c>
      <c r="Y134" s="13">
        <f t="shared" si="18"/>
        <v>66.8571428571429</v>
      </c>
    </row>
    <row r="135" ht="15.6" spans="1:25">
      <c r="A135" s="27">
        <v>315</v>
      </c>
      <c r="B135" s="27">
        <v>9</v>
      </c>
      <c r="C135" s="28" t="s">
        <v>742</v>
      </c>
      <c r="D135" s="28" t="s">
        <v>12</v>
      </c>
      <c r="E135" s="27">
        <v>9.6</v>
      </c>
      <c r="F135" s="29">
        <f>LOOKUP(E135,{0,-1.8,-0.8,0.2,1.2,2.2,3.2,4.6,6,7.4,8.8,10.2,11.6,13,14.4,15.8,17.2,19.1,21,22.8,24.6},{0,10,20,30,40,50,60,62,64,66,68,70,72,74,76,78,80,85,90,95,100})</f>
        <v>68</v>
      </c>
      <c r="G135" s="27">
        <v>260</v>
      </c>
      <c r="H135" s="29">
        <f>LOOKUP(G135,{0,180,185,190,195,200,205,209,213,217,221,225,229,233,237,241,245,253,260,265,270},{0,10,20,30,40,50,60,62,64,66,68,70,72,74,76,78,80,85,90,95,100})</f>
        <v>90</v>
      </c>
      <c r="I135" s="27">
        <v>8</v>
      </c>
      <c r="J135" s="29">
        <f>LOOKUP(I135,{0,4,5,6,7,8,9,10,11,12,13,14,15,16,17,18},{0,10,20,30,40,50,60,64,68,72,76,80,85,90,95,100})</f>
        <v>50</v>
      </c>
      <c r="K135" s="44"/>
      <c r="L135" s="35"/>
      <c r="M135" s="35">
        <f t="shared" si="13"/>
        <v>50</v>
      </c>
      <c r="N135" s="35">
        <v>7</v>
      </c>
      <c r="O135" s="36">
        <f t="shared" si="14"/>
        <v>11</v>
      </c>
      <c r="P135" s="29">
        <f>LOOKUP(O135,{0,7.8,8,8.2,8.4,8.6,8.8,9,9.2,9.4,9.6,9.8,10,10.2,10.4,10.6,10.8,10.9,11,11.1,11.2},{0,10,20,30,40,50,60,62,64,66,68,70,72,74,76,78,80,85,90,95,100})</f>
        <v>90</v>
      </c>
      <c r="Q135" s="5">
        <v>5.07</v>
      </c>
      <c r="R135" s="36">
        <f t="shared" si="15"/>
        <v>4.93</v>
      </c>
      <c r="S135" s="29">
        <f>LOOKUP(R135,{0,3.85,4.45,4.65,4.85,5.45,5.65,5.7,5.75,5.8,5.85,5.9,5.95,6,6.45,6.5,6.55,6.63,6.7,6.75,6.8},{0,10,20,30,40,50,60,62,64,66,68,70,72,74,76,78,80,85,90,95,100})</f>
        <v>40</v>
      </c>
      <c r="T135" s="27"/>
      <c r="U135" s="27"/>
      <c r="V135" s="27">
        <f t="shared" si="16"/>
        <v>40</v>
      </c>
      <c r="W135" s="27"/>
      <c r="X135" s="19">
        <f t="shared" si="17"/>
        <v>46.8</v>
      </c>
      <c r="Y135" s="13">
        <f t="shared" si="18"/>
        <v>66.8571428571429</v>
      </c>
    </row>
    <row r="136" ht="15.6" spans="1:25">
      <c r="A136" s="27">
        <v>312</v>
      </c>
      <c r="B136" s="27">
        <v>4</v>
      </c>
      <c r="C136" s="28" t="s">
        <v>577</v>
      </c>
      <c r="D136" s="28" t="s">
        <v>12</v>
      </c>
      <c r="E136" s="27">
        <v>10.8</v>
      </c>
      <c r="F136" s="29">
        <f>LOOKUP(E136,{0,-1.8,-0.8,0.2,1.2,2.2,3.2,4.6,6,7.4,8.8,10.2,11.6,13,14.4,15.8,17.2,19.1,21,22.8,24.6},{0,10,20,30,40,50,60,62,64,66,68,70,72,74,76,78,80,85,90,95,100})</f>
        <v>70</v>
      </c>
      <c r="G136" s="27">
        <v>225</v>
      </c>
      <c r="H136" s="29">
        <f>LOOKUP(G136,{0,180,185,190,195,200,205,209,213,217,221,225,229,233,237,241,245,253,260,265,270},{0,10,20,30,40,50,60,62,64,66,68,70,72,74,76,78,80,85,90,95,100})</f>
        <v>70</v>
      </c>
      <c r="I136" s="27">
        <v>19</v>
      </c>
      <c r="J136" s="29">
        <f>LOOKUP(I136,{0,4,5,6,7,8,9,10,11,12,13,14,15,16,17,18},{0,10,20,30,40,50,60,64,68,72,76,80,85,90,95,100})</f>
        <v>100</v>
      </c>
      <c r="K136" s="44">
        <f>I136-18</f>
        <v>1</v>
      </c>
      <c r="L136" s="29">
        <f>LOOKUP(K136,{0,1,2,3,4,5,6,7,8,9,10},{0,1,2,3,4,5,6,7,8,9,10})</f>
        <v>1</v>
      </c>
      <c r="M136" s="35">
        <f t="shared" si="13"/>
        <v>101</v>
      </c>
      <c r="N136" s="35">
        <v>8.1</v>
      </c>
      <c r="O136" s="36">
        <f t="shared" si="14"/>
        <v>9.9</v>
      </c>
      <c r="P136" s="29">
        <f>LOOKUP(O136,{0,7.8,8,8.2,8.4,8.6,8.8,9,9.2,9.4,9.6,9.8,10,10.2,10.4,10.6,10.8,10.9,11,11.1,11.2},{0,10,20,30,40,50,60,62,64,66,68,70,72,74,76,78,80,85,90,95,100})</f>
        <v>70</v>
      </c>
      <c r="Q136" s="5">
        <v>5.05</v>
      </c>
      <c r="R136" s="36">
        <f t="shared" si="15"/>
        <v>4.95</v>
      </c>
      <c r="S136" s="29">
        <f>LOOKUP(R136,{0,3.85,4.45,4.65,4.85,5.45,5.65,5.7,5.75,5.8,5.85,5.9,5.95,6,6.45,6.5,6.55,6.63,6.7,6.75,6.8},{0,10,20,30,40,50,60,62,64,66,68,70,72,74,76,78,80,85,90,95,100})</f>
        <v>40</v>
      </c>
      <c r="T136" s="27"/>
      <c r="U136" s="27"/>
      <c r="V136" s="27">
        <f t="shared" si="16"/>
        <v>40</v>
      </c>
      <c r="W136" s="27"/>
      <c r="X136" s="19">
        <f t="shared" si="17"/>
        <v>46</v>
      </c>
      <c r="Y136" s="13">
        <f t="shared" si="18"/>
        <v>66.7142857142857</v>
      </c>
    </row>
    <row r="137" ht="15.6" spans="1:25">
      <c r="A137" s="27">
        <v>302</v>
      </c>
      <c r="B137" s="27">
        <v>24</v>
      </c>
      <c r="C137" s="27" t="s">
        <v>84</v>
      </c>
      <c r="D137" s="27" t="s">
        <v>12</v>
      </c>
      <c r="E137" s="27">
        <v>7</v>
      </c>
      <c r="F137" s="29">
        <f>LOOKUP(E137,{0,-1.8,-0.8,0.2,1.2,2.2,3.2,4.6,6,7.4,8.8,10.2,11.6,13,14.4,15.8,17.2,19.1,21,22.8,24.6},{0,10,20,30,40,50,60,62,64,66,68,70,72,74,76,78,80,85,90,95,100})</f>
        <v>64</v>
      </c>
      <c r="G137" s="27">
        <v>217</v>
      </c>
      <c r="H137" s="29">
        <f>LOOKUP(G137,{0,180,185,190,195,200,205,209,213,217,221,225,229,233,237,241,245,253,260,265,270},{0,10,20,30,40,50,60,62,64,66,68,70,72,74,76,78,80,85,90,95,100})</f>
        <v>66</v>
      </c>
      <c r="I137" s="27">
        <v>9</v>
      </c>
      <c r="J137" s="29">
        <f>LOOKUP(I137,{0,4,5,6,7,8,9,10,11,12,13,14,15,16,17,18},{0,10,20,30,40,50,60,64,68,72,76,80,85,90,95,100})</f>
        <v>60</v>
      </c>
      <c r="K137" s="44"/>
      <c r="L137" s="35"/>
      <c r="M137" s="35">
        <f t="shared" si="13"/>
        <v>60</v>
      </c>
      <c r="N137" s="35">
        <v>7.4</v>
      </c>
      <c r="O137" s="36">
        <f t="shared" si="14"/>
        <v>10.6</v>
      </c>
      <c r="P137" s="29">
        <f>LOOKUP(O137,{0,7.8,8,8.2,8.4,8.6,8.8,9,9.2,9.4,9.6,9.8,10,10.2,10.4,10.6,10.8,10.9,11,11.1,11.2},{0,10,20,30,40,50,60,62,64,66,68,70,72,74,76,78,80,85,90,95,100})</f>
        <v>78</v>
      </c>
      <c r="Q137" s="5">
        <v>4.35</v>
      </c>
      <c r="R137" s="36">
        <f t="shared" si="15"/>
        <v>5.65</v>
      </c>
      <c r="S137" s="29">
        <f>LOOKUP(R137,{0,3.85,4.45,4.65,4.85,5.45,5.65,5.7,5.75,5.8,5.85,5.9,5.95,6,6.45,6.5,6.55,6.63,6.7,6.75,6.8},{0,10,20,30,40,50,60,62,64,66,68,70,72,74,76,78,80,85,90,95,100})</f>
        <v>60</v>
      </c>
      <c r="T137" s="27"/>
      <c r="U137" s="27"/>
      <c r="V137" s="27">
        <f t="shared" si="16"/>
        <v>60</v>
      </c>
      <c r="W137" s="27"/>
      <c r="X137" s="19">
        <f t="shared" si="17"/>
        <v>46.6</v>
      </c>
      <c r="Y137" s="13">
        <f t="shared" si="18"/>
        <v>66.5714285714286</v>
      </c>
    </row>
    <row r="138" ht="15.6" spans="1:25">
      <c r="A138" s="27">
        <v>312</v>
      </c>
      <c r="B138" s="27">
        <v>20</v>
      </c>
      <c r="C138" s="28" t="s">
        <v>594</v>
      </c>
      <c r="D138" s="28" t="s">
        <v>12</v>
      </c>
      <c r="E138" s="27">
        <v>27.5</v>
      </c>
      <c r="F138" s="29">
        <f>LOOKUP(E138,{0,-1.8,-0.8,0.2,1.2,2.2,3.2,4.6,6,7.4,8.8,10.2,11.6,13,14.4,15.8,17.2,19.1,21,22.8,24.6},{0,10,20,30,40,50,60,62,64,66,68,70,72,74,76,78,80,85,90,95,100})</f>
        <v>100</v>
      </c>
      <c r="G138" s="27">
        <v>240</v>
      </c>
      <c r="H138" s="29">
        <f>LOOKUP(G138,{0,180,185,190,195,200,205,209,213,217,221,225,229,233,237,241,245,253,260,265,270},{0,10,20,30,40,50,60,62,64,66,68,70,72,74,76,78,80,85,90,95,100})</f>
        <v>76</v>
      </c>
      <c r="I138" s="27">
        <v>3</v>
      </c>
      <c r="J138" s="29">
        <f>LOOKUP(I138,{0,4,5,6,7,8,9,10,11,12,13,14,15,16,17,18},{0,10,20,30,40,50,60,64,68,72,76,80,85,90,95,100})</f>
        <v>0</v>
      </c>
      <c r="K138" s="44"/>
      <c r="L138" s="35"/>
      <c r="M138" s="35">
        <f t="shared" si="13"/>
        <v>0</v>
      </c>
      <c r="N138" s="35">
        <v>6.9</v>
      </c>
      <c r="O138" s="36">
        <f t="shared" si="14"/>
        <v>11.1</v>
      </c>
      <c r="P138" s="29">
        <f>LOOKUP(O138,{0,7.8,8,8.2,8.4,8.6,8.8,9,9.2,9.4,9.6,9.8,10,10.2,10.4,10.6,10.8,10.9,11,11.1,11.2},{0,10,20,30,40,50,60,62,64,66,68,70,72,74,76,78,80,85,90,95,100})</f>
        <v>95</v>
      </c>
      <c r="Q138" s="5">
        <v>4.47</v>
      </c>
      <c r="R138" s="36">
        <f t="shared" si="15"/>
        <v>5.53</v>
      </c>
      <c r="S138" s="29">
        <f>LOOKUP(R138,{0,3.85,4.45,4.65,4.85,5.45,5.65,5.7,5.75,5.8,5.85,5.9,5.95,6,6.45,6.5,6.55,6.63,6.7,6.75,6.8},{0,10,20,30,40,50,60,62,64,66,68,70,72,74,76,78,80,85,90,95,100})</f>
        <v>50</v>
      </c>
      <c r="T138" s="27"/>
      <c r="U138" s="27"/>
      <c r="V138" s="27">
        <f t="shared" si="16"/>
        <v>50</v>
      </c>
      <c r="W138" s="27"/>
      <c r="X138" s="19">
        <f t="shared" si="17"/>
        <v>46.6</v>
      </c>
      <c r="Y138" s="13">
        <f t="shared" si="18"/>
        <v>66.5714285714286</v>
      </c>
    </row>
    <row r="139" ht="15.6" spans="1:25">
      <c r="A139" s="27">
        <v>315</v>
      </c>
      <c r="B139" s="27">
        <v>7</v>
      </c>
      <c r="C139" s="28" t="s">
        <v>740</v>
      </c>
      <c r="D139" s="28" t="s">
        <v>12</v>
      </c>
      <c r="E139" s="27">
        <v>10.5</v>
      </c>
      <c r="F139" s="29">
        <f>LOOKUP(E139,{0,-1.8,-0.8,0.2,1.2,2.2,3.2,4.6,6,7.4,8.8,10.2,11.6,13,14.4,15.8,17.2,19.1,21,22.8,24.6},{0,10,20,30,40,50,60,62,64,66,68,70,72,74,76,78,80,85,90,95,100})</f>
        <v>70</v>
      </c>
      <c r="G139" s="27">
        <v>205</v>
      </c>
      <c r="H139" s="29">
        <f>LOOKUP(G139,{0,180,185,190,195,200,205,209,213,217,221,225,229,233,237,241,245,253,260,265,270},{0,10,20,30,40,50,60,62,64,66,68,70,72,74,76,78,80,85,90,95,100})</f>
        <v>60</v>
      </c>
      <c r="I139" s="27">
        <v>18</v>
      </c>
      <c r="J139" s="29">
        <f>LOOKUP(I139,{0,4,5,6,7,8,9,10,11,12,13,14,15,16,17,18},{0,10,20,30,40,50,60,64,68,72,76,80,85,90,95,100})</f>
        <v>100</v>
      </c>
      <c r="K139" s="44"/>
      <c r="L139" s="35"/>
      <c r="M139" s="35">
        <f t="shared" si="13"/>
        <v>100</v>
      </c>
      <c r="N139" s="35">
        <v>7.4</v>
      </c>
      <c r="O139" s="36">
        <f t="shared" si="14"/>
        <v>10.6</v>
      </c>
      <c r="P139" s="29">
        <f>LOOKUP(O139,{0,7.8,8,8.2,8.4,8.6,8.8,9,9.2,9.4,9.6,9.8,10,10.2,10.4,10.6,10.8,10.9,11,11.1,11.2},{0,10,20,30,40,50,60,62,64,66,68,70,72,74,76,78,80,85,90,95,100})</f>
        <v>78</v>
      </c>
      <c r="Q139" s="5">
        <v>5.07</v>
      </c>
      <c r="R139" s="36">
        <f t="shared" si="15"/>
        <v>4.93</v>
      </c>
      <c r="S139" s="29">
        <f>LOOKUP(R139,{0,3.85,4.45,4.65,4.85,5.45,5.65,5.7,5.75,5.8,5.85,5.9,5.95,6,6.45,6.5,6.55,6.63,6.7,6.75,6.8},{0,10,20,30,40,50,60,62,64,66,68,70,72,74,76,78,80,85,90,95,100})</f>
        <v>40</v>
      </c>
      <c r="T139" s="27"/>
      <c r="U139" s="27"/>
      <c r="V139" s="27">
        <f t="shared" si="16"/>
        <v>40</v>
      </c>
      <c r="W139" s="27"/>
      <c r="X139" s="19">
        <f t="shared" si="17"/>
        <v>46.6</v>
      </c>
      <c r="Y139" s="13">
        <f t="shared" si="18"/>
        <v>66.5714285714286</v>
      </c>
    </row>
    <row r="140" ht="15.6" spans="1:25">
      <c r="A140" s="27">
        <v>301</v>
      </c>
      <c r="B140" s="27">
        <v>22</v>
      </c>
      <c r="C140" s="27" t="s">
        <v>34</v>
      </c>
      <c r="D140" s="27" t="s">
        <v>12</v>
      </c>
      <c r="E140" s="27">
        <v>21</v>
      </c>
      <c r="F140" s="29">
        <f>LOOKUP(E140,{0,-1.8,-0.8,0.2,1.2,2.2,3.2,4.6,6,7.4,8.8,10.2,11.6,13,14.4,15.8,17.2,19.1,21,22.8,24.6},{0,10,20,30,40,50,60,62,64,66,68,70,72,74,76,78,80,85,90,95,100})</f>
        <v>90</v>
      </c>
      <c r="G140" s="27">
        <v>220</v>
      </c>
      <c r="H140" s="29">
        <f>LOOKUP(G140,{0,180,185,190,195,200,205,209,213,217,221,225,229,233,237,241,245,253,260,265,270},{0,10,20,30,40,50,60,62,64,66,68,70,72,74,76,78,80,85,90,95,100})</f>
        <v>66</v>
      </c>
      <c r="I140" s="27">
        <v>5</v>
      </c>
      <c r="J140" s="29">
        <f>LOOKUP(I140,{0,4,5,6,7,8,9,10,11,12,13,14,15,16,17,18},{0,10,20,30,40,50,60,64,68,72,76,80,85,90,95,100})</f>
        <v>20</v>
      </c>
      <c r="K140" s="44"/>
      <c r="L140" s="35"/>
      <c r="M140" s="35">
        <f t="shared" si="13"/>
        <v>20</v>
      </c>
      <c r="N140" s="35">
        <v>7.7</v>
      </c>
      <c r="O140" s="36">
        <f t="shared" si="14"/>
        <v>10.3</v>
      </c>
      <c r="P140" s="29">
        <f>LOOKUP(O140,{0,7.8,8,8.2,8.4,8.6,8.8,9,9.2,9.4,9.6,9.8,10,10.2,10.4,10.6,10.8,10.9,11,11.1,11.2},{0,10,20,30,40,50,60,62,64,66,68,70,72,74,76,78,80,85,90,95,100})</f>
        <v>74</v>
      </c>
      <c r="Q140" s="5">
        <v>4.09</v>
      </c>
      <c r="R140" s="36">
        <f t="shared" si="15"/>
        <v>5.91</v>
      </c>
      <c r="S140" s="29">
        <f>LOOKUP(R140,{0,3.85,4.45,4.65,4.85,5.45,5.65,5.7,5.75,5.8,5.85,5.9,5.95,6,6.45,6.5,6.55,6.63,6.7,6.75,6.8},{0,10,20,30,40,50,60,62,64,66,68,70,72,74,76,78,80,85,90,95,100})</f>
        <v>70</v>
      </c>
      <c r="T140" s="27"/>
      <c r="U140" s="27"/>
      <c r="V140" s="27">
        <f t="shared" si="16"/>
        <v>70</v>
      </c>
      <c r="W140" s="27"/>
      <c r="X140" s="19">
        <f t="shared" si="17"/>
        <v>46.4</v>
      </c>
      <c r="Y140" s="13">
        <f t="shared" si="18"/>
        <v>66.2857142857143</v>
      </c>
    </row>
    <row r="141" ht="15.6" spans="1:25">
      <c r="A141" s="27">
        <v>307</v>
      </c>
      <c r="B141" s="27">
        <v>7</v>
      </c>
      <c r="C141" s="28" t="s">
        <v>305</v>
      </c>
      <c r="D141" s="28" t="s">
        <v>12</v>
      </c>
      <c r="E141" s="27">
        <v>2</v>
      </c>
      <c r="F141" s="29">
        <f>LOOKUP(E141,{0,-1.8,-0.8,0.2,1.2,2.2,3.2,4.6,6,7.4,8.8,10.2,11.6,13,14.4,15.8,17.2,19.1,21,22.8,24.6},{0,10,20,30,40,50,60,62,64,66,68,70,72,74,76,78,80,85,90,95,100})</f>
        <v>40</v>
      </c>
      <c r="G141" s="27">
        <v>240</v>
      </c>
      <c r="H141" s="29">
        <f>LOOKUP(G141,{0,180,185,190,195,200,205,209,213,217,221,225,229,233,237,241,245,253,260,265,270},{0,10,20,30,40,50,60,62,64,66,68,70,72,74,76,78,80,85,90,95,100})</f>
        <v>76</v>
      </c>
      <c r="I141" s="27">
        <v>4</v>
      </c>
      <c r="J141" s="29">
        <f>LOOKUP(I141,{0,4,5,6,7,8,9,10,11,12,13,14,15,16,17,18},{0,10,20,30,40,50,60,64,68,72,76,80,85,90,95,100})</f>
        <v>10</v>
      </c>
      <c r="K141" s="44"/>
      <c r="L141" s="35"/>
      <c r="M141" s="35">
        <f t="shared" si="13"/>
        <v>10</v>
      </c>
      <c r="N141" s="35">
        <v>6.9</v>
      </c>
      <c r="O141" s="36">
        <f t="shared" si="14"/>
        <v>11.1</v>
      </c>
      <c r="P141" s="29">
        <f>LOOKUP(O141,{0,7.8,8,8.2,8.4,8.6,8.8,9,9.2,9.4,9.6,9.8,10,10.2,10.4,10.6,10.8,10.9,11,11.1,11.2},{0,10,20,30,40,50,60,62,64,66,68,70,72,74,76,78,80,85,90,95,100})</f>
        <v>95</v>
      </c>
      <c r="Q141" s="5">
        <v>3.56</v>
      </c>
      <c r="R141" s="36">
        <f t="shared" si="15"/>
        <v>6.44</v>
      </c>
      <c r="S141" s="29">
        <f>LOOKUP(R141,{0,3.85,4.45,4.65,4.85,5.45,5.65,5.7,5.75,5.8,5.85,5.9,5.95,6,6.45,6.5,6.55,6.63,6.7,6.75,6.8},{0,10,20,30,40,50,60,62,64,66,68,70,72,74,76,78,80,85,90,95,100})</f>
        <v>74</v>
      </c>
      <c r="T141" s="27"/>
      <c r="U141" s="27"/>
      <c r="V141" s="27">
        <f t="shared" si="16"/>
        <v>74</v>
      </c>
      <c r="W141" s="27"/>
      <c r="X141" s="19">
        <f t="shared" si="17"/>
        <v>46.4</v>
      </c>
      <c r="Y141" s="13">
        <f t="shared" si="18"/>
        <v>66.2857142857143</v>
      </c>
    </row>
    <row r="142" ht="15.6" spans="1:25">
      <c r="A142" s="27">
        <v>305</v>
      </c>
      <c r="B142" s="27">
        <v>9</v>
      </c>
      <c r="C142" s="28" t="s">
        <v>193</v>
      </c>
      <c r="D142" s="28" t="s">
        <v>12</v>
      </c>
      <c r="E142" s="27">
        <v>20</v>
      </c>
      <c r="F142" s="29">
        <f>LOOKUP(E142,{0,-1.8,-0.8,0.2,1.2,2.2,3.2,4.6,6,7.4,8.8,10.2,11.6,13,14.4,15.8,17.2,19.1,21,22.8,24.6},{0,10,20,30,40,50,60,62,64,66,68,70,72,74,76,78,80,85,90,95,100})</f>
        <v>85</v>
      </c>
      <c r="G142" s="27">
        <v>240</v>
      </c>
      <c r="H142" s="29">
        <f>LOOKUP(G142,{0,180,185,190,195,200,205,209,213,217,221,225,229,233,237,241,245,253,260,265,270},{0,10,20,30,40,50,60,62,64,66,68,70,72,74,76,78,80,85,90,95,100})</f>
        <v>76</v>
      </c>
      <c r="I142" s="27">
        <v>3</v>
      </c>
      <c r="J142" s="29">
        <f>LOOKUP(I142,{0,4,5,6,7,8,9,10,11,12,13,14,15,16,17,18},{0,10,20,30,40,50,60,64,68,72,76,80,85,90,95,100})</f>
        <v>0</v>
      </c>
      <c r="K142" s="44"/>
      <c r="L142" s="35"/>
      <c r="M142" s="35">
        <f t="shared" si="13"/>
        <v>0</v>
      </c>
      <c r="N142" s="35">
        <v>7.1</v>
      </c>
      <c r="O142" s="36">
        <f t="shared" si="14"/>
        <v>10.9</v>
      </c>
      <c r="P142" s="29">
        <f>LOOKUP(O142,{0,7.8,8,8.2,8.4,8.6,8.8,9,9.2,9.4,9.6,9.8,10,10.2,10.4,10.6,10.8,10.9,11,11.1,11.2},{0,10,20,30,40,50,60,62,64,66,68,70,72,74,76,78,80,85,90,95,100})</f>
        <v>85</v>
      </c>
      <c r="Q142" s="5">
        <v>4.2</v>
      </c>
      <c r="R142" s="36">
        <f t="shared" si="15"/>
        <v>5.8</v>
      </c>
      <c r="S142" s="29">
        <f>LOOKUP(R142,{0,3.85,4.45,4.65,4.85,5.45,5.65,5.7,5.75,5.8,5.85,5.9,5.95,6,6.45,6.5,6.55,6.63,6.7,6.75,6.8},{0,10,20,30,40,50,60,62,64,66,68,70,72,74,76,78,80,85,90,95,100})</f>
        <v>66</v>
      </c>
      <c r="T142" s="27"/>
      <c r="U142" s="27"/>
      <c r="V142" s="27">
        <f t="shared" si="16"/>
        <v>66</v>
      </c>
      <c r="W142" s="27"/>
      <c r="X142" s="19">
        <f t="shared" si="17"/>
        <v>46.3</v>
      </c>
      <c r="Y142" s="13">
        <f t="shared" si="18"/>
        <v>66.1428571428572</v>
      </c>
    </row>
    <row r="143" ht="15.6" spans="1:25">
      <c r="A143" s="27">
        <v>302</v>
      </c>
      <c r="B143" s="27">
        <v>4</v>
      </c>
      <c r="C143" s="27" t="s">
        <v>61</v>
      </c>
      <c r="D143" s="27" t="s">
        <v>12</v>
      </c>
      <c r="E143" s="27">
        <v>6.5</v>
      </c>
      <c r="F143" s="29">
        <f>LOOKUP(E143,{0,-1.8,-0.8,0.2,1.2,2.2,3.2,4.6,6,7.4,8.8,10.2,11.6,13,14.4,15.8,17.2,19.1,21,22.8,24.6},{0,10,20,30,40,50,60,62,64,66,68,70,72,74,76,78,80,85,90,95,100})</f>
        <v>64</v>
      </c>
      <c r="G143" s="27">
        <v>260</v>
      </c>
      <c r="H143" s="29">
        <f>LOOKUP(G143,{0,180,185,190,195,200,205,209,213,217,221,225,229,233,237,241,245,253,260,265,270},{0,10,20,30,40,50,60,62,64,66,68,70,72,74,76,78,80,85,90,95,100})</f>
        <v>90</v>
      </c>
      <c r="I143" s="27">
        <v>5</v>
      </c>
      <c r="J143" s="29">
        <f>LOOKUP(I143,{0,4,5,6,7,8,9,10,11,12,13,14,15,16,17,18},{0,10,20,30,40,50,60,64,68,72,76,80,85,90,95,100})</f>
        <v>20</v>
      </c>
      <c r="K143" s="44"/>
      <c r="L143" s="35"/>
      <c r="M143" s="35">
        <f t="shared" si="13"/>
        <v>20</v>
      </c>
      <c r="N143" s="35">
        <v>7.2</v>
      </c>
      <c r="O143" s="36">
        <f t="shared" si="14"/>
        <v>10.8</v>
      </c>
      <c r="P143" s="29">
        <f>LOOKUP(O143,{0,7.8,8,8.2,8.4,8.6,8.8,9,9.2,9.4,9.6,9.8,10,10.2,10.4,10.6,10.8,10.9,11,11.1,11.2},{0,10,20,30,40,50,60,62,64,66,68,70,72,74,76,78,80,85,90,95,100})</f>
        <v>80</v>
      </c>
      <c r="Q143" s="5">
        <v>4.21</v>
      </c>
      <c r="R143" s="36">
        <f t="shared" si="15"/>
        <v>5.79</v>
      </c>
      <c r="S143" s="29">
        <f>LOOKUP(R143,{0,3.85,4.45,4.65,4.85,5.45,5.65,5.7,5.75,5.8,5.85,5.9,5.95,6,6.45,6.5,6.55,6.63,6.7,6.75,6.8},{0,10,20,30,40,50,60,62,64,66,68,70,72,74,76,78,80,85,90,95,100})</f>
        <v>64</v>
      </c>
      <c r="T143" s="27"/>
      <c r="U143" s="27"/>
      <c r="V143" s="27">
        <f t="shared" si="16"/>
        <v>64</v>
      </c>
      <c r="W143" s="27"/>
      <c r="X143" s="19">
        <f t="shared" si="17"/>
        <v>46.2</v>
      </c>
      <c r="Y143" s="13">
        <f t="shared" si="18"/>
        <v>66</v>
      </c>
    </row>
    <row r="144" ht="15.6" spans="1:25">
      <c r="A144" s="27">
        <v>305</v>
      </c>
      <c r="B144" s="27">
        <v>19</v>
      </c>
      <c r="C144" s="28" t="s">
        <v>204</v>
      </c>
      <c r="D144" s="28" t="s">
        <v>12</v>
      </c>
      <c r="E144" s="27">
        <v>11.5</v>
      </c>
      <c r="F144" s="29">
        <f>LOOKUP(E144,{0,-1.8,-0.8,0.2,1.2,2.2,3.2,4.6,6,7.4,8.8,10.2,11.6,13,14.4,15.8,17.2,19.1,21,22.8,24.6},{0,10,20,30,40,50,60,62,64,66,68,70,72,74,76,78,80,85,90,95,100})</f>
        <v>70</v>
      </c>
      <c r="G144" s="27">
        <v>270</v>
      </c>
      <c r="H144" s="29">
        <f>LOOKUP(G144,{0,180,185,190,195,200,205,209,213,217,221,225,229,233,237,241,245,253,260,265,270},{0,10,20,30,40,50,60,62,64,66,68,70,72,74,76,78,80,85,90,95,100})</f>
        <v>100</v>
      </c>
      <c r="I144" s="27">
        <v>10</v>
      </c>
      <c r="J144" s="29">
        <f>LOOKUP(I144,{0,4,5,6,7,8,9,10,11,12,13,14,15,16,17,18},{0,10,20,30,40,50,60,64,68,72,76,80,85,90,95,100})</f>
        <v>64</v>
      </c>
      <c r="K144" s="44"/>
      <c r="L144" s="35"/>
      <c r="M144" s="35">
        <f t="shared" si="13"/>
        <v>64</v>
      </c>
      <c r="N144" s="35">
        <v>7.7</v>
      </c>
      <c r="O144" s="36">
        <f t="shared" si="14"/>
        <v>10.3</v>
      </c>
      <c r="P144" s="29">
        <f>LOOKUP(O144,{0,7.8,8,8.2,8.4,8.6,8.8,9,9.2,9.4,9.6,9.8,10,10.2,10.4,10.6,10.8,10.9,11,11.1,11.2},{0,10,20,30,40,50,60,62,64,66,68,70,72,74,76,78,80,85,90,95,100})</f>
        <v>74</v>
      </c>
      <c r="Q144" s="5">
        <v>5.01</v>
      </c>
      <c r="R144" s="36">
        <f t="shared" si="15"/>
        <v>4.99</v>
      </c>
      <c r="S144" s="29">
        <f>LOOKUP(R144,{0,3.85,4.45,4.65,4.85,5.45,5.65,5.7,5.75,5.8,5.85,5.9,5.95,6,6.45,6.5,6.55,6.63,6.7,6.75,6.8},{0,10,20,30,40,50,60,62,64,66,68,70,72,74,76,78,80,85,90,95,100})</f>
        <v>40</v>
      </c>
      <c r="T144" s="27"/>
      <c r="U144" s="27"/>
      <c r="V144" s="27">
        <f t="shared" si="16"/>
        <v>40</v>
      </c>
      <c r="W144" s="27"/>
      <c r="X144" s="19">
        <f t="shared" si="17"/>
        <v>46.2</v>
      </c>
      <c r="Y144" s="13">
        <f t="shared" si="18"/>
        <v>66</v>
      </c>
    </row>
    <row r="145" ht="15.6" spans="1:25">
      <c r="A145" s="27">
        <v>313</v>
      </c>
      <c r="B145" s="27">
        <v>14</v>
      </c>
      <c r="C145" s="28" t="s">
        <v>641</v>
      </c>
      <c r="D145" s="28" t="s">
        <v>12</v>
      </c>
      <c r="E145" s="27">
        <v>22.3</v>
      </c>
      <c r="F145" s="29">
        <f>LOOKUP(E145,{0,-1.8,-0.8,0.2,1.2,2.2,3.2,4.6,6,7.4,8.8,10.2,11.6,13,14.4,15.8,17.2,19.1,21,22.8,24.6},{0,10,20,30,40,50,60,62,64,66,68,70,72,74,76,78,80,85,90,95,100})</f>
        <v>90</v>
      </c>
      <c r="G145" s="27">
        <v>230</v>
      </c>
      <c r="H145" s="29">
        <f>LOOKUP(G145,{0,180,185,190,195,200,205,209,213,217,221,225,229,233,237,241,245,253,260,265,270},{0,10,20,30,40,50,60,62,64,66,68,70,72,74,76,78,80,85,90,95,100})</f>
        <v>72</v>
      </c>
      <c r="I145" s="27">
        <v>0</v>
      </c>
      <c r="J145" s="29">
        <f>LOOKUP(I145,{0,4,5,6,7,8,9,10,11,12,13,14,15,16,17,18},{0,10,20,30,40,50,60,64,68,72,76,80,85,90,95,100})</f>
        <v>0</v>
      </c>
      <c r="K145" s="44"/>
      <c r="L145" s="35"/>
      <c r="M145" s="35">
        <f t="shared" si="13"/>
        <v>0</v>
      </c>
      <c r="N145" s="35">
        <v>7.8</v>
      </c>
      <c r="O145" s="36">
        <f t="shared" si="14"/>
        <v>10.2</v>
      </c>
      <c r="P145" s="29">
        <f>LOOKUP(O145,{0,7.8,8,8.2,8.4,8.6,8.8,9,9.2,9.4,9.6,9.8,10,10.2,10.4,10.6,10.8,10.9,11,11.1,11.2},{0,10,20,30,40,50,60,62,64,66,68,70,72,74,76,78,80,85,90,95,100})</f>
        <v>74</v>
      </c>
      <c r="Q145" s="5">
        <v>3.51</v>
      </c>
      <c r="R145" s="36">
        <f t="shared" si="15"/>
        <v>6.49</v>
      </c>
      <c r="S145" s="29">
        <f>LOOKUP(R145,{0,3.85,4.45,4.65,4.85,5.45,5.65,5.7,5.75,5.8,5.85,5.9,5.95,6,6.45,6.5,6.55,6.63,6.7,6.75,6.8},{0,10,20,30,40,50,60,62,64,66,68,70,72,74,76,78,80,85,90,95,100})</f>
        <v>76</v>
      </c>
      <c r="T145" s="27"/>
      <c r="U145" s="27"/>
      <c r="V145" s="27">
        <f t="shared" si="16"/>
        <v>76</v>
      </c>
      <c r="W145" s="27"/>
      <c r="X145" s="19">
        <f t="shared" si="17"/>
        <v>46.2</v>
      </c>
      <c r="Y145" s="13">
        <f t="shared" si="18"/>
        <v>66</v>
      </c>
    </row>
    <row r="146" ht="15.6" spans="1:25">
      <c r="A146" s="27">
        <v>311</v>
      </c>
      <c r="B146" s="27">
        <v>2</v>
      </c>
      <c r="C146" s="28" t="s">
        <v>515</v>
      </c>
      <c r="D146" s="28" t="s">
        <v>12</v>
      </c>
      <c r="E146" s="27">
        <v>19.5</v>
      </c>
      <c r="F146" s="29">
        <f>LOOKUP(E146,{0,-1.8,-0.8,0.2,1.2,2.2,3.2,4.6,6,7.4,8.8,10.2,11.6,13,14.4,15.8,17.2,19.1,21,22.8,24.6},{0,10,20,30,40,50,60,62,64,66,68,70,72,74,76,78,80,85,90,95,100})</f>
        <v>85</v>
      </c>
      <c r="G146" s="27">
        <v>260</v>
      </c>
      <c r="H146" s="29">
        <f>LOOKUP(G146,{0,180,185,190,195,200,205,209,213,217,221,225,229,233,237,241,245,253,260,265,270},{0,10,20,30,40,50,60,62,64,66,68,70,72,74,76,78,80,85,90,95,100})</f>
        <v>90</v>
      </c>
      <c r="I146" s="27">
        <v>4</v>
      </c>
      <c r="J146" s="29">
        <f>LOOKUP(I146,{0,4,5,6,7,8,9,10,11,12,13,14,15,16,17,18},{0,10,20,30,40,50,60,64,68,72,76,80,85,90,95,100})</f>
        <v>10</v>
      </c>
      <c r="K146" s="44"/>
      <c r="L146" s="35"/>
      <c r="M146" s="35">
        <f t="shared" si="13"/>
        <v>10</v>
      </c>
      <c r="N146" s="35">
        <v>7.4</v>
      </c>
      <c r="O146" s="36">
        <f t="shared" si="14"/>
        <v>10.6</v>
      </c>
      <c r="P146" s="29">
        <f>LOOKUP(O146,{0,7.8,8,8.2,8.4,8.6,8.8,9,9.2,9.4,9.6,9.8,10,10.2,10.4,10.6,10.8,10.9,11,11.1,11.2},{0,10,20,30,40,50,60,62,64,66,68,70,72,74,76,78,80,85,90,95,100})</f>
        <v>78</v>
      </c>
      <c r="Q146" s="5">
        <v>4.31</v>
      </c>
      <c r="R146" s="36">
        <f t="shared" si="15"/>
        <v>5.69</v>
      </c>
      <c r="S146" s="29">
        <f>LOOKUP(R146,{0,3.85,4.45,4.65,4.85,5.45,5.65,5.7,5.75,5.8,5.85,5.9,5.95,6,6.45,6.5,6.55,6.63,6.7,6.75,6.8},{0,10,20,30,40,50,60,62,64,66,68,70,72,74,76,78,80,85,90,95,100})</f>
        <v>60</v>
      </c>
      <c r="T146" s="27"/>
      <c r="U146" s="27"/>
      <c r="V146" s="27">
        <f t="shared" si="16"/>
        <v>60</v>
      </c>
      <c r="W146" s="27"/>
      <c r="X146" s="19">
        <f t="shared" si="17"/>
        <v>46.1</v>
      </c>
      <c r="Y146" s="13">
        <f t="shared" si="18"/>
        <v>65.8571428571429</v>
      </c>
    </row>
    <row r="147" ht="15.6" spans="1:25">
      <c r="A147" s="27">
        <v>301</v>
      </c>
      <c r="B147" s="27">
        <v>6</v>
      </c>
      <c r="C147" s="27" t="s">
        <v>17</v>
      </c>
      <c r="D147" s="27" t="s">
        <v>12</v>
      </c>
      <c r="E147" s="27">
        <v>11</v>
      </c>
      <c r="F147" s="29">
        <f>LOOKUP(E147,{0,-1.8,-0.8,0.2,1.2,2.2,3.2,4.6,6,7.4,8.8,10.2,11.6,13,14.4,15.8,17.2,19.1,21,22.8,24.6},{0,10,20,30,40,50,60,62,64,66,68,70,72,74,76,78,80,85,90,95,100})</f>
        <v>70</v>
      </c>
      <c r="G147" s="27">
        <v>219</v>
      </c>
      <c r="H147" s="29">
        <f>LOOKUP(G147,{0,180,185,190,195,200,205,209,213,217,221,225,229,233,237,241,245,253,260,265,270},{0,10,20,30,40,50,60,62,64,66,68,70,72,74,76,78,80,85,90,95,100})</f>
        <v>66</v>
      </c>
      <c r="I147" s="27">
        <v>5</v>
      </c>
      <c r="J147" s="29">
        <f>LOOKUP(I147,{0,4,5,6,7,8,9,10,11,12,13,14,15,16,17,18},{0,10,20,30,40,50,60,64,68,72,76,80,85,90,95,100})</f>
        <v>20</v>
      </c>
      <c r="K147" s="44"/>
      <c r="L147" s="35"/>
      <c r="M147" s="35">
        <f t="shared" si="13"/>
        <v>20</v>
      </c>
      <c r="N147" s="35">
        <v>7.6</v>
      </c>
      <c r="O147" s="36">
        <f t="shared" si="14"/>
        <v>10.4</v>
      </c>
      <c r="P147" s="29">
        <f>LOOKUP(O147,{0,7.8,8,8.2,8.4,8.6,8.8,9,9.2,9.4,9.6,9.8,10,10.2,10.4,10.6,10.8,10.9,11,11.1,11.2},{0,10,20,30,40,50,60,62,64,66,68,70,72,74,76,78,80,85,90,95,100})</f>
        <v>76</v>
      </c>
      <c r="Q147" s="5">
        <v>3.53</v>
      </c>
      <c r="R147" s="36">
        <f t="shared" si="15"/>
        <v>6.47</v>
      </c>
      <c r="S147" s="29">
        <f>LOOKUP(R147,{0,3.85,4.45,4.65,4.85,5.45,5.65,5.7,5.75,5.8,5.85,5.9,5.95,6,6.45,6.5,6.55,6.63,6.7,6.75,6.8},{0,10,20,30,40,50,60,62,64,66,68,70,72,74,76,78,80,85,90,95,100})</f>
        <v>76</v>
      </c>
      <c r="T147" s="27"/>
      <c r="U147" s="27"/>
      <c r="V147" s="27">
        <f t="shared" si="16"/>
        <v>76</v>
      </c>
      <c r="W147" s="27"/>
      <c r="X147" s="19">
        <f t="shared" si="17"/>
        <v>46</v>
      </c>
      <c r="Y147" s="13">
        <f t="shared" si="18"/>
        <v>65.7142857142857</v>
      </c>
    </row>
    <row r="148" ht="15.6" spans="1:25">
      <c r="A148" s="27">
        <v>301</v>
      </c>
      <c r="B148" s="27">
        <v>11</v>
      </c>
      <c r="C148" s="31" t="s">
        <v>22</v>
      </c>
      <c r="D148" s="27" t="s">
        <v>12</v>
      </c>
      <c r="E148" s="27">
        <v>8</v>
      </c>
      <c r="F148" s="29">
        <f>LOOKUP(E148,{0,-1.8,-0.8,0.2,1.2,2.2,3.2,4.6,6,7.4,8.8,10.2,11.6,13,14.4,15.8,17.2,19.1,21,22.8,24.6},{0,10,20,30,40,50,60,62,64,66,68,70,72,74,76,78,80,85,90,95,100})</f>
        <v>66</v>
      </c>
      <c r="G148" s="27">
        <v>222</v>
      </c>
      <c r="H148" s="29">
        <f>LOOKUP(G148,{0,180,185,190,195,200,205,209,213,217,221,225,229,233,237,241,245,253,260,265,270},{0,10,20,30,40,50,60,62,64,66,68,70,72,74,76,78,80,85,90,95,100})</f>
        <v>68</v>
      </c>
      <c r="I148" s="27">
        <v>8</v>
      </c>
      <c r="J148" s="29">
        <f>LOOKUP(I148,{0,4,5,6,7,8,9,10,11,12,13,14,15,16,17,18},{0,10,20,30,40,50,60,64,68,72,76,80,85,90,95,100})</f>
        <v>50</v>
      </c>
      <c r="K148" s="44"/>
      <c r="L148" s="35"/>
      <c r="M148" s="35">
        <f t="shared" si="13"/>
        <v>50</v>
      </c>
      <c r="N148" s="35">
        <v>8.4</v>
      </c>
      <c r="O148" s="36">
        <f t="shared" si="14"/>
        <v>9.6</v>
      </c>
      <c r="P148" s="29">
        <f>LOOKUP(O148,{0,7.8,8,8.2,8.4,8.6,8.8,9,9.2,9.4,9.6,9.8,10,10.2,10.4,10.6,10.8,10.9,11,11.1,11.2},{0,10,20,30,40,50,60,62,64,66,68,70,72,74,76,78,80,85,90,95,100})</f>
        <v>68</v>
      </c>
      <c r="Q148" s="5">
        <v>4.06</v>
      </c>
      <c r="R148" s="36">
        <f t="shared" si="15"/>
        <v>5.94</v>
      </c>
      <c r="S148" s="29">
        <f>LOOKUP(R148,{0,3.85,4.45,4.65,4.85,5.45,5.65,5.7,5.75,5.8,5.85,5.9,5.95,6,6.45,6.5,6.55,6.63,6.7,6.75,6.8},{0,10,20,30,40,50,60,62,64,66,68,70,72,74,76,78,80,85,90,95,100})</f>
        <v>70</v>
      </c>
      <c r="T148" s="27"/>
      <c r="U148" s="27"/>
      <c r="V148" s="27">
        <f t="shared" si="16"/>
        <v>70</v>
      </c>
      <c r="W148" s="27"/>
      <c r="X148" s="19">
        <f t="shared" si="17"/>
        <v>46</v>
      </c>
      <c r="Y148" s="13">
        <f t="shared" si="18"/>
        <v>65.7142857142857</v>
      </c>
    </row>
    <row r="149" ht="15.6" spans="1:25">
      <c r="A149" s="27">
        <v>302</v>
      </c>
      <c r="B149" s="27">
        <v>5</v>
      </c>
      <c r="C149" s="27" t="s">
        <v>62</v>
      </c>
      <c r="D149" s="27" t="s">
        <v>12</v>
      </c>
      <c r="E149" s="27">
        <v>4</v>
      </c>
      <c r="F149" s="29">
        <f>LOOKUP(E149,{0,-1.8,-0.8,0.2,1.2,2.2,3.2,4.6,6,7.4,8.8,10.2,11.6,13,14.4,15.8,17.2,19.1,21,22.8,24.6},{0,10,20,30,40,50,60,62,64,66,68,70,72,74,76,78,80,85,90,95,100})</f>
        <v>60</v>
      </c>
      <c r="G149" s="27">
        <v>222</v>
      </c>
      <c r="H149" s="29">
        <f>LOOKUP(G149,{0,180,185,190,195,200,205,209,213,217,221,225,229,233,237,241,245,253,260,265,270},{0,10,20,30,40,50,60,62,64,66,68,70,72,74,76,78,80,85,90,95,100})</f>
        <v>68</v>
      </c>
      <c r="I149" s="27">
        <v>7</v>
      </c>
      <c r="J149" s="29">
        <f>LOOKUP(I149,{0,4,5,6,7,8,9,10,11,12,13,14,15,16,17,18},{0,10,20,30,40,50,60,64,68,72,76,80,85,90,95,100})</f>
        <v>40</v>
      </c>
      <c r="K149" s="44"/>
      <c r="L149" s="35"/>
      <c r="M149" s="35">
        <f t="shared" si="13"/>
        <v>40</v>
      </c>
      <c r="N149" s="35">
        <v>7.5</v>
      </c>
      <c r="O149" s="36">
        <f t="shared" si="14"/>
        <v>10.5</v>
      </c>
      <c r="P149" s="29">
        <f>LOOKUP(O149,{0,7.8,8,8.2,8.4,8.6,8.8,9,9.2,9.4,9.6,9.8,10,10.2,10.4,10.6,10.8,10.9,11,11.1,11.2},{0,10,20,30,40,50,60,62,64,66,68,70,72,74,76,78,80,85,90,95,100})</f>
        <v>76</v>
      </c>
      <c r="Q149" s="5">
        <v>4.07</v>
      </c>
      <c r="R149" s="36">
        <f t="shared" si="15"/>
        <v>5.93</v>
      </c>
      <c r="S149" s="29">
        <f>LOOKUP(R149,{0,3.85,4.45,4.65,4.85,5.45,5.65,5.7,5.75,5.8,5.85,5.9,5.95,6,6.45,6.5,6.55,6.63,6.7,6.75,6.8},{0,10,20,30,40,50,60,62,64,66,68,70,72,74,76,78,80,85,90,95,100})</f>
        <v>70</v>
      </c>
      <c r="T149" s="27"/>
      <c r="U149" s="27"/>
      <c r="V149" s="27">
        <f t="shared" si="16"/>
        <v>70</v>
      </c>
      <c r="W149" s="27"/>
      <c r="X149" s="19">
        <f t="shared" si="17"/>
        <v>46</v>
      </c>
      <c r="Y149" s="13">
        <f t="shared" si="18"/>
        <v>65.7142857142857</v>
      </c>
    </row>
    <row r="150" ht="15.6" spans="1:25">
      <c r="A150" s="27">
        <v>305</v>
      </c>
      <c r="B150" s="27">
        <v>12</v>
      </c>
      <c r="C150" s="28" t="s">
        <v>197</v>
      </c>
      <c r="D150" s="28" t="s">
        <v>12</v>
      </c>
      <c r="E150" s="27">
        <v>11</v>
      </c>
      <c r="F150" s="29">
        <f>LOOKUP(E150,{0,-1.8,-0.8,0.2,1.2,2.2,3.2,4.6,6,7.4,8.8,10.2,11.6,13,14.4,15.8,17.2,19.1,21,22.8,24.6},{0,10,20,30,40,50,60,62,64,66,68,70,72,74,76,78,80,85,90,95,100})</f>
        <v>70</v>
      </c>
      <c r="G150" s="27">
        <v>206</v>
      </c>
      <c r="H150" s="29">
        <f>LOOKUP(G150,{0,180,185,190,195,200,205,209,213,217,221,225,229,233,237,241,245,253,260,265,270},{0,10,20,30,40,50,60,62,64,66,68,70,72,74,76,78,80,85,90,95,100})</f>
        <v>60</v>
      </c>
      <c r="I150" s="27">
        <v>8</v>
      </c>
      <c r="J150" s="29">
        <f>LOOKUP(I150,{0,4,5,6,7,8,9,10,11,12,13,14,15,16,17,18},{0,10,20,30,40,50,60,64,68,72,76,80,85,90,95,100})</f>
        <v>50</v>
      </c>
      <c r="K150" s="44"/>
      <c r="L150" s="35"/>
      <c r="M150" s="35">
        <f t="shared" si="13"/>
        <v>50</v>
      </c>
      <c r="N150" s="35">
        <v>8.3</v>
      </c>
      <c r="O150" s="36">
        <f t="shared" si="14"/>
        <v>9.7</v>
      </c>
      <c r="P150" s="29">
        <f>LOOKUP(O150,{0,7.8,8,8.2,8.4,8.6,8.8,9,9.2,9.4,9.6,9.8,10,10.2,10.4,10.6,10.8,10.9,11,11.1,11.2},{0,10,20,30,40,50,60,62,64,66,68,70,72,74,76,78,80,85,90,95,100})</f>
        <v>68</v>
      </c>
      <c r="Q150" s="5">
        <v>4.05</v>
      </c>
      <c r="R150" s="36">
        <f t="shared" si="15"/>
        <v>5.95</v>
      </c>
      <c r="S150" s="29">
        <f>LOOKUP(R150,{0,3.85,4.45,4.65,4.85,5.45,5.65,5.7,5.75,5.8,5.85,5.9,5.95,6,6.45,6.5,6.55,6.63,6.7,6.75,6.8},{0,10,20,30,40,50,60,62,64,66,68,70,72,74,76,78,80,85,90,95,100})</f>
        <v>72</v>
      </c>
      <c r="T150" s="27"/>
      <c r="U150" s="27"/>
      <c r="V150" s="27">
        <f t="shared" si="16"/>
        <v>72</v>
      </c>
      <c r="W150" s="27"/>
      <c r="X150" s="19">
        <f t="shared" si="17"/>
        <v>46</v>
      </c>
      <c r="Y150" s="13">
        <f t="shared" si="18"/>
        <v>65.7142857142857</v>
      </c>
    </row>
    <row r="151" ht="15.6" spans="1:25">
      <c r="A151" s="27">
        <v>310</v>
      </c>
      <c r="B151" s="27">
        <v>22</v>
      </c>
      <c r="C151" s="28" t="s">
        <v>481</v>
      </c>
      <c r="D151" s="28" t="s">
        <v>12</v>
      </c>
      <c r="E151" s="27">
        <v>13</v>
      </c>
      <c r="F151" s="29">
        <f>LOOKUP(E151,{0,-1.8,-0.8,0.2,1.2,2.2,3.2,4.6,6,7.4,8.8,10.2,11.6,13,14.4,15.8,17.2,19.1,21,22.8,24.6},{0,10,20,30,40,50,60,62,64,66,68,70,72,74,76,78,80,85,90,95,100})</f>
        <v>74</v>
      </c>
      <c r="G151" s="27">
        <v>230</v>
      </c>
      <c r="H151" s="29">
        <f>LOOKUP(G151,{0,180,185,190,195,200,205,209,213,217,221,225,229,233,237,241,245,253,260,265,270},{0,10,20,30,40,50,60,62,64,66,68,70,72,74,76,78,80,85,90,95,100})</f>
        <v>72</v>
      </c>
      <c r="I151" s="27">
        <v>6</v>
      </c>
      <c r="J151" s="29">
        <f>LOOKUP(I151,{0,4,5,6,7,8,9,10,11,12,13,14,15,16,17,18},{0,10,20,30,40,50,60,64,68,72,76,80,85,90,95,100})</f>
        <v>30</v>
      </c>
      <c r="K151" s="44"/>
      <c r="L151" s="35"/>
      <c r="M151" s="35">
        <f t="shared" si="13"/>
        <v>30</v>
      </c>
      <c r="N151" s="35">
        <v>7.6</v>
      </c>
      <c r="O151" s="36">
        <f t="shared" si="14"/>
        <v>10.4</v>
      </c>
      <c r="P151" s="29">
        <f>LOOKUP(O151,{0,7.8,8,8.2,8.4,8.6,8.8,9,9.2,9.4,9.6,9.8,10,10.2,10.4,10.6,10.8,10.9,11,11.1,11.2},{0,10,20,30,40,50,60,62,64,66,68,70,72,74,76,78,80,85,90,95,100})</f>
        <v>76</v>
      </c>
      <c r="Q151" s="5">
        <v>4.19</v>
      </c>
      <c r="R151" s="36">
        <f t="shared" si="15"/>
        <v>5.81</v>
      </c>
      <c r="S151" s="29">
        <f>LOOKUP(R151,{0,3.85,4.45,4.65,4.85,5.45,5.65,5.7,5.75,5.8,5.85,5.9,5.95,6,6.45,6.5,6.55,6.63,6.7,6.75,6.8},{0,10,20,30,40,50,60,62,64,66,68,70,72,74,76,78,80,85,90,95,100})</f>
        <v>66</v>
      </c>
      <c r="T151" s="27"/>
      <c r="U151" s="27"/>
      <c r="V151" s="27">
        <f t="shared" si="16"/>
        <v>66</v>
      </c>
      <c r="W151" s="27"/>
      <c r="X151" s="19">
        <f t="shared" si="17"/>
        <v>46</v>
      </c>
      <c r="Y151" s="13">
        <f t="shared" si="18"/>
        <v>65.7142857142857</v>
      </c>
    </row>
    <row r="152" ht="15.6" spans="1:25">
      <c r="A152" s="27">
        <v>310</v>
      </c>
      <c r="B152" s="27">
        <v>26</v>
      </c>
      <c r="C152" s="28" t="s">
        <v>485</v>
      </c>
      <c r="D152" s="28" t="s">
        <v>12</v>
      </c>
      <c r="E152" s="27">
        <v>18</v>
      </c>
      <c r="F152" s="29">
        <f>LOOKUP(E152,{0,-1.8,-0.8,0.2,1.2,2.2,3.2,4.6,6,7.4,8.8,10.2,11.6,13,14.4,15.8,17.2,19.1,21,22.8,24.6},{0,10,20,30,40,50,60,62,64,66,68,70,72,74,76,78,80,85,90,95,100})</f>
        <v>80</v>
      </c>
      <c r="G152" s="27">
        <v>238</v>
      </c>
      <c r="H152" s="29">
        <f>LOOKUP(G152,{0,180,185,190,195,200,205,209,213,217,221,225,229,233,237,241,245,253,260,265,270},{0,10,20,30,40,50,60,62,64,66,68,70,72,74,76,78,80,85,90,95,100})</f>
        <v>76</v>
      </c>
      <c r="I152" s="27">
        <v>18</v>
      </c>
      <c r="J152" s="29">
        <f>LOOKUP(I152,{0,4,5,6,7,8,9,10,11,12,13,14,15,16,17,18},{0,10,20,30,40,50,60,64,68,72,76,80,85,90,95,100})</f>
        <v>100</v>
      </c>
      <c r="K152" s="44"/>
      <c r="L152" s="35"/>
      <c r="M152" s="35">
        <f t="shared" si="13"/>
        <v>100</v>
      </c>
      <c r="N152" s="35">
        <v>8.9</v>
      </c>
      <c r="O152" s="36">
        <f t="shared" si="14"/>
        <v>9.1</v>
      </c>
      <c r="P152" s="29">
        <f>LOOKUP(O152,{0,7.8,8,8.2,8.4,8.6,8.8,9,9.2,9.4,9.6,9.8,10,10.2,10.4,10.6,10.8,10.9,11,11.1,11.2},{0,10,20,30,40,50,60,62,64,66,68,70,72,74,76,78,80,85,90,95,100})</f>
        <v>62</v>
      </c>
      <c r="Q152" s="5">
        <v>5.03</v>
      </c>
      <c r="R152" s="36">
        <f t="shared" si="15"/>
        <v>4.97</v>
      </c>
      <c r="S152" s="29">
        <f>LOOKUP(R152,{0,3.85,4.45,4.65,4.85,5.45,5.65,5.7,5.75,5.8,5.85,5.9,5.95,6,6.45,6.5,6.55,6.63,6.7,6.75,6.8},{0,10,20,30,40,50,60,62,64,66,68,70,72,74,76,78,80,85,90,95,100})</f>
        <v>40</v>
      </c>
      <c r="T152" s="27"/>
      <c r="U152" s="27"/>
      <c r="V152" s="27">
        <f t="shared" si="16"/>
        <v>40</v>
      </c>
      <c r="W152" s="27"/>
      <c r="X152" s="19">
        <f t="shared" si="17"/>
        <v>46</v>
      </c>
      <c r="Y152" s="13">
        <f t="shared" si="18"/>
        <v>65.7142857142857</v>
      </c>
    </row>
    <row r="153" ht="15.6" spans="1:25">
      <c r="A153" s="27">
        <v>312</v>
      </c>
      <c r="B153" s="27">
        <v>25</v>
      </c>
      <c r="C153" s="28" t="s">
        <v>600</v>
      </c>
      <c r="D153" s="28" t="s">
        <v>12</v>
      </c>
      <c r="E153" s="27">
        <v>21.5</v>
      </c>
      <c r="F153" s="29">
        <f>LOOKUP(E153,{0,-1.8,-0.8,0.2,1.2,2.2,3.2,4.6,6,7.4,8.8,10.2,11.6,13,14.4,15.8,17.2,19.1,21,22.8,24.6},{0,10,20,30,40,50,60,62,64,66,68,70,72,74,76,78,80,85,90,95,100})</f>
        <v>90</v>
      </c>
      <c r="G153" s="27">
        <v>260</v>
      </c>
      <c r="H153" s="29">
        <f>LOOKUP(G153,{0,180,185,190,195,200,205,209,213,217,221,225,229,233,237,241,245,253,260,265,270},{0,10,20,30,40,50,60,62,64,66,68,70,72,74,76,78,80,85,90,95,100})</f>
        <v>90</v>
      </c>
      <c r="I153" s="27">
        <v>4</v>
      </c>
      <c r="J153" s="29">
        <f>LOOKUP(I153,{0,4,5,6,7,8,9,10,11,12,13,14,15,16,17,18},{0,10,20,30,40,50,60,64,68,72,76,80,85,90,95,100})</f>
        <v>10</v>
      </c>
      <c r="K153" s="44"/>
      <c r="L153" s="35"/>
      <c r="M153" s="35">
        <f t="shared" si="13"/>
        <v>10</v>
      </c>
      <c r="N153" s="35">
        <v>7.1</v>
      </c>
      <c r="O153" s="36">
        <f t="shared" si="14"/>
        <v>10.9</v>
      </c>
      <c r="P153" s="29">
        <f>LOOKUP(O153,{0,7.8,8,8.2,8.4,8.6,8.8,9,9.2,9.4,9.6,9.8,10,10.2,10.4,10.6,10.8,10.9,11,11.1,11.2},{0,10,20,30,40,50,60,62,64,66,68,70,72,74,76,78,80,85,90,95,100})</f>
        <v>85</v>
      </c>
      <c r="Q153" s="5">
        <v>4.47</v>
      </c>
      <c r="R153" s="36">
        <f t="shared" si="15"/>
        <v>5.53</v>
      </c>
      <c r="S153" s="29">
        <f>LOOKUP(R153,{0,3.85,4.45,4.65,4.85,5.45,5.65,5.7,5.75,5.8,5.85,5.9,5.95,6,6.45,6.5,6.55,6.63,6.7,6.75,6.8},{0,10,20,30,40,50,60,62,64,66,68,70,72,74,76,78,80,85,90,95,100})</f>
        <v>50</v>
      </c>
      <c r="T153" s="27"/>
      <c r="U153" s="27"/>
      <c r="V153" s="27">
        <f t="shared" si="16"/>
        <v>50</v>
      </c>
      <c r="W153" s="27"/>
      <c r="X153" s="19">
        <f t="shared" si="17"/>
        <v>46</v>
      </c>
      <c r="Y153" s="13">
        <f t="shared" si="18"/>
        <v>65.7142857142857</v>
      </c>
    </row>
    <row r="154" ht="15.6" spans="1:25">
      <c r="A154" s="27">
        <v>305</v>
      </c>
      <c r="B154" s="27">
        <v>31</v>
      </c>
      <c r="C154" s="30" t="s">
        <v>218</v>
      </c>
      <c r="D154" s="28" t="s">
        <v>12</v>
      </c>
      <c r="E154" s="27">
        <v>8.8</v>
      </c>
      <c r="F154" s="29">
        <f>LOOKUP(E154,{0,-1.8,-0.8,0.2,1.2,2.2,3.2,4.6,6,7.4,8.8,10.2,11.6,13,14.4,15.8,17.2,19.1,21,22.8,24.6},{0,10,20,30,40,50,60,62,64,66,68,70,72,74,76,78,80,85,90,95,100})</f>
        <v>68</v>
      </c>
      <c r="G154" s="27">
        <v>235</v>
      </c>
      <c r="H154" s="29">
        <f>LOOKUP(G154,{0,180,185,190,195,200,205,209,213,217,221,225,229,233,237,241,245,253,260,265,270},{0,10,20,30,40,50,60,62,64,66,68,70,72,74,76,78,80,85,90,95,100})</f>
        <v>74</v>
      </c>
      <c r="I154" s="27">
        <v>7</v>
      </c>
      <c r="J154" s="29">
        <f>LOOKUP(I154,{0,4,5,6,7,8,9,10,11,12,13,14,15,16,17,18},{0,10,20,30,40,50,60,64,68,72,76,80,85,90,95,100})</f>
        <v>40</v>
      </c>
      <c r="K154" s="44"/>
      <c r="L154" s="35"/>
      <c r="M154" s="35">
        <f t="shared" si="13"/>
        <v>40</v>
      </c>
      <c r="N154" s="35">
        <v>7.4</v>
      </c>
      <c r="O154" s="36">
        <f t="shared" si="14"/>
        <v>10.6</v>
      </c>
      <c r="P154" s="29">
        <f>LOOKUP(O154,{0,7.8,8,8.2,8.4,8.6,8.8,9,9.2,9.4,9.6,9.8,10,10.2,10.4,10.6,10.8,10.9,11,11.1,11.2},{0,10,20,30,40,50,60,62,64,66,68,70,72,74,76,78,80,85,90,95,100})</f>
        <v>78</v>
      </c>
      <c r="Q154" s="5">
        <v>4.35</v>
      </c>
      <c r="R154" s="36">
        <f t="shared" si="15"/>
        <v>5.65</v>
      </c>
      <c r="S154" s="29">
        <f>LOOKUP(R154,{0,3.85,4.45,4.65,4.85,5.45,5.65,5.7,5.75,5.8,5.85,5.9,5.95,6,6.45,6.5,6.55,6.63,6.7,6.75,6.8},{0,10,20,30,40,50,60,62,64,66,68,70,72,74,76,78,80,85,90,95,100})</f>
        <v>60</v>
      </c>
      <c r="T154" s="27"/>
      <c r="U154" s="27"/>
      <c r="V154" s="27">
        <f t="shared" si="16"/>
        <v>60</v>
      </c>
      <c r="W154" s="27"/>
      <c r="X154" s="19">
        <f t="shared" si="17"/>
        <v>45.8</v>
      </c>
      <c r="Y154" s="13">
        <f t="shared" si="18"/>
        <v>65.4285714285714</v>
      </c>
    </row>
    <row r="155" ht="15.6" spans="1:25">
      <c r="A155" s="27">
        <v>304</v>
      </c>
      <c r="B155" s="27">
        <v>24</v>
      </c>
      <c r="C155" s="31" t="s">
        <v>173</v>
      </c>
      <c r="D155" s="27" t="s">
        <v>12</v>
      </c>
      <c r="E155" s="27">
        <v>15</v>
      </c>
      <c r="F155" s="29">
        <f>LOOKUP(E155,{0,-1.8,-0.8,0.2,1.2,2.2,3.2,4.6,6,7.4,8.8,10.2,11.6,13,14.4,15.8,17.2,19.1,21,22.8,24.6},{0,10,20,30,40,50,60,62,64,66,68,70,72,74,76,78,80,85,90,95,100})</f>
        <v>76</v>
      </c>
      <c r="G155" s="27">
        <v>230</v>
      </c>
      <c r="H155" s="29">
        <f>LOOKUP(G155,{0,180,185,190,195,200,205,209,213,217,221,225,229,233,237,241,245,253,260,265,270},{0,10,20,30,40,50,60,62,64,66,68,70,72,74,76,78,80,85,90,95,100})</f>
        <v>72</v>
      </c>
      <c r="I155" s="27">
        <v>3</v>
      </c>
      <c r="J155" s="29">
        <f>LOOKUP(I155,{0,4,5,6,7,8,9,10,11,12,13,14,15,16,17,18},{0,10,20,30,40,50,60,64,68,72,76,80,85,90,95,100})</f>
        <v>0</v>
      </c>
      <c r="K155" s="44"/>
      <c r="L155" s="35"/>
      <c r="M155" s="35">
        <f t="shared" si="13"/>
        <v>0</v>
      </c>
      <c r="N155" s="35">
        <v>7.3</v>
      </c>
      <c r="O155" s="36">
        <f t="shared" si="14"/>
        <v>10.7</v>
      </c>
      <c r="P155" s="29">
        <f>LOOKUP(O155,{0,7.8,8,8.2,8.4,8.6,8.8,9,9.2,9.4,9.6,9.8,10,10.2,10.4,10.6,10.8,10.9,11,11.1,11.2},{0,10,20,30,40,50,60,62,64,66,68,70,72,74,76,78,80,85,90,95,100})</f>
        <v>78</v>
      </c>
      <c r="Q155" s="5">
        <v>3.55</v>
      </c>
      <c r="R155" s="36">
        <f t="shared" si="15"/>
        <v>6.45</v>
      </c>
      <c r="S155" s="29">
        <f>LOOKUP(R155,{0,3.85,4.45,4.65,4.85,5.45,5.65,5.7,5.75,5.8,5.85,5.9,5.95,6,6.45,6.5,6.55,6.63,6.7,6.75,6.8},{0,10,20,30,40,50,60,62,64,66,68,70,72,74,76,78,80,85,90,95,100})</f>
        <v>76</v>
      </c>
      <c r="T155" s="27"/>
      <c r="U155" s="27"/>
      <c r="V155" s="27">
        <f t="shared" si="16"/>
        <v>76</v>
      </c>
      <c r="W155" s="27"/>
      <c r="X155" s="19">
        <f t="shared" si="17"/>
        <v>45.6</v>
      </c>
      <c r="Y155" s="13">
        <f t="shared" si="18"/>
        <v>65.1428571428572</v>
      </c>
    </row>
    <row r="156" ht="15.6" spans="1:25">
      <c r="A156" s="27">
        <v>307</v>
      </c>
      <c r="B156" s="27">
        <v>12</v>
      </c>
      <c r="C156" s="28" t="s">
        <v>311</v>
      </c>
      <c r="D156" s="28" t="s">
        <v>12</v>
      </c>
      <c r="E156" s="27">
        <v>-0.5</v>
      </c>
      <c r="F156" s="29">
        <f>LOOKUP(E156,{0,-1.8,-0.8,0.2,1.2,2.2,3.2,4.6,6,7.4,8.8,10.2,11.6,13,14.4,15.8,17.2,19.1,21,22.8,24.6},{0,10,20,30,40,50,60,62,64,66,68,70,72,74,76,78,80,85,90,95,100})</f>
        <v>20</v>
      </c>
      <c r="G156" s="27">
        <v>285</v>
      </c>
      <c r="H156" s="29">
        <f>LOOKUP(G156,{0,180,185,190,195,200,205,209,213,217,221,225,229,233,237,241,245,253,260,265,270},{0,10,20,30,40,50,60,62,64,66,68,70,72,74,76,78,80,85,90,95,100})</f>
        <v>100</v>
      </c>
      <c r="I156" s="27">
        <v>1</v>
      </c>
      <c r="J156" s="29">
        <f>LOOKUP(I156,{0,4,5,6,7,8,9,10,11,12,13,14,15,16,17,18},{0,10,20,30,40,50,60,64,68,72,76,80,85,90,95,100})</f>
        <v>0</v>
      </c>
      <c r="K156" s="44"/>
      <c r="L156" s="35"/>
      <c r="M156" s="35">
        <f t="shared" si="13"/>
        <v>0</v>
      </c>
      <c r="N156" s="35">
        <v>6.6</v>
      </c>
      <c r="O156" s="36">
        <f t="shared" si="14"/>
        <v>11.4</v>
      </c>
      <c r="P156" s="29">
        <f>LOOKUP(O156,{0,7.8,8,8.2,8.4,8.6,8.8,9,9.2,9.4,9.6,9.8,10,10.2,10.4,10.6,10.8,10.9,11,11.1,11.2},{0,10,20,30,40,50,60,62,64,66,68,70,72,74,76,78,80,85,90,95,100})</f>
        <v>100</v>
      </c>
      <c r="Q156" s="5">
        <v>4.11</v>
      </c>
      <c r="R156" s="36">
        <f t="shared" si="15"/>
        <v>5.89</v>
      </c>
      <c r="S156" s="29">
        <f>LOOKUP(R156,{0,3.85,4.45,4.65,4.85,5.45,5.65,5.7,5.75,5.8,5.85,5.9,5.95,6,6.45,6.5,6.55,6.63,6.7,6.75,6.8},{0,10,20,30,40,50,60,62,64,66,68,70,72,74,76,78,80,85,90,95,100})</f>
        <v>68</v>
      </c>
      <c r="T156" s="27"/>
      <c r="U156" s="27"/>
      <c r="V156" s="27">
        <f t="shared" si="16"/>
        <v>68</v>
      </c>
      <c r="W156" s="27"/>
      <c r="X156" s="19">
        <f t="shared" si="17"/>
        <v>45.6</v>
      </c>
      <c r="Y156" s="13">
        <f t="shared" si="18"/>
        <v>65.1428571428572</v>
      </c>
    </row>
    <row r="157" ht="15.6" spans="1:25">
      <c r="A157" s="27">
        <v>308</v>
      </c>
      <c r="B157" s="27">
        <v>13</v>
      </c>
      <c r="C157" s="28" t="s">
        <v>365</v>
      </c>
      <c r="D157" s="28" t="s">
        <v>12</v>
      </c>
      <c r="E157" s="27">
        <v>6</v>
      </c>
      <c r="F157" s="29">
        <f>LOOKUP(E157,{0,-1.8,-0.8,0.2,1.2,2.2,3.2,4.6,6,7.4,8.8,10.2,11.6,13,14.4,15.8,17.2,19.1,21,22.8,24.6},{0,10,20,30,40,50,60,62,64,66,68,70,72,74,76,78,80,85,90,95,100})</f>
        <v>64</v>
      </c>
      <c r="G157" s="27">
        <v>220</v>
      </c>
      <c r="H157" s="29">
        <f>LOOKUP(G157,{0,180,185,190,195,200,205,209,213,217,221,225,229,233,237,241,245,253,260,265,270},{0,10,20,30,40,50,60,62,64,66,68,70,72,74,76,78,80,85,90,95,100})</f>
        <v>66</v>
      </c>
      <c r="I157" s="27">
        <v>1</v>
      </c>
      <c r="J157" s="29">
        <f>LOOKUP(I157,{0,4,5,6,7,8,9,10,11,12,13,14,15,16,17,18},{0,10,20,30,40,50,60,64,68,72,76,80,85,90,95,100})</f>
        <v>0</v>
      </c>
      <c r="K157" s="44"/>
      <c r="L157" s="35"/>
      <c r="M157" s="35">
        <f t="shared" si="13"/>
        <v>0</v>
      </c>
      <c r="N157" s="35">
        <v>7.3</v>
      </c>
      <c r="O157" s="36">
        <f t="shared" si="14"/>
        <v>10.7</v>
      </c>
      <c r="P157" s="29">
        <f>LOOKUP(O157,{0,7.8,8,8.2,8.4,8.6,8.8,9,9.2,9.4,9.6,9.8,10,10.2,10.4,10.6,10.8,10.9,11,11.1,11.2},{0,10,20,30,40,50,60,62,64,66,68,70,72,74,76,78,80,85,90,95,100})</f>
        <v>78</v>
      </c>
      <c r="Q157" s="5">
        <v>3.35</v>
      </c>
      <c r="R157" s="36">
        <f t="shared" si="15"/>
        <v>6.65</v>
      </c>
      <c r="S157" s="29">
        <f>LOOKUP(R157,{0,3.85,4.45,4.65,4.85,5.45,5.65,5.7,5.75,5.8,5.85,5.9,5.95,6,6.45,6.5,6.55,6.63,6.7,6.75,6.8},{0,10,20,30,40,50,60,62,64,66,68,70,72,74,76,78,80,85,90,95,100})</f>
        <v>85</v>
      </c>
      <c r="T157" s="27"/>
      <c r="U157" s="27"/>
      <c r="V157" s="27">
        <f t="shared" si="16"/>
        <v>85</v>
      </c>
      <c r="W157" s="27"/>
      <c r="X157" s="19">
        <f t="shared" si="17"/>
        <v>45.6</v>
      </c>
      <c r="Y157" s="13">
        <f t="shared" si="18"/>
        <v>65.1428571428572</v>
      </c>
    </row>
    <row r="158" ht="15.6" spans="1:25">
      <c r="A158" s="27">
        <v>309</v>
      </c>
      <c r="B158" s="27">
        <v>31</v>
      </c>
      <c r="C158" s="28" t="s">
        <v>438</v>
      </c>
      <c r="D158" s="28" t="s">
        <v>12</v>
      </c>
      <c r="E158" s="27">
        <v>29</v>
      </c>
      <c r="F158" s="29">
        <f>LOOKUP(E158,{0,-1.8,-0.8,0.2,1.2,2.2,3.2,4.6,6,7.4,8.8,10.2,11.6,13,14.4,15.8,17.2,19.1,21,22.8,24.6},{0,10,20,30,40,50,60,62,64,66,68,70,72,74,76,78,80,85,90,95,100})</f>
        <v>100</v>
      </c>
      <c r="G158" s="27">
        <v>240</v>
      </c>
      <c r="H158" s="29">
        <f>LOOKUP(G158,{0,180,185,190,195,200,205,209,213,217,221,225,229,233,237,241,245,253,260,265,270},{0,10,20,30,40,50,60,62,64,66,68,70,72,74,76,78,80,85,90,95,100})</f>
        <v>76</v>
      </c>
      <c r="I158" s="27">
        <v>8</v>
      </c>
      <c r="J158" s="29">
        <f>LOOKUP(I158,{0,4,5,6,7,8,9,10,11,12,13,14,15,16,17,18},{0,10,20,30,40,50,60,64,68,72,76,80,85,90,95,100})</f>
        <v>50</v>
      </c>
      <c r="K158" s="44"/>
      <c r="L158" s="35"/>
      <c r="M158" s="35">
        <f t="shared" si="13"/>
        <v>50</v>
      </c>
      <c r="N158" s="35">
        <v>6.9</v>
      </c>
      <c r="O158" s="36">
        <f t="shared" si="14"/>
        <v>11.1</v>
      </c>
      <c r="P158" s="29">
        <f>LOOKUP(O158,{0,7.8,8,8.2,8.4,8.6,8.8,9,9.2,9.4,9.6,9.8,10,10.2,10.4,10.6,10.8,10.9,11,11.1,11.2},{0,10,20,30,40,50,60,62,64,66,68,70,72,74,76,78,80,85,90,95,100})</f>
        <v>95</v>
      </c>
      <c r="Q158" s="5">
        <v>5.39</v>
      </c>
      <c r="R158" s="36">
        <f t="shared" si="15"/>
        <v>4.61</v>
      </c>
      <c r="S158" s="29">
        <f>LOOKUP(R158,{0,3.85,4.45,4.65,4.85,5.45,5.65,5.7,5.75,5.8,5.85,5.9,5.95,6,6.45,6.5,6.55,6.63,6.7,6.75,6.8},{0,10,20,30,40,50,60,62,64,66,68,70,72,74,76,78,80,85,90,95,100})</f>
        <v>20</v>
      </c>
      <c r="T158" s="27"/>
      <c r="U158" s="27"/>
      <c r="V158" s="27">
        <f t="shared" si="16"/>
        <v>20</v>
      </c>
      <c r="W158" s="27"/>
      <c r="X158" s="19">
        <f t="shared" si="17"/>
        <v>45.6</v>
      </c>
      <c r="Y158" s="13">
        <f t="shared" si="18"/>
        <v>65.1428571428572</v>
      </c>
    </row>
    <row r="159" ht="15.6" spans="1:25">
      <c r="A159" s="27">
        <v>312</v>
      </c>
      <c r="B159" s="27">
        <v>23</v>
      </c>
      <c r="C159" s="30" t="s">
        <v>598</v>
      </c>
      <c r="D159" s="28" t="s">
        <v>12</v>
      </c>
      <c r="E159" s="27">
        <v>21</v>
      </c>
      <c r="F159" s="29">
        <f>LOOKUP(E159,{0,-1.8,-0.8,0.2,1.2,2.2,3.2,4.6,6,7.4,8.8,10.2,11.6,13,14.4,15.8,17.2,19.1,21,22.8,24.6},{0,10,20,30,40,50,60,62,64,66,68,70,72,74,76,78,80,85,90,95,100})</f>
        <v>90</v>
      </c>
      <c r="G159" s="27">
        <v>252</v>
      </c>
      <c r="H159" s="29">
        <f>LOOKUP(G159,{0,180,185,190,195,200,205,209,213,217,221,225,229,233,237,241,245,253,260,265,270},{0,10,20,30,40,50,60,62,64,66,68,70,72,74,76,78,80,85,90,95,100})</f>
        <v>80</v>
      </c>
      <c r="I159" s="27">
        <v>4</v>
      </c>
      <c r="J159" s="29">
        <f>LOOKUP(I159,{0,4,5,6,7,8,9,10,11,12,13,14,15,16,17,18},{0,10,20,30,40,50,60,64,68,72,76,80,85,90,95,100})</f>
        <v>10</v>
      </c>
      <c r="K159" s="44"/>
      <c r="L159" s="35"/>
      <c r="M159" s="35">
        <f t="shared" si="13"/>
        <v>10</v>
      </c>
      <c r="N159" s="35">
        <v>7.5</v>
      </c>
      <c r="O159" s="36">
        <f t="shared" si="14"/>
        <v>10.5</v>
      </c>
      <c r="P159" s="29">
        <f>LOOKUP(O159,{0,7.8,8,8.2,8.4,8.6,8.8,9,9.2,9.4,9.6,9.8,10,10.2,10.4,10.6,10.8,10.9,11,11.1,11.2},{0,10,20,30,40,50,60,62,64,66,68,70,72,74,76,78,80,85,90,95,100})</f>
        <v>76</v>
      </c>
      <c r="Q159" s="5">
        <v>4.26</v>
      </c>
      <c r="R159" s="36">
        <f t="shared" si="15"/>
        <v>5.74</v>
      </c>
      <c r="S159" s="29">
        <f>LOOKUP(R159,{0,3.85,4.45,4.65,4.85,5.45,5.65,5.7,5.75,5.8,5.85,5.9,5.95,6,6.45,6.5,6.55,6.63,6.7,6.75,6.8},{0,10,20,30,40,50,60,62,64,66,68,70,72,74,76,78,80,85,90,95,100})</f>
        <v>62</v>
      </c>
      <c r="T159" s="27"/>
      <c r="U159" s="27"/>
      <c r="V159" s="27">
        <f t="shared" si="16"/>
        <v>62</v>
      </c>
      <c r="W159" s="27"/>
      <c r="X159" s="19">
        <f t="shared" si="17"/>
        <v>45.6</v>
      </c>
      <c r="Y159" s="13">
        <f t="shared" si="18"/>
        <v>65.1428571428572</v>
      </c>
    </row>
    <row r="160" ht="15.6" spans="1:25">
      <c r="A160" s="27">
        <v>312</v>
      </c>
      <c r="B160" s="27">
        <v>28</v>
      </c>
      <c r="C160" s="28" t="s">
        <v>603</v>
      </c>
      <c r="D160" s="28" t="s">
        <v>12</v>
      </c>
      <c r="E160" s="27">
        <v>15</v>
      </c>
      <c r="F160" s="29">
        <f>LOOKUP(E160,{0,-1.8,-0.8,0.2,1.2,2.2,3.2,4.6,6,7.4,8.8,10.2,11.6,13,14.4,15.8,17.2,19.1,21,22.8,24.6},{0,10,20,30,40,50,60,62,64,66,68,70,72,74,76,78,80,85,90,95,100})</f>
        <v>76</v>
      </c>
      <c r="G160" s="27">
        <v>230</v>
      </c>
      <c r="H160" s="29">
        <f>LOOKUP(G160,{0,180,185,190,195,200,205,209,213,217,221,225,229,233,237,241,245,253,260,265,270},{0,10,20,30,40,50,60,62,64,66,68,70,72,74,76,78,80,85,90,95,100})</f>
        <v>72</v>
      </c>
      <c r="I160" s="27">
        <v>0</v>
      </c>
      <c r="J160" s="29">
        <f>LOOKUP(I160,{0,4,5,6,7,8,9,10,11,12,13,14,15,16,17,18},{0,10,20,30,40,50,60,64,68,72,76,80,85,90,95,100})</f>
        <v>0</v>
      </c>
      <c r="K160" s="44"/>
      <c r="L160" s="35"/>
      <c r="M160" s="35">
        <f t="shared" si="13"/>
        <v>0</v>
      </c>
      <c r="N160" s="35">
        <v>7.5</v>
      </c>
      <c r="O160" s="36">
        <f t="shared" si="14"/>
        <v>10.5</v>
      </c>
      <c r="P160" s="29">
        <f>LOOKUP(O160,{0,7.8,8,8.2,8.4,8.6,8.8,9,9.2,9.4,9.6,9.8,10,10.2,10.4,10.6,10.8,10.9,11,11.1,11.2},{0,10,20,30,40,50,60,62,64,66,68,70,72,74,76,78,80,85,90,95,100})</f>
        <v>76</v>
      </c>
      <c r="Q160" s="5">
        <v>3.5</v>
      </c>
      <c r="R160" s="36">
        <f t="shared" si="15"/>
        <v>6.5</v>
      </c>
      <c r="S160" s="29">
        <f>LOOKUP(R160,{0,3.85,4.45,4.65,4.85,5.45,5.65,5.7,5.75,5.8,5.85,5.9,5.95,6,6.45,6.5,6.55,6.63,6.7,6.75,6.8},{0,10,20,30,40,50,60,62,64,66,68,70,72,74,76,78,80,85,90,95,100})</f>
        <v>78</v>
      </c>
      <c r="T160" s="27"/>
      <c r="U160" s="27"/>
      <c r="V160" s="27">
        <f t="shared" si="16"/>
        <v>78</v>
      </c>
      <c r="W160" s="27"/>
      <c r="X160" s="19">
        <f t="shared" si="17"/>
        <v>45.6</v>
      </c>
      <c r="Y160" s="13">
        <f t="shared" si="18"/>
        <v>65.1428571428572</v>
      </c>
    </row>
    <row r="161" ht="15.6" spans="1:25">
      <c r="A161" s="27">
        <v>301</v>
      </c>
      <c r="B161" s="27">
        <v>15</v>
      </c>
      <c r="C161" s="27" t="s">
        <v>26</v>
      </c>
      <c r="D161" s="27" t="s">
        <v>12</v>
      </c>
      <c r="E161" s="27">
        <v>20</v>
      </c>
      <c r="F161" s="29">
        <f>LOOKUP(E161,{0,-1.8,-0.8,0.2,1.2,2.2,3.2,4.6,6,7.4,8.8,10.2,11.6,13,14.4,15.8,17.2,19.1,21,22.8,24.6},{0,10,20,30,40,50,60,62,64,66,68,70,72,74,76,78,80,85,90,95,100})</f>
        <v>85</v>
      </c>
      <c r="G161" s="27">
        <v>250</v>
      </c>
      <c r="H161" s="29">
        <f>LOOKUP(G161,{0,180,185,190,195,200,205,209,213,217,221,225,229,233,237,241,245,253,260,265,270},{0,10,20,30,40,50,60,62,64,66,68,70,72,74,76,78,80,85,90,95,100})</f>
        <v>80</v>
      </c>
      <c r="I161" s="27">
        <v>0</v>
      </c>
      <c r="J161" s="29">
        <f>LOOKUP(I161,{0,4,5,6,7,8,9,10,11,12,13,14,15,16,17,18},{0,10,20,30,40,50,60,64,68,72,76,80,85,90,95,100})</f>
        <v>0</v>
      </c>
      <c r="K161" s="44"/>
      <c r="L161" s="35"/>
      <c r="M161" s="35">
        <f t="shared" si="13"/>
        <v>0</v>
      </c>
      <c r="N161" s="35">
        <v>7.1</v>
      </c>
      <c r="O161" s="36">
        <f t="shared" si="14"/>
        <v>10.9</v>
      </c>
      <c r="P161" s="29">
        <f>LOOKUP(O161,{0,7.8,8,8.2,8.4,8.6,8.8,9,9.2,9.4,9.6,9.8,10,10.2,10.4,10.6,10.8,10.9,11,11.1,11.2},{0,10,20,30,40,50,60,62,64,66,68,70,72,74,76,78,80,85,90,95,100})</f>
        <v>85</v>
      </c>
      <c r="Q161" s="5">
        <v>4.32</v>
      </c>
      <c r="R161" s="36">
        <f t="shared" si="15"/>
        <v>5.68</v>
      </c>
      <c r="S161" s="29">
        <f>LOOKUP(R161,{0,3.85,4.45,4.65,4.85,5.45,5.65,5.7,5.75,5.8,5.85,5.9,5.95,6,6.45,6.5,6.55,6.63,6.7,6.75,6.8},{0,10,20,30,40,50,60,62,64,66,68,70,72,74,76,78,80,85,90,95,100})</f>
        <v>60</v>
      </c>
      <c r="T161" s="27"/>
      <c r="U161" s="27"/>
      <c r="V161" s="27">
        <f t="shared" si="16"/>
        <v>60</v>
      </c>
      <c r="W161" s="27"/>
      <c r="X161" s="19">
        <f t="shared" si="17"/>
        <v>45.5</v>
      </c>
      <c r="Y161" s="13">
        <f t="shared" si="18"/>
        <v>65</v>
      </c>
    </row>
    <row r="162" ht="15.6" spans="1:25">
      <c r="A162" s="27">
        <v>310</v>
      </c>
      <c r="B162" s="27">
        <v>39</v>
      </c>
      <c r="C162" s="28" t="s">
        <v>499</v>
      </c>
      <c r="D162" s="28" t="s">
        <v>12</v>
      </c>
      <c r="E162" s="27">
        <v>23</v>
      </c>
      <c r="F162" s="29">
        <f>LOOKUP(E162,{0,-1.8,-0.8,0.2,1.2,2.2,3.2,4.6,6,7.4,8.8,10.2,11.6,13,14.4,15.8,17.2,19.1,21,22.8,24.6},{0,10,20,30,40,50,60,62,64,66,68,70,72,74,76,78,80,85,90,95,100})</f>
        <v>95</v>
      </c>
      <c r="G162" s="27">
        <v>205</v>
      </c>
      <c r="H162" s="29">
        <f>LOOKUP(G162,{0,180,185,190,195,200,205,209,213,217,221,225,229,233,237,241,245,253,260,265,270},{0,10,20,30,40,50,60,62,64,66,68,70,72,74,76,78,80,85,90,95,100})</f>
        <v>60</v>
      </c>
      <c r="I162" s="27">
        <v>3</v>
      </c>
      <c r="J162" s="29">
        <f>LOOKUP(I162,{0,4,5,6,7,8,9,10,11,12,13,14,15,16,17,18},{0,10,20,30,40,50,60,64,68,72,76,80,85,90,95,100})</f>
        <v>0</v>
      </c>
      <c r="K162" s="44"/>
      <c r="L162" s="35"/>
      <c r="M162" s="35">
        <f t="shared" si="13"/>
        <v>0</v>
      </c>
      <c r="N162" s="35">
        <v>8</v>
      </c>
      <c r="O162" s="36">
        <f t="shared" si="14"/>
        <v>10</v>
      </c>
      <c r="P162" s="29">
        <f>LOOKUP(O162,{0,7.8,8,8.2,8.4,8.6,8.8,9,9.2,9.4,9.6,9.8,10,10.2,10.4,10.6,10.8,10.9,11,11.1,11.2},{0,10,20,30,40,50,60,62,64,66,68,70,72,74,76,78,80,85,90,95,100})</f>
        <v>72</v>
      </c>
      <c r="Q162" s="5">
        <v>3.48</v>
      </c>
      <c r="R162" s="36">
        <f t="shared" si="15"/>
        <v>6.52</v>
      </c>
      <c r="S162" s="29">
        <f>LOOKUP(R162,{0,3.85,4.45,4.65,4.85,5.45,5.65,5.7,5.75,5.8,5.85,5.9,5.95,6,6.45,6.5,6.55,6.63,6.7,6.75,6.8},{0,10,20,30,40,50,60,62,64,66,68,70,72,74,76,78,80,85,90,95,100})</f>
        <v>78</v>
      </c>
      <c r="T162" s="27"/>
      <c r="U162" s="27"/>
      <c r="V162" s="27">
        <f t="shared" si="16"/>
        <v>78</v>
      </c>
      <c r="W162" s="27"/>
      <c r="X162" s="19">
        <f t="shared" si="17"/>
        <v>45.5</v>
      </c>
      <c r="Y162" s="13">
        <f t="shared" si="18"/>
        <v>65</v>
      </c>
    </row>
    <row r="163" ht="15.6" spans="1:25">
      <c r="A163" s="27">
        <v>302</v>
      </c>
      <c r="B163" s="27">
        <v>9</v>
      </c>
      <c r="C163" s="27" t="s">
        <v>66</v>
      </c>
      <c r="D163" s="27" t="s">
        <v>12</v>
      </c>
      <c r="E163" s="27">
        <v>12</v>
      </c>
      <c r="F163" s="29">
        <f>LOOKUP(E163,{0,-1.8,-0.8,0.2,1.2,2.2,3.2,4.6,6,7.4,8.8,10.2,11.6,13,14.4,15.8,17.2,19.1,21,22.8,24.6},{0,10,20,30,40,50,60,62,64,66,68,70,72,74,76,78,80,85,90,95,100})</f>
        <v>72</v>
      </c>
      <c r="G163" s="27">
        <v>241</v>
      </c>
      <c r="H163" s="29">
        <f>LOOKUP(G163,{0,180,185,190,195,200,205,209,213,217,221,225,229,233,237,241,245,253,260,265,270},{0,10,20,30,40,50,60,62,64,66,68,70,72,74,76,78,80,85,90,95,100})</f>
        <v>78</v>
      </c>
      <c r="I163" s="27">
        <v>5</v>
      </c>
      <c r="J163" s="29">
        <f>LOOKUP(I163,{0,4,5,6,7,8,9,10,11,12,13,14,15,16,17,18},{0,10,20,30,40,50,60,64,68,72,76,80,85,90,95,100})</f>
        <v>20</v>
      </c>
      <c r="K163" s="44"/>
      <c r="L163" s="35"/>
      <c r="M163" s="35">
        <f t="shared" si="13"/>
        <v>20</v>
      </c>
      <c r="N163" s="35">
        <v>7.7</v>
      </c>
      <c r="O163" s="36">
        <f t="shared" si="14"/>
        <v>10.3</v>
      </c>
      <c r="P163" s="29">
        <f>LOOKUP(O163,{0,7.8,8,8.2,8.4,8.6,8.8,9,9.2,9.4,9.6,9.8,10,10.2,10.4,10.6,10.8,10.9,11,11.1,11.2},{0,10,20,30,40,50,60,62,64,66,68,70,72,74,76,78,80,85,90,95,100})</f>
        <v>74</v>
      </c>
      <c r="Q163" s="5">
        <v>4.11</v>
      </c>
      <c r="R163" s="36">
        <f t="shared" si="15"/>
        <v>5.89</v>
      </c>
      <c r="S163" s="29">
        <f>LOOKUP(R163,{0,3.85,4.45,4.65,4.85,5.45,5.65,5.7,5.75,5.8,5.85,5.9,5.95,6,6.45,6.5,6.55,6.63,6.7,6.75,6.8},{0,10,20,30,40,50,60,62,64,66,68,70,72,74,76,78,80,85,90,95,100})</f>
        <v>68</v>
      </c>
      <c r="T163" s="27"/>
      <c r="U163" s="27"/>
      <c r="V163" s="27">
        <f t="shared" si="16"/>
        <v>68</v>
      </c>
      <c r="W163" s="27"/>
      <c r="X163" s="19">
        <f t="shared" si="17"/>
        <v>45.4</v>
      </c>
      <c r="Y163" s="13">
        <f t="shared" si="18"/>
        <v>64.8571428571429</v>
      </c>
    </row>
    <row r="164" ht="15.6" spans="1:25">
      <c r="A164" s="27">
        <v>303</v>
      </c>
      <c r="B164" s="27">
        <v>5</v>
      </c>
      <c r="C164" s="27" t="s">
        <v>107</v>
      </c>
      <c r="D164" s="27" t="s">
        <v>12</v>
      </c>
      <c r="E164" s="27">
        <v>12</v>
      </c>
      <c r="F164" s="29">
        <f>LOOKUP(E164,{0,-1.8,-0.8,0.2,1.2,2.2,3.2,4.6,6,7.4,8.8,10.2,11.6,13,14.4,15.8,17.2,19.1,21,22.8,24.6},{0,10,20,30,40,50,60,62,64,66,68,70,72,74,76,78,80,85,90,95,100})</f>
        <v>72</v>
      </c>
      <c r="G164" s="27">
        <v>220</v>
      </c>
      <c r="H164" s="29">
        <f>LOOKUP(G164,{0,180,185,190,195,200,205,209,213,217,221,225,229,233,237,241,245,253,260,265,270},{0,10,20,30,40,50,60,62,64,66,68,70,72,74,76,78,80,85,90,95,100})</f>
        <v>66</v>
      </c>
      <c r="I164" s="27">
        <v>5</v>
      </c>
      <c r="J164" s="29">
        <f>LOOKUP(I164,{0,4,5,6,7,8,9,10,11,12,13,14,15,16,17,18},{0,10,20,30,40,50,60,64,68,72,76,80,85,90,95,100})</f>
        <v>20</v>
      </c>
      <c r="K164" s="44"/>
      <c r="L164" s="35"/>
      <c r="M164" s="35">
        <f t="shared" si="13"/>
        <v>20</v>
      </c>
      <c r="N164" s="35">
        <v>7.4</v>
      </c>
      <c r="O164" s="36">
        <f t="shared" si="14"/>
        <v>10.6</v>
      </c>
      <c r="P164" s="29">
        <f>LOOKUP(O164,{0,7.8,8,8.2,8.4,8.6,8.8,9,9.2,9.4,9.6,9.8,10,10.2,10.4,10.6,10.8,10.9,11,11.1,11.2},{0,10,20,30,40,50,60,62,64,66,68,70,72,74,76,78,80,85,90,95,100})</f>
        <v>78</v>
      </c>
      <c r="Q164" s="5">
        <v>4.08</v>
      </c>
      <c r="R164" s="36">
        <f t="shared" si="15"/>
        <v>5.92</v>
      </c>
      <c r="S164" s="29">
        <f>LOOKUP(R164,{0,3.85,4.45,4.65,4.85,5.45,5.65,5.7,5.75,5.8,5.85,5.9,5.95,6,6.45,6.5,6.55,6.63,6.7,6.75,6.8},{0,10,20,30,40,50,60,62,64,66,68,70,72,74,76,78,80,85,90,95,100})</f>
        <v>70</v>
      </c>
      <c r="T164" s="27"/>
      <c r="U164" s="27"/>
      <c r="V164" s="27">
        <f t="shared" si="16"/>
        <v>70</v>
      </c>
      <c r="W164" s="27"/>
      <c r="X164" s="19">
        <f t="shared" si="17"/>
        <v>45.4</v>
      </c>
      <c r="Y164" s="13">
        <f t="shared" si="18"/>
        <v>64.8571428571429</v>
      </c>
    </row>
    <row r="165" ht="15.6" spans="1:25">
      <c r="A165" s="27">
        <v>310</v>
      </c>
      <c r="B165" s="27">
        <v>29</v>
      </c>
      <c r="C165" s="28" t="s">
        <v>488</v>
      </c>
      <c r="D165" s="28" t="s">
        <v>12</v>
      </c>
      <c r="E165" s="27">
        <v>22.5</v>
      </c>
      <c r="F165" s="29">
        <f>LOOKUP(E165,{0,-1.8,-0.8,0.2,1.2,2.2,3.2,4.6,6,7.4,8.8,10.2,11.6,13,14.4,15.8,17.2,19.1,21,22.8,24.6},{0,10,20,30,40,50,60,62,64,66,68,70,72,74,76,78,80,85,90,95,100})</f>
        <v>90</v>
      </c>
      <c r="G165" s="27">
        <v>230</v>
      </c>
      <c r="H165" s="29">
        <f>LOOKUP(G165,{0,180,185,190,195,200,205,209,213,217,221,225,229,233,237,241,245,253,260,265,270},{0,10,20,30,40,50,60,62,64,66,68,70,72,74,76,78,80,85,90,95,100})</f>
        <v>72</v>
      </c>
      <c r="I165" s="27">
        <v>3</v>
      </c>
      <c r="J165" s="29">
        <f>LOOKUP(I165,{0,4,5,6,7,8,9,10,11,12,13,14,15,16,17,18},{0,10,20,30,40,50,60,64,68,72,76,80,85,90,95,100})</f>
        <v>0</v>
      </c>
      <c r="K165" s="44"/>
      <c r="L165" s="35"/>
      <c r="M165" s="35">
        <f t="shared" si="13"/>
        <v>0</v>
      </c>
      <c r="N165" s="35">
        <v>7.5</v>
      </c>
      <c r="O165" s="36">
        <f t="shared" si="14"/>
        <v>10.5</v>
      </c>
      <c r="P165" s="29">
        <f>LOOKUP(O165,{0,7.8,8,8.2,8.4,8.6,8.8,9,9.2,9.4,9.6,9.8,10,10.2,10.4,10.6,10.8,10.9,11,11.1,11.2},{0,10,20,30,40,50,60,62,64,66,68,70,72,74,76,78,80,85,90,95,100})</f>
        <v>76</v>
      </c>
      <c r="Q165" s="5">
        <v>4.06</v>
      </c>
      <c r="R165" s="36">
        <f t="shared" si="15"/>
        <v>5.94</v>
      </c>
      <c r="S165" s="29">
        <f>LOOKUP(R165,{0,3.85,4.45,4.65,4.85,5.45,5.65,5.7,5.75,5.8,5.85,5.9,5.95,6,6.45,6.5,6.55,6.63,6.7,6.75,6.8},{0,10,20,30,40,50,60,62,64,66,68,70,72,74,76,78,80,85,90,95,100})</f>
        <v>70</v>
      </c>
      <c r="T165" s="27"/>
      <c r="U165" s="27"/>
      <c r="V165" s="27">
        <f t="shared" si="16"/>
        <v>70</v>
      </c>
      <c r="W165" s="27"/>
      <c r="X165" s="19">
        <f t="shared" si="17"/>
        <v>45.4</v>
      </c>
      <c r="Y165" s="13">
        <f t="shared" si="18"/>
        <v>64.8571428571429</v>
      </c>
    </row>
    <row r="166" ht="15.6" spans="1:25">
      <c r="A166" s="27">
        <v>310</v>
      </c>
      <c r="B166" s="27">
        <v>31</v>
      </c>
      <c r="C166" s="28" t="s">
        <v>490</v>
      </c>
      <c r="D166" s="28" t="s">
        <v>12</v>
      </c>
      <c r="E166" s="27">
        <v>11</v>
      </c>
      <c r="F166" s="29">
        <f>LOOKUP(E166,{0,-1.8,-0.8,0.2,1.2,2.2,3.2,4.6,6,7.4,8.8,10.2,11.6,13,14.4,15.8,17.2,19.1,21,22.8,24.6},{0,10,20,30,40,50,60,62,64,66,68,70,72,74,76,78,80,85,90,95,100})</f>
        <v>70</v>
      </c>
      <c r="G166" s="27">
        <v>245</v>
      </c>
      <c r="H166" s="29">
        <f>LOOKUP(G166,{0,180,185,190,195,200,205,209,213,217,221,225,229,233,237,241,245,253,260,265,270},{0,10,20,30,40,50,60,62,64,66,68,70,72,74,76,78,80,85,90,95,100})</f>
        <v>80</v>
      </c>
      <c r="I166" s="27">
        <v>10</v>
      </c>
      <c r="J166" s="29">
        <f>LOOKUP(I166,{0,4,5,6,7,8,9,10,11,12,13,14,15,16,17,18},{0,10,20,30,40,50,60,64,68,72,76,80,85,90,95,100})</f>
        <v>64</v>
      </c>
      <c r="K166" s="44"/>
      <c r="L166" s="35"/>
      <c r="M166" s="35">
        <f t="shared" si="13"/>
        <v>64</v>
      </c>
      <c r="N166" s="35">
        <v>8.2</v>
      </c>
      <c r="O166" s="36">
        <f t="shared" si="14"/>
        <v>9.8</v>
      </c>
      <c r="P166" s="29">
        <f>LOOKUP(O166,{0,7.8,8,8.2,8.4,8.6,8.8,9,9.2,9.4,9.6,9.8,10,10.2,10.4,10.6,10.8,10.9,11,11.1,11.2},{0,10,20,30,40,50,60,62,64,66,68,70,72,74,76,78,80,85,90,95,100})</f>
        <v>70</v>
      </c>
      <c r="Q166" s="5">
        <v>4.38</v>
      </c>
      <c r="R166" s="36">
        <f t="shared" si="15"/>
        <v>5.62</v>
      </c>
      <c r="S166" s="29">
        <f>LOOKUP(R166,{0,3.85,4.45,4.65,4.85,5.45,5.65,5.7,5.75,5.8,5.85,5.9,5.95,6,6.45,6.5,6.55,6.63,6.7,6.75,6.8},{0,10,20,30,40,50,60,62,64,66,68,70,72,74,76,78,80,85,90,95,100})</f>
        <v>50</v>
      </c>
      <c r="T166" s="27"/>
      <c r="U166" s="27"/>
      <c r="V166" s="27">
        <f t="shared" si="16"/>
        <v>50</v>
      </c>
      <c r="W166" s="27"/>
      <c r="X166" s="19">
        <f t="shared" si="17"/>
        <v>45.4</v>
      </c>
      <c r="Y166" s="13">
        <f t="shared" si="18"/>
        <v>64.8571428571429</v>
      </c>
    </row>
    <row r="167" ht="15.6" spans="1:25">
      <c r="A167" s="27">
        <v>316</v>
      </c>
      <c r="B167" s="27">
        <v>8</v>
      </c>
      <c r="C167" s="28" t="s">
        <v>795</v>
      </c>
      <c r="D167" s="28" t="s">
        <v>12</v>
      </c>
      <c r="E167" s="27">
        <v>14</v>
      </c>
      <c r="F167" s="29">
        <f>LOOKUP(E167,{0,-1.8,-0.8,0.2,1.2,2.2,3.2,4.6,6,7.4,8.8,10.2,11.6,13,14.4,15.8,17.2,19.1,21,22.8,24.6},{0,10,20,30,40,50,60,62,64,66,68,70,72,74,76,78,80,85,90,95,100})</f>
        <v>74</v>
      </c>
      <c r="G167" s="27">
        <v>250</v>
      </c>
      <c r="H167" s="29">
        <f>LOOKUP(G167,{0,180,185,190,195,200,205,209,213,217,221,225,229,233,237,241,245,253,260,265,270},{0,10,20,30,40,50,60,62,64,66,68,70,72,74,76,78,80,85,90,95,100})</f>
        <v>80</v>
      </c>
      <c r="I167" s="27">
        <v>2</v>
      </c>
      <c r="J167" s="29">
        <f>LOOKUP(I167,{0,4,5,6,7,8,9,10,11,12,13,14,15,16,17,18},{0,10,20,30,40,50,60,64,68,72,76,80,85,90,95,100})</f>
        <v>0</v>
      </c>
      <c r="K167" s="44"/>
      <c r="L167" s="35"/>
      <c r="M167" s="35">
        <f t="shared" si="13"/>
        <v>0</v>
      </c>
      <c r="N167" s="35">
        <v>6.8</v>
      </c>
      <c r="O167" s="36">
        <f t="shared" si="14"/>
        <v>11.2</v>
      </c>
      <c r="P167" s="29">
        <f>LOOKUP(O167,{0,7.8,8,8.2,8.4,8.6,8.8,9,9.2,9.4,9.6,9.8,10,10.2,10.4,10.6,10.8,10.9,11,11.1,11.2},{0,10,20,30,40,50,60,62,64,66,68,70,72,74,76,78,80,85,90,95,100})</f>
        <v>100</v>
      </c>
      <c r="Q167" s="5">
        <v>4.54</v>
      </c>
      <c r="R167" s="36">
        <f t="shared" si="15"/>
        <v>5.46</v>
      </c>
      <c r="S167" s="29">
        <f>LOOKUP(R167,{0,3.85,4.45,4.65,4.85,5.45,5.65,5.7,5.75,5.8,5.85,5.9,5.95,6,6.45,6.5,6.55,6.63,6.7,6.75,6.8},{0,10,20,30,40,50,60,62,64,66,68,70,72,74,76,78,80,85,90,95,100})</f>
        <v>50</v>
      </c>
      <c r="T167" s="27"/>
      <c r="U167" s="27"/>
      <c r="V167" s="27">
        <f t="shared" si="16"/>
        <v>50</v>
      </c>
      <c r="W167" s="27"/>
      <c r="X167" s="19">
        <f t="shared" si="17"/>
        <v>45.4</v>
      </c>
      <c r="Y167" s="13">
        <f t="shared" si="18"/>
        <v>64.8571428571429</v>
      </c>
    </row>
    <row r="168" ht="15.6" spans="1:25">
      <c r="A168" s="27">
        <v>311</v>
      </c>
      <c r="B168" s="27">
        <v>48</v>
      </c>
      <c r="C168" s="28" t="s">
        <v>564</v>
      </c>
      <c r="D168" s="28" t="s">
        <v>12</v>
      </c>
      <c r="E168" s="27">
        <v>17</v>
      </c>
      <c r="F168" s="29">
        <f>LOOKUP(E168,{0,-1.8,-0.8,0.2,1.2,2.2,3.2,4.6,6,7.4,8.8,10.2,11.6,13,14.4,15.8,17.2,19.1,21,22.8,24.6},{0,10,20,30,40,50,60,62,64,66,68,70,72,74,76,78,80,85,90,95,100})</f>
        <v>78</v>
      </c>
      <c r="G168" s="27">
        <v>269</v>
      </c>
      <c r="H168" s="29">
        <f>LOOKUP(G168,{0,180,185,190,195,200,205,209,213,217,221,225,229,233,237,241,245,253,260,265,270},{0,10,20,30,40,50,60,62,64,66,68,70,72,74,76,78,80,85,90,95,100})</f>
        <v>95</v>
      </c>
      <c r="I168" s="27">
        <v>3</v>
      </c>
      <c r="J168" s="29">
        <f>LOOKUP(I168,{0,4,5,6,7,8,9,10,11,12,13,14,15,16,17,18},{0,10,20,30,40,50,60,64,68,72,76,80,85,90,95,100})</f>
        <v>0</v>
      </c>
      <c r="K168" s="44"/>
      <c r="L168" s="35"/>
      <c r="M168" s="35">
        <f t="shared" si="13"/>
        <v>0</v>
      </c>
      <c r="N168" s="35">
        <v>7</v>
      </c>
      <c r="O168" s="36">
        <f t="shared" si="14"/>
        <v>11</v>
      </c>
      <c r="P168" s="29">
        <f>LOOKUP(O168,{0,7.8,8,8.2,8.4,8.6,8.8,9,9.2,9.4,9.6,9.8,10,10.2,10.4,10.6,10.8,10.9,11,11.1,11.2},{0,10,20,30,40,50,60,62,64,66,68,70,72,74,76,78,80,85,90,95,100})</f>
        <v>90</v>
      </c>
      <c r="Q168" s="5">
        <v>4.48</v>
      </c>
      <c r="R168" s="36">
        <f t="shared" si="15"/>
        <v>5.52</v>
      </c>
      <c r="S168" s="29">
        <f>LOOKUP(R168,{0,3.85,4.45,4.65,4.85,5.45,5.65,5.7,5.75,5.8,5.85,5.9,5.95,6,6.45,6.5,6.55,6.63,6.7,6.75,6.8},{0,10,20,30,40,50,60,62,64,66,68,70,72,74,76,78,80,85,90,95,100})</f>
        <v>50</v>
      </c>
      <c r="T168" s="27"/>
      <c r="U168" s="27"/>
      <c r="V168" s="27">
        <f t="shared" si="16"/>
        <v>50</v>
      </c>
      <c r="W168" s="27"/>
      <c r="X168" s="19">
        <f t="shared" si="17"/>
        <v>45.3</v>
      </c>
      <c r="Y168" s="13">
        <f t="shared" si="18"/>
        <v>64.7142857142857</v>
      </c>
    </row>
    <row r="169" ht="15.6" spans="1:25">
      <c r="A169" s="27">
        <v>305</v>
      </c>
      <c r="B169" s="27">
        <v>17</v>
      </c>
      <c r="C169" s="28" t="s">
        <v>202</v>
      </c>
      <c r="D169" s="28" t="s">
        <v>12</v>
      </c>
      <c r="E169" s="27">
        <v>5.5</v>
      </c>
      <c r="F169" s="29">
        <f>LOOKUP(E169,{0,-1.8,-0.8,0.2,1.2,2.2,3.2,4.6,6,7.4,8.8,10.2,11.6,13,14.4,15.8,17.2,19.1,21,22.8,24.6},{0,10,20,30,40,50,60,62,64,66,68,70,72,74,76,78,80,85,90,95,100})</f>
        <v>62</v>
      </c>
      <c r="G169" s="27">
        <v>219</v>
      </c>
      <c r="H169" s="29">
        <f>LOOKUP(G169,{0,180,185,190,195,200,205,209,213,217,221,225,229,233,237,241,245,253,260,265,270},{0,10,20,30,40,50,60,62,64,66,68,70,72,74,76,78,80,85,90,95,100})</f>
        <v>66</v>
      </c>
      <c r="I169" s="27">
        <v>7</v>
      </c>
      <c r="J169" s="29">
        <f>LOOKUP(I169,{0,4,5,6,7,8,9,10,11,12,13,14,15,16,17,18},{0,10,20,30,40,50,60,64,68,72,76,80,85,90,95,100})</f>
        <v>40</v>
      </c>
      <c r="K169" s="44"/>
      <c r="L169" s="35"/>
      <c r="M169" s="35">
        <f t="shared" si="13"/>
        <v>40</v>
      </c>
      <c r="N169" s="35">
        <v>7.6</v>
      </c>
      <c r="O169" s="36">
        <f t="shared" si="14"/>
        <v>10.4</v>
      </c>
      <c r="P169" s="29">
        <f>LOOKUP(O169,{0,7.8,8,8.2,8.4,8.6,8.8,9,9.2,9.4,9.6,9.8,10,10.2,10.4,10.6,10.8,10.9,11,11.1,11.2},{0,10,20,30,40,50,60,62,64,66,68,70,72,74,76,78,80,85,90,95,100})</f>
        <v>76</v>
      </c>
      <c r="Q169" s="5">
        <v>4.16</v>
      </c>
      <c r="R169" s="36">
        <f t="shared" si="15"/>
        <v>5.84</v>
      </c>
      <c r="S169" s="29">
        <f>LOOKUP(R169,{0,3.85,4.45,4.65,4.85,5.45,5.65,5.7,5.75,5.8,5.85,5.9,5.95,6,6.45,6.5,6.55,6.63,6.7,6.75,6.8},{0,10,20,30,40,50,60,62,64,66,68,70,72,74,76,78,80,85,90,95,100})</f>
        <v>66</v>
      </c>
      <c r="T169" s="27"/>
      <c r="U169" s="27"/>
      <c r="V169" s="27">
        <f t="shared" si="16"/>
        <v>66</v>
      </c>
      <c r="W169" s="27"/>
      <c r="X169" s="19">
        <f t="shared" si="17"/>
        <v>45.2</v>
      </c>
      <c r="Y169" s="13">
        <f t="shared" si="18"/>
        <v>64.5714285714286</v>
      </c>
    </row>
    <row r="170" ht="15.6" spans="1:25">
      <c r="A170" s="27">
        <v>316</v>
      </c>
      <c r="B170" s="27">
        <v>1</v>
      </c>
      <c r="C170" s="30" t="s">
        <v>788</v>
      </c>
      <c r="D170" s="28" t="s">
        <v>12</v>
      </c>
      <c r="E170" s="27">
        <v>1</v>
      </c>
      <c r="F170" s="29">
        <f>LOOKUP(E170,{0,-1.8,-0.8,0.2,1.2,2.2,3.2,4.6,6,7.4,8.8,10.2,11.6,13,14.4,15.8,17.2,19.1,21,22.8,24.6},{0,10,20,30,40,50,60,62,64,66,68,70,72,74,76,78,80,85,90,95,100})</f>
        <v>30</v>
      </c>
      <c r="G170" s="27">
        <v>230</v>
      </c>
      <c r="H170" s="29">
        <f>LOOKUP(G170,{0,180,185,190,195,200,205,209,213,217,221,225,229,233,237,241,245,253,260,265,270},{0,10,20,30,40,50,60,62,64,66,68,70,72,74,76,78,80,85,90,95,100})</f>
        <v>72</v>
      </c>
      <c r="I170" s="27">
        <v>8</v>
      </c>
      <c r="J170" s="29">
        <f>LOOKUP(I170,{0,4,5,6,7,8,9,10,11,12,13,14,15,16,17,18},{0,10,20,30,40,50,60,64,68,72,76,80,85,90,95,100})</f>
        <v>50</v>
      </c>
      <c r="K170" s="44"/>
      <c r="L170" s="35"/>
      <c r="M170" s="35">
        <f t="shared" si="13"/>
        <v>50</v>
      </c>
      <c r="N170" s="35">
        <v>6.8</v>
      </c>
      <c r="O170" s="36">
        <f t="shared" si="14"/>
        <v>11.2</v>
      </c>
      <c r="P170" s="29">
        <f>LOOKUP(O170,{0,7.8,8,8.2,8.4,8.6,8.8,9,9.2,9.4,9.6,9.8,10,10.2,10.4,10.6,10.8,10.9,11,11.1,11.2},{0,10,20,30,40,50,60,62,64,66,68,70,72,74,76,78,80,85,90,95,100})</f>
        <v>100</v>
      </c>
      <c r="Q170" s="5">
        <v>4.54</v>
      </c>
      <c r="R170" s="36">
        <f t="shared" si="15"/>
        <v>5.46</v>
      </c>
      <c r="S170" s="29">
        <f>LOOKUP(R170,{0,3.85,4.45,4.65,4.85,5.45,5.65,5.7,5.75,5.8,5.85,5.9,5.95,6,6.45,6.5,6.55,6.63,6.7,6.75,6.8},{0,10,20,30,40,50,60,62,64,66,68,70,72,74,76,78,80,85,90,95,100})</f>
        <v>50</v>
      </c>
      <c r="T170" s="27"/>
      <c r="U170" s="27"/>
      <c r="V170" s="27">
        <f t="shared" si="16"/>
        <v>50</v>
      </c>
      <c r="W170" s="27"/>
      <c r="X170" s="19">
        <f t="shared" si="17"/>
        <v>45.2</v>
      </c>
      <c r="Y170" s="13">
        <f t="shared" si="18"/>
        <v>64.5714285714286</v>
      </c>
    </row>
    <row r="171" ht="15.6" spans="1:25">
      <c r="A171" s="27">
        <v>305</v>
      </c>
      <c r="B171" s="27">
        <v>22</v>
      </c>
      <c r="C171" s="28" t="s">
        <v>208</v>
      </c>
      <c r="D171" s="28" t="s">
        <v>12</v>
      </c>
      <c r="E171" s="27">
        <v>25.5</v>
      </c>
      <c r="F171" s="29">
        <f>LOOKUP(E171,{0,-1.8,-0.8,0.2,1.2,2.2,3.2,4.6,6,7.4,8.8,10.2,11.6,13,14.4,15.8,17.2,19.1,21,22.8,24.6},{0,10,20,30,40,50,60,62,64,66,68,70,72,74,76,78,80,85,90,95,100})</f>
        <v>100</v>
      </c>
      <c r="G171" s="27">
        <v>280</v>
      </c>
      <c r="H171" s="29">
        <f>LOOKUP(G171,{0,180,185,190,195,200,205,209,213,217,221,225,229,233,237,241,245,253,260,265,270},{0,10,20,30,40,50,60,62,64,66,68,70,72,74,76,78,80,85,90,95,100})</f>
        <v>100</v>
      </c>
      <c r="I171" s="27">
        <v>8</v>
      </c>
      <c r="J171" s="29">
        <f>LOOKUP(I171,{0,4,5,6,7,8,9,10,11,12,13,14,15,16,17,18},{0,10,20,30,40,50,60,64,68,72,76,80,85,90,95,100})</f>
        <v>50</v>
      </c>
      <c r="K171" s="44"/>
      <c r="L171" s="35"/>
      <c r="M171" s="35">
        <f t="shared" si="13"/>
        <v>50</v>
      </c>
      <c r="N171" s="35">
        <v>6.8</v>
      </c>
      <c r="O171" s="36">
        <f t="shared" si="14"/>
        <v>11.2</v>
      </c>
      <c r="P171" s="29">
        <f>LOOKUP(O171,{0,7.8,8,8.2,8.4,8.6,8.8,9,9.2,9.4,9.6,9.8,10,10.2,10.4,10.6,10.8,10.9,11,11.1,11.2},{0,10,20,30,40,50,60,62,64,66,68,70,72,74,76,78,80,85,90,95,100})</f>
        <v>100</v>
      </c>
      <c r="Q171" s="5">
        <v>6.48</v>
      </c>
      <c r="R171" s="36">
        <f t="shared" si="15"/>
        <v>3.52</v>
      </c>
      <c r="S171" s="29">
        <f>LOOKUP(R171,{0,3.85,4.45,4.65,4.85,5.45,5.65,5.7,5.75,5.8,5.85,5.9,5.95,6,6.45,6.5,6.55,6.63,6.7,6.75,6.8},{0,10,20,30,40,50,60,62,64,66,68,70,72,74,76,78,80,85,90,95,100})</f>
        <v>0</v>
      </c>
      <c r="T171" s="27"/>
      <c r="U171" s="27"/>
      <c r="V171" s="27">
        <f t="shared" si="16"/>
        <v>0</v>
      </c>
      <c r="W171" s="27"/>
      <c r="X171" s="19">
        <f t="shared" si="17"/>
        <v>45</v>
      </c>
      <c r="Y171" s="13">
        <f t="shared" si="18"/>
        <v>64.2857142857143</v>
      </c>
    </row>
    <row r="172" ht="15.6" spans="1:25">
      <c r="A172" s="27">
        <v>308</v>
      </c>
      <c r="B172" s="27">
        <v>4</v>
      </c>
      <c r="C172" s="28" t="s">
        <v>355</v>
      </c>
      <c r="D172" s="28" t="s">
        <v>12</v>
      </c>
      <c r="E172" s="27">
        <v>17</v>
      </c>
      <c r="F172" s="29">
        <f>LOOKUP(E172,{0,-1.8,-0.8,0.2,1.2,2.2,3.2,4.6,6,7.4,8.8,10.2,11.6,13,14.4,15.8,17.2,19.1,21,22.8,24.6},{0,10,20,30,40,50,60,62,64,66,68,70,72,74,76,78,80,85,90,95,100})</f>
        <v>78</v>
      </c>
      <c r="G172" s="27">
        <v>245</v>
      </c>
      <c r="H172" s="29">
        <f>LOOKUP(G172,{0,180,185,190,195,200,205,209,213,217,221,225,229,233,237,241,245,253,260,265,270},{0,10,20,30,40,50,60,62,64,66,68,70,72,74,76,78,80,85,90,95,100})</f>
        <v>80</v>
      </c>
      <c r="I172" s="27">
        <v>2</v>
      </c>
      <c r="J172" s="29">
        <f>LOOKUP(I172,{0,4,5,6,7,8,9,10,11,12,13,14,15,16,17,18},{0,10,20,30,40,50,60,64,68,72,76,80,85,90,95,100})</f>
        <v>0</v>
      </c>
      <c r="K172" s="44"/>
      <c r="L172" s="35"/>
      <c r="M172" s="35">
        <f t="shared" si="13"/>
        <v>0</v>
      </c>
      <c r="N172" s="35">
        <v>6.9</v>
      </c>
      <c r="O172" s="36">
        <f t="shared" si="14"/>
        <v>11.1</v>
      </c>
      <c r="P172" s="29">
        <f>LOOKUP(O172,{0,7.8,8,8.2,8.4,8.6,8.8,9,9.2,9.4,9.6,9.8,10,10.2,10.4,10.6,10.8,10.9,11,11.1,11.2},{0,10,20,30,40,50,60,62,64,66,68,70,72,74,76,78,80,85,90,95,100})</f>
        <v>95</v>
      </c>
      <c r="Q172" s="5">
        <v>4.49</v>
      </c>
      <c r="R172" s="36">
        <f t="shared" si="15"/>
        <v>5.51</v>
      </c>
      <c r="S172" s="29">
        <f>LOOKUP(R172,{0,3.85,4.45,4.65,4.85,5.45,5.65,5.7,5.75,5.8,5.85,5.9,5.95,6,6.45,6.5,6.55,6.63,6.7,6.75,6.8},{0,10,20,30,40,50,60,62,64,66,68,70,72,74,76,78,80,85,90,95,100})</f>
        <v>50</v>
      </c>
      <c r="T172" s="27"/>
      <c r="U172" s="27"/>
      <c r="V172" s="27">
        <f t="shared" si="16"/>
        <v>50</v>
      </c>
      <c r="W172" s="27"/>
      <c r="X172" s="19">
        <f t="shared" si="17"/>
        <v>44.8</v>
      </c>
      <c r="Y172" s="13">
        <f t="shared" si="18"/>
        <v>64</v>
      </c>
    </row>
    <row r="173" ht="15.6" spans="1:25">
      <c r="A173" s="27">
        <v>316</v>
      </c>
      <c r="B173" s="27">
        <v>12</v>
      </c>
      <c r="C173" s="28" t="s">
        <v>799</v>
      </c>
      <c r="D173" s="28" t="s">
        <v>12</v>
      </c>
      <c r="E173" s="27">
        <v>6.3</v>
      </c>
      <c r="F173" s="29">
        <f>LOOKUP(E173,{0,-1.8,-0.8,0.2,1.2,2.2,3.2,4.6,6,7.4,8.8,10.2,11.6,13,14.4,15.8,17.2,19.1,21,22.8,24.6},{0,10,20,30,40,50,60,62,64,66,68,70,72,74,76,78,80,85,90,95,100})</f>
        <v>64</v>
      </c>
      <c r="G173" s="27">
        <v>210</v>
      </c>
      <c r="H173" s="29">
        <f>LOOKUP(G173,{0,180,185,190,195,200,205,209,213,217,221,225,229,233,237,241,245,253,260,265,270},{0,10,20,30,40,50,60,62,64,66,68,70,72,74,76,78,80,85,90,95,100})</f>
        <v>62</v>
      </c>
      <c r="I173" s="27">
        <v>5</v>
      </c>
      <c r="J173" s="29">
        <f>LOOKUP(I173,{0,4,5,6,7,8,9,10,11,12,13,14,15,16,17,18},{0,10,20,30,40,50,60,64,68,72,76,80,85,90,95,100})</f>
        <v>20</v>
      </c>
      <c r="K173" s="44"/>
      <c r="L173" s="35"/>
      <c r="M173" s="35">
        <f t="shared" si="13"/>
        <v>20</v>
      </c>
      <c r="N173" s="35">
        <v>6.8</v>
      </c>
      <c r="O173" s="36">
        <f t="shared" si="14"/>
        <v>11.2</v>
      </c>
      <c r="P173" s="29">
        <f>LOOKUP(O173,{0,7.8,8,8.2,8.4,8.6,8.8,9,9.2,9.4,9.6,9.8,10,10.2,10.4,10.6,10.8,10.9,11,11.1,11.2},{0,10,20,30,40,50,60,62,64,66,68,70,72,74,76,78,80,85,90,95,100})</f>
        <v>100</v>
      </c>
      <c r="Q173" s="5">
        <v>4.54</v>
      </c>
      <c r="R173" s="36">
        <f t="shared" si="15"/>
        <v>5.46</v>
      </c>
      <c r="S173" s="29">
        <f>LOOKUP(R173,{0,3.85,4.45,4.65,4.85,5.45,5.65,5.7,5.75,5.8,5.85,5.9,5.95,6,6.45,6.5,6.55,6.63,6.7,6.75,6.8},{0,10,20,30,40,50,60,62,64,66,68,70,72,74,76,78,80,85,90,95,100})</f>
        <v>50</v>
      </c>
      <c r="T173" s="27"/>
      <c r="U173" s="27"/>
      <c r="V173" s="27">
        <f t="shared" si="16"/>
        <v>50</v>
      </c>
      <c r="W173" s="27"/>
      <c r="X173" s="19">
        <f t="shared" si="17"/>
        <v>44.6</v>
      </c>
      <c r="Y173" s="13">
        <f t="shared" si="18"/>
        <v>63.7142857142857</v>
      </c>
    </row>
    <row r="174" ht="15.6" spans="1:25">
      <c r="A174" s="27">
        <v>309</v>
      </c>
      <c r="B174" s="27">
        <v>2</v>
      </c>
      <c r="C174" s="28" t="s">
        <v>406</v>
      </c>
      <c r="D174" s="28" t="s">
        <v>12</v>
      </c>
      <c r="E174" s="27">
        <v>9.5</v>
      </c>
      <c r="F174" s="29">
        <f>LOOKUP(E174,{0,-1.8,-0.8,0.2,1.2,2.2,3.2,4.6,6,7.4,8.8,10.2,11.6,13,14.4,15.8,17.2,19.1,21,22.8,24.6},{0,10,20,30,40,50,60,62,64,66,68,70,72,74,76,78,80,85,90,95,100})</f>
        <v>68</v>
      </c>
      <c r="G174" s="27">
        <v>248</v>
      </c>
      <c r="H174" s="29">
        <f>LOOKUP(G174,{0,180,185,190,195,200,205,209,213,217,221,225,229,233,237,241,245,253,260,265,270},{0,10,20,30,40,50,60,62,64,66,68,70,72,74,76,78,80,85,90,95,100})</f>
        <v>80</v>
      </c>
      <c r="I174" s="27">
        <v>13</v>
      </c>
      <c r="J174" s="29">
        <f>LOOKUP(I174,{0,4,5,6,7,8,9,10,11,12,13,14,15,16,17,18},{0,10,20,30,40,50,60,64,68,72,76,80,85,90,95,100})</f>
        <v>76</v>
      </c>
      <c r="K174" s="44"/>
      <c r="L174" s="35"/>
      <c r="M174" s="35">
        <f t="shared" si="13"/>
        <v>76</v>
      </c>
      <c r="N174" s="35">
        <v>7</v>
      </c>
      <c r="O174" s="36">
        <f t="shared" si="14"/>
        <v>11</v>
      </c>
      <c r="P174" s="29">
        <f>LOOKUP(O174,{0,7.8,8,8.2,8.4,8.6,8.8,9,9.2,9.4,9.6,9.8,10,10.2,10.4,10.6,10.8,10.9,11,11.1,11.2},{0,10,20,30,40,50,60,62,64,66,68,70,72,74,76,78,80,85,90,95,100})</f>
        <v>90</v>
      </c>
      <c r="Q174" s="5">
        <v>5.39</v>
      </c>
      <c r="R174" s="36">
        <f t="shared" si="15"/>
        <v>4.61</v>
      </c>
      <c r="S174" s="29">
        <f>LOOKUP(R174,{0,3.85,4.45,4.65,4.85,5.45,5.65,5.7,5.75,5.8,5.85,5.9,5.95,6,6.45,6.5,6.55,6.63,6.7,6.75,6.8},{0,10,20,30,40,50,60,62,64,66,68,70,72,74,76,78,80,85,90,95,100})</f>
        <v>20</v>
      </c>
      <c r="T174" s="27"/>
      <c r="U174" s="27"/>
      <c r="V174" s="27">
        <f t="shared" si="16"/>
        <v>20</v>
      </c>
      <c r="W174" s="27"/>
      <c r="X174" s="19">
        <f t="shared" si="17"/>
        <v>44.4</v>
      </c>
      <c r="Y174" s="13">
        <f t="shared" si="18"/>
        <v>63.4285714285714</v>
      </c>
    </row>
    <row r="175" ht="15.6" spans="1:25">
      <c r="A175" s="27">
        <v>301</v>
      </c>
      <c r="B175" s="27">
        <v>28</v>
      </c>
      <c r="C175" s="27" t="s">
        <v>40</v>
      </c>
      <c r="D175" s="27" t="s">
        <v>12</v>
      </c>
      <c r="E175" s="27">
        <v>18</v>
      </c>
      <c r="F175" s="29">
        <f>LOOKUP(E175,{0,-1.8,-0.8,0.2,1.2,2.2,3.2,4.6,6,7.4,8.8,10.2,11.6,13,14.4,15.8,17.2,19.1,21,22.8,24.6},{0,10,20,30,40,50,60,62,64,66,68,70,72,74,76,78,80,85,90,95,100})</f>
        <v>80</v>
      </c>
      <c r="G175" s="27">
        <v>225</v>
      </c>
      <c r="H175" s="29">
        <f>LOOKUP(G175,{0,180,185,190,195,200,205,209,213,217,221,225,229,233,237,241,245,253,260,265,270},{0,10,20,30,40,50,60,62,64,66,68,70,72,74,76,78,80,85,90,95,100})</f>
        <v>70</v>
      </c>
      <c r="I175" s="27">
        <v>3</v>
      </c>
      <c r="J175" s="29">
        <f>LOOKUP(I175,{0,4,5,6,7,8,9,10,11,12,13,14,15,16,17,18},{0,10,20,30,40,50,60,64,68,72,76,80,85,90,95,100})</f>
        <v>0</v>
      </c>
      <c r="K175" s="44"/>
      <c r="L175" s="35"/>
      <c r="M175" s="35">
        <f t="shared" si="13"/>
        <v>0</v>
      </c>
      <c r="N175" s="35">
        <v>7.6</v>
      </c>
      <c r="O175" s="36">
        <f t="shared" si="14"/>
        <v>10.4</v>
      </c>
      <c r="P175" s="29">
        <f>LOOKUP(O175,{0,7.8,8,8.2,8.4,8.6,8.8,9,9.2,9.4,9.6,9.8,10,10.2,10.4,10.6,10.8,10.9,11,11.1,11.2},{0,10,20,30,40,50,60,62,64,66,68,70,72,74,76,78,80,85,90,95,100})</f>
        <v>76</v>
      </c>
      <c r="Q175" s="5">
        <v>4.07</v>
      </c>
      <c r="R175" s="36">
        <f t="shared" si="15"/>
        <v>5.93</v>
      </c>
      <c r="S175" s="29">
        <f>LOOKUP(R175,{0,3.85,4.45,4.65,4.85,5.45,5.65,5.7,5.75,5.8,5.85,5.9,5.95,6,6.45,6.5,6.55,6.63,6.7,6.75,6.8},{0,10,20,30,40,50,60,62,64,66,68,70,72,74,76,78,80,85,90,95,100})</f>
        <v>70</v>
      </c>
      <c r="T175" s="27"/>
      <c r="U175" s="27"/>
      <c r="V175" s="27">
        <f t="shared" si="16"/>
        <v>70</v>
      </c>
      <c r="W175" s="27"/>
      <c r="X175" s="19">
        <f t="shared" si="17"/>
        <v>44.2</v>
      </c>
      <c r="Y175" s="13">
        <f t="shared" si="18"/>
        <v>63.1428571428572</v>
      </c>
    </row>
    <row r="176" ht="15.6" spans="1:25">
      <c r="A176" s="27">
        <v>302</v>
      </c>
      <c r="B176" s="27">
        <v>22</v>
      </c>
      <c r="C176" s="27" t="s">
        <v>82</v>
      </c>
      <c r="D176" s="27" t="s">
        <v>12</v>
      </c>
      <c r="E176" s="27">
        <v>15</v>
      </c>
      <c r="F176" s="29">
        <f>LOOKUP(E176,{0,-1.8,-0.8,0.2,1.2,2.2,3.2,4.6,6,7.4,8.8,10.2,11.6,13,14.4,15.8,17.2,19.1,21,22.8,24.6},{0,10,20,30,40,50,60,62,64,66,68,70,72,74,76,78,80,85,90,95,100})</f>
        <v>76</v>
      </c>
      <c r="G176" s="27">
        <v>215</v>
      </c>
      <c r="H176" s="29">
        <f>LOOKUP(G176,{0,180,185,190,195,200,205,209,213,217,221,225,229,233,237,241,245,253,260,265,270},{0,10,20,30,40,50,60,62,64,66,68,70,72,74,76,78,80,85,90,95,100})</f>
        <v>64</v>
      </c>
      <c r="I176" s="27">
        <v>8</v>
      </c>
      <c r="J176" s="29">
        <f>LOOKUP(I176,{0,4,5,6,7,8,9,10,11,12,13,14,15,16,17,18},{0,10,20,30,40,50,60,64,68,72,76,80,85,90,95,100})</f>
        <v>50</v>
      </c>
      <c r="K176" s="44"/>
      <c r="L176" s="35"/>
      <c r="M176" s="35">
        <f t="shared" si="13"/>
        <v>50</v>
      </c>
      <c r="N176" s="35">
        <v>7.6</v>
      </c>
      <c r="O176" s="36">
        <f t="shared" si="14"/>
        <v>10.4</v>
      </c>
      <c r="P176" s="29">
        <f>LOOKUP(O176,{0,7.8,8,8.2,8.4,8.6,8.8,9,9.2,9.4,9.6,9.8,10,10.2,10.4,10.6,10.8,10.9,11,11.1,11.2},{0,10,20,30,40,50,60,62,64,66,68,70,72,74,76,78,80,85,90,95,100})</f>
        <v>76</v>
      </c>
      <c r="Q176" s="5">
        <v>4.42</v>
      </c>
      <c r="R176" s="36">
        <f t="shared" si="15"/>
        <v>5.58</v>
      </c>
      <c r="S176" s="29">
        <f>LOOKUP(R176,{0,3.85,4.45,4.65,4.85,5.45,5.65,5.7,5.75,5.8,5.85,5.9,5.95,6,6.45,6.5,6.55,6.63,6.7,6.75,6.8},{0,10,20,30,40,50,60,62,64,66,68,70,72,74,76,78,80,85,90,95,100})</f>
        <v>50</v>
      </c>
      <c r="T176" s="27"/>
      <c r="U176" s="27"/>
      <c r="V176" s="27">
        <f t="shared" si="16"/>
        <v>50</v>
      </c>
      <c r="W176" s="27"/>
      <c r="X176" s="19">
        <f t="shared" si="17"/>
        <v>44.2</v>
      </c>
      <c r="Y176" s="13">
        <f t="shared" si="18"/>
        <v>63.1428571428572</v>
      </c>
    </row>
    <row r="177" ht="15.6" spans="1:25">
      <c r="A177" s="27">
        <v>304</v>
      </c>
      <c r="B177" s="27">
        <v>4</v>
      </c>
      <c r="C177" s="27" t="s">
        <v>151</v>
      </c>
      <c r="D177" s="27" t="s">
        <v>12</v>
      </c>
      <c r="E177" s="27">
        <v>11</v>
      </c>
      <c r="F177" s="29">
        <f>LOOKUP(E177,{0,-1.8,-0.8,0.2,1.2,2.2,3.2,4.6,6,7.4,8.8,10.2,11.6,13,14.4,15.8,17.2,19.1,21,22.8,24.6},{0,10,20,30,40,50,60,62,64,66,68,70,72,74,76,78,80,85,90,95,100})</f>
        <v>70</v>
      </c>
      <c r="G177" s="27">
        <v>231</v>
      </c>
      <c r="H177" s="29">
        <f>LOOKUP(G177,{0,180,185,190,195,200,205,209,213,217,221,225,229,233,237,241,245,253,260,265,270},{0,10,20,30,40,50,60,62,64,66,68,70,72,74,76,78,80,85,90,95,100})</f>
        <v>72</v>
      </c>
      <c r="I177" s="27">
        <v>0</v>
      </c>
      <c r="J177" s="29">
        <f>LOOKUP(I177,{0,4,5,6,7,8,9,10,11,12,13,14,15,16,17,18},{0,10,20,30,40,50,60,64,68,72,76,80,85,90,95,100})</f>
        <v>0</v>
      </c>
      <c r="K177" s="44"/>
      <c r="L177" s="35"/>
      <c r="M177" s="35">
        <f t="shared" si="13"/>
        <v>0</v>
      </c>
      <c r="N177" s="35">
        <v>7.5</v>
      </c>
      <c r="O177" s="36">
        <f t="shared" si="14"/>
        <v>10.5</v>
      </c>
      <c r="P177" s="29">
        <f>LOOKUP(O177,{0,7.8,8,8.2,8.4,8.6,8.8,9,9.2,9.4,9.6,9.8,10,10.2,10.4,10.6,10.8,10.9,11,11.1,11.2},{0,10,20,30,40,50,60,62,64,66,68,70,72,74,76,78,80,85,90,95,100})</f>
        <v>76</v>
      </c>
      <c r="Q177" s="5">
        <v>3.57</v>
      </c>
      <c r="R177" s="36">
        <f t="shared" si="15"/>
        <v>6.43</v>
      </c>
      <c r="S177" s="29">
        <f>LOOKUP(R177,{0,3.85,4.45,4.65,4.85,5.45,5.65,5.7,5.75,5.8,5.85,5.9,5.95,6,6.45,6.5,6.55,6.63,6.7,6.75,6.8},{0,10,20,30,40,50,60,62,64,66,68,70,72,74,76,78,80,85,90,95,100})</f>
        <v>74</v>
      </c>
      <c r="T177" s="27"/>
      <c r="U177" s="27"/>
      <c r="V177" s="27">
        <f t="shared" si="16"/>
        <v>74</v>
      </c>
      <c r="W177" s="27"/>
      <c r="X177" s="19">
        <f t="shared" si="17"/>
        <v>44.2</v>
      </c>
      <c r="Y177" s="13">
        <f t="shared" si="18"/>
        <v>63.1428571428572</v>
      </c>
    </row>
    <row r="178" ht="15.6" spans="1:25">
      <c r="A178" s="27">
        <v>305</v>
      </c>
      <c r="B178" s="27">
        <v>6</v>
      </c>
      <c r="C178" s="28" t="s">
        <v>190</v>
      </c>
      <c r="D178" s="28" t="s">
        <v>12</v>
      </c>
      <c r="E178" s="27">
        <v>12</v>
      </c>
      <c r="F178" s="29">
        <f>LOOKUP(E178,{0,-1.8,-0.8,0.2,1.2,2.2,3.2,4.6,6,7.4,8.8,10.2,11.6,13,14.4,15.8,17.2,19.1,21,22.8,24.6},{0,10,20,30,40,50,60,62,64,66,68,70,72,74,76,78,80,85,90,95,100})</f>
        <v>72</v>
      </c>
      <c r="G178" s="27">
        <v>249</v>
      </c>
      <c r="H178" s="29">
        <f>LOOKUP(G178,{0,180,185,190,195,200,205,209,213,217,221,225,229,233,237,241,245,253,260,265,270},{0,10,20,30,40,50,60,62,64,66,68,70,72,74,76,78,80,85,90,95,100})</f>
        <v>80</v>
      </c>
      <c r="I178" s="27">
        <v>5</v>
      </c>
      <c r="J178" s="29">
        <f>LOOKUP(I178,{0,4,5,6,7,8,9,10,11,12,13,14,15,16,17,18},{0,10,20,30,40,50,60,64,68,72,76,80,85,90,95,100})</f>
        <v>20</v>
      </c>
      <c r="K178" s="44"/>
      <c r="L178" s="35"/>
      <c r="M178" s="35">
        <f t="shared" si="13"/>
        <v>20</v>
      </c>
      <c r="N178" s="35">
        <v>7.1</v>
      </c>
      <c r="O178" s="36">
        <f t="shared" si="14"/>
        <v>10.9</v>
      </c>
      <c r="P178" s="29">
        <f>LOOKUP(O178,{0,7.8,8,8.2,8.4,8.6,8.8,9,9.2,9.4,9.6,9.8,10,10.2,10.4,10.6,10.8,10.9,11,11.1,11.2},{0,10,20,30,40,50,60,62,64,66,68,70,72,74,76,78,80,85,90,95,100})</f>
        <v>85</v>
      </c>
      <c r="Q178" s="5">
        <v>4.55</v>
      </c>
      <c r="R178" s="36">
        <f t="shared" si="15"/>
        <v>5.45</v>
      </c>
      <c r="S178" s="29">
        <f>LOOKUP(R178,{0,3.85,4.45,4.65,4.85,5.45,5.65,5.7,5.75,5.8,5.85,5.9,5.95,6,6.45,6.5,6.55,6.63,6.7,6.75,6.8},{0,10,20,30,40,50,60,62,64,66,68,70,72,74,76,78,80,85,90,95,100})</f>
        <v>50</v>
      </c>
      <c r="T178" s="27"/>
      <c r="U178" s="27"/>
      <c r="V178" s="27">
        <f t="shared" si="16"/>
        <v>50</v>
      </c>
      <c r="W178" s="27"/>
      <c r="X178" s="19">
        <f t="shared" si="17"/>
        <v>44.2</v>
      </c>
      <c r="Y178" s="13">
        <f t="shared" si="18"/>
        <v>63.1428571428572</v>
      </c>
    </row>
    <row r="179" ht="15.6" spans="1:25">
      <c r="A179" s="27">
        <v>312</v>
      </c>
      <c r="B179" s="27">
        <v>15</v>
      </c>
      <c r="C179" s="28" t="s">
        <v>589</v>
      </c>
      <c r="D179" s="28" t="s">
        <v>12</v>
      </c>
      <c r="E179" s="27">
        <v>12</v>
      </c>
      <c r="F179" s="29">
        <f>LOOKUP(E179,{0,-1.8,-0.8,0.2,1.2,2.2,3.2,4.6,6,7.4,8.8,10.2,11.6,13,14.4,15.8,17.2,19.1,21,22.8,24.6},{0,10,20,30,40,50,60,62,64,66,68,70,72,74,76,78,80,85,90,95,100})</f>
        <v>72</v>
      </c>
      <c r="G179" s="27">
        <v>235</v>
      </c>
      <c r="H179" s="29">
        <f>LOOKUP(G179,{0,180,185,190,195,200,205,209,213,217,221,225,229,233,237,241,245,253,260,265,270},{0,10,20,30,40,50,60,62,64,66,68,70,72,74,76,78,80,85,90,95,100})</f>
        <v>74</v>
      </c>
      <c r="I179" s="27">
        <v>0</v>
      </c>
      <c r="J179" s="29">
        <f>LOOKUP(I179,{0,4,5,6,7,8,9,10,11,12,13,14,15,16,17,18},{0,10,20,30,40,50,60,64,68,72,76,80,85,90,95,100})</f>
        <v>0</v>
      </c>
      <c r="K179" s="44"/>
      <c r="L179" s="35"/>
      <c r="M179" s="35">
        <f t="shared" si="13"/>
        <v>0</v>
      </c>
      <c r="N179" s="35">
        <v>7.2</v>
      </c>
      <c r="O179" s="36">
        <f t="shared" si="14"/>
        <v>10.8</v>
      </c>
      <c r="P179" s="29">
        <f>LOOKUP(O179,{0,7.8,8,8.2,8.4,8.6,8.8,9,9.2,9.4,9.6,9.8,10,10.2,10.4,10.6,10.8,10.9,11,11.1,11.2},{0,10,20,30,40,50,60,62,64,66,68,70,72,74,76,78,80,85,90,95,100})</f>
        <v>80</v>
      </c>
      <c r="Q179" s="5">
        <v>4.11</v>
      </c>
      <c r="R179" s="36">
        <f t="shared" si="15"/>
        <v>5.89</v>
      </c>
      <c r="S179" s="29">
        <f>LOOKUP(R179,{0,3.85,4.45,4.65,4.85,5.45,5.65,5.7,5.75,5.8,5.85,5.9,5.95,6,6.45,6.5,6.55,6.63,6.7,6.75,6.8},{0,10,20,30,40,50,60,62,64,66,68,70,72,74,76,78,80,85,90,95,100})</f>
        <v>68</v>
      </c>
      <c r="T179" s="27"/>
      <c r="U179" s="27"/>
      <c r="V179" s="27">
        <f t="shared" si="16"/>
        <v>68</v>
      </c>
      <c r="W179" s="27"/>
      <c r="X179" s="19">
        <f t="shared" si="17"/>
        <v>44.2</v>
      </c>
      <c r="Y179" s="13">
        <f t="shared" si="18"/>
        <v>63.1428571428572</v>
      </c>
    </row>
    <row r="180" ht="15.6" spans="1:25">
      <c r="A180" s="27">
        <v>301</v>
      </c>
      <c r="B180" s="27">
        <v>17</v>
      </c>
      <c r="C180" s="27" t="s">
        <v>28</v>
      </c>
      <c r="D180" s="27" t="s">
        <v>12</v>
      </c>
      <c r="E180" s="27">
        <v>3.5</v>
      </c>
      <c r="F180" s="29">
        <f>LOOKUP(E180,{0,-1.8,-0.8,0.2,1.2,2.2,3.2,4.6,6,7.4,8.8,10.2,11.6,13,14.4,15.8,17.2,19.1,21,22.8,24.6},{0,10,20,30,40,50,60,62,64,66,68,70,72,74,76,78,80,85,90,95,100})</f>
        <v>60</v>
      </c>
      <c r="G180" s="27">
        <v>212</v>
      </c>
      <c r="H180" s="29">
        <f>LOOKUP(G180,{0,180,185,190,195,200,205,209,213,217,221,225,229,233,237,241,245,253,260,265,270},{0,10,20,30,40,50,60,62,64,66,68,70,72,74,76,78,80,85,90,95,100})</f>
        <v>62</v>
      </c>
      <c r="I180" s="27">
        <v>4</v>
      </c>
      <c r="J180" s="29">
        <f>LOOKUP(I180,{0,4,5,6,7,8,9,10,11,12,13,14,15,16,17,18},{0,10,20,30,40,50,60,64,68,72,76,80,85,90,95,100})</f>
        <v>10</v>
      </c>
      <c r="K180" s="44"/>
      <c r="L180" s="35"/>
      <c r="M180" s="35">
        <f t="shared" si="13"/>
        <v>10</v>
      </c>
      <c r="N180" s="35">
        <v>7.8</v>
      </c>
      <c r="O180" s="36">
        <f t="shared" si="14"/>
        <v>10.2</v>
      </c>
      <c r="P180" s="29">
        <f>LOOKUP(O180,{0,7.8,8,8.2,8.4,8.6,8.8,9,9.2,9.4,9.6,9.8,10,10.2,10.4,10.6,10.8,10.9,11,11.1,11.2},{0,10,20,30,40,50,60,62,64,66,68,70,72,74,76,78,80,85,90,95,100})</f>
        <v>74</v>
      </c>
      <c r="Q180" s="5">
        <v>3.44</v>
      </c>
      <c r="R180" s="36">
        <f t="shared" si="15"/>
        <v>6.56</v>
      </c>
      <c r="S180" s="29">
        <f>LOOKUP(R180,{0,3.85,4.45,4.65,4.85,5.45,5.65,5.7,5.75,5.8,5.85,5.9,5.95,6,6.45,6.5,6.55,6.63,6.7,6.75,6.8},{0,10,20,30,40,50,60,62,64,66,68,70,72,74,76,78,80,85,90,95,100})</f>
        <v>80</v>
      </c>
      <c r="T180" s="27"/>
      <c r="U180" s="27"/>
      <c r="V180" s="27">
        <f t="shared" si="16"/>
        <v>80</v>
      </c>
      <c r="W180" s="27"/>
      <c r="X180" s="19">
        <f t="shared" si="17"/>
        <v>44</v>
      </c>
      <c r="Y180" s="13">
        <f t="shared" si="18"/>
        <v>62.8571428571429</v>
      </c>
    </row>
    <row r="181" ht="15.6" spans="1:25">
      <c r="A181" s="27">
        <v>306</v>
      </c>
      <c r="B181" s="27">
        <v>10</v>
      </c>
      <c r="C181" s="28" t="s">
        <v>251</v>
      </c>
      <c r="D181" s="28" t="s">
        <v>12</v>
      </c>
      <c r="E181" s="27">
        <v>3.2</v>
      </c>
      <c r="F181" s="29">
        <f>LOOKUP(E181,{0,-1.8,-0.8,0.2,1.2,2.2,3.2,4.6,6,7.4,8.8,10.2,11.6,13,14.4,15.8,17.2,19.1,21,22.8,24.6},{0,10,20,30,40,50,60,62,64,66,68,70,72,74,76,78,80,85,90,95,100})</f>
        <v>60</v>
      </c>
      <c r="G181" s="27">
        <v>240</v>
      </c>
      <c r="H181" s="29">
        <f>LOOKUP(G181,{0,180,185,190,195,200,205,209,213,217,221,225,229,233,237,241,245,253,260,265,270},{0,10,20,30,40,50,60,62,64,66,68,70,72,74,76,78,80,85,90,95,100})</f>
        <v>76</v>
      </c>
      <c r="I181" s="27">
        <v>10</v>
      </c>
      <c r="J181" s="29">
        <f>LOOKUP(I181,{0,4,5,6,7,8,9,10,11,12,13,14,15,16,17,18},{0,10,20,30,40,50,60,64,68,72,76,80,85,90,95,100})</f>
        <v>64</v>
      </c>
      <c r="K181" s="44"/>
      <c r="L181" s="35"/>
      <c r="M181" s="35">
        <f t="shared" si="13"/>
        <v>64</v>
      </c>
      <c r="N181" s="35">
        <v>6.6</v>
      </c>
      <c r="O181" s="36">
        <f t="shared" si="14"/>
        <v>11.4</v>
      </c>
      <c r="P181" s="29">
        <f>LOOKUP(O181,{0,7.8,8,8.2,8.4,8.6,8.8,9,9.2,9.4,9.6,9.8,10,10.2,10.4,10.6,10.8,10.9,11,11.1,11.2},{0,10,20,30,40,50,60,62,64,66,68,70,72,74,76,78,80,85,90,95,100})</f>
        <v>100</v>
      </c>
      <c r="Q181" s="5">
        <v>5.42</v>
      </c>
      <c r="R181" s="36">
        <f t="shared" si="15"/>
        <v>4.58</v>
      </c>
      <c r="S181" s="29">
        <f>LOOKUP(R181,{0,3.85,4.45,4.65,4.85,5.45,5.65,5.7,5.75,5.8,5.85,5.9,5.95,6,6.45,6.5,6.55,6.63,6.7,6.75,6.8},{0,10,20,30,40,50,60,62,64,66,68,70,72,74,76,78,80,85,90,95,100})</f>
        <v>20</v>
      </c>
      <c r="T181" s="27"/>
      <c r="U181" s="27"/>
      <c r="V181" s="27">
        <f t="shared" si="16"/>
        <v>20</v>
      </c>
      <c r="W181" s="27"/>
      <c r="X181" s="19">
        <f t="shared" si="17"/>
        <v>44</v>
      </c>
      <c r="Y181" s="13">
        <f t="shared" si="18"/>
        <v>62.8571428571429</v>
      </c>
    </row>
    <row r="182" ht="15.6" spans="1:25">
      <c r="A182" s="27">
        <v>308</v>
      </c>
      <c r="B182" s="27">
        <v>12</v>
      </c>
      <c r="C182" s="28" t="s">
        <v>364</v>
      </c>
      <c r="D182" s="28" t="s">
        <v>12</v>
      </c>
      <c r="E182" s="27">
        <v>10</v>
      </c>
      <c r="F182" s="29">
        <f>LOOKUP(E182,{0,-1.8,-0.8,0.2,1.2,2.2,3.2,4.6,6,7.4,8.8,10.2,11.6,13,14.4,15.8,17.2,19.1,21,22.8,24.6},{0,10,20,30,40,50,60,62,64,66,68,70,72,74,76,78,80,85,90,95,100})</f>
        <v>68</v>
      </c>
      <c r="G182" s="27">
        <v>220</v>
      </c>
      <c r="H182" s="29">
        <f>LOOKUP(G182,{0,180,185,190,195,200,205,209,213,217,221,225,229,233,237,241,245,253,260,265,270},{0,10,20,30,40,50,60,62,64,66,68,70,72,74,76,78,80,85,90,95,100})</f>
        <v>66</v>
      </c>
      <c r="I182" s="27">
        <v>8</v>
      </c>
      <c r="J182" s="29">
        <f>LOOKUP(I182,{0,4,5,6,7,8,9,10,11,12,13,14,15,16,17,18},{0,10,20,30,40,50,60,64,68,72,76,80,85,90,95,100})</f>
        <v>50</v>
      </c>
      <c r="K182" s="44"/>
      <c r="L182" s="35"/>
      <c r="M182" s="35">
        <f t="shared" si="13"/>
        <v>50</v>
      </c>
      <c r="N182" s="35">
        <v>7.3</v>
      </c>
      <c r="O182" s="36">
        <f t="shared" si="14"/>
        <v>10.7</v>
      </c>
      <c r="P182" s="29">
        <f>LOOKUP(O182,{0,7.8,8,8.2,8.4,8.6,8.8,9,9.2,9.4,9.6,9.8,10,10.2,10.4,10.6,10.8,10.9,11,11.1,11.2},{0,10,20,30,40,50,60,62,64,66,68,70,72,74,76,78,80,85,90,95,100})</f>
        <v>78</v>
      </c>
      <c r="Q182" s="5">
        <v>4.49</v>
      </c>
      <c r="R182" s="36">
        <f t="shared" si="15"/>
        <v>5.51</v>
      </c>
      <c r="S182" s="29">
        <f>LOOKUP(R182,{0,3.85,4.45,4.65,4.85,5.45,5.65,5.7,5.75,5.8,5.85,5.9,5.95,6,6.45,6.5,6.55,6.63,6.7,6.75,6.8},{0,10,20,30,40,50,60,62,64,66,68,70,72,74,76,78,80,85,90,95,100})</f>
        <v>50</v>
      </c>
      <c r="T182" s="27"/>
      <c r="U182" s="27"/>
      <c r="V182" s="27">
        <f t="shared" si="16"/>
        <v>50</v>
      </c>
      <c r="W182" s="27"/>
      <c r="X182" s="19">
        <f t="shared" si="17"/>
        <v>44</v>
      </c>
      <c r="Y182" s="13">
        <f t="shared" si="18"/>
        <v>62.8571428571429</v>
      </c>
    </row>
    <row r="183" ht="15.6" spans="1:25">
      <c r="A183" s="27">
        <v>311</v>
      </c>
      <c r="B183" s="27">
        <v>41</v>
      </c>
      <c r="C183" s="28" t="s">
        <v>557</v>
      </c>
      <c r="D183" s="28" t="s">
        <v>12</v>
      </c>
      <c r="E183" s="27">
        <v>17</v>
      </c>
      <c r="F183" s="29">
        <f>LOOKUP(E183,{0,-1.8,-0.8,0.2,1.2,2.2,3.2,4.6,6,7.4,8.8,10.2,11.6,13,14.4,15.8,17.2,19.1,21,22.8,24.6},{0,10,20,30,40,50,60,62,64,66,68,70,72,74,76,78,80,85,90,95,100})</f>
        <v>78</v>
      </c>
      <c r="G183" s="27">
        <v>239</v>
      </c>
      <c r="H183" s="29">
        <f>LOOKUP(G183,{0,180,185,190,195,200,205,209,213,217,221,225,229,233,237,241,245,253,260,265,270},{0,10,20,30,40,50,60,62,64,66,68,70,72,74,76,78,80,85,90,95,100})</f>
        <v>76</v>
      </c>
      <c r="I183" s="27">
        <v>6</v>
      </c>
      <c r="J183" s="29">
        <f>LOOKUP(I183,{0,4,5,6,7,8,9,10,11,12,13,14,15,16,17,18},{0,10,20,30,40,50,60,64,68,72,76,80,85,90,95,100})</f>
        <v>30</v>
      </c>
      <c r="K183" s="44"/>
      <c r="L183" s="35"/>
      <c r="M183" s="35">
        <f t="shared" si="13"/>
        <v>30</v>
      </c>
      <c r="N183" s="35">
        <v>7.4</v>
      </c>
      <c r="O183" s="36">
        <f t="shared" si="14"/>
        <v>10.6</v>
      </c>
      <c r="P183" s="29">
        <f>LOOKUP(O183,{0,7.8,8,8.2,8.4,8.6,8.8,9,9.2,9.4,9.6,9.8,10,10.2,10.4,10.6,10.8,10.9,11,11.1,11.2},{0,10,20,30,40,50,60,62,64,66,68,70,72,74,76,78,80,85,90,95,100})</f>
        <v>78</v>
      </c>
      <c r="Q183" s="5">
        <v>4.48</v>
      </c>
      <c r="R183" s="36">
        <f t="shared" si="15"/>
        <v>5.52</v>
      </c>
      <c r="S183" s="29">
        <f>LOOKUP(R183,{0,3.85,4.45,4.65,4.85,5.45,5.65,5.7,5.75,5.8,5.85,5.9,5.95,6,6.45,6.5,6.55,6.63,6.7,6.75,6.8},{0,10,20,30,40,50,60,62,64,66,68,70,72,74,76,78,80,85,90,95,100})</f>
        <v>50</v>
      </c>
      <c r="T183" s="27"/>
      <c r="U183" s="27"/>
      <c r="V183" s="27">
        <f t="shared" si="16"/>
        <v>50</v>
      </c>
      <c r="W183" s="27"/>
      <c r="X183" s="19">
        <f t="shared" si="17"/>
        <v>44</v>
      </c>
      <c r="Y183" s="13">
        <f t="shared" si="18"/>
        <v>62.8571428571429</v>
      </c>
    </row>
    <row r="184" ht="15.6" spans="1:25">
      <c r="A184" s="27">
        <v>311</v>
      </c>
      <c r="B184" s="27">
        <v>26</v>
      </c>
      <c r="C184" s="28" t="s">
        <v>541</v>
      </c>
      <c r="D184" s="28" t="s">
        <v>12</v>
      </c>
      <c r="E184" s="27">
        <v>20.5</v>
      </c>
      <c r="F184" s="29">
        <f>LOOKUP(E184,{0,-1.8,-0.8,0.2,1.2,2.2,3.2,4.6,6,7.4,8.8,10.2,11.6,13,14.4,15.8,17.2,19.1,21,22.8,24.6},{0,10,20,30,40,50,60,62,64,66,68,70,72,74,76,78,80,85,90,95,100})</f>
        <v>85</v>
      </c>
      <c r="G184" s="27">
        <v>225</v>
      </c>
      <c r="H184" s="29">
        <f>LOOKUP(G184,{0,180,185,190,195,200,205,209,213,217,221,225,229,233,237,241,245,253,260,265,270},{0,10,20,30,40,50,60,62,64,66,68,70,72,74,76,78,80,85,90,95,100})</f>
        <v>70</v>
      </c>
      <c r="I184" s="27">
        <v>12</v>
      </c>
      <c r="J184" s="29">
        <f>LOOKUP(I184,{0,4,5,6,7,8,9,10,11,12,13,14,15,16,17,18},{0,10,20,30,40,50,60,64,68,72,76,80,85,90,95,100})</f>
        <v>72</v>
      </c>
      <c r="K184" s="44"/>
      <c r="L184" s="35"/>
      <c r="M184" s="35">
        <f t="shared" si="13"/>
        <v>72</v>
      </c>
      <c r="N184" s="35">
        <v>7.5</v>
      </c>
      <c r="O184" s="36">
        <f t="shared" si="14"/>
        <v>10.5</v>
      </c>
      <c r="P184" s="29">
        <f>LOOKUP(O184,{0,7.8,8,8.2,8.4,8.6,8.8,9,9.2,9.4,9.6,9.8,10,10.2,10.4,10.6,10.8,10.9,11,11.1,11.2},{0,10,20,30,40,50,60,62,64,66,68,70,72,74,76,78,80,85,90,95,100})</f>
        <v>76</v>
      </c>
      <c r="Q184" s="5">
        <v>5.19</v>
      </c>
      <c r="R184" s="36">
        <f t="shared" si="15"/>
        <v>4.81</v>
      </c>
      <c r="S184" s="29">
        <f>LOOKUP(R184,{0,3.85,4.45,4.65,4.85,5.45,5.65,5.7,5.75,5.8,5.85,5.9,5.95,6,6.45,6.5,6.55,6.63,6.7,6.75,6.8},{0,10,20,30,40,50,60,62,64,66,68,70,72,74,76,78,80,85,90,95,100})</f>
        <v>30</v>
      </c>
      <c r="T184" s="27"/>
      <c r="U184" s="27"/>
      <c r="V184" s="27">
        <f t="shared" si="16"/>
        <v>30</v>
      </c>
      <c r="W184" s="27"/>
      <c r="X184" s="19">
        <f t="shared" si="17"/>
        <v>43.9</v>
      </c>
      <c r="Y184" s="13">
        <f t="shared" si="18"/>
        <v>62.7142857142857</v>
      </c>
    </row>
    <row r="185" ht="15.6" spans="1:25">
      <c r="A185" s="27">
        <v>305</v>
      </c>
      <c r="B185" s="27">
        <v>21</v>
      </c>
      <c r="C185" s="30" t="s">
        <v>207</v>
      </c>
      <c r="D185" s="28" t="s">
        <v>12</v>
      </c>
      <c r="E185" s="27">
        <v>22</v>
      </c>
      <c r="F185" s="29">
        <f>LOOKUP(E185,{0,-1.8,-0.8,0.2,1.2,2.2,3.2,4.6,6,7.4,8.8,10.2,11.6,13,14.4,15.8,17.2,19.1,21,22.8,24.6},{0,10,20,30,40,50,60,62,64,66,68,70,72,74,76,78,80,85,90,95,100})</f>
        <v>90</v>
      </c>
      <c r="G185" s="27">
        <v>240</v>
      </c>
      <c r="H185" s="29">
        <f>LOOKUP(G185,{0,180,185,190,195,200,205,209,213,217,221,225,229,233,237,241,245,253,260,265,270},{0,10,20,30,40,50,60,62,64,66,68,70,72,74,76,78,80,85,90,95,100})</f>
        <v>76</v>
      </c>
      <c r="I185" s="27">
        <v>3</v>
      </c>
      <c r="J185" s="29">
        <f>LOOKUP(I185,{0,4,5,6,7,8,9,10,11,12,13,14,15,16,17,18},{0,10,20,30,40,50,60,64,68,72,76,80,85,90,95,100})</f>
        <v>0</v>
      </c>
      <c r="K185" s="44"/>
      <c r="L185" s="35"/>
      <c r="M185" s="35">
        <f t="shared" si="13"/>
        <v>0</v>
      </c>
      <c r="N185" s="35">
        <v>7.5</v>
      </c>
      <c r="O185" s="36">
        <f t="shared" si="14"/>
        <v>10.5</v>
      </c>
      <c r="P185" s="29">
        <f>LOOKUP(O185,{0,7.8,8,8.2,8.4,8.6,8.8,9,9.2,9.4,9.6,9.8,10,10.2,10.4,10.6,10.8,10.9,11,11.1,11.2},{0,10,20,30,40,50,60,62,64,66,68,70,72,74,76,78,80,85,90,95,100})</f>
        <v>76</v>
      </c>
      <c r="Q185" s="5">
        <v>4.34</v>
      </c>
      <c r="R185" s="36">
        <f t="shared" si="15"/>
        <v>5.66</v>
      </c>
      <c r="S185" s="29">
        <f>LOOKUP(R185,{0,3.85,4.45,4.65,4.85,5.45,5.65,5.7,5.75,5.8,5.85,5.9,5.95,6,6.45,6.5,6.55,6.63,6.7,6.75,6.8},{0,10,20,30,40,50,60,62,64,66,68,70,72,74,76,78,80,85,90,95,100})</f>
        <v>60</v>
      </c>
      <c r="T185" s="27"/>
      <c r="U185" s="27"/>
      <c r="V185" s="27">
        <f t="shared" si="16"/>
        <v>60</v>
      </c>
      <c r="W185" s="27"/>
      <c r="X185" s="19">
        <f t="shared" si="17"/>
        <v>43.8</v>
      </c>
      <c r="Y185" s="13">
        <f t="shared" si="18"/>
        <v>62.5714285714286</v>
      </c>
    </row>
    <row r="186" ht="15.6" spans="1:25">
      <c r="A186" s="27">
        <v>305</v>
      </c>
      <c r="B186" s="27">
        <v>13</v>
      </c>
      <c r="C186" s="28" t="s">
        <v>198</v>
      </c>
      <c r="D186" s="28" t="s">
        <v>12</v>
      </c>
      <c r="E186" s="27">
        <v>16</v>
      </c>
      <c r="F186" s="29">
        <f>LOOKUP(E186,{0,-1.8,-0.8,0.2,1.2,2.2,3.2,4.6,6,7.4,8.8,10.2,11.6,13,14.4,15.8,17.2,19.1,21,22.8,24.6},{0,10,20,30,40,50,60,62,64,66,68,70,72,74,76,78,80,85,90,95,100})</f>
        <v>78</v>
      </c>
      <c r="G186" s="27">
        <v>227</v>
      </c>
      <c r="H186" s="29">
        <f>LOOKUP(G186,{0,180,185,190,195,200,205,209,213,217,221,225,229,233,237,241,245,253,260,265,270},{0,10,20,30,40,50,60,62,64,66,68,70,72,74,76,78,80,85,90,95,100})</f>
        <v>70</v>
      </c>
      <c r="I186" s="27">
        <v>8</v>
      </c>
      <c r="J186" s="29">
        <f>LOOKUP(I186,{0,4,5,6,7,8,9,10,11,12,13,14,15,16,17,18},{0,10,20,30,40,50,60,64,68,72,76,80,85,90,95,100})</f>
        <v>50</v>
      </c>
      <c r="K186" s="44"/>
      <c r="L186" s="35"/>
      <c r="M186" s="35">
        <f t="shared" si="13"/>
        <v>50</v>
      </c>
      <c r="N186" s="35">
        <v>8.2</v>
      </c>
      <c r="O186" s="36">
        <f t="shared" si="14"/>
        <v>9.8</v>
      </c>
      <c r="P186" s="29">
        <f>LOOKUP(O186,{0,7.8,8,8.2,8.4,8.6,8.8,9,9.2,9.4,9.6,9.8,10,10.2,10.4,10.6,10.8,10.9,11,11.1,11.2},{0,10,20,30,40,50,60,62,64,66,68,70,72,74,76,78,80,85,90,95,100})</f>
        <v>70</v>
      </c>
      <c r="Q186" s="5">
        <v>4.54</v>
      </c>
      <c r="R186" s="36">
        <f t="shared" si="15"/>
        <v>5.46</v>
      </c>
      <c r="S186" s="29">
        <f>LOOKUP(R186,{0,3.85,4.45,4.65,4.85,5.45,5.65,5.7,5.75,5.8,5.85,5.9,5.95,6,6.45,6.5,6.55,6.63,6.7,6.75,6.8},{0,10,20,30,40,50,60,62,64,66,68,70,72,74,76,78,80,85,90,95,100})</f>
        <v>50</v>
      </c>
      <c r="T186" s="27"/>
      <c r="U186" s="27"/>
      <c r="V186" s="27">
        <f t="shared" si="16"/>
        <v>50</v>
      </c>
      <c r="W186" s="27"/>
      <c r="X186" s="19">
        <f t="shared" si="17"/>
        <v>43.8</v>
      </c>
      <c r="Y186" s="13">
        <f t="shared" si="18"/>
        <v>62.5714285714286</v>
      </c>
    </row>
    <row r="187" ht="15.6" spans="1:25">
      <c r="A187" s="27">
        <v>308</v>
      </c>
      <c r="B187" s="27">
        <v>14</v>
      </c>
      <c r="C187" s="28" t="s">
        <v>366</v>
      </c>
      <c r="D187" s="28" t="s">
        <v>12</v>
      </c>
      <c r="E187" s="27">
        <v>13.5</v>
      </c>
      <c r="F187" s="29">
        <f>LOOKUP(E187,{0,-1.8,-0.8,0.2,1.2,2.2,3.2,4.6,6,7.4,8.8,10.2,11.6,13,14.4,15.8,17.2,19.1,21,22.8,24.6},{0,10,20,30,40,50,60,62,64,66,68,70,72,74,76,78,80,85,90,95,100})</f>
        <v>74</v>
      </c>
      <c r="G187" s="27">
        <v>235</v>
      </c>
      <c r="H187" s="29">
        <f>LOOKUP(G187,{0,180,185,190,195,200,205,209,213,217,221,225,229,233,237,241,245,253,260,265,270},{0,10,20,30,40,50,60,62,64,66,68,70,72,74,76,78,80,85,90,95,100})</f>
        <v>74</v>
      </c>
      <c r="I187" s="27">
        <v>4</v>
      </c>
      <c r="J187" s="29">
        <f>LOOKUP(I187,{0,4,5,6,7,8,9,10,11,12,13,14,15,16,17,18},{0,10,20,30,40,50,60,64,68,72,76,80,85,90,95,100})</f>
        <v>10</v>
      </c>
      <c r="K187" s="44"/>
      <c r="L187" s="35"/>
      <c r="M187" s="35">
        <f t="shared" si="13"/>
        <v>10</v>
      </c>
      <c r="N187" s="35">
        <v>7</v>
      </c>
      <c r="O187" s="36">
        <f t="shared" si="14"/>
        <v>11</v>
      </c>
      <c r="P187" s="29">
        <f>LOOKUP(O187,{0,7.8,8,8.2,8.4,8.6,8.8,9,9.2,9.4,9.6,9.8,10,10.2,10.4,10.6,10.8,10.9,11,11.1,11.2},{0,10,20,30,40,50,60,62,64,66,68,70,72,74,76,78,80,85,90,95,100})</f>
        <v>90</v>
      </c>
      <c r="Q187" s="5">
        <v>4.49</v>
      </c>
      <c r="R187" s="36">
        <f t="shared" si="15"/>
        <v>5.51</v>
      </c>
      <c r="S187" s="29">
        <f>LOOKUP(R187,{0,3.85,4.45,4.65,4.85,5.45,5.65,5.7,5.75,5.8,5.85,5.9,5.95,6,6.45,6.5,6.55,6.63,6.7,6.75,6.8},{0,10,20,30,40,50,60,62,64,66,68,70,72,74,76,78,80,85,90,95,100})</f>
        <v>50</v>
      </c>
      <c r="T187" s="27"/>
      <c r="U187" s="27"/>
      <c r="V187" s="27">
        <f t="shared" si="16"/>
        <v>50</v>
      </c>
      <c r="W187" s="27"/>
      <c r="X187" s="19">
        <f t="shared" si="17"/>
        <v>43.8</v>
      </c>
      <c r="Y187" s="13">
        <f t="shared" si="18"/>
        <v>62.5714285714286</v>
      </c>
    </row>
    <row r="188" ht="15.6" spans="1:25">
      <c r="A188" s="27">
        <v>309</v>
      </c>
      <c r="B188" s="27">
        <v>4</v>
      </c>
      <c r="C188" s="28" t="s">
        <v>408</v>
      </c>
      <c r="D188" s="28" t="s">
        <v>12</v>
      </c>
      <c r="E188" s="27">
        <v>16.5</v>
      </c>
      <c r="F188" s="29">
        <f>LOOKUP(E188,{0,-1.8,-0.8,0.2,1.2,2.2,3.2,4.6,6,7.4,8.8,10.2,11.6,13,14.4,15.8,17.2,19.1,21,22.8,24.6},{0,10,20,30,40,50,60,62,64,66,68,70,72,74,76,78,80,85,90,95,100})</f>
        <v>78</v>
      </c>
      <c r="G188" s="27">
        <v>260</v>
      </c>
      <c r="H188" s="29">
        <f>LOOKUP(G188,{0,180,185,190,195,200,205,209,213,217,221,225,229,233,237,241,245,253,260,265,270},{0,10,20,30,40,50,60,62,64,66,68,70,72,74,76,78,80,85,90,95,100})</f>
        <v>90</v>
      </c>
      <c r="I188" s="27">
        <v>9</v>
      </c>
      <c r="J188" s="29">
        <f>LOOKUP(I188,{0,4,5,6,7,8,9,10,11,12,13,14,15,16,17,18},{0,10,20,30,40,50,60,64,68,72,76,80,85,90,95,100})</f>
        <v>60</v>
      </c>
      <c r="K188" s="44"/>
      <c r="L188" s="35"/>
      <c r="M188" s="35">
        <f t="shared" si="13"/>
        <v>60</v>
      </c>
      <c r="N188" s="35">
        <v>7.1</v>
      </c>
      <c r="O188" s="36">
        <f t="shared" si="14"/>
        <v>10.9</v>
      </c>
      <c r="P188" s="29">
        <f>LOOKUP(O188,{0,7.8,8,8.2,8.4,8.6,8.8,9,9.2,9.4,9.6,9.8,10,10.2,10.4,10.6,10.8,10.9,11,11.1,11.2},{0,10,20,30,40,50,60,62,64,66,68,70,72,74,76,78,80,85,90,95,100})</f>
        <v>85</v>
      </c>
      <c r="Q188" s="5">
        <v>5.39</v>
      </c>
      <c r="R188" s="36">
        <f t="shared" si="15"/>
        <v>4.61</v>
      </c>
      <c r="S188" s="29">
        <f>LOOKUP(R188,{0,3.85,4.45,4.65,4.85,5.45,5.65,5.7,5.75,5.8,5.85,5.9,5.95,6,6.45,6.5,6.55,6.63,6.7,6.75,6.8},{0,10,20,30,40,50,60,62,64,66,68,70,72,74,76,78,80,85,90,95,100})</f>
        <v>20</v>
      </c>
      <c r="T188" s="27"/>
      <c r="U188" s="27"/>
      <c r="V188" s="27">
        <f t="shared" si="16"/>
        <v>20</v>
      </c>
      <c r="W188" s="27"/>
      <c r="X188" s="19">
        <f t="shared" si="17"/>
        <v>43.8</v>
      </c>
      <c r="Y188" s="13">
        <f t="shared" si="18"/>
        <v>62.5714285714286</v>
      </c>
    </row>
    <row r="189" ht="15.6" spans="1:25">
      <c r="A189" s="27">
        <v>309</v>
      </c>
      <c r="B189" s="27">
        <v>6</v>
      </c>
      <c r="C189" s="28" t="s">
        <v>410</v>
      </c>
      <c r="D189" s="28" t="s">
        <v>12</v>
      </c>
      <c r="E189" s="27">
        <v>18</v>
      </c>
      <c r="F189" s="29">
        <f>LOOKUP(E189,{0,-1.8,-0.8,0.2,1.2,2.2,3.2,4.6,6,7.4,8.8,10.2,11.6,13,14.4,15.8,17.2,19.1,21,22.8,24.6},{0,10,20,30,40,50,60,62,64,66,68,70,72,74,76,78,80,85,90,95,100})</f>
        <v>80</v>
      </c>
      <c r="G189" s="27">
        <v>210</v>
      </c>
      <c r="H189" s="29">
        <f>LOOKUP(G189,{0,180,185,190,195,200,205,209,213,217,221,225,229,233,237,241,245,253,260,265,270},{0,10,20,30,40,50,60,62,64,66,68,70,72,74,76,78,80,85,90,95,100})</f>
        <v>62</v>
      </c>
      <c r="I189" s="27">
        <v>3</v>
      </c>
      <c r="J189" s="29">
        <f>LOOKUP(I189,{0,4,5,6,7,8,9,10,11,12,13,14,15,16,17,18},{0,10,20,30,40,50,60,64,68,72,76,80,85,90,95,100})</f>
        <v>0</v>
      </c>
      <c r="K189" s="44"/>
      <c r="L189" s="35"/>
      <c r="M189" s="35">
        <f t="shared" si="13"/>
        <v>0</v>
      </c>
      <c r="N189" s="35">
        <v>7.5</v>
      </c>
      <c r="O189" s="36">
        <f t="shared" si="14"/>
        <v>10.5</v>
      </c>
      <c r="P189" s="29">
        <f>LOOKUP(O189,{0,7.8,8,8.2,8.4,8.6,8.8,9,9.2,9.4,9.6,9.8,10,10.2,10.4,10.6,10.8,10.9,11,11.1,11.2},{0,10,20,30,40,50,60,62,64,66,68,70,72,74,76,78,80,85,90,95,100})</f>
        <v>76</v>
      </c>
      <c r="Q189" s="5">
        <v>4.01</v>
      </c>
      <c r="R189" s="36">
        <f t="shared" si="15"/>
        <v>5.99</v>
      </c>
      <c r="S189" s="29">
        <f>LOOKUP(R189,{0,3.85,4.45,4.65,4.85,5.45,5.65,5.7,5.75,5.8,5.85,5.9,5.95,6,6.45,6.5,6.55,6.63,6.7,6.75,6.8},{0,10,20,30,40,50,60,62,64,66,68,70,72,74,76,78,80,85,90,95,100})</f>
        <v>72</v>
      </c>
      <c r="T189" s="27"/>
      <c r="U189" s="27"/>
      <c r="V189" s="27">
        <f t="shared" si="16"/>
        <v>72</v>
      </c>
      <c r="W189" s="27"/>
      <c r="X189" s="19">
        <f t="shared" si="17"/>
        <v>43.8</v>
      </c>
      <c r="Y189" s="13">
        <f t="shared" si="18"/>
        <v>62.5714285714286</v>
      </c>
    </row>
    <row r="190" ht="15.6" spans="1:25">
      <c r="A190" s="27">
        <v>310</v>
      </c>
      <c r="B190" s="27">
        <v>5</v>
      </c>
      <c r="C190" s="28" t="s">
        <v>462</v>
      </c>
      <c r="D190" s="28" t="s">
        <v>12</v>
      </c>
      <c r="E190" s="27">
        <v>5.5</v>
      </c>
      <c r="F190" s="29">
        <f>LOOKUP(E190,{0,-1.8,-0.8,0.2,1.2,2.2,3.2,4.6,6,7.4,8.8,10.2,11.6,13,14.4,15.8,17.2,19.1,21,22.8,24.6},{0,10,20,30,40,50,60,62,64,66,68,70,72,74,76,78,80,85,90,95,100})</f>
        <v>62</v>
      </c>
      <c r="G190" s="27">
        <v>245</v>
      </c>
      <c r="H190" s="29">
        <f>LOOKUP(G190,{0,180,185,190,195,200,205,209,213,217,221,225,229,233,237,241,245,253,260,265,270},{0,10,20,30,40,50,60,62,64,66,68,70,72,74,76,78,80,85,90,95,100})</f>
        <v>80</v>
      </c>
      <c r="I190" s="27">
        <v>9</v>
      </c>
      <c r="J190" s="29">
        <f>LOOKUP(I190,{0,4,5,6,7,8,9,10,11,12,13,14,15,16,17,18},{0,10,20,30,40,50,60,64,68,72,76,80,85,90,95,100})</f>
        <v>60</v>
      </c>
      <c r="K190" s="44"/>
      <c r="L190" s="35"/>
      <c r="M190" s="35">
        <f t="shared" si="13"/>
        <v>60</v>
      </c>
      <c r="N190" s="35">
        <v>7.3</v>
      </c>
      <c r="O190" s="36">
        <f t="shared" si="14"/>
        <v>10.7</v>
      </c>
      <c r="P190" s="29">
        <f>LOOKUP(O190,{0,7.8,8,8.2,8.4,8.6,8.8,9,9.2,9.4,9.6,9.8,10,10.2,10.4,10.6,10.8,10.9,11,11.1,11.2},{0,10,20,30,40,50,60,62,64,66,68,70,72,74,76,78,80,85,90,95,100})</f>
        <v>78</v>
      </c>
      <c r="Q190" s="5">
        <v>5.09</v>
      </c>
      <c r="R190" s="36">
        <f t="shared" si="15"/>
        <v>4.91</v>
      </c>
      <c r="S190" s="29">
        <f>LOOKUP(R190,{0,3.85,4.45,4.65,4.85,5.45,5.65,5.7,5.75,5.8,5.85,5.9,5.95,6,6.45,6.5,6.55,6.63,6.7,6.75,6.8},{0,10,20,30,40,50,60,62,64,66,68,70,72,74,76,78,80,85,90,95,100})</f>
        <v>40</v>
      </c>
      <c r="T190" s="27"/>
      <c r="U190" s="27"/>
      <c r="V190" s="27">
        <f t="shared" si="16"/>
        <v>40</v>
      </c>
      <c r="W190" s="27"/>
      <c r="X190" s="19">
        <f t="shared" si="17"/>
        <v>43.8</v>
      </c>
      <c r="Y190" s="13">
        <f t="shared" si="18"/>
        <v>62.5714285714286</v>
      </c>
    </row>
    <row r="191" ht="15.6" spans="1:25">
      <c r="A191" s="27">
        <v>303</v>
      </c>
      <c r="B191" s="27">
        <v>27</v>
      </c>
      <c r="C191" s="27" t="s">
        <v>129</v>
      </c>
      <c r="D191" s="27" t="s">
        <v>12</v>
      </c>
      <c r="E191" s="27">
        <v>10</v>
      </c>
      <c r="F191" s="29">
        <f>LOOKUP(E191,{0,-1.8,-0.8,0.2,1.2,2.2,3.2,4.6,6,7.4,8.8,10.2,11.6,13,14.4,15.8,17.2,19.1,21,22.8,24.6},{0,10,20,30,40,50,60,62,64,66,68,70,72,74,76,78,80,85,90,95,100})</f>
        <v>68</v>
      </c>
      <c r="G191" s="27">
        <v>215</v>
      </c>
      <c r="H191" s="29">
        <f>LOOKUP(G191,{0,180,185,190,195,200,205,209,213,217,221,225,229,233,237,241,245,253,260,265,270},{0,10,20,30,40,50,60,62,64,66,68,70,72,74,76,78,80,85,90,95,100})</f>
        <v>64</v>
      </c>
      <c r="I191" s="27">
        <v>9</v>
      </c>
      <c r="J191" s="29">
        <f>LOOKUP(I191,{0,4,5,6,7,8,9,10,11,12,13,14,15,16,17,18},{0,10,20,30,40,50,60,64,68,72,76,80,85,90,95,100})</f>
        <v>60</v>
      </c>
      <c r="K191" s="44"/>
      <c r="L191" s="35"/>
      <c r="M191" s="35">
        <f t="shared" si="13"/>
        <v>60</v>
      </c>
      <c r="N191" s="35">
        <v>7.9</v>
      </c>
      <c r="O191" s="36">
        <f t="shared" si="14"/>
        <v>10.1</v>
      </c>
      <c r="P191" s="29">
        <f>LOOKUP(O191,{0,7.8,8,8.2,8.4,8.6,8.8,9,9.2,9.4,9.6,9.8,10,10.2,10.4,10.6,10.8,10.9,11,11.1,11.2},{0,10,20,30,40,50,60,62,64,66,68,70,72,74,76,78,80,85,90,95,100})</f>
        <v>72</v>
      </c>
      <c r="Q191" s="5">
        <v>4.45</v>
      </c>
      <c r="R191" s="36">
        <f t="shared" si="15"/>
        <v>5.55</v>
      </c>
      <c r="S191" s="29">
        <f>LOOKUP(R191,{0,3.85,4.45,4.65,4.85,5.45,5.65,5.7,5.75,5.8,5.85,5.9,5.95,6,6.45,6.5,6.55,6.63,6.7,6.75,6.8},{0,10,20,30,40,50,60,62,64,66,68,70,72,74,76,78,80,85,90,95,100})</f>
        <v>50</v>
      </c>
      <c r="T191" s="27"/>
      <c r="U191" s="27"/>
      <c r="V191" s="27">
        <f t="shared" si="16"/>
        <v>50</v>
      </c>
      <c r="W191" s="27"/>
      <c r="X191" s="19">
        <f t="shared" si="17"/>
        <v>43.6</v>
      </c>
      <c r="Y191" s="13">
        <f t="shared" si="18"/>
        <v>62.2857142857143</v>
      </c>
    </row>
    <row r="192" ht="15.6" spans="1:25">
      <c r="A192" s="27">
        <v>305</v>
      </c>
      <c r="B192" s="27">
        <v>35</v>
      </c>
      <c r="C192" s="28" t="s">
        <v>222</v>
      </c>
      <c r="D192" s="28" t="s">
        <v>12</v>
      </c>
      <c r="E192" s="27">
        <v>14.5</v>
      </c>
      <c r="F192" s="29">
        <f>LOOKUP(E192,{0,-1.8,-0.8,0.2,1.2,2.2,3.2,4.6,6,7.4,8.8,10.2,11.6,13,14.4,15.8,17.2,19.1,21,22.8,24.6},{0,10,20,30,40,50,60,62,64,66,68,70,72,74,76,78,80,85,90,95,100})</f>
        <v>76</v>
      </c>
      <c r="G192" s="27">
        <v>210</v>
      </c>
      <c r="H192" s="29">
        <f>LOOKUP(G192,{0,180,185,190,195,200,205,209,213,217,221,225,229,233,237,241,245,253,260,265,270},{0,10,20,30,40,50,60,62,64,66,68,70,72,74,76,78,80,85,90,95,100})</f>
        <v>62</v>
      </c>
      <c r="I192" s="27">
        <v>8</v>
      </c>
      <c r="J192" s="29">
        <f>LOOKUP(I192,{0,4,5,6,7,8,9,10,11,12,13,14,15,16,17,18},{0,10,20,30,40,50,60,64,68,72,76,80,85,90,95,100})</f>
        <v>50</v>
      </c>
      <c r="K192" s="44"/>
      <c r="L192" s="35"/>
      <c r="M192" s="35">
        <f t="shared" si="13"/>
        <v>50</v>
      </c>
      <c r="N192" s="35">
        <v>7.8</v>
      </c>
      <c r="O192" s="36">
        <f t="shared" si="14"/>
        <v>10.2</v>
      </c>
      <c r="P192" s="29">
        <f>LOOKUP(O192,{0,7.8,8,8.2,8.4,8.6,8.8,9,9.2,9.4,9.6,9.8,10,10.2,10.4,10.6,10.8,10.9,11,11.1,11.2},{0,10,20,30,40,50,60,62,64,66,68,70,72,74,76,78,80,85,90,95,100})</f>
        <v>74</v>
      </c>
      <c r="Q192" s="5">
        <v>4.54</v>
      </c>
      <c r="R192" s="36">
        <f t="shared" si="15"/>
        <v>5.46</v>
      </c>
      <c r="S192" s="29">
        <f>LOOKUP(R192,{0,3.85,4.45,4.65,4.85,5.45,5.65,5.7,5.75,5.8,5.85,5.9,5.95,6,6.45,6.5,6.55,6.63,6.7,6.75,6.8},{0,10,20,30,40,50,60,62,64,66,68,70,72,74,76,78,80,85,90,95,100})</f>
        <v>50</v>
      </c>
      <c r="T192" s="27"/>
      <c r="U192" s="27"/>
      <c r="V192" s="27">
        <f t="shared" si="16"/>
        <v>50</v>
      </c>
      <c r="W192" s="27"/>
      <c r="X192" s="19">
        <f t="shared" si="17"/>
        <v>43.6</v>
      </c>
      <c r="Y192" s="13">
        <f t="shared" si="18"/>
        <v>62.2857142857143</v>
      </c>
    </row>
    <row r="193" ht="15.6" spans="1:25">
      <c r="A193" s="27">
        <v>312</v>
      </c>
      <c r="B193" s="27">
        <v>9</v>
      </c>
      <c r="C193" s="28" t="s">
        <v>582</v>
      </c>
      <c r="D193" s="28" t="s">
        <v>12</v>
      </c>
      <c r="E193" s="27">
        <v>8</v>
      </c>
      <c r="F193" s="29">
        <f>LOOKUP(E193,{0,-1.8,-0.8,0.2,1.2,2.2,3.2,4.6,6,7.4,8.8,10.2,11.6,13,14.4,15.8,17.2,19.1,21,22.8,24.6},{0,10,20,30,40,50,60,62,64,66,68,70,72,74,76,78,80,85,90,95,100})</f>
        <v>66</v>
      </c>
      <c r="G193" s="27">
        <v>230</v>
      </c>
      <c r="H193" s="29">
        <f>LOOKUP(G193,{0,180,185,190,195,200,205,209,213,217,221,225,229,233,237,241,245,253,260,265,270},{0,10,20,30,40,50,60,62,64,66,68,70,72,74,76,78,80,85,90,95,100})</f>
        <v>72</v>
      </c>
      <c r="I193" s="27">
        <v>16</v>
      </c>
      <c r="J193" s="29">
        <f>LOOKUP(I193,{0,4,5,6,7,8,9,10,11,12,13,14,15,16,17,18},{0,10,20,30,40,50,60,64,68,72,76,80,85,90,95,100})</f>
        <v>90</v>
      </c>
      <c r="K193" s="44"/>
      <c r="L193" s="35"/>
      <c r="M193" s="35">
        <f t="shared" si="13"/>
        <v>90</v>
      </c>
      <c r="N193" s="35">
        <v>7.8</v>
      </c>
      <c r="O193" s="36">
        <f t="shared" si="14"/>
        <v>10.2</v>
      </c>
      <c r="P193" s="29">
        <f>LOOKUP(O193,{0,7.8,8,8.2,8.4,8.6,8.8,9,9.2,9.4,9.6,9.8,10,10.2,10.4,10.6,10.8,10.9,11,11.1,11.2},{0,10,20,30,40,50,60,62,64,66,68,70,72,74,76,78,80,85,90,95,100})</f>
        <v>74</v>
      </c>
      <c r="Q193" s="5">
        <v>5.17</v>
      </c>
      <c r="R193" s="36">
        <f t="shared" si="15"/>
        <v>4.83</v>
      </c>
      <c r="S193" s="29">
        <f>LOOKUP(R193,{0,3.85,4.45,4.65,4.85,5.45,5.65,5.7,5.75,5.8,5.85,5.9,5.95,6,6.45,6.5,6.55,6.63,6.7,6.75,6.8},{0,10,20,30,40,50,60,62,64,66,68,70,72,74,76,78,80,85,90,95,100})</f>
        <v>30</v>
      </c>
      <c r="T193" s="27"/>
      <c r="U193" s="27"/>
      <c r="V193" s="27">
        <f t="shared" si="16"/>
        <v>30</v>
      </c>
      <c r="W193" s="27"/>
      <c r="X193" s="19">
        <f t="shared" si="17"/>
        <v>43.6</v>
      </c>
      <c r="Y193" s="13">
        <f t="shared" si="18"/>
        <v>62.2857142857143</v>
      </c>
    </row>
    <row r="194" ht="15.6" spans="1:25">
      <c r="A194" s="27">
        <v>310</v>
      </c>
      <c r="B194" s="27">
        <v>38</v>
      </c>
      <c r="C194" s="28" t="s">
        <v>498</v>
      </c>
      <c r="D194" s="28" t="s">
        <v>12</v>
      </c>
      <c r="E194" s="27">
        <v>20.6</v>
      </c>
      <c r="F194" s="29">
        <f>LOOKUP(E194,{0,-1.8,-0.8,0.2,1.2,2.2,3.2,4.6,6,7.4,8.8,10.2,11.6,13,14.4,15.8,17.2,19.1,21,22.8,24.6},{0,10,20,30,40,50,60,62,64,66,68,70,72,74,76,78,80,85,90,95,100})</f>
        <v>85</v>
      </c>
      <c r="G194" s="27">
        <v>215</v>
      </c>
      <c r="H194" s="29">
        <f>LOOKUP(G194,{0,180,185,190,195,200,205,209,213,217,221,225,229,233,237,241,245,253,260,265,270},{0,10,20,30,40,50,60,62,64,66,68,70,72,74,76,78,80,85,90,95,100})</f>
        <v>64</v>
      </c>
      <c r="I194" s="27">
        <v>1</v>
      </c>
      <c r="J194" s="29">
        <f>LOOKUP(I194,{0,4,5,6,7,8,9,10,11,12,13,14,15,16,17,18},{0,10,20,30,40,50,60,64,68,72,76,80,85,90,95,100})</f>
        <v>0</v>
      </c>
      <c r="K194" s="44"/>
      <c r="L194" s="35"/>
      <c r="M194" s="35">
        <f t="shared" ref="M194:M257" si="19">J194+L194</f>
        <v>0</v>
      </c>
      <c r="N194" s="35">
        <v>7.8</v>
      </c>
      <c r="O194" s="36">
        <f t="shared" ref="O194:O257" si="20">18-N194</f>
        <v>10.2</v>
      </c>
      <c r="P194" s="29">
        <f>LOOKUP(O194,{0,7.8,8,8.2,8.4,8.6,8.8,9,9.2,9.4,9.6,9.8,10,10.2,10.4,10.6,10.8,10.9,11,11.1,11.2},{0,10,20,30,40,50,60,62,64,66,68,70,72,74,76,78,80,85,90,95,100})</f>
        <v>74</v>
      </c>
      <c r="Q194" s="5">
        <v>4.14</v>
      </c>
      <c r="R194" s="36">
        <f t="shared" ref="R194:R257" si="21">10-Q194</f>
        <v>5.86</v>
      </c>
      <c r="S194" s="29">
        <f>LOOKUP(R194,{0,3.85,4.45,4.65,4.85,5.45,5.65,5.7,5.75,5.8,5.85,5.9,5.95,6,6.45,6.5,6.55,6.63,6.7,6.75,6.8},{0,10,20,30,40,50,60,62,64,66,68,70,72,74,76,78,80,85,90,95,100})</f>
        <v>68</v>
      </c>
      <c r="T194" s="27"/>
      <c r="U194" s="27"/>
      <c r="V194" s="27">
        <f t="shared" ref="V194:V257" si="22">S194+U194</f>
        <v>68</v>
      </c>
      <c r="W194" s="27"/>
      <c r="X194" s="19">
        <f t="shared" ref="X194:X257" si="23">F194*0.1+H194*0.1+J194*0.1+P194*0.2+S194*0.2</f>
        <v>43.3</v>
      </c>
      <c r="Y194" s="13">
        <f t="shared" ref="Y194:Y257" si="24">X194/0.7+L194+U194</f>
        <v>61.8571428571429</v>
      </c>
    </row>
    <row r="195" ht="15.6" spans="1:25">
      <c r="A195" s="27">
        <v>302</v>
      </c>
      <c r="B195" s="27">
        <v>11</v>
      </c>
      <c r="C195" s="31" t="s">
        <v>69</v>
      </c>
      <c r="D195" s="27" t="s">
        <v>12</v>
      </c>
      <c r="E195" s="27">
        <v>19</v>
      </c>
      <c r="F195" s="29">
        <f>LOOKUP(E195,{0,-1.8,-0.8,0.2,1.2,2.2,3.2,4.6,6,7.4,8.8,10.2,11.6,13,14.4,15.8,17.2,19.1,21,22.8,24.6},{0,10,20,30,40,50,60,62,64,66,68,70,72,74,76,78,80,85,90,95,100})</f>
        <v>80</v>
      </c>
      <c r="G195" s="27">
        <v>215</v>
      </c>
      <c r="H195" s="29">
        <f>LOOKUP(G195,{0,180,185,190,195,200,205,209,213,217,221,225,229,233,237,241,245,253,260,265,270},{0,10,20,30,40,50,60,62,64,66,68,70,72,74,76,78,80,85,90,95,100})</f>
        <v>64</v>
      </c>
      <c r="I195" s="27">
        <v>3</v>
      </c>
      <c r="J195" s="29">
        <f>LOOKUP(I195,{0,4,5,6,7,8,9,10,11,12,13,14,15,16,17,18},{0,10,20,30,40,50,60,64,68,72,76,80,85,90,95,100})</f>
        <v>0</v>
      </c>
      <c r="K195" s="44"/>
      <c r="L195" s="35"/>
      <c r="M195" s="35">
        <f t="shared" si="19"/>
        <v>0</v>
      </c>
      <c r="N195" s="35">
        <v>7.5</v>
      </c>
      <c r="O195" s="36">
        <f t="shared" si="20"/>
        <v>10.5</v>
      </c>
      <c r="P195" s="29">
        <f>LOOKUP(O195,{0,7.8,8,8.2,8.4,8.6,8.8,9,9.2,9.4,9.6,9.8,10,10.2,10.4,10.6,10.8,10.9,11,11.1,11.2},{0,10,20,30,40,50,60,62,64,66,68,70,72,74,76,78,80,85,90,95,100})</f>
        <v>76</v>
      </c>
      <c r="Q195" s="5">
        <v>4.15</v>
      </c>
      <c r="R195" s="36">
        <f t="shared" si="21"/>
        <v>5.85</v>
      </c>
      <c r="S195" s="29">
        <f>LOOKUP(R195,{0,3.85,4.45,4.65,4.85,5.45,5.65,5.7,5.75,5.8,5.85,5.9,5.95,6,6.45,6.5,6.55,6.63,6.7,6.75,6.8},{0,10,20,30,40,50,60,62,64,66,68,70,72,74,76,78,80,85,90,95,100})</f>
        <v>68</v>
      </c>
      <c r="T195" s="27"/>
      <c r="U195" s="27"/>
      <c r="V195" s="27">
        <f t="shared" si="22"/>
        <v>68</v>
      </c>
      <c r="W195" s="27"/>
      <c r="X195" s="19">
        <f t="shared" si="23"/>
        <v>43.2</v>
      </c>
      <c r="Y195" s="13">
        <f t="shared" si="24"/>
        <v>61.7142857142857</v>
      </c>
    </row>
    <row r="196" ht="15.6" spans="1:25">
      <c r="A196" s="27">
        <v>303</v>
      </c>
      <c r="B196" s="27">
        <v>29</v>
      </c>
      <c r="C196" s="27" t="s">
        <v>131</v>
      </c>
      <c r="D196" s="27" t="s">
        <v>12</v>
      </c>
      <c r="E196" s="27">
        <v>14</v>
      </c>
      <c r="F196" s="29">
        <f>LOOKUP(E196,{0,-1.8,-0.8,0.2,1.2,2.2,3.2,4.6,6,7.4,8.8,10.2,11.6,13,14.4,15.8,17.2,19.1,21,22.8,24.6},{0,10,20,30,40,50,60,62,64,66,68,70,72,74,76,78,80,85,90,95,100})</f>
        <v>74</v>
      </c>
      <c r="G196" s="27">
        <v>242</v>
      </c>
      <c r="H196" s="29">
        <f>LOOKUP(G196,{0,180,185,190,195,200,205,209,213,217,221,225,229,233,237,241,245,253,260,265,270},{0,10,20,30,40,50,60,62,64,66,68,70,72,74,76,78,80,85,90,95,100})</f>
        <v>78</v>
      </c>
      <c r="I196" s="27">
        <v>0</v>
      </c>
      <c r="J196" s="29">
        <f>LOOKUP(I196,{0,4,5,6,7,8,9,10,11,12,13,14,15,16,17,18},{0,10,20,30,40,50,60,64,68,72,76,80,85,90,95,100})</f>
        <v>0</v>
      </c>
      <c r="K196" s="44"/>
      <c r="L196" s="35"/>
      <c r="M196" s="35">
        <f t="shared" si="19"/>
        <v>0</v>
      </c>
      <c r="N196" s="35">
        <v>7.3</v>
      </c>
      <c r="O196" s="36">
        <f t="shared" si="20"/>
        <v>10.7</v>
      </c>
      <c r="P196" s="29">
        <f>LOOKUP(O196,{0,7.8,8,8.2,8.4,8.6,8.8,9,9.2,9.4,9.6,9.8,10,10.2,10.4,10.6,10.8,10.9,11,11.1,11.2},{0,10,20,30,40,50,60,62,64,66,68,70,72,74,76,78,80,85,90,95,100})</f>
        <v>78</v>
      </c>
      <c r="Q196" s="5">
        <v>4.28</v>
      </c>
      <c r="R196" s="36">
        <f t="shared" si="21"/>
        <v>5.72</v>
      </c>
      <c r="S196" s="29">
        <f>LOOKUP(R196,{0,3.85,4.45,4.65,4.85,5.45,5.65,5.7,5.75,5.8,5.85,5.9,5.95,6,6.45,6.5,6.55,6.63,6.7,6.75,6.8},{0,10,20,30,40,50,60,62,64,66,68,70,72,74,76,78,80,85,90,95,100})</f>
        <v>62</v>
      </c>
      <c r="T196" s="27"/>
      <c r="U196" s="27"/>
      <c r="V196" s="27">
        <f t="shared" si="22"/>
        <v>62</v>
      </c>
      <c r="W196" s="27"/>
      <c r="X196" s="19">
        <f t="shared" si="23"/>
        <v>43.2</v>
      </c>
      <c r="Y196" s="13">
        <f t="shared" si="24"/>
        <v>61.7142857142857</v>
      </c>
    </row>
    <row r="197" ht="15.6" spans="1:25">
      <c r="A197" s="27">
        <v>305</v>
      </c>
      <c r="B197" s="27">
        <v>24</v>
      </c>
      <c r="C197" s="28" t="s">
        <v>210</v>
      </c>
      <c r="D197" s="28" t="s">
        <v>12</v>
      </c>
      <c r="E197" s="27">
        <v>10</v>
      </c>
      <c r="F197" s="29">
        <f>LOOKUP(E197,{0,-1.8,-0.8,0.2,1.2,2.2,3.2,4.6,6,7.4,8.8,10.2,11.6,13,14.4,15.8,17.2,19.1,21,22.8,24.6},{0,10,20,30,40,50,60,62,64,66,68,70,72,74,76,78,80,85,90,95,100})</f>
        <v>68</v>
      </c>
      <c r="G197" s="27">
        <v>240</v>
      </c>
      <c r="H197" s="29">
        <f>LOOKUP(G197,{0,180,185,190,195,200,205,209,213,217,221,225,229,233,237,241,245,253,260,265,270},{0,10,20,30,40,50,60,62,64,66,68,70,72,74,76,78,80,85,90,95,100})</f>
        <v>76</v>
      </c>
      <c r="I197" s="27">
        <v>2</v>
      </c>
      <c r="J197" s="29">
        <f>LOOKUP(I197,{0,4,5,6,7,8,9,10,11,12,13,14,15,16,17,18},{0,10,20,30,40,50,60,64,68,72,76,80,85,90,95,100})</f>
        <v>0</v>
      </c>
      <c r="K197" s="44"/>
      <c r="L197" s="35"/>
      <c r="M197" s="35">
        <f t="shared" si="19"/>
        <v>0</v>
      </c>
      <c r="N197" s="35">
        <v>7.4</v>
      </c>
      <c r="O197" s="36">
        <f t="shared" si="20"/>
        <v>10.6</v>
      </c>
      <c r="P197" s="29">
        <f>LOOKUP(O197,{0,7.8,8,8.2,8.4,8.6,8.8,9,9.2,9.4,9.6,9.8,10,10.2,10.4,10.6,10.8,10.9,11,11.1,11.2},{0,10,20,30,40,50,60,62,64,66,68,70,72,74,76,78,80,85,90,95,100})</f>
        <v>78</v>
      </c>
      <c r="Q197" s="5">
        <v>4.17</v>
      </c>
      <c r="R197" s="36">
        <f t="shared" si="21"/>
        <v>5.83</v>
      </c>
      <c r="S197" s="29">
        <f>LOOKUP(R197,{0,3.85,4.45,4.65,4.85,5.45,5.65,5.7,5.75,5.8,5.85,5.9,5.95,6,6.45,6.5,6.55,6.63,6.7,6.75,6.8},{0,10,20,30,40,50,60,62,64,66,68,70,72,74,76,78,80,85,90,95,100})</f>
        <v>66</v>
      </c>
      <c r="T197" s="27"/>
      <c r="U197" s="27"/>
      <c r="V197" s="27">
        <f t="shared" si="22"/>
        <v>66</v>
      </c>
      <c r="W197" s="27"/>
      <c r="X197" s="19">
        <f t="shared" si="23"/>
        <v>43.2</v>
      </c>
      <c r="Y197" s="13">
        <f t="shared" si="24"/>
        <v>61.7142857142857</v>
      </c>
    </row>
    <row r="198" ht="15.6" spans="1:25">
      <c r="A198" s="27">
        <v>305</v>
      </c>
      <c r="B198" s="27">
        <v>27</v>
      </c>
      <c r="C198" s="28" t="s">
        <v>213</v>
      </c>
      <c r="D198" s="28" t="s">
        <v>12</v>
      </c>
      <c r="E198" s="27">
        <v>15</v>
      </c>
      <c r="F198" s="29">
        <f>LOOKUP(E198,{0,-1.8,-0.8,0.2,1.2,2.2,3.2,4.6,6,7.4,8.8,10.2,11.6,13,14.4,15.8,17.2,19.1,21,22.8,24.6},{0,10,20,30,40,50,60,62,64,66,68,70,72,74,76,78,80,85,90,95,100})</f>
        <v>76</v>
      </c>
      <c r="G198" s="27">
        <v>220</v>
      </c>
      <c r="H198" s="29">
        <f>LOOKUP(G198,{0,180,185,190,195,200,205,209,213,217,221,225,229,233,237,241,245,253,260,265,270},{0,10,20,30,40,50,60,62,64,66,68,70,72,74,76,78,80,85,90,95,100})</f>
        <v>66</v>
      </c>
      <c r="I198" s="27">
        <v>8</v>
      </c>
      <c r="J198" s="29">
        <f>LOOKUP(I198,{0,4,5,6,7,8,9,10,11,12,13,14,15,16,17,18},{0,10,20,30,40,50,60,64,68,72,76,80,85,90,95,100})</f>
        <v>50</v>
      </c>
      <c r="K198" s="44"/>
      <c r="L198" s="35"/>
      <c r="M198" s="35">
        <f t="shared" si="19"/>
        <v>50</v>
      </c>
      <c r="N198" s="35">
        <v>7.2</v>
      </c>
      <c r="O198" s="36">
        <f t="shared" si="20"/>
        <v>10.8</v>
      </c>
      <c r="P198" s="29">
        <f>LOOKUP(O198,{0,7.8,8,8.2,8.4,8.6,8.8,9,9.2,9.4,9.6,9.8,10,10.2,10.4,10.6,10.8,10.9,11,11.1,11.2},{0,10,20,30,40,50,60,62,64,66,68,70,72,74,76,78,80,85,90,95,100})</f>
        <v>80</v>
      </c>
      <c r="Q198" s="5">
        <v>5.11</v>
      </c>
      <c r="R198" s="36">
        <f t="shared" si="21"/>
        <v>4.89</v>
      </c>
      <c r="S198" s="29">
        <f>LOOKUP(R198,{0,3.85,4.45,4.65,4.85,5.45,5.65,5.7,5.75,5.8,5.85,5.9,5.95,6,6.45,6.5,6.55,6.63,6.7,6.75,6.8},{0,10,20,30,40,50,60,62,64,66,68,70,72,74,76,78,80,85,90,95,100})</f>
        <v>40</v>
      </c>
      <c r="T198" s="27"/>
      <c r="U198" s="27"/>
      <c r="V198" s="27">
        <f t="shared" si="22"/>
        <v>40</v>
      </c>
      <c r="W198" s="27"/>
      <c r="X198" s="19">
        <f t="shared" si="23"/>
        <v>43.2</v>
      </c>
      <c r="Y198" s="13">
        <f t="shared" si="24"/>
        <v>61.7142857142857</v>
      </c>
    </row>
    <row r="199" ht="15.6" spans="1:25">
      <c r="A199" s="27">
        <v>310</v>
      </c>
      <c r="B199" s="27">
        <v>2</v>
      </c>
      <c r="C199" s="28" t="s">
        <v>459</v>
      </c>
      <c r="D199" s="28" t="s">
        <v>12</v>
      </c>
      <c r="E199" s="27">
        <v>5.5</v>
      </c>
      <c r="F199" s="29">
        <f>LOOKUP(E199,{0,-1.8,-0.8,0.2,1.2,2.2,3.2,4.6,6,7.4,8.8,10.2,11.6,13,14.4,15.8,17.2,19.1,21,22.8,24.6},{0,10,20,30,40,50,60,62,64,66,68,70,72,74,76,78,80,85,90,95,100})</f>
        <v>62</v>
      </c>
      <c r="G199" s="27">
        <v>225</v>
      </c>
      <c r="H199" s="29">
        <f>LOOKUP(G199,{0,180,185,190,195,200,205,209,213,217,221,225,229,233,237,241,245,253,260,265,270},{0,10,20,30,40,50,60,62,64,66,68,70,72,74,76,78,80,85,90,95,100})</f>
        <v>70</v>
      </c>
      <c r="I199" s="27">
        <v>1</v>
      </c>
      <c r="J199" s="29">
        <f>LOOKUP(I199,{0,4,5,6,7,8,9,10,11,12,13,14,15,16,17,18},{0,10,20,30,40,50,60,64,68,72,76,80,85,90,95,100})</f>
        <v>0</v>
      </c>
      <c r="K199" s="44"/>
      <c r="L199" s="35"/>
      <c r="M199" s="35">
        <f t="shared" si="19"/>
        <v>0</v>
      </c>
      <c r="N199" s="35">
        <v>7.4</v>
      </c>
      <c r="O199" s="36">
        <f t="shared" si="20"/>
        <v>10.6</v>
      </c>
      <c r="P199" s="29">
        <f>LOOKUP(O199,{0,7.8,8,8.2,8.4,8.6,8.8,9,9.2,9.4,9.6,9.8,10,10.2,10.4,10.6,10.8,10.9,11,11.1,11.2},{0,10,20,30,40,50,60,62,64,66,68,70,72,74,76,78,80,85,90,95,100})</f>
        <v>78</v>
      </c>
      <c r="Q199" s="5">
        <v>4.02</v>
      </c>
      <c r="R199" s="36">
        <f t="shared" si="21"/>
        <v>5.98</v>
      </c>
      <c r="S199" s="29">
        <f>LOOKUP(R199,{0,3.85,4.45,4.65,4.85,5.45,5.65,5.7,5.75,5.8,5.85,5.9,5.95,6,6.45,6.5,6.55,6.63,6.7,6.75,6.8},{0,10,20,30,40,50,60,62,64,66,68,70,72,74,76,78,80,85,90,95,100})</f>
        <v>72</v>
      </c>
      <c r="T199" s="27"/>
      <c r="U199" s="27"/>
      <c r="V199" s="27">
        <f t="shared" si="22"/>
        <v>72</v>
      </c>
      <c r="W199" s="27"/>
      <c r="X199" s="19">
        <f t="shared" si="23"/>
        <v>43.2</v>
      </c>
      <c r="Y199" s="13">
        <f t="shared" si="24"/>
        <v>61.7142857142857</v>
      </c>
    </row>
    <row r="200" ht="15.6" spans="1:25">
      <c r="A200" s="27">
        <v>310</v>
      </c>
      <c r="B200" s="27">
        <v>3</v>
      </c>
      <c r="C200" s="28" t="s">
        <v>460</v>
      </c>
      <c r="D200" s="28" t="s">
        <v>12</v>
      </c>
      <c r="E200" s="27">
        <v>7.5</v>
      </c>
      <c r="F200" s="29">
        <f>LOOKUP(E200,{0,-1.8,-0.8,0.2,1.2,2.2,3.2,4.6,6,7.4,8.8,10.2,11.6,13,14.4,15.8,17.2,19.1,21,22.8,24.6},{0,10,20,30,40,50,60,62,64,66,68,70,72,74,76,78,80,85,90,95,100})</f>
        <v>66</v>
      </c>
      <c r="G200" s="27">
        <v>235</v>
      </c>
      <c r="H200" s="29">
        <f>LOOKUP(G200,{0,180,185,190,195,200,205,209,213,217,221,225,229,233,237,241,245,253,260,265,270},{0,10,20,30,40,50,60,62,64,66,68,70,72,74,76,78,80,85,90,95,100})</f>
        <v>74</v>
      </c>
      <c r="I200" s="27">
        <v>1</v>
      </c>
      <c r="J200" s="29">
        <f>LOOKUP(I200,{0,4,5,6,7,8,9,10,11,12,13,14,15,16,17,18},{0,10,20,30,40,50,60,64,68,72,76,80,85,90,95,100})</f>
        <v>0</v>
      </c>
      <c r="K200" s="44"/>
      <c r="L200" s="35"/>
      <c r="M200" s="35">
        <f t="shared" si="19"/>
        <v>0</v>
      </c>
      <c r="N200" s="35">
        <v>7.5</v>
      </c>
      <c r="O200" s="36">
        <f t="shared" si="20"/>
        <v>10.5</v>
      </c>
      <c r="P200" s="29">
        <f>LOOKUP(O200,{0,7.8,8,8.2,8.4,8.6,8.8,9,9.2,9.4,9.6,9.8,10,10.2,10.4,10.6,10.8,10.9,11,11.1,11.2},{0,10,20,30,40,50,60,62,64,66,68,70,72,74,76,78,80,85,90,95,100})</f>
        <v>76</v>
      </c>
      <c r="Q200" s="5">
        <v>4.08</v>
      </c>
      <c r="R200" s="36">
        <f t="shared" si="21"/>
        <v>5.92</v>
      </c>
      <c r="S200" s="29">
        <f>LOOKUP(R200,{0,3.85,4.45,4.65,4.85,5.45,5.65,5.7,5.75,5.8,5.85,5.9,5.95,6,6.45,6.5,6.55,6.63,6.7,6.75,6.8},{0,10,20,30,40,50,60,62,64,66,68,70,72,74,76,78,80,85,90,95,100})</f>
        <v>70</v>
      </c>
      <c r="T200" s="27"/>
      <c r="U200" s="27"/>
      <c r="V200" s="27">
        <f t="shared" si="22"/>
        <v>70</v>
      </c>
      <c r="W200" s="27"/>
      <c r="X200" s="19">
        <f t="shared" si="23"/>
        <v>43.2</v>
      </c>
      <c r="Y200" s="13">
        <f t="shared" si="24"/>
        <v>61.7142857142857</v>
      </c>
    </row>
    <row r="201" ht="15.6" spans="1:25">
      <c r="A201" s="27">
        <v>301</v>
      </c>
      <c r="B201" s="27">
        <v>1</v>
      </c>
      <c r="C201" s="31" t="s">
        <v>11</v>
      </c>
      <c r="D201" s="27" t="s">
        <v>12</v>
      </c>
      <c r="E201" s="27">
        <v>-2</v>
      </c>
      <c r="F201" s="29">
        <v>0</v>
      </c>
      <c r="G201" s="27">
        <v>250</v>
      </c>
      <c r="H201" s="29">
        <f>LOOKUP(G201,{0,180,185,190,195,200,205,209,213,217,221,225,229,233,237,241,245,253,260,265,270},{0,10,20,30,40,50,60,62,64,66,68,70,72,74,76,78,80,85,90,95,100})</f>
        <v>80</v>
      </c>
      <c r="I201" s="27">
        <v>6</v>
      </c>
      <c r="J201" s="29">
        <f>LOOKUP(I201,{0,4,5,6,7,8,9,10,11,12,13,14,15,16,17,18},{0,10,20,30,40,50,60,64,68,72,76,80,85,90,95,100})</f>
        <v>30</v>
      </c>
      <c r="K201" s="44"/>
      <c r="L201" s="35"/>
      <c r="M201" s="35">
        <f t="shared" si="19"/>
        <v>30</v>
      </c>
      <c r="N201" s="35">
        <v>7.2</v>
      </c>
      <c r="O201" s="36">
        <f t="shared" si="20"/>
        <v>10.8</v>
      </c>
      <c r="P201" s="29">
        <f>LOOKUP(O201,{0,7.8,8,8.2,8.4,8.6,8.8,9,9.2,9.4,9.6,9.8,10,10.2,10.4,10.6,10.8,10.9,11,11.1,11.2},{0,10,20,30,40,50,60,62,64,66,68,70,72,74,76,78,80,85,90,95,100})</f>
        <v>80</v>
      </c>
      <c r="Q201" s="5">
        <v>3.39</v>
      </c>
      <c r="R201" s="36">
        <f t="shared" si="21"/>
        <v>6.61</v>
      </c>
      <c r="S201" s="29">
        <f>LOOKUP(R201,{0,3.85,4.45,4.65,4.85,5.45,5.65,5.7,5.75,5.8,5.85,5.9,5.95,6,6.45,6.5,6.55,6.63,6.7,6.75,6.8},{0,10,20,30,40,50,60,62,64,66,68,70,72,74,76,78,80,85,90,95,100})</f>
        <v>80</v>
      </c>
      <c r="T201" s="27"/>
      <c r="U201" s="27"/>
      <c r="V201" s="27">
        <f t="shared" si="22"/>
        <v>80</v>
      </c>
      <c r="W201" s="27"/>
      <c r="X201" s="19">
        <f t="shared" si="23"/>
        <v>43</v>
      </c>
      <c r="Y201" s="13">
        <f t="shared" si="24"/>
        <v>61.4285714285714</v>
      </c>
    </row>
    <row r="202" ht="15.6" spans="1:25">
      <c r="A202" s="27">
        <v>301</v>
      </c>
      <c r="B202" s="27">
        <v>8</v>
      </c>
      <c r="C202" s="27" t="s">
        <v>18</v>
      </c>
      <c r="D202" s="27" t="s">
        <v>12</v>
      </c>
      <c r="E202" s="27">
        <v>3</v>
      </c>
      <c r="F202" s="29">
        <f>LOOKUP(E202,{0,-1.8,-0.8,0.2,1.2,2.2,3.2,4.6,6,7.4,8.8,10.2,11.6,13,14.4,15.8,17.2,19.1,21,22.8,24.6},{0,10,20,30,40,50,60,62,64,66,68,70,72,74,76,78,80,85,90,95,100})</f>
        <v>50</v>
      </c>
      <c r="G202" s="27">
        <v>220</v>
      </c>
      <c r="H202" s="29">
        <f>LOOKUP(G202,{0,180,185,190,195,200,205,209,213,217,221,225,229,233,237,241,245,253,260,265,270},{0,10,20,30,40,50,60,62,64,66,68,70,72,74,76,78,80,85,90,95,100})</f>
        <v>66</v>
      </c>
      <c r="I202" s="27">
        <v>5</v>
      </c>
      <c r="J202" s="29">
        <f>LOOKUP(I202,{0,4,5,6,7,8,9,10,11,12,13,14,15,16,17,18},{0,10,20,30,40,50,60,64,68,72,76,80,85,90,95,100})</f>
        <v>20</v>
      </c>
      <c r="K202" s="44"/>
      <c r="L202" s="35"/>
      <c r="M202" s="35">
        <f t="shared" si="19"/>
        <v>20</v>
      </c>
      <c r="N202" s="35">
        <v>7.1</v>
      </c>
      <c r="O202" s="36">
        <f t="shared" si="20"/>
        <v>10.9</v>
      </c>
      <c r="P202" s="29">
        <f>LOOKUP(O202,{0,7.8,8,8.2,8.4,8.6,8.8,9,9.2,9.4,9.6,9.8,10,10.2,10.4,10.6,10.8,10.9,11,11.1,11.2},{0,10,20,30,40,50,60,62,64,66,68,70,72,74,76,78,80,85,90,95,100})</f>
        <v>85</v>
      </c>
      <c r="Q202" s="5">
        <v>4.29</v>
      </c>
      <c r="R202" s="36">
        <f t="shared" si="21"/>
        <v>5.71</v>
      </c>
      <c r="S202" s="29">
        <f>LOOKUP(R202,{0,3.85,4.45,4.65,4.85,5.45,5.65,5.7,5.75,5.8,5.85,5.9,5.95,6,6.45,6.5,6.55,6.63,6.7,6.75,6.8},{0,10,20,30,40,50,60,62,64,66,68,70,72,74,76,78,80,85,90,95,100})</f>
        <v>62</v>
      </c>
      <c r="T202" s="27"/>
      <c r="U202" s="27"/>
      <c r="V202" s="27">
        <f t="shared" si="22"/>
        <v>62</v>
      </c>
      <c r="W202" s="27"/>
      <c r="X202" s="19">
        <f t="shared" si="23"/>
        <v>43</v>
      </c>
      <c r="Y202" s="13">
        <f t="shared" si="24"/>
        <v>61.4285714285714</v>
      </c>
    </row>
    <row r="203" ht="15.6" spans="1:25">
      <c r="A203" s="27">
        <v>309</v>
      </c>
      <c r="B203" s="27">
        <v>18</v>
      </c>
      <c r="C203" s="28" t="s">
        <v>423</v>
      </c>
      <c r="D203" s="28" t="s">
        <v>12</v>
      </c>
      <c r="E203" s="27">
        <v>16.3</v>
      </c>
      <c r="F203" s="29">
        <f>LOOKUP(E203,{0,-1.8,-0.8,0.2,1.2,2.2,3.2,4.6,6,7.4,8.8,10.2,11.6,13,14.4,15.8,17.2,19.1,21,22.8,24.6},{0,10,20,30,40,50,60,62,64,66,68,70,72,74,76,78,80,85,90,95,100})</f>
        <v>78</v>
      </c>
      <c r="G203" s="27">
        <v>215</v>
      </c>
      <c r="H203" s="29">
        <f>LOOKUP(G203,{0,180,185,190,195,200,205,209,213,217,221,225,229,233,237,241,245,253,260,265,270},{0,10,20,30,40,50,60,62,64,66,68,70,72,74,76,78,80,85,90,95,100})</f>
        <v>64</v>
      </c>
      <c r="I203" s="27">
        <v>5</v>
      </c>
      <c r="J203" s="29">
        <f>LOOKUP(I203,{0,4,5,6,7,8,9,10,11,12,13,14,15,16,17,18},{0,10,20,30,40,50,60,64,68,72,76,80,85,90,95,100})</f>
        <v>20</v>
      </c>
      <c r="K203" s="44"/>
      <c r="L203" s="35"/>
      <c r="M203" s="35">
        <f t="shared" si="19"/>
        <v>20</v>
      </c>
      <c r="N203" s="35">
        <v>7.9</v>
      </c>
      <c r="O203" s="36">
        <f t="shared" si="20"/>
        <v>10.1</v>
      </c>
      <c r="P203" s="29">
        <f>LOOKUP(O203,{0,7.8,8,8.2,8.4,8.6,8.8,9,9.2,9.4,9.6,9.8,10,10.2,10.4,10.6,10.8,10.9,11,11.1,11.2},{0,10,20,30,40,50,60,62,64,66,68,70,72,74,76,78,80,85,90,95,100})</f>
        <v>72</v>
      </c>
      <c r="Q203" s="5">
        <v>4.27</v>
      </c>
      <c r="R203" s="36">
        <f t="shared" si="21"/>
        <v>5.73</v>
      </c>
      <c r="S203" s="29">
        <f>LOOKUP(R203,{0,3.85,4.45,4.65,4.85,5.45,5.65,5.7,5.75,5.8,5.85,5.9,5.95,6,6.45,6.5,6.55,6.63,6.7,6.75,6.8},{0,10,20,30,40,50,60,62,64,66,68,70,72,74,76,78,80,85,90,95,100})</f>
        <v>62</v>
      </c>
      <c r="T203" s="27"/>
      <c r="U203" s="27"/>
      <c r="V203" s="27">
        <f t="shared" si="22"/>
        <v>62</v>
      </c>
      <c r="W203" s="27"/>
      <c r="X203" s="19">
        <f t="shared" si="23"/>
        <v>43</v>
      </c>
      <c r="Y203" s="13">
        <f t="shared" si="24"/>
        <v>61.4285714285714</v>
      </c>
    </row>
    <row r="204" ht="15.6" spans="1:25">
      <c r="A204" s="27">
        <v>310</v>
      </c>
      <c r="B204" s="27">
        <v>9</v>
      </c>
      <c r="C204" s="28" t="s">
        <v>466</v>
      </c>
      <c r="D204" s="28" t="s">
        <v>12</v>
      </c>
      <c r="E204" s="27">
        <v>16.5</v>
      </c>
      <c r="F204" s="29">
        <f>LOOKUP(E204,{0,-1.8,-0.8,0.2,1.2,2.2,3.2,4.6,6,7.4,8.8,10.2,11.6,13,14.4,15.8,17.2,19.1,21,22.8,24.6},{0,10,20,30,40,50,60,62,64,66,68,70,72,74,76,78,80,85,90,95,100})</f>
        <v>78</v>
      </c>
      <c r="G204" s="27">
        <v>230</v>
      </c>
      <c r="H204" s="29">
        <f>LOOKUP(G204,{0,180,185,190,195,200,205,209,213,217,221,225,229,233,237,241,245,253,260,265,270},{0,10,20,30,40,50,60,62,64,66,68,70,72,74,76,78,80,85,90,95,100})</f>
        <v>72</v>
      </c>
      <c r="I204" s="27">
        <v>2</v>
      </c>
      <c r="J204" s="29">
        <f>LOOKUP(I204,{0,4,5,6,7,8,9,10,11,12,13,14,15,16,17,18},{0,10,20,30,40,50,60,64,68,72,76,80,85,90,95,100})</f>
        <v>0</v>
      </c>
      <c r="K204" s="44"/>
      <c r="L204" s="35"/>
      <c r="M204" s="35">
        <f t="shared" si="19"/>
        <v>0</v>
      </c>
      <c r="N204" s="35">
        <v>7.4</v>
      </c>
      <c r="O204" s="36">
        <f t="shared" si="20"/>
        <v>10.6</v>
      </c>
      <c r="P204" s="29">
        <f>LOOKUP(O204,{0,7.8,8,8.2,8.4,8.6,8.8,9,9.2,9.4,9.6,9.8,10,10.2,10.4,10.6,10.8,10.9,11,11.1,11.2},{0,10,20,30,40,50,60,62,64,66,68,70,72,74,76,78,80,85,90,95,100})</f>
        <v>78</v>
      </c>
      <c r="Q204" s="5">
        <v>4.26</v>
      </c>
      <c r="R204" s="36">
        <f t="shared" si="21"/>
        <v>5.74</v>
      </c>
      <c r="S204" s="29">
        <f>LOOKUP(R204,{0,3.85,4.45,4.65,4.85,5.45,5.65,5.7,5.75,5.8,5.85,5.9,5.95,6,6.45,6.5,6.55,6.63,6.7,6.75,6.8},{0,10,20,30,40,50,60,62,64,66,68,70,72,74,76,78,80,85,90,95,100})</f>
        <v>62</v>
      </c>
      <c r="T204" s="27"/>
      <c r="U204" s="27"/>
      <c r="V204" s="27">
        <f t="shared" si="22"/>
        <v>62</v>
      </c>
      <c r="W204" s="27"/>
      <c r="X204" s="19">
        <f t="shared" si="23"/>
        <v>43</v>
      </c>
      <c r="Y204" s="13">
        <f t="shared" si="24"/>
        <v>61.4285714285714</v>
      </c>
    </row>
    <row r="205" ht="15.6" spans="1:25">
      <c r="A205" s="27">
        <v>311</v>
      </c>
      <c r="B205" s="27">
        <v>43</v>
      </c>
      <c r="C205" s="28" t="s">
        <v>559</v>
      </c>
      <c r="D205" s="28" t="s">
        <v>12</v>
      </c>
      <c r="E205" s="27">
        <v>-5.5</v>
      </c>
      <c r="F205" s="29">
        <v>0</v>
      </c>
      <c r="G205" s="27">
        <v>280</v>
      </c>
      <c r="H205" s="29">
        <f>LOOKUP(G205,{0,180,185,190,195,200,205,209,213,217,221,225,229,233,237,241,245,253,260,265,270},{0,10,20,30,40,50,60,62,64,66,68,70,72,74,76,78,80,85,90,95,100})</f>
        <v>100</v>
      </c>
      <c r="I205" s="27">
        <v>7</v>
      </c>
      <c r="J205" s="29">
        <f>LOOKUP(I205,{0,4,5,6,7,8,9,10,11,12,13,14,15,16,17,18},{0,10,20,30,40,50,60,64,68,72,76,80,85,90,95,100})</f>
        <v>40</v>
      </c>
      <c r="K205" s="44"/>
      <c r="L205" s="35"/>
      <c r="M205" s="35">
        <f t="shared" si="19"/>
        <v>40</v>
      </c>
      <c r="N205" s="35">
        <v>6.9</v>
      </c>
      <c r="O205" s="36">
        <f t="shared" si="20"/>
        <v>11.1</v>
      </c>
      <c r="P205" s="29">
        <f>LOOKUP(O205,{0,7.8,8,8.2,8.4,8.6,8.8,9,9.2,9.4,9.6,9.8,10,10.2,10.4,10.6,10.8,10.9,11,11.1,11.2},{0,10,20,30,40,50,60,62,64,66,68,70,72,74,76,78,80,85,90,95,100})</f>
        <v>95</v>
      </c>
      <c r="Q205" s="5">
        <v>4.48</v>
      </c>
      <c r="R205" s="36">
        <f t="shared" si="21"/>
        <v>5.52</v>
      </c>
      <c r="S205" s="29">
        <f>LOOKUP(R205,{0,3.85,4.45,4.65,4.85,5.45,5.65,5.7,5.75,5.8,5.85,5.9,5.95,6,6.45,6.5,6.55,6.63,6.7,6.75,6.8},{0,10,20,30,40,50,60,62,64,66,68,70,72,74,76,78,80,85,90,95,100})</f>
        <v>50</v>
      </c>
      <c r="T205" s="27"/>
      <c r="U205" s="27"/>
      <c r="V205" s="27">
        <f t="shared" si="22"/>
        <v>50</v>
      </c>
      <c r="W205" s="27"/>
      <c r="X205" s="19">
        <f t="shared" si="23"/>
        <v>43</v>
      </c>
      <c r="Y205" s="13">
        <f t="shared" si="24"/>
        <v>61.4285714285714</v>
      </c>
    </row>
    <row r="206" ht="15.6" spans="1:25">
      <c r="A206" s="27">
        <v>313</v>
      </c>
      <c r="B206" s="27">
        <v>9</v>
      </c>
      <c r="C206" s="30" t="s">
        <v>636</v>
      </c>
      <c r="D206" s="28" t="s">
        <v>12</v>
      </c>
      <c r="E206" s="27">
        <v>7.5</v>
      </c>
      <c r="F206" s="29">
        <f>LOOKUP(E206,{0,-1.8,-0.8,0.2,1.2,2.2,3.2,4.6,6,7.4,8.8,10.2,11.6,13,14.4,15.8,17.2,19.1,21,22.8,24.6},{0,10,20,30,40,50,60,62,64,66,68,70,72,74,76,78,80,85,90,95,100})</f>
        <v>66</v>
      </c>
      <c r="G206" s="27">
        <v>214</v>
      </c>
      <c r="H206" s="29">
        <f>LOOKUP(G206,{0,180,185,190,195,200,205,209,213,217,221,225,229,233,237,241,245,253,260,265,270},{0,10,20,30,40,50,60,62,64,66,68,70,72,74,76,78,80,85,90,95,100})</f>
        <v>64</v>
      </c>
      <c r="I206" s="27">
        <v>10</v>
      </c>
      <c r="J206" s="29">
        <f>LOOKUP(I206,{0,4,5,6,7,8,9,10,11,12,13,14,15,16,17,18},{0,10,20,30,40,50,60,64,68,72,76,80,85,90,95,100})</f>
        <v>64</v>
      </c>
      <c r="K206" s="44"/>
      <c r="L206" s="35"/>
      <c r="M206" s="35">
        <f t="shared" si="19"/>
        <v>64</v>
      </c>
      <c r="N206" s="35">
        <v>7.3</v>
      </c>
      <c r="O206" s="36">
        <f t="shared" si="20"/>
        <v>10.7</v>
      </c>
      <c r="P206" s="29">
        <f>LOOKUP(O206,{0,7.8,8,8.2,8.4,8.6,8.8,9,9.2,9.4,9.6,9.8,10,10.2,10.4,10.6,10.8,10.9,11,11.1,11.2},{0,10,20,30,40,50,60,62,64,66,68,70,72,74,76,78,80,85,90,95,100})</f>
        <v>78</v>
      </c>
      <c r="Q206" s="5">
        <v>5.09</v>
      </c>
      <c r="R206" s="36">
        <f t="shared" si="21"/>
        <v>4.91</v>
      </c>
      <c r="S206" s="29">
        <f>LOOKUP(R206,{0,3.85,4.45,4.65,4.85,5.45,5.65,5.7,5.75,5.8,5.85,5.9,5.95,6,6.45,6.5,6.55,6.63,6.7,6.75,6.8},{0,10,20,30,40,50,60,62,64,66,68,70,72,74,76,78,80,85,90,95,100})</f>
        <v>40</v>
      </c>
      <c r="T206" s="27"/>
      <c r="U206" s="27"/>
      <c r="V206" s="27">
        <f t="shared" si="22"/>
        <v>40</v>
      </c>
      <c r="W206" s="27"/>
      <c r="X206" s="19">
        <f t="shared" si="23"/>
        <v>43</v>
      </c>
      <c r="Y206" s="13">
        <f t="shared" si="24"/>
        <v>61.4285714285714</v>
      </c>
    </row>
    <row r="207" ht="15.6" spans="1:25">
      <c r="A207" s="27">
        <v>313</v>
      </c>
      <c r="B207" s="27">
        <v>12</v>
      </c>
      <c r="C207" s="28" t="s">
        <v>639</v>
      </c>
      <c r="D207" s="28" t="s">
        <v>12</v>
      </c>
      <c r="E207" s="27">
        <v>19.7</v>
      </c>
      <c r="F207" s="29">
        <f>LOOKUP(E207,{0,-1.8,-0.8,0.2,1.2,2.2,3.2,4.6,6,7.4,8.8,10.2,11.6,13,14.4,15.8,17.2,19.1,21,22.8,24.6},{0,10,20,30,40,50,60,62,64,66,68,70,72,74,76,78,80,85,90,95,100})</f>
        <v>85</v>
      </c>
      <c r="G207" s="27">
        <v>205</v>
      </c>
      <c r="H207" s="29">
        <f>LOOKUP(G207,{0,180,185,190,195,200,205,209,213,217,221,225,229,233,237,241,245,253,260,265,270},{0,10,20,30,40,50,60,62,64,66,68,70,72,74,76,78,80,85,90,95,100})</f>
        <v>60</v>
      </c>
      <c r="I207" s="27">
        <v>0</v>
      </c>
      <c r="J207" s="29">
        <f>LOOKUP(I207,{0,4,5,6,7,8,9,10,11,12,13,14,15,16,17,18},{0,10,20,30,40,50,60,64,68,72,76,80,85,90,95,100})</f>
        <v>0</v>
      </c>
      <c r="K207" s="44"/>
      <c r="L207" s="35"/>
      <c r="M207" s="35">
        <f t="shared" si="19"/>
        <v>0</v>
      </c>
      <c r="N207" s="35">
        <v>8.2</v>
      </c>
      <c r="O207" s="36">
        <f t="shared" si="20"/>
        <v>9.8</v>
      </c>
      <c r="P207" s="29">
        <f>LOOKUP(O207,{0,7.8,8,8.2,8.4,8.6,8.8,9,9.2,9.4,9.6,9.8,10,10.2,10.4,10.6,10.8,10.9,11,11.1,11.2},{0,10,20,30,40,50,60,62,64,66,68,70,72,74,76,78,80,85,90,95,100})</f>
        <v>70</v>
      </c>
      <c r="Q207" s="5">
        <v>4.05</v>
      </c>
      <c r="R207" s="36">
        <f t="shared" si="21"/>
        <v>5.95</v>
      </c>
      <c r="S207" s="29">
        <f>LOOKUP(R207,{0,3.85,4.45,4.65,4.85,5.45,5.65,5.7,5.75,5.8,5.85,5.9,5.95,6,6.45,6.5,6.55,6.63,6.7,6.75,6.8},{0,10,20,30,40,50,60,62,64,66,68,70,72,74,76,78,80,85,90,95,100})</f>
        <v>72</v>
      </c>
      <c r="T207" s="27"/>
      <c r="U207" s="27"/>
      <c r="V207" s="27">
        <f t="shared" si="22"/>
        <v>72</v>
      </c>
      <c r="W207" s="27"/>
      <c r="X207" s="19">
        <f t="shared" si="23"/>
        <v>42.9</v>
      </c>
      <c r="Y207" s="13">
        <f t="shared" si="24"/>
        <v>61.2857142857143</v>
      </c>
    </row>
    <row r="208" ht="15.6" spans="1:25">
      <c r="A208" s="27">
        <v>303</v>
      </c>
      <c r="B208" s="27">
        <v>16</v>
      </c>
      <c r="C208" s="27" t="s">
        <v>119</v>
      </c>
      <c r="D208" s="27" t="s">
        <v>12</v>
      </c>
      <c r="E208" s="27">
        <v>8.5</v>
      </c>
      <c r="F208" s="29">
        <f>LOOKUP(E208,{0,-1.8,-0.8,0.2,1.2,2.2,3.2,4.6,6,7.4,8.8,10.2,11.6,13,14.4,15.8,17.2,19.1,21,22.8,24.6},{0,10,20,30,40,50,60,62,64,66,68,70,72,74,76,78,80,85,90,95,100})</f>
        <v>66</v>
      </c>
      <c r="G208" s="27">
        <v>225</v>
      </c>
      <c r="H208" s="29">
        <f>LOOKUP(G208,{0,180,185,190,195,200,205,209,213,217,221,225,229,233,237,241,245,253,260,265,270},{0,10,20,30,40,50,60,62,64,66,68,70,72,74,76,78,80,85,90,95,100})</f>
        <v>70</v>
      </c>
      <c r="I208" s="27">
        <v>1</v>
      </c>
      <c r="J208" s="29">
        <f>LOOKUP(I208,{0,4,5,6,7,8,9,10,11,12,13,14,15,16,17,18},{0,10,20,30,40,50,60,64,68,72,76,80,85,90,95,100})</f>
        <v>0</v>
      </c>
      <c r="K208" s="44"/>
      <c r="L208" s="35"/>
      <c r="M208" s="35">
        <f t="shared" si="19"/>
        <v>0</v>
      </c>
      <c r="N208" s="35">
        <v>7.5</v>
      </c>
      <c r="O208" s="36">
        <f t="shared" si="20"/>
        <v>10.5</v>
      </c>
      <c r="P208" s="29">
        <f>LOOKUP(O208,{0,7.8,8,8.2,8.4,8.6,8.8,9,9.2,9.4,9.6,9.8,10,10.2,10.4,10.6,10.8,10.9,11,11.1,11.2},{0,10,20,30,40,50,60,62,64,66,68,70,72,74,76,78,80,85,90,95,100})</f>
        <v>76</v>
      </c>
      <c r="Q208" s="5">
        <v>4.06</v>
      </c>
      <c r="R208" s="36">
        <f t="shared" si="21"/>
        <v>5.94</v>
      </c>
      <c r="S208" s="29">
        <f>LOOKUP(R208,{0,3.85,4.45,4.65,4.85,5.45,5.65,5.7,5.75,5.8,5.85,5.9,5.95,6,6.45,6.5,6.55,6.63,6.7,6.75,6.8},{0,10,20,30,40,50,60,62,64,66,68,70,72,74,76,78,80,85,90,95,100})</f>
        <v>70</v>
      </c>
      <c r="T208" s="27"/>
      <c r="U208" s="27"/>
      <c r="V208" s="27">
        <f t="shared" si="22"/>
        <v>70</v>
      </c>
      <c r="W208" s="27"/>
      <c r="X208" s="19">
        <f t="shared" si="23"/>
        <v>42.8</v>
      </c>
      <c r="Y208" s="13">
        <f t="shared" si="24"/>
        <v>61.1428571428572</v>
      </c>
    </row>
    <row r="209" ht="15.6" spans="1:25">
      <c r="A209" s="27">
        <v>312</v>
      </c>
      <c r="B209" s="27">
        <v>14</v>
      </c>
      <c r="C209" s="28" t="s">
        <v>588</v>
      </c>
      <c r="D209" s="28" t="s">
        <v>12</v>
      </c>
      <c r="E209" s="27">
        <v>13</v>
      </c>
      <c r="F209" s="29">
        <f>LOOKUP(E209,{0,-1.8,-0.8,0.2,1.2,2.2,3.2,4.6,6,7.4,8.8,10.2,11.6,13,14.4,15.8,17.2,19.1,21,22.8,24.6},{0,10,20,30,40,50,60,62,64,66,68,70,72,74,76,78,80,85,90,95,100})</f>
        <v>74</v>
      </c>
      <c r="G209" s="27">
        <v>210</v>
      </c>
      <c r="H209" s="29">
        <f>LOOKUP(G209,{0,180,185,190,195,200,205,209,213,217,221,225,229,233,237,241,245,253,260,265,270},{0,10,20,30,40,50,60,62,64,66,68,70,72,74,76,78,80,85,90,95,100})</f>
        <v>62</v>
      </c>
      <c r="I209" s="27">
        <v>5</v>
      </c>
      <c r="J209" s="29">
        <f>LOOKUP(I209,{0,4,5,6,7,8,9,10,11,12,13,14,15,16,17,18},{0,10,20,30,40,50,60,64,68,72,76,80,85,90,95,100})</f>
        <v>20</v>
      </c>
      <c r="K209" s="44"/>
      <c r="L209" s="35"/>
      <c r="M209" s="35">
        <f t="shared" si="19"/>
        <v>20</v>
      </c>
      <c r="N209" s="35">
        <v>8.3</v>
      </c>
      <c r="O209" s="36">
        <f t="shared" si="20"/>
        <v>9.7</v>
      </c>
      <c r="P209" s="29">
        <f>LOOKUP(O209,{0,7.8,8,8.2,8.4,8.6,8.8,9,9.2,9.4,9.6,9.8,10,10.2,10.4,10.6,10.8,10.9,11,11.1,11.2},{0,10,20,30,40,50,60,62,64,66,68,70,72,74,76,78,80,85,90,95,100})</f>
        <v>68</v>
      </c>
      <c r="Q209" s="5">
        <v>4.15</v>
      </c>
      <c r="R209" s="36">
        <f t="shared" si="21"/>
        <v>5.85</v>
      </c>
      <c r="S209" s="29">
        <f>LOOKUP(R209,{0,3.85,4.45,4.65,4.85,5.45,5.65,5.7,5.75,5.8,5.85,5.9,5.95,6,6.45,6.5,6.55,6.63,6.7,6.75,6.8},{0,10,20,30,40,50,60,62,64,66,68,70,72,74,76,78,80,85,90,95,100})</f>
        <v>68</v>
      </c>
      <c r="T209" s="27"/>
      <c r="U209" s="27"/>
      <c r="V209" s="27">
        <f t="shared" si="22"/>
        <v>68</v>
      </c>
      <c r="W209" s="27"/>
      <c r="X209" s="19">
        <f t="shared" si="23"/>
        <v>42.8</v>
      </c>
      <c r="Y209" s="13">
        <f t="shared" si="24"/>
        <v>61.1428571428572</v>
      </c>
    </row>
    <row r="210" ht="15.6" spans="1:25">
      <c r="A210" s="27">
        <v>304</v>
      </c>
      <c r="B210" s="27">
        <v>29</v>
      </c>
      <c r="C210" s="27" t="s">
        <v>178</v>
      </c>
      <c r="D210" s="27" t="s">
        <v>12</v>
      </c>
      <c r="E210" s="27">
        <v>16.5</v>
      </c>
      <c r="F210" s="29">
        <f>LOOKUP(E210,{0,-1.8,-0.8,0.2,1.2,2.2,3.2,4.6,6,7.4,8.8,10.2,11.6,13,14.4,15.8,17.2,19.1,21,22.8,24.6},{0,10,20,30,40,50,60,62,64,66,68,70,72,74,76,78,80,85,90,95,100})</f>
        <v>78</v>
      </c>
      <c r="G210" s="27">
        <v>250</v>
      </c>
      <c r="H210" s="29">
        <f>LOOKUP(G210,{0,180,185,190,195,200,205,209,213,217,221,225,229,233,237,241,245,253,260,265,270},{0,10,20,30,40,50,60,62,64,66,68,70,72,74,76,78,80,85,90,95,100})</f>
        <v>80</v>
      </c>
      <c r="I210" s="27">
        <v>2</v>
      </c>
      <c r="J210" s="29">
        <f>LOOKUP(I210,{0,4,5,6,7,8,9,10,11,12,13,14,15,16,17,18},{0,10,20,30,40,50,60,64,68,72,76,80,85,90,95,100})</f>
        <v>0</v>
      </c>
      <c r="K210" s="44"/>
      <c r="L210" s="35"/>
      <c r="M210" s="35">
        <f t="shared" si="19"/>
        <v>0</v>
      </c>
      <c r="N210" s="35">
        <v>7.1</v>
      </c>
      <c r="O210" s="36">
        <f t="shared" si="20"/>
        <v>10.9</v>
      </c>
      <c r="P210" s="29">
        <f>LOOKUP(O210,{0,7.8,8,8.2,8.4,8.6,8.8,9,9.2,9.4,9.6,9.8,10,10.2,10.4,10.6,10.8,10.9,11,11.1,11.2},{0,10,20,30,40,50,60,62,64,66,68,70,72,74,76,78,80,85,90,95,100})</f>
        <v>85</v>
      </c>
      <c r="Q210" s="5">
        <v>4.5</v>
      </c>
      <c r="R210" s="36">
        <f t="shared" si="21"/>
        <v>5.5</v>
      </c>
      <c r="S210" s="29">
        <f>LOOKUP(R210,{0,3.85,4.45,4.65,4.85,5.45,5.65,5.7,5.75,5.8,5.85,5.9,5.95,6,6.45,6.5,6.55,6.63,6.7,6.75,6.8},{0,10,20,30,40,50,60,62,64,66,68,70,72,74,76,78,80,85,90,95,100})</f>
        <v>50</v>
      </c>
      <c r="T210" s="27"/>
      <c r="U210" s="27"/>
      <c r="V210" s="27">
        <f t="shared" si="22"/>
        <v>50</v>
      </c>
      <c r="W210" s="27"/>
      <c r="X210" s="19">
        <f t="shared" si="23"/>
        <v>42.8</v>
      </c>
      <c r="Y210" s="13">
        <f t="shared" si="24"/>
        <v>61.1428571428571</v>
      </c>
    </row>
    <row r="211" ht="15.6" spans="1:25">
      <c r="A211" s="27">
        <v>311</v>
      </c>
      <c r="B211" s="27">
        <v>38</v>
      </c>
      <c r="C211" s="28" t="s">
        <v>554</v>
      </c>
      <c r="D211" s="28" t="s">
        <v>12</v>
      </c>
      <c r="E211" s="27">
        <v>6.8</v>
      </c>
      <c r="F211" s="29">
        <f>LOOKUP(E211,{0,-1.8,-0.8,0.2,1.2,2.2,3.2,4.6,6,7.4,8.8,10.2,11.6,13,14.4,15.8,17.2,19.1,21,22.8,24.6},{0,10,20,30,40,50,60,62,64,66,68,70,72,74,76,78,80,85,90,95,100})</f>
        <v>64</v>
      </c>
      <c r="G211" s="27">
        <v>208</v>
      </c>
      <c r="H211" s="29">
        <f>LOOKUP(G211,{0,180,185,190,195,200,205,209,213,217,221,225,229,233,237,241,245,253,260,265,270},{0,10,20,30,40,50,60,62,64,66,68,70,72,74,76,78,80,85,90,95,100})</f>
        <v>60</v>
      </c>
      <c r="I211" s="27">
        <v>10</v>
      </c>
      <c r="J211" s="29">
        <f>LOOKUP(I211,{0,4,5,6,7,8,9,10,11,12,13,14,15,16,17,18},{0,10,20,30,40,50,60,64,68,72,76,80,85,90,95,100})</f>
        <v>64</v>
      </c>
      <c r="K211" s="44"/>
      <c r="L211" s="35"/>
      <c r="M211" s="35">
        <f t="shared" si="19"/>
        <v>64</v>
      </c>
      <c r="N211" s="35">
        <v>8.1</v>
      </c>
      <c r="O211" s="36">
        <f t="shared" si="20"/>
        <v>9.9</v>
      </c>
      <c r="P211" s="29">
        <f>LOOKUP(O211,{0,7.8,8,8.2,8.4,8.6,8.8,9,9.2,9.4,9.6,9.8,10,10.2,10.4,10.6,10.8,10.9,11,11.1,11.2},{0,10,20,30,40,50,60,62,64,66,68,70,72,74,76,78,80,85,90,95,100})</f>
        <v>70</v>
      </c>
      <c r="Q211" s="5">
        <v>4.48</v>
      </c>
      <c r="R211" s="36">
        <f t="shared" si="21"/>
        <v>5.52</v>
      </c>
      <c r="S211" s="29">
        <f>LOOKUP(R211,{0,3.85,4.45,4.65,4.85,5.45,5.65,5.7,5.75,5.8,5.85,5.9,5.95,6,6.45,6.5,6.55,6.63,6.7,6.75,6.8},{0,10,20,30,40,50,60,62,64,66,68,70,72,74,76,78,80,85,90,95,100})</f>
        <v>50</v>
      </c>
      <c r="T211" s="27"/>
      <c r="U211" s="27"/>
      <c r="V211" s="27">
        <f t="shared" si="22"/>
        <v>50</v>
      </c>
      <c r="W211" s="27"/>
      <c r="X211" s="19">
        <f t="shared" si="23"/>
        <v>42.8</v>
      </c>
      <c r="Y211" s="13">
        <f t="shared" si="24"/>
        <v>61.1428571428571</v>
      </c>
    </row>
    <row r="212" ht="15.6" spans="1:25">
      <c r="A212" s="27">
        <v>312</v>
      </c>
      <c r="B212" s="27">
        <v>13</v>
      </c>
      <c r="C212" s="28" t="s">
        <v>587</v>
      </c>
      <c r="D212" s="28" t="s">
        <v>12</v>
      </c>
      <c r="E212" s="27">
        <v>8</v>
      </c>
      <c r="F212" s="29">
        <f>LOOKUP(E212,{0,-1.8,-0.8,0.2,1.2,2.2,3.2,4.6,6,7.4,8.8,10.2,11.6,13,14.4,15.8,17.2,19.1,21,22.8,24.6},{0,10,20,30,40,50,60,62,64,66,68,70,72,74,76,78,80,85,90,95,100})</f>
        <v>66</v>
      </c>
      <c r="G212" s="27">
        <v>265</v>
      </c>
      <c r="H212" s="29">
        <f>LOOKUP(G212,{0,180,185,190,195,200,205,209,213,217,221,225,229,233,237,241,245,253,260,265,270},{0,10,20,30,40,50,60,62,64,66,68,70,72,74,76,78,80,85,90,95,100})</f>
        <v>95</v>
      </c>
      <c r="I212" s="27">
        <v>8</v>
      </c>
      <c r="J212" s="29">
        <f>LOOKUP(I212,{0,4,5,6,7,8,9,10,11,12,13,14,15,16,17,18},{0,10,20,30,40,50,60,64,68,72,76,80,85,90,95,100})</f>
        <v>50</v>
      </c>
      <c r="K212" s="44"/>
      <c r="L212" s="35"/>
      <c r="M212" s="35">
        <f t="shared" si="19"/>
        <v>50</v>
      </c>
      <c r="N212" s="35">
        <v>7.3</v>
      </c>
      <c r="O212" s="36">
        <f t="shared" si="20"/>
        <v>10.7</v>
      </c>
      <c r="P212" s="29">
        <f>LOOKUP(O212,{0,7.8,8,8.2,8.4,8.6,8.8,9,9.2,9.4,9.6,9.8,10,10.2,10.4,10.6,10.8,10.9,11,11.1,11.2},{0,10,20,30,40,50,60,62,64,66,68,70,72,74,76,78,80,85,90,95,100})</f>
        <v>78</v>
      </c>
      <c r="Q212" s="5">
        <v>5.17</v>
      </c>
      <c r="R212" s="36">
        <f t="shared" si="21"/>
        <v>4.83</v>
      </c>
      <c r="S212" s="29">
        <f>LOOKUP(R212,{0,3.85,4.45,4.65,4.85,5.45,5.65,5.7,5.75,5.8,5.85,5.9,5.95,6,6.45,6.5,6.55,6.63,6.7,6.75,6.8},{0,10,20,30,40,50,60,62,64,66,68,70,72,74,76,78,80,85,90,95,100})</f>
        <v>30</v>
      </c>
      <c r="T212" s="27"/>
      <c r="U212" s="27"/>
      <c r="V212" s="27">
        <f t="shared" si="22"/>
        <v>30</v>
      </c>
      <c r="W212" s="27"/>
      <c r="X212" s="19">
        <f t="shared" si="23"/>
        <v>42.7</v>
      </c>
      <c r="Y212" s="13">
        <f t="shared" si="24"/>
        <v>61</v>
      </c>
    </row>
    <row r="213" ht="15.6" spans="1:25">
      <c r="A213" s="27">
        <v>303</v>
      </c>
      <c r="B213" s="27">
        <v>9</v>
      </c>
      <c r="C213" s="27" t="s">
        <v>111</v>
      </c>
      <c r="D213" s="27" t="s">
        <v>12</v>
      </c>
      <c r="E213" s="27">
        <v>11.3</v>
      </c>
      <c r="F213" s="29">
        <f>LOOKUP(E213,{0,-1.8,-0.8,0.2,1.2,2.2,3.2,4.6,6,7.4,8.8,10.2,11.6,13,14.4,15.8,17.2,19.1,21,22.8,24.6},{0,10,20,30,40,50,60,62,64,66,68,70,72,74,76,78,80,85,90,95,100})</f>
        <v>70</v>
      </c>
      <c r="G213" s="27">
        <v>230</v>
      </c>
      <c r="H213" s="29">
        <f>LOOKUP(G213,{0,180,185,190,195,200,205,209,213,217,221,225,229,233,237,241,245,253,260,265,270},{0,10,20,30,40,50,60,62,64,66,68,70,72,74,76,78,80,85,90,95,100})</f>
        <v>72</v>
      </c>
      <c r="I213" s="27">
        <v>1</v>
      </c>
      <c r="J213" s="29">
        <f>LOOKUP(I213,{0,4,5,6,7,8,9,10,11,12,13,14,15,16,17,18},{0,10,20,30,40,50,60,64,68,72,76,80,85,90,95,100})</f>
        <v>0</v>
      </c>
      <c r="K213" s="44"/>
      <c r="L213" s="35"/>
      <c r="M213" s="35">
        <f t="shared" si="19"/>
        <v>0</v>
      </c>
      <c r="N213" s="35">
        <v>7.4</v>
      </c>
      <c r="O213" s="36">
        <f t="shared" si="20"/>
        <v>10.6</v>
      </c>
      <c r="P213" s="29">
        <f>LOOKUP(O213,{0,7.8,8,8.2,8.4,8.6,8.8,9,9.2,9.4,9.6,9.8,10,10.2,10.4,10.6,10.8,10.9,11,11.1,11.2},{0,10,20,30,40,50,60,62,64,66,68,70,72,74,76,78,80,85,90,95,100})</f>
        <v>78</v>
      </c>
      <c r="Q213" s="5">
        <v>4.22</v>
      </c>
      <c r="R213" s="36">
        <f t="shared" si="21"/>
        <v>5.78</v>
      </c>
      <c r="S213" s="29">
        <f>LOOKUP(R213,{0,3.85,4.45,4.65,4.85,5.45,5.65,5.7,5.75,5.8,5.85,5.9,5.95,6,6.45,6.5,6.55,6.63,6.7,6.75,6.8},{0,10,20,30,40,50,60,62,64,66,68,70,72,74,76,78,80,85,90,95,100})</f>
        <v>64</v>
      </c>
      <c r="T213" s="27"/>
      <c r="U213" s="27"/>
      <c r="V213" s="27">
        <f t="shared" si="22"/>
        <v>64</v>
      </c>
      <c r="W213" s="27"/>
      <c r="X213" s="19">
        <f t="shared" si="23"/>
        <v>42.6</v>
      </c>
      <c r="Y213" s="13">
        <f t="shared" si="24"/>
        <v>60.8571428571429</v>
      </c>
    </row>
    <row r="214" ht="15.6" spans="1:25">
      <c r="A214" s="27">
        <v>306</v>
      </c>
      <c r="B214" s="27">
        <v>12</v>
      </c>
      <c r="C214" s="28" t="s">
        <v>254</v>
      </c>
      <c r="D214" s="28" t="s">
        <v>12</v>
      </c>
      <c r="E214" s="27">
        <v>5.7</v>
      </c>
      <c r="F214" s="29">
        <f>LOOKUP(E214,{0,-1.8,-0.8,0.2,1.2,2.2,3.2,4.6,6,7.4,8.8,10.2,11.6,13,14.4,15.8,17.2,19.1,21,22.8,24.6},{0,10,20,30,40,50,60,62,64,66,68,70,72,74,76,78,80,85,90,95,100})</f>
        <v>62</v>
      </c>
      <c r="G214" s="27">
        <v>230</v>
      </c>
      <c r="H214" s="29">
        <f>LOOKUP(G214,{0,180,185,190,195,200,205,209,213,217,221,225,229,233,237,241,245,253,260,265,270},{0,10,20,30,40,50,60,62,64,66,68,70,72,74,76,78,80,85,90,95,100})</f>
        <v>72</v>
      </c>
      <c r="I214" s="27">
        <v>2</v>
      </c>
      <c r="J214" s="29">
        <f>LOOKUP(I214,{0,4,5,6,7,8,9,10,11,12,13,14,15,16,17,18},{0,10,20,30,40,50,60,64,68,72,76,80,85,90,95,100})</f>
        <v>0</v>
      </c>
      <c r="K214" s="44"/>
      <c r="L214" s="35"/>
      <c r="M214" s="35">
        <f t="shared" si="19"/>
        <v>0</v>
      </c>
      <c r="N214" s="35">
        <v>7.2</v>
      </c>
      <c r="O214" s="36">
        <f t="shared" si="20"/>
        <v>10.8</v>
      </c>
      <c r="P214" s="29">
        <f>LOOKUP(O214,{0,7.8,8,8.2,8.4,8.6,8.8,9,9.2,9.4,9.6,9.8,10,10.2,10.4,10.6,10.8,10.9,11,11.1,11.2},{0,10,20,30,40,50,60,62,64,66,68,70,72,74,76,78,80,85,90,95,100})</f>
        <v>80</v>
      </c>
      <c r="Q214" s="5">
        <v>4.19</v>
      </c>
      <c r="R214" s="36">
        <f t="shared" si="21"/>
        <v>5.81</v>
      </c>
      <c r="S214" s="29">
        <f>LOOKUP(R214,{0,3.85,4.45,4.65,4.85,5.45,5.65,5.7,5.75,5.8,5.85,5.9,5.95,6,6.45,6.5,6.55,6.63,6.7,6.75,6.8},{0,10,20,30,40,50,60,62,64,66,68,70,72,74,76,78,80,85,90,95,100})</f>
        <v>66</v>
      </c>
      <c r="T214" s="27"/>
      <c r="U214" s="27"/>
      <c r="V214" s="27">
        <f t="shared" si="22"/>
        <v>66</v>
      </c>
      <c r="W214" s="27"/>
      <c r="X214" s="19">
        <f t="shared" si="23"/>
        <v>42.6</v>
      </c>
      <c r="Y214" s="13">
        <f t="shared" si="24"/>
        <v>60.8571428571429</v>
      </c>
    </row>
    <row r="215" ht="15.6" spans="1:25">
      <c r="A215" s="27">
        <v>308</v>
      </c>
      <c r="B215" s="27">
        <v>18</v>
      </c>
      <c r="C215" s="28" t="s">
        <v>370</v>
      </c>
      <c r="D215" s="28" t="s">
        <v>12</v>
      </c>
      <c r="E215" s="27">
        <v>13.5</v>
      </c>
      <c r="F215" s="29">
        <f>LOOKUP(E215,{0,-1.8,-0.8,0.2,1.2,2.2,3.2,4.6,6,7.4,8.8,10.2,11.6,13,14.4,15.8,17.2,19.1,21,22.8,24.6},{0,10,20,30,40,50,60,62,64,66,68,70,72,74,76,78,80,85,90,95,100})</f>
        <v>74</v>
      </c>
      <c r="G215" s="27">
        <v>195</v>
      </c>
      <c r="H215" s="29">
        <f>LOOKUP(G215,{0,180,185,190,195,200,205,209,213,217,221,225,229,233,237,241,245,253,260,265,270},{0,10,20,30,40,50,60,62,64,66,68,70,72,74,76,78,80,85,90,95,100})</f>
        <v>40</v>
      </c>
      <c r="I215" s="27">
        <v>12</v>
      </c>
      <c r="J215" s="29">
        <f>LOOKUP(I215,{0,4,5,6,7,8,9,10,11,12,13,14,15,16,17,18},{0,10,20,30,40,50,60,64,68,72,76,80,85,90,95,100})</f>
        <v>72</v>
      </c>
      <c r="K215" s="44"/>
      <c r="L215" s="35"/>
      <c r="M215" s="35">
        <f t="shared" si="19"/>
        <v>72</v>
      </c>
      <c r="N215" s="35">
        <v>8.1</v>
      </c>
      <c r="O215" s="36">
        <f t="shared" si="20"/>
        <v>9.9</v>
      </c>
      <c r="P215" s="29">
        <f>LOOKUP(O215,{0,7.8,8,8.2,8.4,8.6,8.8,9,9.2,9.4,9.6,9.8,10,10.2,10.4,10.6,10.8,10.9,11,11.1,11.2},{0,10,20,30,40,50,60,62,64,66,68,70,72,74,76,78,80,85,90,95,100})</f>
        <v>70</v>
      </c>
      <c r="Q215" s="5">
        <v>4.49</v>
      </c>
      <c r="R215" s="36">
        <f t="shared" si="21"/>
        <v>5.51</v>
      </c>
      <c r="S215" s="29">
        <f>LOOKUP(R215,{0,3.85,4.45,4.65,4.85,5.45,5.65,5.7,5.75,5.8,5.85,5.9,5.95,6,6.45,6.5,6.55,6.63,6.7,6.75,6.8},{0,10,20,30,40,50,60,62,64,66,68,70,72,74,76,78,80,85,90,95,100})</f>
        <v>50</v>
      </c>
      <c r="T215" s="27"/>
      <c r="U215" s="27"/>
      <c r="V215" s="27">
        <f t="shared" si="22"/>
        <v>50</v>
      </c>
      <c r="W215" s="27"/>
      <c r="X215" s="19">
        <f t="shared" si="23"/>
        <v>42.6</v>
      </c>
      <c r="Y215" s="13">
        <f t="shared" si="24"/>
        <v>60.8571428571429</v>
      </c>
    </row>
    <row r="216" ht="15.6" spans="1:25">
      <c r="A216" s="27">
        <v>303</v>
      </c>
      <c r="B216" s="27">
        <v>4</v>
      </c>
      <c r="C216" s="27" t="s">
        <v>106</v>
      </c>
      <c r="D216" s="27" t="s">
        <v>12</v>
      </c>
      <c r="E216" s="27">
        <v>10.3</v>
      </c>
      <c r="F216" s="29">
        <f>LOOKUP(E216,{0,-1.8,-0.8,0.2,1.2,2.2,3.2,4.6,6,7.4,8.8,10.2,11.6,13,14.4,15.8,17.2,19.1,21,22.8,24.6},{0,10,20,30,40,50,60,62,64,66,68,70,72,74,76,78,80,85,90,95,100})</f>
        <v>70</v>
      </c>
      <c r="G216" s="27">
        <v>227</v>
      </c>
      <c r="H216" s="29">
        <f>LOOKUP(G216,{0,180,185,190,195,200,205,209,213,217,221,225,229,233,237,241,245,253,260,265,270},{0,10,20,30,40,50,60,62,64,66,68,70,72,74,76,78,80,85,90,95,100})</f>
        <v>70</v>
      </c>
      <c r="I216" s="27">
        <v>0</v>
      </c>
      <c r="J216" s="29">
        <f>LOOKUP(I216,{0,4,5,6,7,8,9,10,11,12,13,14,15,16,17,18},{0,10,20,30,40,50,60,64,68,72,76,80,85,90,95,100})</f>
        <v>0</v>
      </c>
      <c r="K216" s="44"/>
      <c r="L216" s="35"/>
      <c r="M216" s="35">
        <f t="shared" si="19"/>
        <v>0</v>
      </c>
      <c r="N216" s="35">
        <v>7.4</v>
      </c>
      <c r="O216" s="36">
        <f t="shared" si="20"/>
        <v>10.6</v>
      </c>
      <c r="P216" s="29">
        <f>LOOKUP(O216,{0,7.8,8,8.2,8.4,8.6,8.8,9,9.2,9.4,9.6,9.8,10,10.2,10.4,10.6,10.8,10.9,11,11.1,11.2},{0,10,20,30,40,50,60,62,64,66,68,70,72,74,76,78,80,85,90,95,100})</f>
        <v>78</v>
      </c>
      <c r="Q216" s="5">
        <v>4.24</v>
      </c>
      <c r="R216" s="36">
        <f t="shared" si="21"/>
        <v>5.76</v>
      </c>
      <c r="S216" s="29">
        <f>LOOKUP(R216,{0,3.85,4.45,4.65,4.85,5.45,5.65,5.7,5.75,5.8,5.85,5.9,5.95,6,6.45,6.5,6.55,6.63,6.7,6.75,6.8},{0,10,20,30,40,50,60,62,64,66,68,70,72,74,76,78,80,85,90,95,100})</f>
        <v>64</v>
      </c>
      <c r="T216" s="27"/>
      <c r="U216" s="27"/>
      <c r="V216" s="27">
        <f t="shared" si="22"/>
        <v>64</v>
      </c>
      <c r="W216" s="27"/>
      <c r="X216" s="19">
        <f t="shared" si="23"/>
        <v>42.4</v>
      </c>
      <c r="Y216" s="13">
        <f t="shared" si="24"/>
        <v>60.5714285714286</v>
      </c>
    </row>
    <row r="217" ht="15.6" spans="1:25">
      <c r="A217" s="27">
        <v>303</v>
      </c>
      <c r="B217" s="27">
        <v>21</v>
      </c>
      <c r="C217" s="27" t="s">
        <v>124</v>
      </c>
      <c r="D217" s="27" t="s">
        <v>12</v>
      </c>
      <c r="E217" s="27">
        <v>2</v>
      </c>
      <c r="F217" s="29">
        <f>LOOKUP(E217,{0,-1.8,-0.8,0.2,1.2,2.2,3.2,4.6,6,7.4,8.8,10.2,11.6,13,14.4,15.8,17.2,19.1,21,22.8,24.6},{0,10,20,30,40,50,60,62,64,66,68,70,72,74,76,78,80,85,90,95,100})</f>
        <v>40</v>
      </c>
      <c r="G217" s="27">
        <v>224</v>
      </c>
      <c r="H217" s="29">
        <f>LOOKUP(G217,{0,180,185,190,195,200,205,209,213,217,221,225,229,233,237,241,245,253,260,265,270},{0,10,20,30,40,50,60,62,64,66,68,70,72,74,76,78,80,85,90,95,100})</f>
        <v>68</v>
      </c>
      <c r="I217" s="27">
        <v>5</v>
      </c>
      <c r="J217" s="29">
        <f>LOOKUP(I217,{0,4,5,6,7,8,9,10,11,12,13,14,15,16,17,18},{0,10,20,30,40,50,60,64,68,72,76,80,85,90,95,100})</f>
        <v>20</v>
      </c>
      <c r="K217" s="44"/>
      <c r="L217" s="35"/>
      <c r="M217" s="35">
        <f t="shared" si="19"/>
        <v>20</v>
      </c>
      <c r="N217" s="35">
        <v>7.7</v>
      </c>
      <c r="O217" s="36">
        <f t="shared" si="20"/>
        <v>10.3</v>
      </c>
      <c r="P217" s="29">
        <f>LOOKUP(O217,{0,7.8,8,8.2,8.4,8.6,8.8,9,9.2,9.4,9.6,9.8,10,10.2,10.4,10.6,10.8,10.9,11,11.1,11.2},{0,10,20,30,40,50,60,62,64,66,68,70,72,74,76,78,80,85,90,95,100})</f>
        <v>74</v>
      </c>
      <c r="Q217" s="5">
        <v>3.59</v>
      </c>
      <c r="R217" s="36">
        <f t="shared" si="21"/>
        <v>6.41</v>
      </c>
      <c r="S217" s="29">
        <f>LOOKUP(R217,{0,3.85,4.45,4.65,4.85,5.45,5.65,5.7,5.75,5.8,5.85,5.9,5.95,6,6.45,6.5,6.55,6.63,6.7,6.75,6.8},{0,10,20,30,40,50,60,62,64,66,68,70,72,74,76,78,80,85,90,95,100})</f>
        <v>74</v>
      </c>
      <c r="T217" s="27"/>
      <c r="U217" s="27"/>
      <c r="V217" s="27">
        <f t="shared" si="22"/>
        <v>74</v>
      </c>
      <c r="W217" s="27"/>
      <c r="X217" s="19">
        <f t="shared" si="23"/>
        <v>42.4</v>
      </c>
      <c r="Y217" s="13">
        <f t="shared" si="24"/>
        <v>60.5714285714286</v>
      </c>
    </row>
    <row r="218" ht="15.6" spans="1:25">
      <c r="A218" s="27">
        <v>309</v>
      </c>
      <c r="B218" s="27">
        <v>8</v>
      </c>
      <c r="C218" s="28" t="s">
        <v>412</v>
      </c>
      <c r="D218" s="28" t="s">
        <v>12</v>
      </c>
      <c r="E218" s="27">
        <v>15</v>
      </c>
      <c r="F218" s="29">
        <f>LOOKUP(E218,{0,-1.8,-0.8,0.2,1.2,2.2,3.2,4.6,6,7.4,8.8,10.2,11.6,13,14.4,15.8,17.2,19.1,21,22.8,24.6},{0,10,20,30,40,50,60,62,64,66,68,70,72,74,76,78,80,85,90,95,100})</f>
        <v>76</v>
      </c>
      <c r="G218" s="27">
        <v>214</v>
      </c>
      <c r="H218" s="29">
        <f>LOOKUP(G218,{0,180,185,190,195,200,205,209,213,217,221,225,229,233,237,241,245,253,260,265,270},{0,10,20,30,40,50,60,62,64,66,68,70,72,74,76,78,80,85,90,95,100})</f>
        <v>64</v>
      </c>
      <c r="I218" s="27">
        <v>10</v>
      </c>
      <c r="J218" s="29">
        <f>LOOKUP(I218,{0,4,5,6,7,8,9,10,11,12,13,14,15,16,17,18},{0,10,20,30,40,50,60,64,68,72,76,80,85,90,95,100})</f>
        <v>64</v>
      </c>
      <c r="K218" s="44"/>
      <c r="L218" s="35"/>
      <c r="M218" s="35">
        <f t="shared" si="19"/>
        <v>64</v>
      </c>
      <c r="N218" s="35">
        <v>7</v>
      </c>
      <c r="O218" s="36">
        <f t="shared" si="20"/>
        <v>11</v>
      </c>
      <c r="P218" s="29">
        <f>LOOKUP(O218,{0,7.8,8,8.2,8.4,8.6,8.8,9,9.2,9.4,9.6,9.8,10,10.2,10.4,10.6,10.8,10.9,11,11.1,11.2},{0,10,20,30,40,50,60,62,64,66,68,70,72,74,76,78,80,85,90,95,100})</f>
        <v>90</v>
      </c>
      <c r="Q218" s="5">
        <v>5.39</v>
      </c>
      <c r="R218" s="36">
        <f t="shared" si="21"/>
        <v>4.61</v>
      </c>
      <c r="S218" s="29">
        <f>LOOKUP(R218,{0,3.85,4.45,4.65,4.85,5.45,5.65,5.7,5.75,5.8,5.85,5.9,5.95,6,6.45,6.5,6.55,6.63,6.7,6.75,6.8},{0,10,20,30,40,50,60,62,64,66,68,70,72,74,76,78,80,85,90,95,100})</f>
        <v>20</v>
      </c>
      <c r="T218" s="27"/>
      <c r="U218" s="27"/>
      <c r="V218" s="27">
        <f t="shared" si="22"/>
        <v>20</v>
      </c>
      <c r="W218" s="27"/>
      <c r="X218" s="19">
        <f t="shared" si="23"/>
        <v>42.4</v>
      </c>
      <c r="Y218" s="13">
        <f t="shared" si="24"/>
        <v>60.5714285714286</v>
      </c>
    </row>
    <row r="219" ht="15.6" spans="1:25">
      <c r="A219" s="27">
        <v>306</v>
      </c>
      <c r="B219" s="27">
        <v>8</v>
      </c>
      <c r="C219" s="28" t="s">
        <v>249</v>
      </c>
      <c r="D219" s="28" t="s">
        <v>12</v>
      </c>
      <c r="E219" s="27">
        <v>16</v>
      </c>
      <c r="F219" s="29">
        <f>LOOKUP(E219,{0,-1.8,-0.8,0.2,1.2,2.2,3.2,4.6,6,7.4,8.8,10.2,11.6,13,14.4,15.8,17.2,19.1,21,22.8,24.6},{0,10,20,30,40,50,60,62,64,66,68,70,72,74,76,78,80,85,90,95,100})</f>
        <v>78</v>
      </c>
      <c r="G219" s="27">
        <v>215</v>
      </c>
      <c r="H219" s="29">
        <f>LOOKUP(G219,{0,180,185,190,195,200,205,209,213,217,221,225,229,233,237,241,245,253,260,265,270},{0,10,20,30,40,50,60,62,64,66,68,70,72,74,76,78,80,85,90,95,100})</f>
        <v>64</v>
      </c>
      <c r="I219" s="27">
        <v>3</v>
      </c>
      <c r="J219" s="29">
        <f>LOOKUP(I219,{0,4,5,6,7,8,9,10,11,12,13,14,15,16,17,18},{0,10,20,30,40,50,60,64,68,72,76,80,85,90,95,100})</f>
        <v>0</v>
      </c>
      <c r="K219" s="44"/>
      <c r="L219" s="35"/>
      <c r="M219" s="35">
        <f t="shared" si="19"/>
        <v>0</v>
      </c>
      <c r="N219" s="35">
        <v>7</v>
      </c>
      <c r="O219" s="36">
        <f t="shared" si="20"/>
        <v>11</v>
      </c>
      <c r="P219" s="29">
        <f>LOOKUP(O219,{0,7.8,8,8.2,8.4,8.6,8.8,9,9.2,9.4,9.6,9.8,10,10.2,10.4,10.6,10.8,10.9,11,11.1,11.2},{0,10,20,30,40,50,60,62,64,66,68,70,72,74,76,78,80,85,90,95,100})</f>
        <v>90</v>
      </c>
      <c r="Q219" s="5">
        <v>4.36</v>
      </c>
      <c r="R219" s="36">
        <f t="shared" si="21"/>
        <v>5.64</v>
      </c>
      <c r="S219" s="29">
        <f>LOOKUP(R219,{0,3.85,4.45,4.65,4.85,5.45,5.65,5.7,5.75,5.8,5.85,5.9,5.95,6,6.45,6.5,6.55,6.63,6.7,6.75,6.8},{0,10,20,30,40,50,60,62,64,66,68,70,72,74,76,78,80,85,90,95,100})</f>
        <v>50</v>
      </c>
      <c r="T219" s="27"/>
      <c r="U219" s="27"/>
      <c r="V219" s="27">
        <f t="shared" si="22"/>
        <v>50</v>
      </c>
      <c r="W219" s="27"/>
      <c r="X219" s="19">
        <f t="shared" si="23"/>
        <v>42.2</v>
      </c>
      <c r="Y219" s="13">
        <f t="shared" si="24"/>
        <v>60.2857142857143</v>
      </c>
    </row>
    <row r="220" ht="15.6" spans="1:25">
      <c r="A220" s="27">
        <v>306</v>
      </c>
      <c r="B220" s="27">
        <v>18</v>
      </c>
      <c r="C220" s="28" t="s">
        <v>260</v>
      </c>
      <c r="D220" s="28" t="s">
        <v>12</v>
      </c>
      <c r="E220" s="27">
        <v>6.1</v>
      </c>
      <c r="F220" s="29">
        <f>LOOKUP(E220,{0,-1.8,-0.8,0.2,1.2,2.2,3.2,4.6,6,7.4,8.8,10.2,11.6,13,14.4,15.8,17.2,19.1,21,22.8,24.6},{0,10,20,30,40,50,60,62,64,66,68,70,72,74,76,78,80,85,90,95,100})</f>
        <v>64</v>
      </c>
      <c r="G220" s="27">
        <v>225</v>
      </c>
      <c r="H220" s="29">
        <f>LOOKUP(G220,{0,180,185,190,195,200,205,209,213,217,221,225,229,233,237,241,245,253,260,265,270},{0,10,20,30,40,50,60,62,64,66,68,70,72,74,76,78,80,85,90,95,100})</f>
        <v>70</v>
      </c>
      <c r="I220" s="27">
        <v>3</v>
      </c>
      <c r="J220" s="29">
        <f>LOOKUP(I220,{0,4,5,6,7,8,9,10,11,12,13,14,15,16,17,18},{0,10,20,30,40,50,60,64,68,72,76,80,85,90,95,100})</f>
        <v>0</v>
      </c>
      <c r="K220" s="44"/>
      <c r="L220" s="35"/>
      <c r="M220" s="35">
        <f t="shared" si="19"/>
        <v>0</v>
      </c>
      <c r="N220" s="35">
        <v>7.2</v>
      </c>
      <c r="O220" s="36">
        <f t="shared" si="20"/>
        <v>10.8</v>
      </c>
      <c r="P220" s="29">
        <f>LOOKUP(O220,{0,7.8,8,8.2,8.4,8.6,8.8,9,9.2,9.4,9.6,9.8,10,10.2,10.4,10.6,10.8,10.9,11,11.1,11.2},{0,10,20,30,40,50,60,62,64,66,68,70,72,74,76,78,80,85,90,95,100})</f>
        <v>80</v>
      </c>
      <c r="Q220" s="5">
        <v>4.25</v>
      </c>
      <c r="R220" s="36">
        <f t="shared" si="21"/>
        <v>5.75</v>
      </c>
      <c r="S220" s="29">
        <f>LOOKUP(R220,{0,3.85,4.45,4.65,4.85,5.45,5.65,5.7,5.75,5.8,5.85,5.9,5.95,6,6.45,6.5,6.55,6.63,6.7,6.75,6.8},{0,10,20,30,40,50,60,62,64,66,68,70,72,74,76,78,80,85,90,95,100})</f>
        <v>64</v>
      </c>
      <c r="T220" s="27"/>
      <c r="U220" s="27"/>
      <c r="V220" s="27">
        <f t="shared" si="22"/>
        <v>64</v>
      </c>
      <c r="W220" s="27"/>
      <c r="X220" s="19">
        <f t="shared" si="23"/>
        <v>42.2</v>
      </c>
      <c r="Y220" s="13">
        <f t="shared" si="24"/>
        <v>60.2857142857143</v>
      </c>
    </row>
    <row r="221" ht="15.6" spans="1:25">
      <c r="A221" s="27">
        <v>303</v>
      </c>
      <c r="B221" s="27">
        <v>25</v>
      </c>
      <c r="C221" s="27" t="s">
        <v>128</v>
      </c>
      <c r="D221" s="27" t="s">
        <v>12</v>
      </c>
      <c r="E221" s="27">
        <v>5</v>
      </c>
      <c r="F221" s="29">
        <f>LOOKUP(E221,{0,-1.8,-0.8,0.2,1.2,2.2,3.2,4.6,6,7.4,8.8,10.2,11.6,13,14.4,15.8,17.2,19.1,21,22.8,24.6},{0,10,20,30,40,50,60,62,64,66,68,70,72,74,76,78,80,85,90,95,100})</f>
        <v>62</v>
      </c>
      <c r="G221" s="27">
        <v>220</v>
      </c>
      <c r="H221" s="29">
        <f>LOOKUP(G221,{0,180,185,190,195,200,205,209,213,217,221,225,229,233,237,241,245,253,260,265,270},{0,10,20,30,40,50,60,62,64,66,68,70,72,74,76,78,80,85,90,95,100})</f>
        <v>66</v>
      </c>
      <c r="I221" s="27">
        <v>3</v>
      </c>
      <c r="J221" s="29">
        <f>LOOKUP(I221,{0,4,5,6,7,8,9,10,11,12,13,14,15,16,17,18},{0,10,20,30,40,50,60,64,68,72,76,80,85,90,95,100})</f>
        <v>0</v>
      </c>
      <c r="K221" s="44"/>
      <c r="L221" s="35"/>
      <c r="M221" s="35">
        <f t="shared" si="19"/>
        <v>0</v>
      </c>
      <c r="N221" s="35">
        <v>8</v>
      </c>
      <c r="O221" s="36">
        <f t="shared" si="20"/>
        <v>10</v>
      </c>
      <c r="P221" s="29">
        <f>LOOKUP(O221,{0,7.8,8,8.2,8.4,8.6,8.8,9,9.2,9.4,9.6,9.8,10,10.2,10.4,10.6,10.8,10.9,11,11.1,11.2},{0,10,20,30,40,50,60,62,64,66,68,70,72,74,76,78,80,85,90,95,100})</f>
        <v>72</v>
      </c>
      <c r="Q221" s="5">
        <v>3.57</v>
      </c>
      <c r="R221" s="36">
        <f t="shared" si="21"/>
        <v>6.43</v>
      </c>
      <c r="S221" s="29">
        <f>LOOKUP(R221,{0,3.85,4.45,4.65,4.85,5.45,5.65,5.7,5.75,5.8,5.85,5.9,5.95,6,6.45,6.5,6.55,6.63,6.7,6.75,6.8},{0,10,20,30,40,50,60,62,64,66,68,70,72,74,76,78,80,85,90,95,100})</f>
        <v>74</v>
      </c>
      <c r="T221" s="27"/>
      <c r="U221" s="27"/>
      <c r="V221" s="27">
        <f t="shared" si="22"/>
        <v>74</v>
      </c>
      <c r="W221" s="27"/>
      <c r="X221" s="19">
        <f t="shared" si="23"/>
        <v>42</v>
      </c>
      <c r="Y221" s="13">
        <f t="shared" si="24"/>
        <v>60</v>
      </c>
    </row>
    <row r="222" ht="15.6" spans="1:25">
      <c r="A222" s="27">
        <v>310</v>
      </c>
      <c r="B222" s="27">
        <v>30</v>
      </c>
      <c r="C222" s="28" t="s">
        <v>489</v>
      </c>
      <c r="D222" s="28" t="s">
        <v>12</v>
      </c>
      <c r="E222" s="27">
        <v>10.5</v>
      </c>
      <c r="F222" s="29">
        <f>LOOKUP(E222,{0,-1.8,-0.8,0.2,1.2,2.2,3.2,4.6,6,7.4,8.8,10.2,11.6,13,14.4,15.8,17.2,19.1,21,22.8,24.6},{0,10,20,30,40,50,60,62,64,66,68,70,72,74,76,78,80,85,90,95,100})</f>
        <v>70</v>
      </c>
      <c r="G222" s="27">
        <v>218</v>
      </c>
      <c r="H222" s="29">
        <f>LOOKUP(G222,{0,180,185,190,195,200,205,209,213,217,221,225,229,233,237,241,245,253,260,265,270},{0,10,20,30,40,50,60,62,64,66,68,70,72,74,76,78,80,85,90,95,100})</f>
        <v>66</v>
      </c>
      <c r="I222" s="27">
        <v>0</v>
      </c>
      <c r="J222" s="29">
        <f>LOOKUP(I222,{0,4,5,6,7,8,9,10,11,12,13,14,15,16,17,18},{0,10,20,30,40,50,60,64,68,72,76,80,85,90,95,100})</f>
        <v>0</v>
      </c>
      <c r="K222" s="44"/>
      <c r="L222" s="35"/>
      <c r="M222" s="35">
        <f t="shared" si="19"/>
        <v>0</v>
      </c>
      <c r="N222" s="35">
        <v>7.4</v>
      </c>
      <c r="O222" s="36">
        <f t="shared" si="20"/>
        <v>10.6</v>
      </c>
      <c r="P222" s="29">
        <f>LOOKUP(O222,{0,7.8,8,8.2,8.4,8.6,8.8,9,9.2,9.4,9.6,9.8,10,10.2,10.4,10.6,10.8,10.9,11,11.1,11.2},{0,10,20,30,40,50,60,62,64,66,68,70,72,74,76,78,80,85,90,95,100})</f>
        <v>78</v>
      </c>
      <c r="Q222" s="5">
        <v>4.24</v>
      </c>
      <c r="R222" s="36">
        <f t="shared" si="21"/>
        <v>5.76</v>
      </c>
      <c r="S222" s="29">
        <f>LOOKUP(R222,{0,3.85,4.45,4.65,4.85,5.45,5.65,5.7,5.75,5.8,5.85,5.9,5.95,6,6.45,6.5,6.55,6.63,6.7,6.75,6.8},{0,10,20,30,40,50,60,62,64,66,68,70,72,74,76,78,80,85,90,95,100})</f>
        <v>64</v>
      </c>
      <c r="T222" s="27"/>
      <c r="U222" s="27"/>
      <c r="V222" s="27">
        <f t="shared" si="22"/>
        <v>64</v>
      </c>
      <c r="W222" s="27"/>
      <c r="X222" s="19">
        <f t="shared" si="23"/>
        <v>42</v>
      </c>
      <c r="Y222" s="13">
        <f t="shared" si="24"/>
        <v>60</v>
      </c>
    </row>
    <row r="223" ht="15.6" spans="1:25">
      <c r="A223" s="27">
        <v>303</v>
      </c>
      <c r="B223" s="27">
        <v>28</v>
      </c>
      <c r="C223" s="27" t="s">
        <v>130</v>
      </c>
      <c r="D223" s="27" t="s">
        <v>12</v>
      </c>
      <c r="E223" s="27">
        <v>6.5</v>
      </c>
      <c r="F223" s="29">
        <f>LOOKUP(E223,{0,-1.8,-0.8,0.2,1.2,2.2,3.2,4.6,6,7.4,8.8,10.2,11.6,13,14.4,15.8,17.2,19.1,21,22.8,24.6},{0,10,20,30,40,50,60,62,64,66,68,70,72,74,76,78,80,85,90,95,100})</f>
        <v>64</v>
      </c>
      <c r="G223" s="27">
        <v>220</v>
      </c>
      <c r="H223" s="29">
        <f>LOOKUP(G223,{0,180,185,190,195,200,205,209,213,217,221,225,229,233,237,241,245,253,260,265,270},{0,10,20,30,40,50,60,62,64,66,68,70,72,74,76,78,80,85,90,95,100})</f>
        <v>66</v>
      </c>
      <c r="I223" s="27">
        <v>2</v>
      </c>
      <c r="J223" s="29">
        <f>LOOKUP(I223,{0,4,5,6,7,8,9,10,11,12,13,14,15,16,17,18},{0,10,20,30,40,50,60,64,68,72,76,80,85,90,95,100})</f>
        <v>0</v>
      </c>
      <c r="K223" s="44"/>
      <c r="L223" s="35"/>
      <c r="M223" s="35">
        <f t="shared" si="19"/>
        <v>0</v>
      </c>
      <c r="N223" s="35">
        <v>7.6</v>
      </c>
      <c r="O223" s="36">
        <f t="shared" si="20"/>
        <v>10.4</v>
      </c>
      <c r="P223" s="29">
        <f>LOOKUP(O223,{0,7.8,8,8.2,8.4,8.6,8.8,9,9.2,9.4,9.6,9.8,10,10.2,10.4,10.6,10.8,10.9,11,11.1,11.2},{0,10,20,30,40,50,60,62,64,66,68,70,72,74,76,78,80,85,90,95,100})</f>
        <v>76</v>
      </c>
      <c r="Q223" s="5">
        <v>4.14</v>
      </c>
      <c r="R223" s="36">
        <f t="shared" si="21"/>
        <v>5.86</v>
      </c>
      <c r="S223" s="29">
        <f>LOOKUP(R223,{0,3.85,4.45,4.65,4.85,5.45,5.65,5.7,5.75,5.8,5.85,5.9,5.95,6,6.45,6.5,6.55,6.63,6.7,6.75,6.8},{0,10,20,30,40,50,60,62,64,66,68,70,72,74,76,78,80,85,90,95,100})</f>
        <v>68</v>
      </c>
      <c r="T223" s="27"/>
      <c r="U223" s="27"/>
      <c r="V223" s="27">
        <f t="shared" si="22"/>
        <v>68</v>
      </c>
      <c r="W223" s="27"/>
      <c r="X223" s="19">
        <f t="shared" si="23"/>
        <v>41.8</v>
      </c>
      <c r="Y223" s="13">
        <f t="shared" si="24"/>
        <v>59.7142857142857</v>
      </c>
    </row>
    <row r="224" ht="15.6" spans="1:25">
      <c r="A224" s="27">
        <v>303</v>
      </c>
      <c r="B224" s="27">
        <v>31</v>
      </c>
      <c r="C224" s="27" t="s">
        <v>133</v>
      </c>
      <c r="D224" s="27" t="s">
        <v>12</v>
      </c>
      <c r="E224" s="27">
        <v>9.5</v>
      </c>
      <c r="F224" s="29">
        <f>LOOKUP(E224,{0,-1.8,-0.8,0.2,1.2,2.2,3.2,4.6,6,7.4,8.8,10.2,11.6,13,14.4,15.8,17.2,19.1,21,22.8,24.6},{0,10,20,30,40,50,60,62,64,66,68,70,72,74,76,78,80,85,90,95,100})</f>
        <v>68</v>
      </c>
      <c r="G224" s="27">
        <v>200</v>
      </c>
      <c r="H224" s="29">
        <f>LOOKUP(G224,{0,180,185,190,195,200,205,209,213,217,221,225,229,233,237,241,245,253,260,265,270},{0,10,20,30,40,50,60,62,64,66,68,70,72,74,76,78,80,85,90,95,100})</f>
        <v>50</v>
      </c>
      <c r="I224" s="27">
        <v>0</v>
      </c>
      <c r="J224" s="29">
        <f>LOOKUP(I224,{0,4,5,6,7,8,9,10,11,12,13,14,15,16,17,18},{0,10,20,30,40,50,60,64,68,72,76,80,85,90,95,100})</f>
        <v>0</v>
      </c>
      <c r="K224" s="44"/>
      <c r="L224" s="35"/>
      <c r="M224" s="35">
        <f t="shared" si="19"/>
        <v>0</v>
      </c>
      <c r="N224" s="35">
        <v>7.3</v>
      </c>
      <c r="O224" s="36">
        <f t="shared" si="20"/>
        <v>10.7</v>
      </c>
      <c r="P224" s="29">
        <f>LOOKUP(O224,{0,7.8,8,8.2,8.4,8.6,8.8,9,9.2,9.4,9.6,9.8,10,10.2,10.4,10.6,10.8,10.9,11,11.1,11.2},{0,10,20,30,40,50,60,62,64,66,68,70,72,74,76,78,80,85,90,95,100})</f>
        <v>78</v>
      </c>
      <c r="Q224" s="5">
        <v>4.01</v>
      </c>
      <c r="R224" s="36">
        <f t="shared" si="21"/>
        <v>5.99</v>
      </c>
      <c r="S224" s="29">
        <f>LOOKUP(R224,{0,3.85,4.45,4.65,4.85,5.45,5.65,5.7,5.75,5.8,5.85,5.9,5.95,6,6.45,6.5,6.55,6.63,6.7,6.75,6.8},{0,10,20,30,40,50,60,62,64,66,68,70,72,74,76,78,80,85,90,95,100})</f>
        <v>72</v>
      </c>
      <c r="T224" s="27"/>
      <c r="U224" s="27"/>
      <c r="V224" s="27">
        <f t="shared" si="22"/>
        <v>72</v>
      </c>
      <c r="W224" s="27"/>
      <c r="X224" s="19">
        <f t="shared" si="23"/>
        <v>41.8</v>
      </c>
      <c r="Y224" s="13">
        <f t="shared" si="24"/>
        <v>59.7142857142857</v>
      </c>
    </row>
    <row r="225" ht="15.6" spans="1:25">
      <c r="A225" s="27">
        <v>310</v>
      </c>
      <c r="B225" s="27">
        <v>34</v>
      </c>
      <c r="C225" s="28" t="s">
        <v>494</v>
      </c>
      <c r="D225" s="28" t="s">
        <v>12</v>
      </c>
      <c r="E225" s="27">
        <v>1</v>
      </c>
      <c r="F225" s="29">
        <f>LOOKUP(E225,{0,-1.8,-0.8,0.2,1.2,2.2,3.2,4.6,6,7.4,8.8,10.2,11.6,13,14.4,15.8,17.2,19.1,21,22.8,24.6},{0,10,20,30,40,50,60,62,64,66,68,70,72,74,76,78,80,85,90,95,100})</f>
        <v>30</v>
      </c>
      <c r="G225" s="27">
        <v>210</v>
      </c>
      <c r="H225" s="29">
        <f>LOOKUP(G225,{0,180,185,190,195,200,205,209,213,217,221,225,229,233,237,241,245,253,260,265,270},{0,10,20,30,40,50,60,62,64,66,68,70,72,74,76,78,80,85,90,95,100})</f>
        <v>62</v>
      </c>
      <c r="I225" s="27">
        <v>2</v>
      </c>
      <c r="J225" s="29">
        <f>LOOKUP(I225,{0,4,5,6,7,8,9,10,11,12,13,14,15,16,17,18},{0,10,20,30,40,50,60,64,68,72,76,80,85,90,95,100})</f>
        <v>0</v>
      </c>
      <c r="K225" s="44"/>
      <c r="L225" s="35"/>
      <c r="M225" s="35">
        <f t="shared" si="19"/>
        <v>0</v>
      </c>
      <c r="N225" s="35">
        <v>7.3</v>
      </c>
      <c r="O225" s="36">
        <f t="shared" si="20"/>
        <v>10.7</v>
      </c>
      <c r="P225" s="29">
        <f>LOOKUP(O225,{0,7.8,8,8.2,8.4,8.6,8.8,9,9.2,9.4,9.6,9.8,10,10.2,10.4,10.6,10.8,10.9,11,11.1,11.2},{0,10,20,30,40,50,60,62,64,66,68,70,72,74,76,78,80,85,90,95,100})</f>
        <v>78</v>
      </c>
      <c r="Q225" s="5">
        <v>3.32</v>
      </c>
      <c r="R225" s="36">
        <f t="shared" si="21"/>
        <v>6.68</v>
      </c>
      <c r="S225" s="29">
        <f>LOOKUP(R225,{0,3.85,4.45,4.65,4.85,5.45,5.65,5.7,5.75,5.8,5.85,5.9,5.95,6,6.45,6.5,6.55,6.63,6.7,6.75,6.8},{0,10,20,30,40,50,60,62,64,66,68,70,72,74,76,78,80,85,90,95,100})</f>
        <v>85</v>
      </c>
      <c r="T225" s="27"/>
      <c r="U225" s="27"/>
      <c r="V225" s="27">
        <f t="shared" si="22"/>
        <v>85</v>
      </c>
      <c r="W225" s="27"/>
      <c r="X225" s="19">
        <f t="shared" si="23"/>
        <v>41.8</v>
      </c>
      <c r="Y225" s="13">
        <f t="shared" si="24"/>
        <v>59.7142857142857</v>
      </c>
    </row>
    <row r="226" ht="15.6" spans="1:25">
      <c r="A226" s="27">
        <v>312</v>
      </c>
      <c r="B226" s="27">
        <v>32</v>
      </c>
      <c r="C226" s="28" t="s">
        <v>606</v>
      </c>
      <c r="D226" s="28" t="s">
        <v>12</v>
      </c>
      <c r="E226" s="27">
        <v>25</v>
      </c>
      <c r="F226" s="29">
        <f>LOOKUP(E226,{0,-1.8,-0.8,0.2,1.2,2.2,3.2,4.6,6,7.4,8.8,10.2,11.6,13,14.4,15.8,17.2,19.1,21,22.8,24.6},{0,10,20,30,40,50,60,62,64,66,68,70,72,74,76,78,80,85,90,95,100})</f>
        <v>100</v>
      </c>
      <c r="G226" s="27">
        <v>225</v>
      </c>
      <c r="H226" s="29">
        <f>LOOKUP(G226,{0,180,185,190,195,200,205,209,213,217,221,225,229,233,237,241,245,253,260,265,270},{0,10,20,30,40,50,60,62,64,66,68,70,72,74,76,78,80,85,90,95,100})</f>
        <v>70</v>
      </c>
      <c r="I226" s="27">
        <v>2</v>
      </c>
      <c r="J226" s="29">
        <f>LOOKUP(I226,{0,4,5,6,7,8,9,10,11,12,13,14,15,16,17,18},{0,10,20,30,40,50,60,64,68,72,76,80,85,90,95,100})</f>
        <v>0</v>
      </c>
      <c r="K226" s="44"/>
      <c r="L226" s="35"/>
      <c r="M226" s="35">
        <f t="shared" si="19"/>
        <v>0</v>
      </c>
      <c r="N226" s="35">
        <v>7.8</v>
      </c>
      <c r="O226" s="36">
        <f t="shared" si="20"/>
        <v>10.2</v>
      </c>
      <c r="P226" s="29">
        <f>LOOKUP(O226,{0,7.8,8,8.2,8.4,8.6,8.8,9,9.2,9.4,9.6,9.8,10,10.2,10.4,10.6,10.8,10.9,11,11.1,11.2},{0,10,20,30,40,50,60,62,64,66,68,70,72,74,76,78,80,85,90,95,100})</f>
        <v>74</v>
      </c>
      <c r="Q226" s="5">
        <v>4.53</v>
      </c>
      <c r="R226" s="36">
        <f t="shared" si="21"/>
        <v>5.47</v>
      </c>
      <c r="S226" s="29">
        <f>LOOKUP(R226,{0,3.85,4.45,4.65,4.85,5.45,5.65,5.7,5.75,5.8,5.85,5.9,5.95,6,6.45,6.5,6.55,6.63,6.7,6.75,6.8},{0,10,20,30,40,50,60,62,64,66,68,70,72,74,76,78,80,85,90,95,100})</f>
        <v>50</v>
      </c>
      <c r="T226" s="27"/>
      <c r="U226" s="27"/>
      <c r="V226" s="27">
        <f t="shared" si="22"/>
        <v>50</v>
      </c>
      <c r="W226" s="27"/>
      <c r="X226" s="19">
        <f t="shared" si="23"/>
        <v>41.8</v>
      </c>
      <c r="Y226" s="13">
        <f t="shared" si="24"/>
        <v>59.7142857142857</v>
      </c>
    </row>
    <row r="227" ht="15.6" spans="1:25">
      <c r="A227" s="27">
        <v>305</v>
      </c>
      <c r="B227" s="27">
        <v>16</v>
      </c>
      <c r="C227" s="28" t="s">
        <v>201</v>
      </c>
      <c r="D227" s="28" t="s">
        <v>12</v>
      </c>
      <c r="E227" s="27">
        <v>8.6</v>
      </c>
      <c r="F227" s="29">
        <f>LOOKUP(E227,{0,-1.8,-0.8,0.2,1.2,2.2,3.2,4.6,6,7.4,8.8,10.2,11.6,13,14.4,15.8,17.2,19.1,21,22.8,24.6},{0,10,20,30,40,50,60,62,64,66,68,70,72,74,76,78,80,85,90,95,100})</f>
        <v>66</v>
      </c>
      <c r="G227" s="27">
        <v>250</v>
      </c>
      <c r="H227" s="29">
        <f>LOOKUP(G227,{0,180,185,190,195,200,205,209,213,217,221,225,229,233,237,241,245,253,260,265,270},{0,10,20,30,40,50,60,62,64,66,68,70,72,74,76,78,80,85,90,95,100})</f>
        <v>80</v>
      </c>
      <c r="I227" s="27">
        <v>4</v>
      </c>
      <c r="J227" s="29">
        <f>LOOKUP(I227,{0,4,5,6,7,8,9,10,11,12,13,14,15,16,17,18},{0,10,20,30,40,50,60,64,68,72,76,80,85,90,95,100})</f>
        <v>10</v>
      </c>
      <c r="K227" s="44"/>
      <c r="L227" s="35"/>
      <c r="M227" s="35">
        <f t="shared" si="19"/>
        <v>10</v>
      </c>
      <c r="N227" s="35">
        <v>7.2</v>
      </c>
      <c r="O227" s="36">
        <f t="shared" si="20"/>
        <v>10.8</v>
      </c>
      <c r="P227" s="29">
        <f>LOOKUP(O227,{0,7.8,8,8.2,8.4,8.6,8.8,9,9.2,9.4,9.6,9.8,10,10.2,10.4,10.6,10.8,10.9,11,11.1,11.2},{0,10,20,30,40,50,60,62,64,66,68,70,72,74,76,78,80,85,90,95,100})</f>
        <v>80</v>
      </c>
      <c r="Q227" s="5">
        <v>4.53</v>
      </c>
      <c r="R227" s="36">
        <f t="shared" si="21"/>
        <v>5.47</v>
      </c>
      <c r="S227" s="29">
        <f>LOOKUP(R227,{0,3.85,4.45,4.65,4.85,5.45,5.65,5.7,5.75,5.8,5.85,5.9,5.95,6,6.45,6.5,6.55,6.63,6.7,6.75,6.8},{0,10,20,30,40,50,60,62,64,66,68,70,72,74,76,78,80,85,90,95,100})</f>
        <v>50</v>
      </c>
      <c r="T227" s="27"/>
      <c r="U227" s="27"/>
      <c r="V227" s="27">
        <f t="shared" si="22"/>
        <v>50</v>
      </c>
      <c r="W227" s="27"/>
      <c r="X227" s="19">
        <f t="shared" si="23"/>
        <v>41.6</v>
      </c>
      <c r="Y227" s="13">
        <f t="shared" si="24"/>
        <v>59.4285714285714</v>
      </c>
    </row>
    <row r="228" ht="15.6" spans="1:25">
      <c r="A228" s="27">
        <v>309</v>
      </c>
      <c r="B228" s="27">
        <v>7</v>
      </c>
      <c r="C228" s="28" t="s">
        <v>411</v>
      </c>
      <c r="D228" s="28" t="s">
        <v>12</v>
      </c>
      <c r="E228" s="27">
        <v>29</v>
      </c>
      <c r="F228" s="29">
        <f>LOOKUP(E228,{0,-1.8,-0.8,0.2,1.2,2.2,3.2,4.6,6,7.4,8.8,10.2,11.6,13,14.4,15.8,17.2,19.1,21,22.8,24.6},{0,10,20,30,40,50,60,62,64,66,68,70,72,74,76,78,80,85,90,95,100})</f>
        <v>100</v>
      </c>
      <c r="G228" s="27">
        <v>256</v>
      </c>
      <c r="H228" s="29">
        <f>LOOKUP(G228,{0,180,185,190,195,200,205,209,213,217,221,225,229,233,237,241,245,253,260,265,270},{0,10,20,30,40,50,60,62,64,66,68,70,72,74,76,78,80,85,90,95,100})</f>
        <v>85</v>
      </c>
      <c r="I228" s="27">
        <v>2</v>
      </c>
      <c r="J228" s="29">
        <f>LOOKUP(I228,{0,4,5,6,7,8,9,10,11,12,13,14,15,16,17,18},{0,10,20,30,40,50,60,64,68,72,76,80,85,90,95,100})</f>
        <v>0</v>
      </c>
      <c r="K228" s="44"/>
      <c r="L228" s="35"/>
      <c r="M228" s="35">
        <f t="shared" si="19"/>
        <v>0</v>
      </c>
      <c r="N228" s="35">
        <v>6.9</v>
      </c>
      <c r="O228" s="36">
        <f t="shared" si="20"/>
        <v>11.1</v>
      </c>
      <c r="P228" s="29">
        <f>LOOKUP(O228,{0,7.8,8,8.2,8.4,8.6,8.8,9,9.2,9.4,9.6,9.8,10,10.2,10.4,10.6,10.8,10.9,11,11.1,11.2},{0,10,20,30,40,50,60,62,64,66,68,70,72,74,76,78,80,85,90,95,100})</f>
        <v>95</v>
      </c>
      <c r="Q228" s="5">
        <v>5.39</v>
      </c>
      <c r="R228" s="36">
        <f t="shared" si="21"/>
        <v>4.61</v>
      </c>
      <c r="S228" s="29">
        <f>LOOKUP(R228,{0,3.85,4.45,4.65,4.85,5.45,5.65,5.7,5.75,5.8,5.85,5.9,5.95,6,6.45,6.5,6.55,6.63,6.7,6.75,6.8},{0,10,20,30,40,50,60,62,64,66,68,70,72,74,76,78,80,85,90,95,100})</f>
        <v>20</v>
      </c>
      <c r="T228" s="27"/>
      <c r="U228" s="27"/>
      <c r="V228" s="27">
        <f t="shared" si="22"/>
        <v>20</v>
      </c>
      <c r="W228" s="27"/>
      <c r="X228" s="19">
        <f t="shared" si="23"/>
        <v>41.5</v>
      </c>
      <c r="Y228" s="13">
        <f t="shared" si="24"/>
        <v>59.2857142857143</v>
      </c>
    </row>
    <row r="229" ht="15.6" spans="1:25">
      <c r="A229" s="27">
        <v>304</v>
      </c>
      <c r="B229" s="27">
        <v>18</v>
      </c>
      <c r="C229" s="27" t="s">
        <v>166</v>
      </c>
      <c r="D229" s="27" t="s">
        <v>12</v>
      </c>
      <c r="E229" s="27">
        <v>9</v>
      </c>
      <c r="F229" s="29">
        <f>LOOKUP(E229,{0,-1.8,-0.8,0.2,1.2,2.2,3.2,4.6,6,7.4,8.8,10.2,11.6,13,14.4,15.8,17.2,19.1,21,22.8,24.6},{0,10,20,30,40,50,60,62,64,66,68,70,72,74,76,78,80,85,90,95,100})</f>
        <v>68</v>
      </c>
      <c r="G229" s="27">
        <v>240</v>
      </c>
      <c r="H229" s="29">
        <f>LOOKUP(G229,{0,180,185,190,195,200,205,209,213,217,221,225,229,233,237,241,245,253,260,265,270},{0,10,20,30,40,50,60,62,64,66,68,70,72,74,76,78,80,85,90,95,100})</f>
        <v>76</v>
      </c>
      <c r="I229" s="27">
        <v>2</v>
      </c>
      <c r="J229" s="29">
        <f>LOOKUP(I229,{0,4,5,6,7,8,9,10,11,12,13,14,15,16,17,18},{0,10,20,30,40,50,60,64,68,72,76,80,85,90,95,100})</f>
        <v>0</v>
      </c>
      <c r="K229" s="44"/>
      <c r="L229" s="35"/>
      <c r="M229" s="35">
        <f t="shared" si="19"/>
        <v>0</v>
      </c>
      <c r="N229" s="35">
        <v>7.1</v>
      </c>
      <c r="O229" s="36">
        <f t="shared" si="20"/>
        <v>10.9</v>
      </c>
      <c r="P229" s="29">
        <f>LOOKUP(O229,{0,7.8,8,8.2,8.4,8.6,8.8,9,9.2,9.4,9.6,9.8,10,10.2,10.4,10.6,10.8,10.9,11,11.1,11.2},{0,10,20,30,40,50,60,62,64,66,68,70,72,74,76,78,80,85,90,95,100})</f>
        <v>85</v>
      </c>
      <c r="Q229" s="5">
        <v>4.5</v>
      </c>
      <c r="R229" s="36">
        <f t="shared" si="21"/>
        <v>5.5</v>
      </c>
      <c r="S229" s="29">
        <f>LOOKUP(R229,{0,3.85,4.45,4.65,4.85,5.45,5.65,5.7,5.75,5.8,5.85,5.9,5.95,6,6.45,6.5,6.55,6.63,6.7,6.75,6.8},{0,10,20,30,40,50,60,62,64,66,68,70,72,74,76,78,80,85,90,95,100})</f>
        <v>50</v>
      </c>
      <c r="T229" s="27"/>
      <c r="U229" s="27"/>
      <c r="V229" s="27">
        <f t="shared" si="22"/>
        <v>50</v>
      </c>
      <c r="W229" s="27"/>
      <c r="X229" s="19">
        <f t="shared" si="23"/>
        <v>41.4</v>
      </c>
      <c r="Y229" s="13">
        <f t="shared" si="24"/>
        <v>59.1428571428572</v>
      </c>
    </row>
    <row r="230" ht="15.6" spans="1:25">
      <c r="A230" s="27">
        <v>309</v>
      </c>
      <c r="B230" s="27">
        <v>12</v>
      </c>
      <c r="C230" s="28" t="s">
        <v>417</v>
      </c>
      <c r="D230" s="28" t="s">
        <v>12</v>
      </c>
      <c r="E230" s="27">
        <v>9.5</v>
      </c>
      <c r="F230" s="29">
        <f>LOOKUP(E230,{0,-1.8,-0.8,0.2,1.2,2.2,3.2,4.6,6,7.4,8.8,10.2,11.6,13,14.4,15.8,17.2,19.1,21,22.8,24.6},{0,10,20,30,40,50,60,62,64,66,68,70,72,74,76,78,80,85,90,95,100})</f>
        <v>68</v>
      </c>
      <c r="G230" s="27">
        <v>235</v>
      </c>
      <c r="H230" s="29">
        <f>LOOKUP(G230,{0,180,185,190,195,200,205,209,213,217,221,225,229,233,237,241,245,253,260,265,270},{0,10,20,30,40,50,60,62,64,66,68,70,72,74,76,78,80,85,90,95,100})</f>
        <v>74</v>
      </c>
      <c r="I230" s="27">
        <v>1</v>
      </c>
      <c r="J230" s="29">
        <f>LOOKUP(I230,{0,4,5,6,7,8,9,10,11,12,13,14,15,16,17,18},{0,10,20,30,40,50,60,64,68,72,76,80,85,90,95,100})</f>
        <v>0</v>
      </c>
      <c r="K230" s="44"/>
      <c r="L230" s="35"/>
      <c r="M230" s="35">
        <f t="shared" si="19"/>
        <v>0</v>
      </c>
      <c r="N230" s="35">
        <v>7.9</v>
      </c>
      <c r="O230" s="36">
        <f t="shared" si="20"/>
        <v>10.1</v>
      </c>
      <c r="P230" s="29">
        <f>LOOKUP(O230,{0,7.8,8,8.2,8.4,8.6,8.8,9,9.2,9.4,9.6,9.8,10,10.2,10.4,10.6,10.8,10.9,11,11.1,11.2},{0,10,20,30,40,50,60,62,64,66,68,70,72,74,76,78,80,85,90,95,100})</f>
        <v>72</v>
      </c>
      <c r="Q230" s="5">
        <v>4.22</v>
      </c>
      <c r="R230" s="36">
        <f t="shared" si="21"/>
        <v>5.78</v>
      </c>
      <c r="S230" s="29">
        <f>LOOKUP(R230,{0,3.85,4.45,4.65,4.85,5.45,5.65,5.7,5.75,5.8,5.85,5.9,5.95,6,6.45,6.5,6.55,6.63,6.7,6.75,6.8},{0,10,20,30,40,50,60,62,64,66,68,70,72,74,76,78,80,85,90,95,100})</f>
        <v>64</v>
      </c>
      <c r="T230" s="27"/>
      <c r="U230" s="27"/>
      <c r="V230" s="27">
        <f t="shared" si="22"/>
        <v>64</v>
      </c>
      <c r="W230" s="27"/>
      <c r="X230" s="19">
        <f t="shared" si="23"/>
        <v>41.4</v>
      </c>
      <c r="Y230" s="13">
        <f t="shared" si="24"/>
        <v>59.1428571428572</v>
      </c>
    </row>
    <row r="231" ht="15.6" spans="1:25">
      <c r="A231" s="27">
        <v>312</v>
      </c>
      <c r="B231" s="27">
        <v>12</v>
      </c>
      <c r="C231" s="30" t="s">
        <v>586</v>
      </c>
      <c r="D231" s="28" t="s">
        <v>12</v>
      </c>
      <c r="E231" s="27">
        <v>9</v>
      </c>
      <c r="F231" s="29">
        <f>LOOKUP(E231,{0,-1.8,-0.8,0.2,1.2,2.2,3.2,4.6,6,7.4,8.8,10.2,11.6,13,14.4,15.8,17.2,19.1,21,22.8,24.6},{0,10,20,30,40,50,60,62,64,66,68,70,72,74,76,78,80,85,90,95,100})</f>
        <v>68</v>
      </c>
      <c r="G231" s="27">
        <v>228</v>
      </c>
      <c r="H231" s="29">
        <f>LOOKUP(G231,{0,180,185,190,195,200,205,209,213,217,221,225,229,233,237,241,245,253,260,265,270},{0,10,20,30,40,50,60,62,64,66,68,70,72,74,76,78,80,85,90,95,100})</f>
        <v>70</v>
      </c>
      <c r="I231" s="27">
        <v>11</v>
      </c>
      <c r="J231" s="29">
        <f>LOOKUP(I231,{0,4,5,6,7,8,9,10,11,12,13,14,15,16,17,18},{0,10,20,30,40,50,60,64,68,72,76,80,85,90,95,100})</f>
        <v>68</v>
      </c>
      <c r="K231" s="44"/>
      <c r="L231" s="35"/>
      <c r="M231" s="35">
        <f t="shared" si="19"/>
        <v>68</v>
      </c>
      <c r="N231" s="35">
        <v>7.7</v>
      </c>
      <c r="O231" s="36">
        <f t="shared" si="20"/>
        <v>10.3</v>
      </c>
      <c r="P231" s="29">
        <f>LOOKUP(O231,{0,7.8,8,8.2,8.4,8.6,8.8,9,9.2,9.4,9.6,9.8,10,10.2,10.4,10.6,10.8,10.9,11,11.1,11.2},{0,10,20,30,40,50,60,62,64,66,68,70,72,74,76,78,80,85,90,95,100})</f>
        <v>74</v>
      </c>
      <c r="Q231" s="5">
        <v>5.18</v>
      </c>
      <c r="R231" s="36">
        <f t="shared" si="21"/>
        <v>4.82</v>
      </c>
      <c r="S231" s="29">
        <f>LOOKUP(R231,{0,3.85,4.45,4.65,4.85,5.45,5.65,5.7,5.75,5.8,5.85,5.9,5.95,6,6.45,6.5,6.55,6.63,6.7,6.75,6.8},{0,10,20,30,40,50,60,62,64,66,68,70,72,74,76,78,80,85,90,95,100})</f>
        <v>30</v>
      </c>
      <c r="T231" s="27"/>
      <c r="U231" s="27"/>
      <c r="V231" s="27">
        <f t="shared" si="22"/>
        <v>30</v>
      </c>
      <c r="W231" s="27"/>
      <c r="X231" s="19">
        <f t="shared" si="23"/>
        <v>41.4</v>
      </c>
      <c r="Y231" s="13">
        <f t="shared" si="24"/>
        <v>59.1428571428572</v>
      </c>
    </row>
    <row r="232" ht="15.6" spans="1:25">
      <c r="A232" s="27">
        <v>303</v>
      </c>
      <c r="B232" s="27">
        <v>24</v>
      </c>
      <c r="C232" s="31" t="s">
        <v>127</v>
      </c>
      <c r="D232" s="27" t="s">
        <v>12</v>
      </c>
      <c r="E232" s="27">
        <v>8</v>
      </c>
      <c r="F232" s="29">
        <f>LOOKUP(E232,{0,-1.8,-0.8,0.2,1.2,2.2,3.2,4.6,6,7.4,8.8,10.2,11.6,13,14.4,15.8,17.2,19.1,21,22.8,24.6},{0,10,20,30,40,50,60,62,64,66,68,70,72,74,76,78,80,85,90,95,100})</f>
        <v>66</v>
      </c>
      <c r="G232" s="27">
        <v>230</v>
      </c>
      <c r="H232" s="29">
        <f>LOOKUP(G232,{0,180,185,190,195,200,205,209,213,217,221,225,229,233,237,241,245,253,260,265,270},{0,10,20,30,40,50,60,62,64,66,68,70,72,74,76,78,80,85,90,95,100})</f>
        <v>72</v>
      </c>
      <c r="I232" s="27">
        <v>3</v>
      </c>
      <c r="J232" s="29">
        <f>LOOKUP(I232,{0,4,5,6,7,8,9,10,11,12,13,14,15,16,17,18},{0,10,20,30,40,50,60,64,68,72,76,80,85,90,95,100})</f>
        <v>0</v>
      </c>
      <c r="K232" s="44"/>
      <c r="L232" s="35"/>
      <c r="M232" s="35">
        <f t="shared" si="19"/>
        <v>0</v>
      </c>
      <c r="N232" s="35">
        <v>7.6</v>
      </c>
      <c r="O232" s="36">
        <f t="shared" si="20"/>
        <v>10.4</v>
      </c>
      <c r="P232" s="29">
        <f>LOOKUP(O232,{0,7.8,8,8.2,8.4,8.6,8.8,9,9.2,9.4,9.6,9.8,10,10.2,10.4,10.6,10.8,10.9,11,11.1,11.2},{0,10,20,30,40,50,60,62,64,66,68,70,72,74,76,78,80,85,90,95,100})</f>
        <v>76</v>
      </c>
      <c r="Q232" s="5">
        <v>4.27</v>
      </c>
      <c r="R232" s="36">
        <f t="shared" si="21"/>
        <v>5.73</v>
      </c>
      <c r="S232" s="29">
        <f>LOOKUP(R232,{0,3.85,4.45,4.65,4.85,5.45,5.65,5.7,5.75,5.8,5.85,5.9,5.95,6,6.45,6.5,6.55,6.63,6.7,6.75,6.8},{0,10,20,30,40,50,60,62,64,66,68,70,72,74,76,78,80,85,90,95,100})</f>
        <v>62</v>
      </c>
      <c r="T232" s="27"/>
      <c r="U232" s="27"/>
      <c r="V232" s="27">
        <f t="shared" si="22"/>
        <v>62</v>
      </c>
      <c r="W232" s="27"/>
      <c r="X232" s="19">
        <f t="shared" si="23"/>
        <v>41.4</v>
      </c>
      <c r="Y232" s="13">
        <f t="shared" si="24"/>
        <v>59.1428571428571</v>
      </c>
    </row>
    <row r="233" ht="15.6" spans="1:25">
      <c r="A233" s="27">
        <v>303</v>
      </c>
      <c r="B233" s="27">
        <v>8</v>
      </c>
      <c r="C233" s="27" t="s">
        <v>110</v>
      </c>
      <c r="D233" s="27" t="s">
        <v>12</v>
      </c>
      <c r="E233" s="27">
        <v>6</v>
      </c>
      <c r="F233" s="29">
        <f>LOOKUP(E233,{0,-1.8,-0.8,0.2,1.2,2.2,3.2,4.6,6,7.4,8.8,10.2,11.6,13,14.4,15.8,17.2,19.1,21,22.8,24.6},{0,10,20,30,40,50,60,62,64,66,68,70,72,74,76,78,80,85,90,95,100})</f>
        <v>64</v>
      </c>
      <c r="G233" s="27">
        <v>230</v>
      </c>
      <c r="H233" s="29">
        <f>LOOKUP(G233,{0,180,185,190,195,200,205,209,213,217,221,225,229,233,237,241,245,253,260,265,270},{0,10,20,30,40,50,60,62,64,66,68,70,72,74,76,78,80,85,90,95,100})</f>
        <v>72</v>
      </c>
      <c r="I233" s="27">
        <v>2</v>
      </c>
      <c r="J233" s="29">
        <f>LOOKUP(I233,{0,4,5,6,7,8,9,10,11,12,13,14,15,16,17,18},{0,10,20,30,40,50,60,64,68,72,76,80,85,90,95,100})</f>
        <v>0</v>
      </c>
      <c r="K233" s="44"/>
      <c r="L233" s="35"/>
      <c r="M233" s="35">
        <f t="shared" si="19"/>
        <v>0</v>
      </c>
      <c r="N233" s="35">
        <v>7.9</v>
      </c>
      <c r="O233" s="36">
        <f t="shared" si="20"/>
        <v>10.1</v>
      </c>
      <c r="P233" s="29">
        <f>LOOKUP(O233,{0,7.8,8,8.2,8.4,8.6,8.8,9,9.2,9.4,9.6,9.8,10,10.2,10.4,10.6,10.8,10.9,11,11.1,11.2},{0,10,20,30,40,50,60,62,64,66,68,70,72,74,76,78,80,85,90,95,100})</f>
        <v>72</v>
      </c>
      <c r="Q233" s="5">
        <v>4.19</v>
      </c>
      <c r="R233" s="36">
        <f t="shared" si="21"/>
        <v>5.81</v>
      </c>
      <c r="S233" s="29">
        <f>LOOKUP(R233,{0,3.85,4.45,4.65,4.85,5.45,5.65,5.7,5.75,5.8,5.85,5.9,5.95,6,6.45,6.5,6.55,6.63,6.7,6.75,6.8},{0,10,20,30,40,50,60,62,64,66,68,70,72,74,76,78,80,85,90,95,100})</f>
        <v>66</v>
      </c>
      <c r="T233" s="27"/>
      <c r="U233" s="27"/>
      <c r="V233" s="27">
        <f t="shared" si="22"/>
        <v>66</v>
      </c>
      <c r="W233" s="27"/>
      <c r="X233" s="19">
        <f t="shared" si="23"/>
        <v>41.2</v>
      </c>
      <c r="Y233" s="13">
        <f t="shared" si="24"/>
        <v>58.8571428571429</v>
      </c>
    </row>
    <row r="234" ht="15.6" spans="1:25">
      <c r="A234" s="27">
        <v>306</v>
      </c>
      <c r="B234" s="27">
        <v>3</v>
      </c>
      <c r="C234" s="28" t="s">
        <v>244</v>
      </c>
      <c r="D234" s="28" t="s">
        <v>12</v>
      </c>
      <c r="E234" s="27">
        <v>12.5</v>
      </c>
      <c r="F234" s="29">
        <f>LOOKUP(E234,{0,-1.8,-0.8,0.2,1.2,2.2,3.2,4.6,6,7.4,8.8,10.2,11.6,13,14.4,15.8,17.2,19.1,21,22.8,24.6},{0,10,20,30,40,50,60,62,64,66,68,70,72,74,76,78,80,85,90,95,100})</f>
        <v>72</v>
      </c>
      <c r="G234" s="27">
        <v>227</v>
      </c>
      <c r="H234" s="29">
        <f>LOOKUP(G234,{0,180,185,190,195,200,205,209,213,217,221,225,229,233,237,241,245,253,260,265,270},{0,10,20,30,40,50,60,62,64,66,68,70,72,74,76,78,80,85,90,95,100})</f>
        <v>70</v>
      </c>
      <c r="I234" s="27">
        <v>1</v>
      </c>
      <c r="J234" s="29">
        <f>LOOKUP(I234,{0,4,5,6,7,8,9,10,11,12,13,14,15,16,17,18},{0,10,20,30,40,50,60,64,68,72,76,80,85,90,95,100})</f>
        <v>0</v>
      </c>
      <c r="K234" s="44"/>
      <c r="L234" s="35"/>
      <c r="M234" s="35">
        <f t="shared" si="19"/>
        <v>0</v>
      </c>
      <c r="N234" s="35">
        <v>7.1</v>
      </c>
      <c r="O234" s="36">
        <f t="shared" si="20"/>
        <v>10.9</v>
      </c>
      <c r="P234" s="29">
        <f>LOOKUP(O234,{0,7.8,8,8.2,8.4,8.6,8.8,9,9.2,9.4,9.6,9.8,10,10.2,10.4,10.6,10.8,10.9,11,11.1,11.2},{0,10,20,30,40,50,60,62,64,66,68,70,72,74,76,78,80,85,90,95,100})</f>
        <v>85</v>
      </c>
      <c r="Q234" s="5">
        <v>4.36</v>
      </c>
      <c r="R234" s="36">
        <f t="shared" si="21"/>
        <v>5.64</v>
      </c>
      <c r="S234" s="29">
        <f>LOOKUP(R234,{0,3.85,4.45,4.65,4.85,5.45,5.65,5.7,5.75,5.8,5.85,5.9,5.95,6,6.45,6.5,6.55,6.63,6.7,6.75,6.8},{0,10,20,30,40,50,60,62,64,66,68,70,72,74,76,78,80,85,90,95,100})</f>
        <v>50</v>
      </c>
      <c r="T234" s="27"/>
      <c r="U234" s="27"/>
      <c r="V234" s="27">
        <f t="shared" si="22"/>
        <v>50</v>
      </c>
      <c r="W234" s="27"/>
      <c r="X234" s="19">
        <f t="shared" si="23"/>
        <v>41.2</v>
      </c>
      <c r="Y234" s="13">
        <f t="shared" si="24"/>
        <v>58.8571428571429</v>
      </c>
    </row>
    <row r="235" ht="15.6" spans="1:25">
      <c r="A235" s="27">
        <v>313</v>
      </c>
      <c r="B235" s="27">
        <v>4</v>
      </c>
      <c r="C235" s="28" t="s">
        <v>630</v>
      </c>
      <c r="D235" s="28" t="s">
        <v>12</v>
      </c>
      <c r="E235" s="27">
        <v>20</v>
      </c>
      <c r="F235" s="29">
        <f>LOOKUP(E235,{0,-1.8,-0.8,0.2,1.2,2.2,3.2,4.6,6,7.4,8.8,10.2,11.6,13,14.4,15.8,17.2,19.1,21,22.8,24.6},{0,10,20,30,40,50,60,62,64,66,68,70,72,74,76,78,80,85,90,95,100})</f>
        <v>85</v>
      </c>
      <c r="G235" s="27">
        <v>240</v>
      </c>
      <c r="H235" s="29">
        <f>LOOKUP(G235,{0,180,185,190,195,200,205,209,213,217,221,225,229,233,237,241,245,253,260,265,270},{0,10,20,30,40,50,60,62,64,66,68,70,72,74,76,78,80,85,90,95,100})</f>
        <v>76</v>
      </c>
      <c r="I235" s="27">
        <v>1</v>
      </c>
      <c r="J235" s="29">
        <f>LOOKUP(I235,{0,4,5,6,7,8,9,10,11,12,13,14,15,16,17,18},{0,10,20,30,40,50,60,64,68,72,76,80,85,90,95,100})</f>
        <v>0</v>
      </c>
      <c r="K235" s="44"/>
      <c r="L235" s="35"/>
      <c r="M235" s="35">
        <f t="shared" si="19"/>
        <v>0</v>
      </c>
      <c r="N235" s="35">
        <v>7.1</v>
      </c>
      <c r="O235" s="36">
        <f t="shared" si="20"/>
        <v>10.9</v>
      </c>
      <c r="P235" s="29">
        <f>LOOKUP(O235,{0,7.8,8,8.2,8.4,8.6,8.8,9,9.2,9.4,9.6,9.8,10,10.2,10.4,10.6,10.8,10.9,11,11.1,11.2},{0,10,20,30,40,50,60,62,64,66,68,70,72,74,76,78,80,85,90,95,100})</f>
        <v>85</v>
      </c>
      <c r="Q235" s="5">
        <v>5.09</v>
      </c>
      <c r="R235" s="36">
        <f t="shared" si="21"/>
        <v>4.91</v>
      </c>
      <c r="S235" s="29">
        <f>LOOKUP(R235,{0,3.85,4.45,4.65,4.85,5.45,5.65,5.7,5.75,5.8,5.85,5.9,5.95,6,6.45,6.5,6.55,6.63,6.7,6.75,6.8},{0,10,20,30,40,50,60,62,64,66,68,70,72,74,76,78,80,85,90,95,100})</f>
        <v>40</v>
      </c>
      <c r="T235" s="27"/>
      <c r="U235" s="27"/>
      <c r="V235" s="27">
        <f t="shared" si="22"/>
        <v>40</v>
      </c>
      <c r="W235" s="27"/>
      <c r="X235" s="19">
        <f t="shared" si="23"/>
        <v>41.1</v>
      </c>
      <c r="Y235" s="13">
        <f t="shared" si="24"/>
        <v>58.7142857142857</v>
      </c>
    </row>
    <row r="236" ht="15.6" spans="1:25">
      <c r="A236" s="27">
        <v>301</v>
      </c>
      <c r="B236" s="27">
        <v>19</v>
      </c>
      <c r="C236" s="27" t="s">
        <v>30</v>
      </c>
      <c r="D236" s="27" t="s">
        <v>12</v>
      </c>
      <c r="E236" s="27">
        <v>3.5</v>
      </c>
      <c r="F236" s="29">
        <f>LOOKUP(E236,{0,-1.8,-0.8,0.2,1.2,2.2,3.2,4.6,6,7.4,8.8,10.2,11.6,13,14.4,15.8,17.2,19.1,21,22.8,24.6},{0,10,20,30,40,50,60,62,64,66,68,70,72,74,76,78,80,85,90,95,100})</f>
        <v>60</v>
      </c>
      <c r="G236" s="27">
        <v>210</v>
      </c>
      <c r="H236" s="29">
        <f>LOOKUP(G236,{0,180,185,190,195,200,205,209,213,217,221,225,229,233,237,241,245,253,260,265,270},{0,10,20,30,40,50,60,62,64,66,68,70,72,74,76,78,80,85,90,95,100})</f>
        <v>62</v>
      </c>
      <c r="I236" s="27">
        <v>1</v>
      </c>
      <c r="J236" s="29">
        <f>LOOKUP(I236,{0,4,5,6,7,8,9,10,11,12,13,14,15,16,17,18},{0,10,20,30,40,50,60,64,68,72,76,80,85,90,95,100})</f>
        <v>0</v>
      </c>
      <c r="K236" s="44"/>
      <c r="L236" s="35"/>
      <c r="M236" s="35">
        <f t="shared" si="19"/>
        <v>0</v>
      </c>
      <c r="N236" s="35">
        <v>8.4</v>
      </c>
      <c r="O236" s="36">
        <f t="shared" si="20"/>
        <v>9.6</v>
      </c>
      <c r="P236" s="29">
        <f>LOOKUP(O236,{0,7.8,8,8.2,8.4,8.6,8.8,9,9.2,9.4,9.6,9.8,10,10.2,10.4,10.6,10.8,10.9,11,11.1,11.2},{0,10,20,30,40,50,60,62,64,66,68,70,72,74,76,78,80,85,90,95,100})</f>
        <v>68</v>
      </c>
      <c r="Q236" s="5">
        <v>3.55</v>
      </c>
      <c r="R236" s="36">
        <f t="shared" si="21"/>
        <v>6.45</v>
      </c>
      <c r="S236" s="29">
        <f>LOOKUP(R236,{0,3.85,4.45,4.65,4.85,5.45,5.65,5.7,5.75,5.8,5.85,5.9,5.95,6,6.45,6.5,6.55,6.63,6.7,6.75,6.8},{0,10,20,30,40,50,60,62,64,66,68,70,72,74,76,78,80,85,90,95,100})</f>
        <v>76</v>
      </c>
      <c r="T236" s="27"/>
      <c r="U236" s="27"/>
      <c r="V236" s="27">
        <f t="shared" si="22"/>
        <v>76</v>
      </c>
      <c r="W236" s="27"/>
      <c r="X236" s="19">
        <f t="shared" si="23"/>
        <v>41</v>
      </c>
      <c r="Y236" s="13">
        <f t="shared" si="24"/>
        <v>58.5714285714286</v>
      </c>
    </row>
    <row r="237" ht="15.6" spans="1:25">
      <c r="A237" s="27">
        <v>301</v>
      </c>
      <c r="B237" s="27">
        <v>30</v>
      </c>
      <c r="C237" s="27" t="s">
        <v>42</v>
      </c>
      <c r="D237" s="27" t="s">
        <v>12</v>
      </c>
      <c r="E237" s="27">
        <v>10</v>
      </c>
      <c r="F237" s="29">
        <f>LOOKUP(E237,{0,-1.8,-0.8,0.2,1.2,2.2,3.2,4.6,6,7.4,8.8,10.2,11.6,13,14.4,15.8,17.2,19.1,21,22.8,24.6},{0,10,20,30,40,50,60,62,64,66,68,70,72,74,76,78,80,85,90,95,100})</f>
        <v>68</v>
      </c>
      <c r="G237" s="27">
        <v>225</v>
      </c>
      <c r="H237" s="29">
        <f>LOOKUP(G237,{0,180,185,190,195,200,205,209,213,217,221,225,229,233,237,241,245,253,260,265,270},{0,10,20,30,40,50,60,62,64,66,68,70,72,74,76,78,80,85,90,95,100})</f>
        <v>70</v>
      </c>
      <c r="I237" s="27">
        <v>1</v>
      </c>
      <c r="J237" s="29">
        <f>LOOKUP(I237,{0,4,5,6,7,8,9,10,11,12,13,14,15,16,17,18},{0,10,20,30,40,50,60,64,68,72,76,80,85,90,95,100})</f>
        <v>0</v>
      </c>
      <c r="K237" s="44"/>
      <c r="L237" s="35"/>
      <c r="M237" s="35">
        <f t="shared" si="19"/>
        <v>0</v>
      </c>
      <c r="N237" s="35">
        <v>7.7</v>
      </c>
      <c r="O237" s="36">
        <f t="shared" si="20"/>
        <v>10.3</v>
      </c>
      <c r="P237" s="29">
        <f>LOOKUP(O237,{0,7.8,8,8.2,8.4,8.6,8.8,9,9.2,9.4,9.6,9.8,10,10.2,10.4,10.6,10.8,10.9,11,11.1,11.2},{0,10,20,30,40,50,60,62,64,66,68,70,72,74,76,78,80,85,90,95,100})</f>
        <v>74</v>
      </c>
      <c r="Q237" s="5">
        <v>4.26</v>
      </c>
      <c r="R237" s="36">
        <f t="shared" si="21"/>
        <v>5.74</v>
      </c>
      <c r="S237" s="29">
        <f>LOOKUP(R237,{0,3.85,4.45,4.65,4.85,5.45,5.65,5.7,5.75,5.8,5.85,5.9,5.95,6,6.45,6.5,6.55,6.63,6.7,6.75,6.8},{0,10,20,30,40,50,60,62,64,66,68,70,72,74,76,78,80,85,90,95,100})</f>
        <v>62</v>
      </c>
      <c r="T237" s="27"/>
      <c r="U237" s="27"/>
      <c r="V237" s="27">
        <f t="shared" si="22"/>
        <v>62</v>
      </c>
      <c r="W237" s="27"/>
      <c r="X237" s="19">
        <f t="shared" si="23"/>
        <v>41</v>
      </c>
      <c r="Y237" s="13">
        <f t="shared" si="24"/>
        <v>58.5714285714286</v>
      </c>
    </row>
    <row r="238" ht="15.6" spans="1:25">
      <c r="A238" s="27">
        <v>305</v>
      </c>
      <c r="B238" s="27">
        <v>26</v>
      </c>
      <c r="C238" s="28" t="s">
        <v>212</v>
      </c>
      <c r="D238" s="28" t="s">
        <v>12</v>
      </c>
      <c r="E238" s="27">
        <v>14.5</v>
      </c>
      <c r="F238" s="29">
        <f>LOOKUP(E238,{0,-1.8,-0.8,0.2,1.2,2.2,3.2,4.6,6,7.4,8.8,10.2,11.6,13,14.4,15.8,17.2,19.1,21,22.8,24.6},{0,10,20,30,40,50,60,62,64,66,68,70,72,74,76,78,80,85,90,95,100})</f>
        <v>76</v>
      </c>
      <c r="G238" s="27">
        <v>230</v>
      </c>
      <c r="H238" s="29">
        <f>LOOKUP(G238,{0,180,185,190,195,200,205,209,213,217,221,225,229,233,237,241,245,253,260,265,270},{0,10,20,30,40,50,60,62,64,66,68,70,72,74,76,78,80,85,90,95,100})</f>
        <v>72</v>
      </c>
      <c r="I238" s="27">
        <v>8</v>
      </c>
      <c r="J238" s="29">
        <f>LOOKUP(I238,{0,4,5,6,7,8,9,10,11,12,13,14,15,16,17,18},{0,10,20,30,40,50,60,64,68,72,76,80,85,90,95,100})</f>
        <v>50</v>
      </c>
      <c r="K238" s="44"/>
      <c r="L238" s="35"/>
      <c r="M238" s="35">
        <f t="shared" si="19"/>
        <v>50</v>
      </c>
      <c r="N238" s="35">
        <v>7.5</v>
      </c>
      <c r="O238" s="36">
        <f t="shared" si="20"/>
        <v>10.5</v>
      </c>
      <c r="P238" s="29">
        <f>LOOKUP(O238,{0,7.8,8,8.2,8.4,8.6,8.8,9,9.2,9.4,9.6,9.8,10,10.2,10.4,10.6,10.8,10.9,11,11.1,11.2},{0,10,20,30,40,50,60,62,64,66,68,70,72,74,76,78,80,85,90,95,100})</f>
        <v>76</v>
      </c>
      <c r="Q238" s="5">
        <v>5.17</v>
      </c>
      <c r="R238" s="36">
        <f t="shared" si="21"/>
        <v>4.83</v>
      </c>
      <c r="S238" s="29">
        <f>LOOKUP(R238,{0,3.85,4.45,4.65,4.85,5.45,5.65,5.7,5.75,5.8,5.85,5.9,5.95,6,6.45,6.5,6.55,6.63,6.7,6.75,6.8},{0,10,20,30,40,50,60,62,64,66,68,70,72,74,76,78,80,85,90,95,100})</f>
        <v>30</v>
      </c>
      <c r="T238" s="27"/>
      <c r="U238" s="27"/>
      <c r="V238" s="27">
        <f t="shared" si="22"/>
        <v>30</v>
      </c>
      <c r="W238" s="27"/>
      <c r="X238" s="19">
        <f t="shared" si="23"/>
        <v>41</v>
      </c>
      <c r="Y238" s="13">
        <f t="shared" si="24"/>
        <v>58.5714285714286</v>
      </c>
    </row>
    <row r="239" ht="15.6" spans="1:25">
      <c r="A239" s="27">
        <v>311</v>
      </c>
      <c r="B239" s="27">
        <v>23</v>
      </c>
      <c r="C239" s="28" t="s">
        <v>537</v>
      </c>
      <c r="D239" s="28" t="s">
        <v>12</v>
      </c>
      <c r="E239" s="27">
        <v>5.5</v>
      </c>
      <c r="F239" s="29">
        <f>LOOKUP(E239,{0,-1.8,-0.8,0.2,1.2,2.2,3.2,4.6,6,7.4,8.8,10.2,11.6,13,14.4,15.8,17.2,19.1,21,22.8,24.6},{0,10,20,30,40,50,60,62,64,66,68,70,72,74,76,78,80,85,90,95,100})</f>
        <v>62</v>
      </c>
      <c r="G239" s="27">
        <v>238</v>
      </c>
      <c r="H239" s="29">
        <f>LOOKUP(G239,{0,180,185,190,195,200,205,209,213,217,221,225,229,233,237,241,245,253,260,265,270},{0,10,20,30,40,50,60,62,64,66,68,70,72,74,76,78,80,85,90,95,100})</f>
        <v>76</v>
      </c>
      <c r="I239" s="27">
        <v>1</v>
      </c>
      <c r="J239" s="29">
        <f>LOOKUP(I239,{0,4,5,6,7,8,9,10,11,12,13,14,15,16,17,18},{0,10,20,30,40,50,60,64,68,72,76,80,85,90,95,100})</f>
        <v>0</v>
      </c>
      <c r="K239" s="44"/>
      <c r="L239" s="35"/>
      <c r="M239" s="35">
        <f t="shared" si="19"/>
        <v>0</v>
      </c>
      <c r="N239" s="35">
        <v>7.5</v>
      </c>
      <c r="O239" s="36">
        <f t="shared" si="20"/>
        <v>10.5</v>
      </c>
      <c r="P239" s="29">
        <f>LOOKUP(O239,{0,7.8,8,8.2,8.4,8.6,8.8,9,9.2,9.4,9.6,9.8,10,10.2,10.4,10.6,10.8,10.9,11,11.1,11.2},{0,10,20,30,40,50,60,62,64,66,68,70,72,74,76,78,80,85,90,95,100})</f>
        <v>76</v>
      </c>
      <c r="Q239" s="5">
        <v>4.33</v>
      </c>
      <c r="R239" s="36">
        <f t="shared" si="21"/>
        <v>5.67</v>
      </c>
      <c r="S239" s="29">
        <f>LOOKUP(R239,{0,3.85,4.45,4.65,4.85,5.45,5.65,5.7,5.75,5.8,5.85,5.9,5.95,6,6.45,6.5,6.55,6.63,6.7,6.75,6.8},{0,10,20,30,40,50,60,62,64,66,68,70,72,74,76,78,80,85,90,95,100})</f>
        <v>60</v>
      </c>
      <c r="T239" s="27"/>
      <c r="U239" s="27"/>
      <c r="V239" s="27">
        <f t="shared" si="22"/>
        <v>60</v>
      </c>
      <c r="W239" s="27"/>
      <c r="X239" s="19">
        <f t="shared" si="23"/>
        <v>41</v>
      </c>
      <c r="Y239" s="13">
        <f t="shared" si="24"/>
        <v>58.5714285714286</v>
      </c>
    </row>
    <row r="240" ht="15.6" spans="1:25">
      <c r="A240" s="27">
        <v>315</v>
      </c>
      <c r="B240" s="27">
        <v>1</v>
      </c>
      <c r="C240" s="30" t="s">
        <v>734</v>
      </c>
      <c r="D240" s="28" t="s">
        <v>12</v>
      </c>
      <c r="E240" s="27">
        <v>16</v>
      </c>
      <c r="F240" s="29">
        <f>LOOKUP(E240,{0,-1.8,-0.8,0.2,1.2,2.2,3.2,4.6,6,7.4,8.8,10.2,11.6,13,14.4,15.8,17.2,19.1,21,22.8,24.6},{0,10,20,30,40,50,60,62,64,66,68,70,72,74,76,78,80,85,90,95,100})</f>
        <v>78</v>
      </c>
      <c r="G240" s="27">
        <v>225</v>
      </c>
      <c r="H240" s="29">
        <f>LOOKUP(G240,{0,180,185,190,195,200,205,209,213,217,221,225,229,233,237,241,245,253,260,265,270},{0,10,20,30,40,50,60,62,64,66,68,70,72,74,76,78,80,85,90,95,100})</f>
        <v>70</v>
      </c>
      <c r="I240" s="27">
        <v>6</v>
      </c>
      <c r="J240" s="29">
        <f>LOOKUP(I240,{0,4,5,6,7,8,9,10,11,12,13,14,15,16,17,18},{0,10,20,30,40,50,60,64,68,72,76,80,85,90,95,100})</f>
        <v>30</v>
      </c>
      <c r="K240" s="44"/>
      <c r="L240" s="35"/>
      <c r="M240" s="35">
        <f t="shared" si="19"/>
        <v>30</v>
      </c>
      <c r="N240" s="35">
        <v>7.5</v>
      </c>
      <c r="O240" s="36">
        <f t="shared" si="20"/>
        <v>10.5</v>
      </c>
      <c r="P240" s="29">
        <f>LOOKUP(O240,{0,7.8,8,8.2,8.4,8.6,8.8,9,9.2,9.4,9.6,9.8,10,10.2,10.4,10.6,10.8,10.9,11,11.1,11.2},{0,10,20,30,40,50,60,62,64,66,68,70,72,74,76,78,80,85,90,95,100})</f>
        <v>76</v>
      </c>
      <c r="Q240" s="5">
        <v>5.07</v>
      </c>
      <c r="R240" s="36">
        <f t="shared" si="21"/>
        <v>4.93</v>
      </c>
      <c r="S240" s="29">
        <f>LOOKUP(R240,{0,3.85,4.45,4.65,4.85,5.45,5.65,5.7,5.75,5.8,5.85,5.9,5.95,6,6.45,6.5,6.55,6.63,6.7,6.75,6.8},{0,10,20,30,40,50,60,62,64,66,68,70,72,74,76,78,80,85,90,95,100})</f>
        <v>40</v>
      </c>
      <c r="T240" s="27"/>
      <c r="U240" s="27"/>
      <c r="V240" s="27">
        <f t="shared" si="22"/>
        <v>40</v>
      </c>
      <c r="W240" s="27"/>
      <c r="X240" s="19">
        <f t="shared" si="23"/>
        <v>41</v>
      </c>
      <c r="Y240" s="13">
        <f t="shared" si="24"/>
        <v>58.5714285714286</v>
      </c>
    </row>
    <row r="241" ht="15.6" spans="1:25">
      <c r="A241" s="27">
        <v>306</v>
      </c>
      <c r="B241" s="27">
        <v>16</v>
      </c>
      <c r="C241" s="28" t="s">
        <v>258</v>
      </c>
      <c r="D241" s="28" t="s">
        <v>12</v>
      </c>
      <c r="E241" s="27">
        <v>12.7</v>
      </c>
      <c r="F241" s="29">
        <f>LOOKUP(E241,{0,-1.8,-0.8,0.2,1.2,2.2,3.2,4.6,6,7.4,8.8,10.2,11.6,13,14.4,15.8,17.2,19.1,21,22.8,24.6},{0,10,20,30,40,50,60,62,64,66,68,70,72,74,76,78,80,85,90,95,100})</f>
        <v>72</v>
      </c>
      <c r="G241" s="27">
        <v>240</v>
      </c>
      <c r="H241" s="29">
        <f>LOOKUP(G241,{0,180,185,190,195,200,205,209,213,217,221,225,229,233,237,241,245,253,260,265,270},{0,10,20,30,40,50,60,62,64,66,68,70,72,74,76,78,80,85,90,95,100})</f>
        <v>76</v>
      </c>
      <c r="I241" s="27">
        <v>9</v>
      </c>
      <c r="J241" s="29">
        <f>LOOKUP(I241,{0,4,5,6,7,8,9,10,11,12,13,14,15,16,17,18},{0,10,20,30,40,50,60,64,68,72,76,80,85,90,95,100})</f>
        <v>60</v>
      </c>
      <c r="K241" s="44"/>
      <c r="L241" s="35"/>
      <c r="M241" s="35">
        <f t="shared" si="19"/>
        <v>60</v>
      </c>
      <c r="N241" s="35">
        <v>7</v>
      </c>
      <c r="O241" s="36">
        <f t="shared" si="20"/>
        <v>11</v>
      </c>
      <c r="P241" s="29">
        <f>LOOKUP(O241,{0,7.8,8,8.2,8.4,8.6,8.8,9,9.2,9.4,9.6,9.8,10,10.2,10.4,10.6,10.8,10.9,11,11.1,11.2},{0,10,20,30,40,50,60,62,64,66,68,70,72,74,76,78,80,85,90,95,100})</f>
        <v>90</v>
      </c>
      <c r="Q241" s="5">
        <v>5.57</v>
      </c>
      <c r="R241" s="36">
        <f t="shared" si="21"/>
        <v>4.43</v>
      </c>
      <c r="S241" s="29">
        <f>LOOKUP(R241,{0,3.85,4.45,4.65,4.85,5.45,5.65,5.7,5.75,5.8,5.85,5.9,5.95,6,6.45,6.5,6.55,6.63,6.7,6.75,6.8},{0,10,20,30,40,50,60,62,64,66,68,70,72,74,76,78,80,85,90,95,100})</f>
        <v>10</v>
      </c>
      <c r="T241" s="27"/>
      <c r="U241" s="27"/>
      <c r="V241" s="27">
        <f t="shared" si="22"/>
        <v>10</v>
      </c>
      <c r="W241" s="27"/>
      <c r="X241" s="19">
        <f t="shared" si="23"/>
        <v>40.8</v>
      </c>
      <c r="Y241" s="13">
        <f t="shared" si="24"/>
        <v>58.2857142857143</v>
      </c>
    </row>
    <row r="242" ht="15.6" spans="1:25">
      <c r="A242" s="27">
        <v>306</v>
      </c>
      <c r="B242" s="27">
        <v>27</v>
      </c>
      <c r="C242" s="28" t="s">
        <v>270</v>
      </c>
      <c r="D242" s="28" t="s">
        <v>12</v>
      </c>
      <c r="E242" s="27">
        <v>1</v>
      </c>
      <c r="F242" s="29">
        <f>LOOKUP(E242,{0,-1.8,-0.8,0.2,1.2,2.2,3.2,4.6,6,7.4,8.8,10.2,11.6,13,14.4,15.8,17.2,19.1,21,22.8,24.6},{0,10,20,30,40,50,60,62,64,66,68,70,72,74,76,78,80,85,90,95,100})</f>
        <v>30</v>
      </c>
      <c r="G242" s="27">
        <v>247</v>
      </c>
      <c r="H242" s="29">
        <f>LOOKUP(G242,{0,180,185,190,195,200,205,209,213,217,221,225,229,233,237,241,245,253,260,265,270},{0,10,20,30,40,50,60,62,64,66,68,70,72,74,76,78,80,85,90,95,100})</f>
        <v>80</v>
      </c>
      <c r="I242" s="27">
        <v>3</v>
      </c>
      <c r="J242" s="29">
        <f>LOOKUP(I242,{0,4,5,6,7,8,9,10,11,12,13,14,15,16,17,18},{0,10,20,30,40,50,60,64,68,72,76,80,85,90,95,100})</f>
        <v>0</v>
      </c>
      <c r="K242" s="44"/>
      <c r="L242" s="35"/>
      <c r="M242" s="35">
        <f t="shared" si="19"/>
        <v>0</v>
      </c>
      <c r="N242" s="35">
        <v>7.1</v>
      </c>
      <c r="O242" s="36">
        <f t="shared" si="20"/>
        <v>10.9</v>
      </c>
      <c r="P242" s="29">
        <f>LOOKUP(O242,{0,7.8,8,8.2,8.4,8.6,8.8,9,9.2,9.4,9.6,9.8,10,10.2,10.4,10.6,10.8,10.9,11,11.1,11.2},{0,10,20,30,40,50,60,62,64,66,68,70,72,74,76,78,80,85,90,95,100})</f>
        <v>85</v>
      </c>
      <c r="Q242" s="5">
        <v>4.24</v>
      </c>
      <c r="R242" s="36">
        <f t="shared" si="21"/>
        <v>5.76</v>
      </c>
      <c r="S242" s="29">
        <f>LOOKUP(R242,{0,3.85,4.45,4.65,4.85,5.45,5.65,5.7,5.75,5.8,5.85,5.9,5.95,6,6.45,6.5,6.55,6.63,6.7,6.75,6.8},{0,10,20,30,40,50,60,62,64,66,68,70,72,74,76,78,80,85,90,95,100})</f>
        <v>64</v>
      </c>
      <c r="T242" s="27"/>
      <c r="U242" s="27"/>
      <c r="V242" s="27">
        <f t="shared" si="22"/>
        <v>64</v>
      </c>
      <c r="W242" s="27"/>
      <c r="X242" s="19">
        <f t="shared" si="23"/>
        <v>40.8</v>
      </c>
      <c r="Y242" s="13">
        <f t="shared" si="24"/>
        <v>58.2857142857143</v>
      </c>
    </row>
    <row r="243" ht="15.6" spans="1:25">
      <c r="A243" s="27">
        <v>308</v>
      </c>
      <c r="B243" s="27">
        <v>3</v>
      </c>
      <c r="C243" s="28" t="s">
        <v>354</v>
      </c>
      <c r="D243" s="28" t="s">
        <v>12</v>
      </c>
      <c r="E243" s="27">
        <v>13.8</v>
      </c>
      <c r="F243" s="29">
        <f>LOOKUP(E243,{0,-1.8,-0.8,0.2,1.2,2.2,3.2,4.6,6,7.4,8.8,10.2,11.6,13,14.4,15.8,17.2,19.1,21,22.8,24.6},{0,10,20,30,40,50,60,62,64,66,68,70,72,74,76,78,80,85,90,95,100})</f>
        <v>74</v>
      </c>
      <c r="G243" s="27">
        <v>220</v>
      </c>
      <c r="H243" s="29">
        <f>LOOKUP(G243,{0,180,185,190,195,200,205,209,213,217,221,225,229,233,237,241,245,253,260,265,270},{0,10,20,30,40,50,60,62,64,66,68,70,72,74,76,78,80,85,90,95,100})</f>
        <v>66</v>
      </c>
      <c r="I243" s="27">
        <v>5</v>
      </c>
      <c r="J243" s="29">
        <f>LOOKUP(I243,{0,4,5,6,7,8,9,10,11,12,13,14,15,16,17,18},{0,10,20,30,40,50,60,64,68,72,76,80,85,90,95,100})</f>
        <v>20</v>
      </c>
      <c r="K243" s="44"/>
      <c r="L243" s="35"/>
      <c r="M243" s="35">
        <f t="shared" si="19"/>
        <v>20</v>
      </c>
      <c r="N243" s="35">
        <v>7.7</v>
      </c>
      <c r="O243" s="36">
        <f t="shared" si="20"/>
        <v>10.3</v>
      </c>
      <c r="P243" s="29">
        <f>LOOKUP(O243,{0,7.8,8,8.2,8.4,8.6,8.8,9,9.2,9.4,9.6,9.8,10,10.2,10.4,10.6,10.8,10.9,11,11.1,11.2},{0,10,20,30,40,50,60,62,64,66,68,70,72,74,76,78,80,85,90,95,100})</f>
        <v>74</v>
      </c>
      <c r="Q243" s="5">
        <v>4.49</v>
      </c>
      <c r="R243" s="36">
        <f t="shared" si="21"/>
        <v>5.51</v>
      </c>
      <c r="S243" s="29">
        <f>LOOKUP(R243,{0,3.85,4.45,4.65,4.85,5.45,5.65,5.7,5.75,5.8,5.85,5.9,5.95,6,6.45,6.5,6.55,6.63,6.7,6.75,6.8},{0,10,20,30,40,50,60,62,64,66,68,70,72,74,76,78,80,85,90,95,100})</f>
        <v>50</v>
      </c>
      <c r="T243" s="27"/>
      <c r="U243" s="27"/>
      <c r="V243" s="27">
        <f t="shared" si="22"/>
        <v>50</v>
      </c>
      <c r="W243" s="27"/>
      <c r="X243" s="19">
        <f t="shared" si="23"/>
        <v>40.8</v>
      </c>
      <c r="Y243" s="13">
        <f t="shared" si="24"/>
        <v>58.2857142857143</v>
      </c>
    </row>
    <row r="244" ht="15.6" spans="1:25">
      <c r="A244" s="27">
        <v>309</v>
      </c>
      <c r="B244" s="27">
        <v>10</v>
      </c>
      <c r="C244" s="28" t="s">
        <v>414</v>
      </c>
      <c r="D244" s="28" t="s">
        <v>12</v>
      </c>
      <c r="E244" s="27">
        <v>10.5</v>
      </c>
      <c r="F244" s="29">
        <f>LOOKUP(E244,{0,-1.8,-0.8,0.2,1.2,2.2,3.2,4.6,6,7.4,8.8,10.2,11.6,13,14.4,15.8,17.2,19.1,21,22.8,24.6},{0,10,20,30,40,50,60,62,64,66,68,70,72,74,76,78,80,85,90,95,100})</f>
        <v>70</v>
      </c>
      <c r="G244" s="27">
        <v>262</v>
      </c>
      <c r="H244" s="29">
        <f>LOOKUP(G244,{0,180,185,190,195,200,205,209,213,217,221,225,229,233,237,241,245,253,260,265,270},{0,10,20,30,40,50,60,62,64,66,68,70,72,74,76,78,80,85,90,95,100})</f>
        <v>90</v>
      </c>
      <c r="I244" s="27">
        <v>10</v>
      </c>
      <c r="J244" s="29">
        <f>LOOKUP(I244,{0,4,5,6,7,8,9,10,11,12,13,14,15,16,17,18},{0,10,20,30,40,50,60,64,68,72,76,80,85,90,95,100})</f>
        <v>64</v>
      </c>
      <c r="K244" s="44"/>
      <c r="L244" s="35"/>
      <c r="M244" s="35">
        <f t="shared" si="19"/>
        <v>64</v>
      </c>
      <c r="N244" s="35">
        <v>7.9</v>
      </c>
      <c r="O244" s="36">
        <f t="shared" si="20"/>
        <v>10.1</v>
      </c>
      <c r="P244" s="29">
        <f>LOOKUP(O244,{0,7.8,8,8.2,8.4,8.6,8.8,9,9.2,9.4,9.6,9.8,10,10.2,10.4,10.6,10.8,10.9,11,11.1,11.2},{0,10,20,30,40,50,60,62,64,66,68,70,72,74,76,78,80,85,90,95,100})</f>
        <v>72</v>
      </c>
      <c r="Q244" s="5">
        <v>5.39</v>
      </c>
      <c r="R244" s="36">
        <f t="shared" si="21"/>
        <v>4.61</v>
      </c>
      <c r="S244" s="29">
        <f>LOOKUP(R244,{0,3.85,4.45,4.65,4.85,5.45,5.65,5.7,5.75,5.8,5.85,5.9,5.95,6,6.45,6.5,6.55,6.63,6.7,6.75,6.8},{0,10,20,30,40,50,60,62,64,66,68,70,72,74,76,78,80,85,90,95,100})</f>
        <v>20</v>
      </c>
      <c r="T244" s="27"/>
      <c r="U244" s="27"/>
      <c r="V244" s="27">
        <f t="shared" si="22"/>
        <v>20</v>
      </c>
      <c r="W244" s="27"/>
      <c r="X244" s="19">
        <f t="shared" si="23"/>
        <v>40.8</v>
      </c>
      <c r="Y244" s="13">
        <f t="shared" si="24"/>
        <v>58.2857142857143</v>
      </c>
    </row>
    <row r="245" ht="15.6" spans="1:25">
      <c r="A245" s="27">
        <v>311</v>
      </c>
      <c r="B245" s="27">
        <v>28</v>
      </c>
      <c r="C245" s="28" t="s">
        <v>543</v>
      </c>
      <c r="D245" s="28" t="s">
        <v>12</v>
      </c>
      <c r="E245" s="27">
        <v>15.5</v>
      </c>
      <c r="F245" s="29">
        <f>LOOKUP(E245,{0,-1.8,-0.8,0.2,1.2,2.2,3.2,4.6,6,7.4,8.8,10.2,11.6,13,14.4,15.8,17.2,19.1,21,22.8,24.6},{0,10,20,30,40,50,60,62,64,66,68,70,72,74,76,78,80,85,90,95,100})</f>
        <v>76</v>
      </c>
      <c r="G245" s="27">
        <v>215</v>
      </c>
      <c r="H245" s="29">
        <f>LOOKUP(G245,{0,180,185,190,195,200,205,209,213,217,221,225,229,233,237,241,245,253,260,265,270},{0,10,20,30,40,50,60,62,64,66,68,70,72,74,76,78,80,85,90,95,100})</f>
        <v>64</v>
      </c>
      <c r="I245" s="27">
        <v>0</v>
      </c>
      <c r="J245" s="29">
        <f>LOOKUP(I245,{0,4,5,6,7,8,9,10,11,12,13,14,15,16,17,18},{0,10,20,30,40,50,60,64,68,72,76,80,85,90,95,100})</f>
        <v>0</v>
      </c>
      <c r="K245" s="44"/>
      <c r="L245" s="35"/>
      <c r="M245" s="35">
        <f t="shared" si="19"/>
        <v>0</v>
      </c>
      <c r="N245" s="35">
        <v>7.9</v>
      </c>
      <c r="O245" s="36">
        <f t="shared" si="20"/>
        <v>10.1</v>
      </c>
      <c r="P245" s="29">
        <f>LOOKUP(O245,{0,7.8,8,8.2,8.4,8.6,8.8,9,9.2,9.4,9.6,9.8,10,10.2,10.4,10.6,10.8,10.9,11,11.1,11.2},{0,10,20,30,40,50,60,62,64,66,68,70,72,74,76,78,80,85,90,95,100})</f>
        <v>72</v>
      </c>
      <c r="Q245" s="5">
        <v>4.29</v>
      </c>
      <c r="R245" s="36">
        <f t="shared" si="21"/>
        <v>5.71</v>
      </c>
      <c r="S245" s="29">
        <f>LOOKUP(R245,{0,3.85,4.45,4.65,4.85,5.45,5.65,5.7,5.75,5.8,5.85,5.9,5.95,6,6.45,6.5,6.55,6.63,6.7,6.75,6.8},{0,10,20,30,40,50,60,62,64,66,68,70,72,74,76,78,80,85,90,95,100})</f>
        <v>62</v>
      </c>
      <c r="T245" s="27"/>
      <c r="U245" s="27"/>
      <c r="V245" s="27">
        <f t="shared" si="22"/>
        <v>62</v>
      </c>
      <c r="W245" s="27"/>
      <c r="X245" s="19">
        <f t="shared" si="23"/>
        <v>40.8</v>
      </c>
      <c r="Y245" s="13">
        <f t="shared" si="24"/>
        <v>58.2857142857143</v>
      </c>
    </row>
    <row r="246" ht="15.6" spans="1:25">
      <c r="A246" s="27">
        <v>310</v>
      </c>
      <c r="B246" s="27">
        <v>42</v>
      </c>
      <c r="C246" s="27" t="s">
        <v>502</v>
      </c>
      <c r="D246" s="27" t="s">
        <v>12</v>
      </c>
      <c r="E246" s="27">
        <v>2.5</v>
      </c>
      <c r="F246" s="29">
        <f>LOOKUP(E246,{0,-1.8,-0.8,0.2,1.2,2.2,3.2,4.6,6,7.4,8.8,10.2,11.6,13,14.4,15.8,17.2,19.1,21,22.8,24.6},{0,10,20,30,40,50,60,62,64,66,68,70,72,74,76,78,80,85,90,95,100})</f>
        <v>50</v>
      </c>
      <c r="G246" s="27">
        <v>220</v>
      </c>
      <c r="H246" s="29">
        <f>LOOKUP(G246,{0,180,185,190,195,200,205,209,213,217,221,225,229,233,237,241,245,253,260,265,270},{0,10,20,30,40,50,60,62,64,66,68,70,72,74,76,78,80,85,90,95,100})</f>
        <v>66</v>
      </c>
      <c r="I246" s="27">
        <v>4</v>
      </c>
      <c r="J246" s="29">
        <f>LOOKUP(I246,{0,4,5,6,7,8,9,10,11,12,13,14,15,16,17,18},{0,10,20,30,40,50,60,64,68,72,76,80,85,90,95,100})</f>
        <v>10</v>
      </c>
      <c r="K246" s="44"/>
      <c r="L246" s="35"/>
      <c r="M246" s="35">
        <f t="shared" si="19"/>
        <v>10</v>
      </c>
      <c r="N246" s="35">
        <v>7.6</v>
      </c>
      <c r="O246" s="36">
        <f t="shared" si="20"/>
        <v>10.4</v>
      </c>
      <c r="P246" s="29">
        <f>LOOKUP(O246,{0,7.8,8,8.2,8.4,8.6,8.8,9,9.2,9.4,9.6,9.8,10,10.2,10.4,10.6,10.8,10.9,11,11.1,11.2},{0,10,20,30,40,50,60,62,64,66,68,70,72,74,76,78,80,85,90,95,100})</f>
        <v>76</v>
      </c>
      <c r="Q246" s="5">
        <v>4.24</v>
      </c>
      <c r="R246" s="36">
        <f t="shared" si="21"/>
        <v>5.76</v>
      </c>
      <c r="S246" s="29">
        <f>LOOKUP(R246,{0,3.85,4.45,4.65,4.85,5.45,5.65,5.7,5.75,5.8,5.85,5.9,5.95,6,6.45,6.5,6.55,6.63,6.7,6.75,6.8},{0,10,20,30,40,50,60,62,64,66,68,70,72,74,76,78,80,85,90,95,100})</f>
        <v>64</v>
      </c>
      <c r="T246" s="27"/>
      <c r="U246" s="27"/>
      <c r="V246" s="27">
        <f t="shared" si="22"/>
        <v>64</v>
      </c>
      <c r="W246" s="27"/>
      <c r="X246" s="19">
        <f t="shared" si="23"/>
        <v>40.6</v>
      </c>
      <c r="Y246" s="13">
        <f t="shared" si="24"/>
        <v>58</v>
      </c>
    </row>
    <row r="247" ht="15.6" spans="1:25">
      <c r="A247" s="27">
        <v>301</v>
      </c>
      <c r="B247" s="27">
        <v>14</v>
      </c>
      <c r="C247" s="27" t="s">
        <v>25</v>
      </c>
      <c r="D247" s="27" t="s">
        <v>12</v>
      </c>
      <c r="E247" s="27">
        <v>0</v>
      </c>
      <c r="F247" s="29">
        <f>LOOKUP(E247,{0,-1.8,-0.8,0.2,1.2,2.2,3.2,4.6,6,7.4,8.8,10.2,11.6,13,14.4,15.8,17.2,19.1,21,22.8,24.6},{0,10,20,30,40,50,60,62,64,66,68,70,72,74,76,78,80,85,90,95,100})</f>
        <v>20</v>
      </c>
      <c r="G247" s="27">
        <v>200</v>
      </c>
      <c r="H247" s="29">
        <f>LOOKUP(G247,{0,180,185,190,195,200,205,209,213,217,221,225,229,233,237,241,245,253,260,265,270},{0,10,20,30,40,50,60,62,64,66,68,70,72,74,76,78,80,85,90,95,100})</f>
        <v>50</v>
      </c>
      <c r="I247" s="27">
        <v>10</v>
      </c>
      <c r="J247" s="29">
        <f>LOOKUP(I247,{0,4,5,6,7,8,9,10,11,12,13,14,15,16,17,18},{0,10,20,30,40,50,60,64,68,72,76,80,85,90,95,100})</f>
        <v>64</v>
      </c>
      <c r="K247" s="44"/>
      <c r="L247" s="35"/>
      <c r="M247" s="35">
        <f t="shared" si="19"/>
        <v>64</v>
      </c>
      <c r="N247" s="35">
        <v>8.4</v>
      </c>
      <c r="O247" s="36">
        <f t="shared" si="20"/>
        <v>9.6</v>
      </c>
      <c r="P247" s="29">
        <f>LOOKUP(O247,{0,7.8,8,8.2,8.4,8.6,8.8,9,9.2,9.4,9.6,9.8,10,10.2,10.4,10.6,10.8,10.9,11,11.1,11.2},{0,10,20,30,40,50,60,62,64,66,68,70,72,74,76,78,80,85,90,95,100})</f>
        <v>68</v>
      </c>
      <c r="Q247" s="5">
        <v>4.14</v>
      </c>
      <c r="R247" s="36">
        <f t="shared" si="21"/>
        <v>5.86</v>
      </c>
      <c r="S247" s="29">
        <f>LOOKUP(R247,{0,3.85,4.45,4.65,4.85,5.45,5.65,5.7,5.75,5.8,5.85,5.9,5.95,6,6.45,6.5,6.55,6.63,6.7,6.75,6.8},{0,10,20,30,40,50,60,62,64,66,68,70,72,74,76,78,80,85,90,95,100})</f>
        <v>68</v>
      </c>
      <c r="T247" s="27"/>
      <c r="U247" s="27"/>
      <c r="V247" s="27">
        <f t="shared" si="22"/>
        <v>68</v>
      </c>
      <c r="W247" s="27"/>
      <c r="X247" s="19">
        <f t="shared" si="23"/>
        <v>40.6</v>
      </c>
      <c r="Y247" s="13">
        <f t="shared" si="24"/>
        <v>58</v>
      </c>
    </row>
    <row r="248" ht="15.6" spans="1:25">
      <c r="A248" s="27">
        <v>306</v>
      </c>
      <c r="B248" s="27">
        <v>30</v>
      </c>
      <c r="C248" s="28" t="s">
        <v>273</v>
      </c>
      <c r="D248" s="28" t="s">
        <v>12</v>
      </c>
      <c r="E248" s="27">
        <v>6</v>
      </c>
      <c r="F248" s="29">
        <f>LOOKUP(E248,{0,-1.8,-0.8,0.2,1.2,2.2,3.2,4.6,6,7.4,8.8,10.2,11.6,13,14.4,15.8,17.2,19.1,21,22.8,24.6},{0,10,20,30,40,50,60,62,64,66,68,70,72,74,76,78,80,85,90,95,100})</f>
        <v>64</v>
      </c>
      <c r="G248" s="27">
        <v>216</v>
      </c>
      <c r="H248" s="29">
        <f>LOOKUP(G248,{0,180,185,190,195,200,205,209,213,217,221,225,229,233,237,241,245,253,260,265,270},{0,10,20,30,40,50,60,62,64,66,68,70,72,74,76,78,80,85,90,95,100})</f>
        <v>64</v>
      </c>
      <c r="I248" s="27">
        <v>6</v>
      </c>
      <c r="J248" s="29">
        <f>LOOKUP(I248,{0,4,5,6,7,8,9,10,11,12,13,14,15,16,17,18},{0,10,20,30,40,50,60,64,68,72,76,80,85,90,95,100})</f>
        <v>30</v>
      </c>
      <c r="K248" s="44"/>
      <c r="L248" s="35"/>
      <c r="M248" s="35">
        <f t="shared" si="19"/>
        <v>30</v>
      </c>
      <c r="N248" s="35">
        <v>7.7</v>
      </c>
      <c r="O248" s="36">
        <f t="shared" si="20"/>
        <v>10.3</v>
      </c>
      <c r="P248" s="29">
        <f>LOOKUP(O248,{0,7.8,8,8.2,8.4,8.6,8.8,9,9.2,9.4,9.6,9.8,10,10.2,10.4,10.6,10.8,10.9,11,11.1,11.2},{0,10,20,30,40,50,60,62,64,66,68,70,72,74,76,78,80,85,90,95,100})</f>
        <v>74</v>
      </c>
      <c r="Q248" s="5">
        <v>4.4</v>
      </c>
      <c r="R248" s="36">
        <f t="shared" si="21"/>
        <v>5.6</v>
      </c>
      <c r="S248" s="29">
        <f>LOOKUP(R248,{0,3.85,4.45,4.65,4.85,5.45,5.65,5.7,5.75,5.8,5.85,5.9,5.95,6,6.45,6.5,6.55,6.63,6.7,6.75,6.8},{0,10,20,30,40,50,60,62,64,66,68,70,72,74,76,78,80,85,90,95,100})</f>
        <v>50</v>
      </c>
      <c r="T248" s="27"/>
      <c r="U248" s="27"/>
      <c r="V248" s="27">
        <f t="shared" si="22"/>
        <v>50</v>
      </c>
      <c r="W248" s="27"/>
      <c r="X248" s="19">
        <f t="shared" si="23"/>
        <v>40.6</v>
      </c>
      <c r="Y248" s="13">
        <f t="shared" si="24"/>
        <v>58</v>
      </c>
    </row>
    <row r="249" ht="15.6" spans="1:25">
      <c r="A249" s="27">
        <v>311</v>
      </c>
      <c r="B249" s="27">
        <v>14</v>
      </c>
      <c r="C249" s="28" t="s">
        <v>528</v>
      </c>
      <c r="D249" s="28" t="s">
        <v>12</v>
      </c>
      <c r="E249" s="27">
        <v>5</v>
      </c>
      <c r="F249" s="29">
        <f>LOOKUP(E249,{0,-1.8,-0.8,0.2,1.2,2.2,3.2,4.6,6,7.4,8.8,10.2,11.6,13,14.4,15.8,17.2,19.1,21,22.8,24.6},{0,10,20,30,40,50,60,62,64,66,68,70,72,74,76,78,80,85,90,95,100})</f>
        <v>62</v>
      </c>
      <c r="G249" s="27">
        <v>230</v>
      </c>
      <c r="H249" s="29">
        <f>LOOKUP(G249,{0,180,185,190,195,200,205,209,213,217,221,225,229,233,237,241,245,253,260,265,270},{0,10,20,30,40,50,60,62,64,66,68,70,72,74,76,78,80,85,90,95,100})</f>
        <v>72</v>
      </c>
      <c r="I249" s="27">
        <v>1</v>
      </c>
      <c r="J249" s="29">
        <f>LOOKUP(I249,{0,4,5,6,7,8,9,10,11,12,13,14,15,16,17,18},{0,10,20,30,40,50,60,64,68,72,76,80,85,90,95,100})</f>
        <v>0</v>
      </c>
      <c r="K249" s="44"/>
      <c r="L249" s="35"/>
      <c r="M249" s="35">
        <f t="shared" si="19"/>
        <v>0</v>
      </c>
      <c r="N249" s="35">
        <v>7.6</v>
      </c>
      <c r="O249" s="36">
        <f t="shared" si="20"/>
        <v>10.4</v>
      </c>
      <c r="P249" s="29">
        <f>LOOKUP(O249,{0,7.8,8,8.2,8.4,8.6,8.8,9,9.2,9.4,9.6,9.8,10,10.2,10.4,10.6,10.8,10.9,11,11.1,11.2},{0,10,20,30,40,50,60,62,64,66,68,70,72,74,76,78,80,85,90,95,100})</f>
        <v>76</v>
      </c>
      <c r="Q249" s="5">
        <v>4.33</v>
      </c>
      <c r="R249" s="36">
        <f t="shared" si="21"/>
        <v>5.67</v>
      </c>
      <c r="S249" s="29">
        <f>LOOKUP(R249,{0,3.85,4.45,4.65,4.85,5.45,5.65,5.7,5.75,5.8,5.85,5.9,5.95,6,6.45,6.5,6.55,6.63,6.7,6.75,6.8},{0,10,20,30,40,50,60,62,64,66,68,70,72,74,76,78,80,85,90,95,100})</f>
        <v>60</v>
      </c>
      <c r="T249" s="27"/>
      <c r="U249" s="27"/>
      <c r="V249" s="27">
        <f t="shared" si="22"/>
        <v>60</v>
      </c>
      <c r="W249" s="27"/>
      <c r="X249" s="19">
        <f t="shared" si="23"/>
        <v>40.6</v>
      </c>
      <c r="Y249" s="13">
        <f t="shared" si="24"/>
        <v>58</v>
      </c>
    </row>
    <row r="250" ht="15.6" spans="1:25">
      <c r="A250" s="27">
        <v>314</v>
      </c>
      <c r="B250" s="27">
        <v>4</v>
      </c>
      <c r="C250" s="28" t="s">
        <v>684</v>
      </c>
      <c r="D250" s="28" t="s">
        <v>12</v>
      </c>
      <c r="E250" s="27">
        <v>-5.5</v>
      </c>
      <c r="F250" s="29">
        <v>0</v>
      </c>
      <c r="G250" s="27">
        <v>190</v>
      </c>
      <c r="H250" s="29">
        <f>LOOKUP(G250,{0,180,185,190,195,200,205,209,213,217,221,225,229,233,237,241,245,253,260,265,270},{0,10,20,30,40,50,60,62,64,66,68,70,72,74,76,78,80,85,90,95,100})</f>
        <v>30</v>
      </c>
      <c r="I250" s="27">
        <v>18</v>
      </c>
      <c r="J250" s="29">
        <f>LOOKUP(I250,{0,4,5,6,7,8,9,10,11,12,13,14,15,16,17,18},{0,10,20,30,40,50,60,64,68,72,76,80,85,90,95,100})</f>
        <v>100</v>
      </c>
      <c r="K250" s="44"/>
      <c r="L250" s="35"/>
      <c r="M250" s="35">
        <f t="shared" si="19"/>
        <v>100</v>
      </c>
      <c r="N250" s="35">
        <v>8</v>
      </c>
      <c r="O250" s="36">
        <f t="shared" si="20"/>
        <v>10</v>
      </c>
      <c r="P250" s="29">
        <f>LOOKUP(O250,{0,7.8,8,8.2,8.4,8.6,8.8,9,9.2,9.4,9.6,9.8,10,10.2,10.4,10.6,10.8,10.9,11,11.1,11.2},{0,10,20,30,40,50,60,62,64,66,68,70,72,74,76,78,80,85,90,95,100})</f>
        <v>72</v>
      </c>
      <c r="Q250" s="5">
        <v>4.18</v>
      </c>
      <c r="R250" s="36">
        <f t="shared" si="21"/>
        <v>5.82</v>
      </c>
      <c r="S250" s="29">
        <f>LOOKUP(R250,{0,3.85,4.45,4.65,4.85,5.45,5.65,5.7,5.75,5.8,5.85,5.9,5.95,6,6.45,6.5,6.55,6.63,6.7,6.75,6.8},{0,10,20,30,40,50,60,62,64,66,68,70,72,74,76,78,80,85,90,95,100})</f>
        <v>66</v>
      </c>
      <c r="T250" s="27"/>
      <c r="U250" s="27"/>
      <c r="V250" s="27">
        <f t="shared" si="22"/>
        <v>66</v>
      </c>
      <c r="W250" s="27"/>
      <c r="X250" s="19">
        <f t="shared" si="23"/>
        <v>40.6</v>
      </c>
      <c r="Y250" s="13">
        <f t="shared" si="24"/>
        <v>58</v>
      </c>
    </row>
    <row r="251" ht="15.6" spans="1:25">
      <c r="A251" s="27">
        <v>315</v>
      </c>
      <c r="B251" s="27">
        <v>3</v>
      </c>
      <c r="C251" s="28" t="s">
        <v>736</v>
      </c>
      <c r="D251" s="28" t="s">
        <v>12</v>
      </c>
      <c r="E251" s="27">
        <v>11.5</v>
      </c>
      <c r="F251" s="29">
        <f>LOOKUP(E251,{0,-1.8,-0.8,0.2,1.2,2.2,3.2,4.6,6,7.4,8.8,10.2,11.6,13,14.4,15.8,17.2,19.1,21,22.8,24.6},{0,10,20,30,40,50,60,62,64,66,68,70,72,74,76,78,80,85,90,95,100})</f>
        <v>70</v>
      </c>
      <c r="G251" s="27">
        <v>220</v>
      </c>
      <c r="H251" s="29">
        <f>LOOKUP(G251,{0,180,185,190,195,200,205,209,213,217,221,225,229,233,237,241,245,253,260,265,270},{0,10,20,30,40,50,60,62,64,66,68,70,72,74,76,78,80,85,90,95,100})</f>
        <v>66</v>
      </c>
      <c r="I251" s="27">
        <v>4</v>
      </c>
      <c r="J251" s="29">
        <f>LOOKUP(I251,{0,4,5,6,7,8,9,10,11,12,13,14,15,16,17,18},{0,10,20,30,40,50,60,64,68,72,76,80,85,90,95,100})</f>
        <v>10</v>
      </c>
      <c r="K251" s="44"/>
      <c r="L251" s="35"/>
      <c r="M251" s="35">
        <f t="shared" si="19"/>
        <v>10</v>
      </c>
      <c r="N251" s="35">
        <v>7.2</v>
      </c>
      <c r="O251" s="36">
        <f t="shared" si="20"/>
        <v>10.8</v>
      </c>
      <c r="P251" s="29">
        <f>LOOKUP(O251,{0,7.8,8,8.2,8.4,8.6,8.8,9,9.2,9.4,9.6,9.8,10,10.2,10.4,10.6,10.8,10.9,11,11.1,11.2},{0,10,20,30,40,50,60,62,64,66,68,70,72,74,76,78,80,85,90,95,100})</f>
        <v>80</v>
      </c>
      <c r="Q251" s="5">
        <v>4.52</v>
      </c>
      <c r="R251" s="36">
        <f t="shared" si="21"/>
        <v>5.48</v>
      </c>
      <c r="S251" s="29">
        <f>LOOKUP(R251,{0,3.85,4.45,4.65,4.85,5.45,5.65,5.7,5.75,5.8,5.85,5.9,5.95,6,6.45,6.5,6.55,6.63,6.7,6.75,6.8},{0,10,20,30,40,50,60,62,64,66,68,70,72,74,76,78,80,85,90,95,100})</f>
        <v>50</v>
      </c>
      <c r="T251" s="27"/>
      <c r="U251" s="27"/>
      <c r="V251" s="27">
        <f t="shared" si="22"/>
        <v>50</v>
      </c>
      <c r="W251" s="27"/>
      <c r="X251" s="19">
        <f t="shared" si="23"/>
        <v>40.6</v>
      </c>
      <c r="Y251" s="13">
        <f t="shared" si="24"/>
        <v>58</v>
      </c>
    </row>
    <row r="252" ht="15.6" spans="1:25">
      <c r="A252" s="27">
        <v>307</v>
      </c>
      <c r="B252" s="27">
        <v>4</v>
      </c>
      <c r="C252" s="28" t="s">
        <v>302</v>
      </c>
      <c r="D252" s="28" t="s">
        <v>12</v>
      </c>
      <c r="E252" s="27">
        <v>11.8</v>
      </c>
      <c r="F252" s="29">
        <f>LOOKUP(E252,{0,-1.8,-0.8,0.2,1.2,2.2,3.2,4.6,6,7.4,8.8,10.2,11.6,13,14.4,15.8,17.2,19.1,21,22.8,24.6},{0,10,20,30,40,50,60,62,64,66,68,70,72,74,76,78,80,85,90,95,100})</f>
        <v>72</v>
      </c>
      <c r="G252" s="27">
        <v>235</v>
      </c>
      <c r="H252" s="29">
        <f>LOOKUP(G252,{0,180,185,190,195,200,205,209,213,217,221,225,229,233,237,241,245,253,260,265,270},{0,10,20,30,40,50,60,62,64,66,68,70,72,74,76,78,80,85,90,95,100})</f>
        <v>74</v>
      </c>
      <c r="I252" s="27">
        <v>4</v>
      </c>
      <c r="J252" s="29">
        <f>LOOKUP(I252,{0,4,5,6,7,8,9,10,11,12,13,14,15,16,17,18},{0,10,20,30,40,50,60,64,68,72,76,80,85,90,95,100})</f>
        <v>10</v>
      </c>
      <c r="K252" s="44"/>
      <c r="L252" s="35"/>
      <c r="M252" s="35">
        <f t="shared" si="19"/>
        <v>10</v>
      </c>
      <c r="N252" s="35">
        <v>7.8</v>
      </c>
      <c r="O252" s="36">
        <f t="shared" si="20"/>
        <v>10.2</v>
      </c>
      <c r="P252" s="29">
        <f>LOOKUP(O252,{0,7.8,8,8.2,8.4,8.6,8.8,9,9.2,9.4,9.6,9.8,10,10.2,10.4,10.6,10.8,10.9,11,11.1,11.2},{0,10,20,30,40,50,60,62,64,66,68,70,72,74,76,78,80,85,90,95,100})</f>
        <v>74</v>
      </c>
      <c r="Q252" s="5">
        <v>4.36</v>
      </c>
      <c r="R252" s="36">
        <f t="shared" si="21"/>
        <v>5.64</v>
      </c>
      <c r="S252" s="29">
        <f>LOOKUP(R252,{0,3.85,4.45,4.65,4.85,5.45,5.65,5.7,5.75,5.8,5.85,5.9,5.95,6,6.45,6.5,6.55,6.63,6.7,6.75,6.8},{0,10,20,30,40,50,60,62,64,66,68,70,72,74,76,78,80,85,90,95,100})</f>
        <v>50</v>
      </c>
      <c r="T252" s="27"/>
      <c r="U252" s="27"/>
      <c r="V252" s="27">
        <f t="shared" si="22"/>
        <v>50</v>
      </c>
      <c r="W252" s="27"/>
      <c r="X252" s="19">
        <f t="shared" si="23"/>
        <v>40.4</v>
      </c>
      <c r="Y252" s="13">
        <f t="shared" si="24"/>
        <v>57.7142857142857</v>
      </c>
    </row>
    <row r="253" ht="15.6" spans="1:25">
      <c r="A253" s="27">
        <v>306</v>
      </c>
      <c r="B253" s="27">
        <v>5</v>
      </c>
      <c r="C253" s="28" t="s">
        <v>246</v>
      </c>
      <c r="D253" s="28" t="s">
        <v>12</v>
      </c>
      <c r="E253" s="27">
        <v>11</v>
      </c>
      <c r="F253" s="29">
        <f>LOOKUP(E253,{0,-1.8,-0.8,0.2,1.2,2.2,3.2,4.6,6,7.4,8.8,10.2,11.6,13,14.4,15.8,17.2,19.1,21,22.8,24.6},{0,10,20,30,40,50,60,62,64,66,68,70,72,74,76,78,80,85,90,95,100})</f>
        <v>70</v>
      </c>
      <c r="G253" s="27">
        <v>211</v>
      </c>
      <c r="H253" s="29">
        <f>LOOKUP(G253,{0,180,185,190,195,200,205,209,213,217,221,225,229,233,237,241,245,253,260,265,270},{0,10,20,30,40,50,60,62,64,66,68,70,72,74,76,78,80,85,90,95,100})</f>
        <v>62</v>
      </c>
      <c r="I253" s="27">
        <v>1</v>
      </c>
      <c r="J253" s="29">
        <f>LOOKUP(I253,{0,4,5,6,7,8,9,10,11,12,13,14,15,16,17,18},{0,10,20,30,40,50,60,64,68,72,76,80,85,90,95,100})</f>
        <v>0</v>
      </c>
      <c r="K253" s="44"/>
      <c r="L253" s="35"/>
      <c r="M253" s="35">
        <f t="shared" si="19"/>
        <v>0</v>
      </c>
      <c r="N253" s="35">
        <v>7.8</v>
      </c>
      <c r="O253" s="36">
        <f t="shared" si="20"/>
        <v>10.2</v>
      </c>
      <c r="P253" s="29">
        <f>LOOKUP(O253,{0,7.8,8,8.2,8.4,8.6,8.8,9,9.2,9.4,9.6,9.8,10,10.2,10.4,10.6,10.8,10.9,11,11.1,11.2},{0,10,20,30,40,50,60,62,64,66,68,70,72,74,76,78,80,85,90,95,100})</f>
        <v>74</v>
      </c>
      <c r="Q253" s="5">
        <v>4.3</v>
      </c>
      <c r="R253" s="36">
        <f t="shared" si="21"/>
        <v>5.7</v>
      </c>
      <c r="S253" s="29">
        <f>LOOKUP(R253,{0,3.85,4.45,4.65,4.85,5.45,5.65,5.7,5.75,5.8,5.85,5.9,5.95,6,6.45,6.5,6.55,6.63,6.7,6.75,6.8},{0,10,20,30,40,50,60,62,64,66,68,70,72,74,76,78,80,85,90,95,100})</f>
        <v>62</v>
      </c>
      <c r="T253" s="27"/>
      <c r="U253" s="27"/>
      <c r="V253" s="27">
        <f t="shared" si="22"/>
        <v>62</v>
      </c>
      <c r="W253" s="27"/>
      <c r="X253" s="19">
        <f t="shared" si="23"/>
        <v>40.4</v>
      </c>
      <c r="Y253" s="13">
        <f t="shared" si="24"/>
        <v>57.7142857142857</v>
      </c>
    </row>
    <row r="254" ht="15.6" spans="1:25">
      <c r="A254" s="27">
        <v>306</v>
      </c>
      <c r="B254" s="27">
        <v>24</v>
      </c>
      <c r="C254" s="28" t="s">
        <v>267</v>
      </c>
      <c r="D254" s="28" t="s">
        <v>12</v>
      </c>
      <c r="E254" s="27">
        <v>14.4</v>
      </c>
      <c r="F254" s="29">
        <f>LOOKUP(E254,{0,-1.8,-0.8,0.2,1.2,2.2,3.2,4.6,6,7.4,8.8,10.2,11.6,13,14.4,15.8,17.2,19.1,21,22.8,24.6},{0,10,20,30,40,50,60,62,64,66,68,70,72,74,76,78,80,85,90,95,100})</f>
        <v>76</v>
      </c>
      <c r="G254" s="27">
        <v>241</v>
      </c>
      <c r="H254" s="29">
        <f>LOOKUP(G254,{0,180,185,190,195,200,205,209,213,217,221,225,229,233,237,241,245,253,260,265,270},{0,10,20,30,40,50,60,62,64,66,68,70,72,74,76,78,80,85,90,95,100})</f>
        <v>78</v>
      </c>
      <c r="I254" s="27">
        <v>5</v>
      </c>
      <c r="J254" s="29">
        <f>LOOKUP(I254,{0,4,5,6,7,8,9,10,11,12,13,14,15,16,17,18},{0,10,20,30,40,50,60,64,68,72,76,80,85,90,95,100})</f>
        <v>20</v>
      </c>
      <c r="K254" s="44"/>
      <c r="L254" s="35"/>
      <c r="M254" s="35">
        <f t="shared" si="19"/>
        <v>20</v>
      </c>
      <c r="N254" s="35">
        <v>8.7</v>
      </c>
      <c r="O254" s="36">
        <f t="shared" si="20"/>
        <v>9.3</v>
      </c>
      <c r="P254" s="29">
        <f>LOOKUP(O254,{0,7.8,8,8.2,8.4,8.6,8.8,9,9.2,9.4,9.6,9.8,10,10.2,10.4,10.6,10.8,10.9,11,11.1,11.2},{0,10,20,30,40,50,60,62,64,66,68,70,72,74,76,78,80,85,90,95,100})</f>
        <v>64</v>
      </c>
      <c r="Q254" s="5">
        <v>4.39</v>
      </c>
      <c r="R254" s="36">
        <f t="shared" si="21"/>
        <v>5.61</v>
      </c>
      <c r="S254" s="29">
        <f>LOOKUP(R254,{0,3.85,4.45,4.65,4.85,5.45,5.65,5.7,5.75,5.8,5.85,5.9,5.95,6,6.45,6.5,6.55,6.63,6.7,6.75,6.8},{0,10,20,30,40,50,60,62,64,66,68,70,72,74,76,78,80,85,90,95,100})</f>
        <v>50</v>
      </c>
      <c r="T254" s="27"/>
      <c r="U254" s="27"/>
      <c r="V254" s="27">
        <f t="shared" si="22"/>
        <v>50</v>
      </c>
      <c r="W254" s="27"/>
      <c r="X254" s="19">
        <f t="shared" si="23"/>
        <v>40.2</v>
      </c>
      <c r="Y254" s="13">
        <f t="shared" si="24"/>
        <v>57.4285714285714</v>
      </c>
    </row>
    <row r="255" ht="15.6" spans="1:25">
      <c r="A255" s="27">
        <v>310</v>
      </c>
      <c r="B255" s="27">
        <v>21</v>
      </c>
      <c r="C255" s="30" t="s">
        <v>480</v>
      </c>
      <c r="D255" s="28" t="s">
        <v>12</v>
      </c>
      <c r="E255" s="27">
        <v>14</v>
      </c>
      <c r="F255" s="29">
        <f>LOOKUP(E255,{0,-1.8,-0.8,0.2,1.2,2.2,3.2,4.6,6,7.4,8.8,10.2,11.6,13,14.4,15.8,17.2,19.1,21,22.8,24.6},{0,10,20,30,40,50,60,62,64,66,68,70,72,74,76,78,80,85,90,95,100})</f>
        <v>74</v>
      </c>
      <c r="G255" s="27">
        <v>230</v>
      </c>
      <c r="H255" s="29">
        <f>LOOKUP(G255,{0,180,185,190,195,200,205,209,213,217,221,225,229,233,237,241,245,253,260,265,270},{0,10,20,30,40,50,60,62,64,66,68,70,72,74,76,78,80,85,90,95,100})</f>
        <v>72</v>
      </c>
      <c r="I255" s="27">
        <v>14</v>
      </c>
      <c r="J255" s="29">
        <f>LOOKUP(I255,{0,4,5,6,7,8,9,10,11,12,13,14,15,16,17,18},{0,10,20,30,40,50,60,64,68,72,76,80,85,90,95,100})</f>
        <v>80</v>
      </c>
      <c r="K255" s="44"/>
      <c r="L255" s="35"/>
      <c r="M255" s="35">
        <f t="shared" si="19"/>
        <v>80</v>
      </c>
      <c r="N255" s="35">
        <v>7.4</v>
      </c>
      <c r="O255" s="36">
        <f t="shared" si="20"/>
        <v>10.6</v>
      </c>
      <c r="P255" s="29">
        <f>LOOKUP(O255,{0,7.8,8,8.2,8.4,8.6,8.8,9,9.2,9.4,9.6,9.8,10,10.2,10.4,10.6,10.8,10.9,11,11.1,11.2},{0,10,20,30,40,50,60,62,64,66,68,70,72,74,76,78,80,85,90,95,100})</f>
        <v>78</v>
      </c>
      <c r="Q255" s="5">
        <v>6.12</v>
      </c>
      <c r="R255" s="36">
        <f t="shared" si="21"/>
        <v>3.88</v>
      </c>
      <c r="S255" s="29">
        <f>LOOKUP(R255,{0,3.85,4.45,4.65,4.85,5.45,5.65,5.7,5.75,5.8,5.85,5.9,5.95,6,6.45,6.5,6.55,6.63,6.7,6.75,6.8},{0,10,20,30,40,50,60,62,64,66,68,70,72,74,76,78,80,85,90,95,100})</f>
        <v>10</v>
      </c>
      <c r="T255" s="27"/>
      <c r="U255" s="27"/>
      <c r="V255" s="27">
        <f t="shared" si="22"/>
        <v>10</v>
      </c>
      <c r="W255" s="27"/>
      <c r="X255" s="19">
        <f t="shared" si="23"/>
        <v>40.2</v>
      </c>
      <c r="Y255" s="13">
        <f t="shared" si="24"/>
        <v>57.4285714285714</v>
      </c>
    </row>
    <row r="256" ht="15.6" spans="1:25">
      <c r="A256" s="27">
        <v>311</v>
      </c>
      <c r="B256" s="27">
        <v>4</v>
      </c>
      <c r="C256" s="28" t="s">
        <v>517</v>
      </c>
      <c r="D256" s="28" t="s">
        <v>12</v>
      </c>
      <c r="E256" s="27">
        <v>7</v>
      </c>
      <c r="F256" s="29">
        <f>LOOKUP(E256,{0,-1.8,-0.8,0.2,1.2,2.2,3.2,4.6,6,7.4,8.8,10.2,11.6,13,14.4,15.8,17.2,19.1,21,22.8,24.6},{0,10,20,30,40,50,60,62,64,66,68,70,72,74,76,78,80,85,90,95,100})</f>
        <v>64</v>
      </c>
      <c r="G256" s="27">
        <v>235</v>
      </c>
      <c r="H256" s="29">
        <f>LOOKUP(G256,{0,180,185,190,195,200,205,209,213,217,221,225,229,233,237,241,245,253,260,265,270},{0,10,20,30,40,50,60,62,64,66,68,70,72,74,76,78,80,85,90,95,100})</f>
        <v>74</v>
      </c>
      <c r="I256" s="27">
        <v>1</v>
      </c>
      <c r="J256" s="29">
        <f>LOOKUP(I256,{0,4,5,6,7,8,9,10,11,12,13,14,15,16,17,18},{0,10,20,30,40,50,60,64,68,72,76,80,85,90,95,100})</f>
        <v>0</v>
      </c>
      <c r="K256" s="44"/>
      <c r="L256" s="35"/>
      <c r="M256" s="35">
        <f t="shared" si="19"/>
        <v>0</v>
      </c>
      <c r="N256" s="35">
        <v>8</v>
      </c>
      <c r="O256" s="36">
        <f t="shared" si="20"/>
        <v>10</v>
      </c>
      <c r="P256" s="29">
        <f>LOOKUP(O256,{0,7.8,8,8.2,8.4,8.6,8.8,9,9.2,9.4,9.6,9.8,10,10.2,10.4,10.6,10.8,10.9,11,11.1,11.2},{0,10,20,30,40,50,60,62,64,66,68,70,72,74,76,78,80,85,90,95,100})</f>
        <v>72</v>
      </c>
      <c r="Q256" s="5">
        <v>4.33</v>
      </c>
      <c r="R256" s="36">
        <f t="shared" si="21"/>
        <v>5.67</v>
      </c>
      <c r="S256" s="29">
        <f>LOOKUP(R256,{0,3.85,4.45,4.65,4.85,5.45,5.65,5.7,5.75,5.8,5.85,5.9,5.95,6,6.45,6.5,6.55,6.63,6.7,6.75,6.8},{0,10,20,30,40,50,60,62,64,66,68,70,72,74,76,78,80,85,90,95,100})</f>
        <v>60</v>
      </c>
      <c r="T256" s="27"/>
      <c r="U256" s="27"/>
      <c r="V256" s="27">
        <f t="shared" si="22"/>
        <v>60</v>
      </c>
      <c r="W256" s="27"/>
      <c r="X256" s="19">
        <f t="shared" si="23"/>
        <v>40.2</v>
      </c>
      <c r="Y256" s="13">
        <f t="shared" si="24"/>
        <v>57.4285714285714</v>
      </c>
    </row>
    <row r="257" ht="15.6" spans="1:25">
      <c r="A257" s="27">
        <v>301</v>
      </c>
      <c r="B257" s="27">
        <v>10</v>
      </c>
      <c r="C257" s="27" t="s">
        <v>20</v>
      </c>
      <c r="D257" s="27" t="s">
        <v>12</v>
      </c>
      <c r="E257" s="27">
        <v>13</v>
      </c>
      <c r="F257" s="29">
        <f>LOOKUP(E257,{0,-1.8,-0.8,0.2,1.2,2.2,3.2,4.6,6,7.4,8.8,10.2,11.6,13,14.4,15.8,17.2,19.1,21,22.8,24.6},{0,10,20,30,40,50,60,62,64,66,68,70,72,74,76,78,80,85,90,95,100})</f>
        <v>74</v>
      </c>
      <c r="G257" s="27">
        <v>265</v>
      </c>
      <c r="H257" s="29">
        <f>LOOKUP(G257,{0,180,185,190,195,200,205,209,213,217,221,225,229,233,237,241,245,253,260,265,270},{0,10,20,30,40,50,60,62,64,66,68,70,72,74,76,78,80,85,90,95,100})</f>
        <v>95</v>
      </c>
      <c r="I257" s="27">
        <v>1</v>
      </c>
      <c r="J257" s="29">
        <f>LOOKUP(I257,{0,4,5,6,7,8,9,10,11,12,13,14,15,16,17,18},{0,10,20,30,40,50,60,64,68,72,76,80,85,90,95,100})</f>
        <v>0</v>
      </c>
      <c r="K257" s="44"/>
      <c r="L257" s="35"/>
      <c r="M257" s="35">
        <f t="shared" si="19"/>
        <v>0</v>
      </c>
      <c r="N257" s="35">
        <v>7.6</v>
      </c>
      <c r="O257" s="36">
        <f t="shared" si="20"/>
        <v>10.4</v>
      </c>
      <c r="P257" s="29">
        <f>LOOKUP(O257,{0,7.8,8,8.2,8.4,8.6,8.8,9,9.2,9.4,9.6,9.8,10,10.2,10.4,10.6,10.8,10.9,11,11.1,11.2},{0,10,20,30,40,50,60,62,64,66,68,70,72,74,76,78,80,85,90,95,100})</f>
        <v>76</v>
      </c>
      <c r="Q257" s="5">
        <v>5.09</v>
      </c>
      <c r="R257" s="36">
        <f t="shared" si="21"/>
        <v>4.91</v>
      </c>
      <c r="S257" s="29">
        <f>LOOKUP(R257,{0,3.85,4.45,4.65,4.85,5.45,5.65,5.7,5.75,5.8,5.85,5.9,5.95,6,6.45,6.5,6.55,6.63,6.7,6.75,6.8},{0,10,20,30,40,50,60,62,64,66,68,70,72,74,76,78,80,85,90,95,100})</f>
        <v>40</v>
      </c>
      <c r="T257" s="27"/>
      <c r="U257" s="27"/>
      <c r="V257" s="27">
        <f t="shared" si="22"/>
        <v>40</v>
      </c>
      <c r="W257" s="27"/>
      <c r="X257" s="19">
        <f t="shared" si="23"/>
        <v>40.1</v>
      </c>
      <c r="Y257" s="13">
        <f t="shared" si="24"/>
        <v>57.2857142857143</v>
      </c>
    </row>
    <row r="258" ht="15.6" spans="1:25">
      <c r="A258" s="27">
        <v>302</v>
      </c>
      <c r="B258" s="27">
        <v>8</v>
      </c>
      <c r="C258" s="27" t="s">
        <v>65</v>
      </c>
      <c r="D258" s="27" t="s">
        <v>12</v>
      </c>
      <c r="E258" s="27">
        <v>10.5</v>
      </c>
      <c r="F258" s="29">
        <f>LOOKUP(E258,{0,-1.8,-0.8,0.2,1.2,2.2,3.2,4.6,6,7.4,8.8,10.2,11.6,13,14.4,15.8,17.2,19.1,21,22.8,24.6},{0,10,20,30,40,50,60,62,64,66,68,70,72,74,76,78,80,85,90,95,100})</f>
        <v>70</v>
      </c>
      <c r="G258" s="27">
        <v>238</v>
      </c>
      <c r="H258" s="29">
        <f>LOOKUP(G258,{0,180,185,190,195,200,205,209,213,217,221,225,229,233,237,241,245,253,260,265,270},{0,10,20,30,40,50,60,62,64,66,68,70,72,74,76,78,80,85,90,95,100})</f>
        <v>76</v>
      </c>
      <c r="I258" s="27">
        <v>4</v>
      </c>
      <c r="J258" s="29">
        <f>LOOKUP(I258,{0,4,5,6,7,8,9,10,11,12,13,14,15,16,17,18},{0,10,20,30,40,50,60,64,68,72,76,80,85,90,95,100})</f>
        <v>10</v>
      </c>
      <c r="K258" s="44"/>
      <c r="L258" s="35"/>
      <c r="M258" s="35">
        <f t="shared" ref="M258:M321" si="25">J258+L258</f>
        <v>10</v>
      </c>
      <c r="N258" s="35">
        <v>7.9</v>
      </c>
      <c r="O258" s="36">
        <f t="shared" ref="O258:O321" si="26">18-N258</f>
        <v>10.1</v>
      </c>
      <c r="P258" s="29">
        <f>LOOKUP(O258,{0,7.8,8,8.2,8.4,8.6,8.8,9,9.2,9.4,9.6,9.8,10,10.2,10.4,10.6,10.8,10.9,11,11.1,11.2},{0,10,20,30,40,50,60,62,64,66,68,70,72,74,76,78,80,85,90,95,100})</f>
        <v>72</v>
      </c>
      <c r="Q258" s="5">
        <v>4.36</v>
      </c>
      <c r="R258" s="36">
        <f t="shared" ref="R258:R321" si="27">10-Q258</f>
        <v>5.64</v>
      </c>
      <c r="S258" s="29">
        <f>LOOKUP(R258,{0,3.85,4.45,4.65,4.85,5.45,5.65,5.7,5.75,5.8,5.85,5.9,5.95,6,6.45,6.5,6.55,6.63,6.7,6.75,6.8},{0,10,20,30,40,50,60,62,64,66,68,70,72,74,76,78,80,85,90,95,100})</f>
        <v>50</v>
      </c>
      <c r="T258" s="27"/>
      <c r="U258" s="27"/>
      <c r="V258" s="27">
        <f t="shared" ref="V258:V279" si="28">S258+U258</f>
        <v>50</v>
      </c>
      <c r="W258" s="27"/>
      <c r="X258" s="19">
        <f t="shared" ref="X258:X321" si="29">F258*0.1+H258*0.1+J258*0.1+P258*0.2+S258*0.2</f>
        <v>40</v>
      </c>
      <c r="Y258" s="13">
        <f t="shared" ref="Y258:Y321" si="30">X258/0.7+L258+U258</f>
        <v>57.1428571428571</v>
      </c>
    </row>
    <row r="259" ht="15.6" spans="1:25">
      <c r="A259" s="27">
        <v>305</v>
      </c>
      <c r="B259" s="27">
        <v>2</v>
      </c>
      <c r="C259" s="28" t="s">
        <v>186</v>
      </c>
      <c r="D259" s="28" t="s">
        <v>12</v>
      </c>
      <c r="E259" s="27">
        <v>7</v>
      </c>
      <c r="F259" s="29">
        <f>LOOKUP(E259,{0,-1.8,-0.8,0.2,1.2,2.2,3.2,4.6,6,7.4,8.8,10.2,11.6,13,14.4,15.8,17.2,19.1,21,22.8,24.6},{0,10,20,30,40,50,60,62,64,66,68,70,72,74,76,78,80,85,90,95,100})</f>
        <v>64</v>
      </c>
      <c r="G259" s="27">
        <v>250</v>
      </c>
      <c r="H259" s="29">
        <f>LOOKUP(G259,{0,180,185,190,195,200,205,209,213,217,221,225,229,233,237,241,245,253,260,265,270},{0,10,20,30,40,50,60,62,64,66,68,70,72,74,76,78,80,85,90,95,100})</f>
        <v>80</v>
      </c>
      <c r="I259" s="27">
        <v>1</v>
      </c>
      <c r="J259" s="29">
        <f>LOOKUP(I259,{0,4,5,6,7,8,9,10,11,12,13,14,15,16,17,18},{0,10,20,30,40,50,60,64,68,72,76,80,85,90,95,100})</f>
        <v>0</v>
      </c>
      <c r="K259" s="44"/>
      <c r="L259" s="35"/>
      <c r="M259" s="35">
        <f t="shared" si="25"/>
        <v>0</v>
      </c>
      <c r="N259" s="35">
        <v>7.3</v>
      </c>
      <c r="O259" s="36">
        <f t="shared" si="26"/>
        <v>10.7</v>
      </c>
      <c r="P259" s="29">
        <f>LOOKUP(O259,{0,7.8,8,8.2,8.4,8.6,8.8,9,9.2,9.4,9.6,9.8,10,10.2,10.4,10.6,10.8,10.9,11,11.1,11.2},{0,10,20,30,40,50,60,62,64,66,68,70,72,74,76,78,80,85,90,95,100})</f>
        <v>78</v>
      </c>
      <c r="Q259" s="5">
        <v>4.52</v>
      </c>
      <c r="R259" s="36">
        <f t="shared" si="27"/>
        <v>5.48</v>
      </c>
      <c r="S259" s="29">
        <f>LOOKUP(R259,{0,3.85,4.45,4.65,4.85,5.45,5.65,5.7,5.75,5.8,5.85,5.9,5.95,6,6.45,6.5,6.55,6.63,6.7,6.75,6.8},{0,10,20,30,40,50,60,62,64,66,68,70,72,74,76,78,80,85,90,95,100})</f>
        <v>50</v>
      </c>
      <c r="T259" s="27"/>
      <c r="U259" s="27"/>
      <c r="V259" s="27">
        <f t="shared" si="28"/>
        <v>50</v>
      </c>
      <c r="W259" s="27"/>
      <c r="X259" s="19">
        <f t="shared" si="29"/>
        <v>40</v>
      </c>
      <c r="Y259" s="13">
        <f t="shared" si="30"/>
        <v>57.1428571428571</v>
      </c>
    </row>
    <row r="260" ht="15.6" spans="1:25">
      <c r="A260" s="27">
        <v>312</v>
      </c>
      <c r="B260" s="27">
        <v>10</v>
      </c>
      <c r="C260" s="28" t="s">
        <v>583</v>
      </c>
      <c r="D260" s="28" t="s">
        <v>12</v>
      </c>
      <c r="E260" s="27">
        <v>18.5</v>
      </c>
      <c r="F260" s="29">
        <f>LOOKUP(E260,{0,-1.8,-0.8,0.2,1.2,2.2,3.2,4.6,6,7.4,8.8,10.2,11.6,13,14.4,15.8,17.2,19.1,21,22.8,24.6},{0,10,20,30,40,50,60,62,64,66,68,70,72,74,76,78,80,85,90,95,100})</f>
        <v>80</v>
      </c>
      <c r="G260" s="27">
        <v>250</v>
      </c>
      <c r="H260" s="29">
        <f>LOOKUP(G260,{0,180,185,190,195,200,205,209,213,217,221,225,229,233,237,241,245,253,260,265,270},{0,10,20,30,40,50,60,62,64,66,68,70,72,74,76,78,80,85,90,95,100})</f>
        <v>80</v>
      </c>
      <c r="I260" s="27">
        <v>5</v>
      </c>
      <c r="J260" s="29">
        <f>LOOKUP(I260,{0,4,5,6,7,8,9,10,11,12,13,14,15,16,17,18},{0,10,20,30,40,50,60,64,68,72,76,80,85,90,95,100})</f>
        <v>20</v>
      </c>
      <c r="K260" s="44"/>
      <c r="L260" s="35"/>
      <c r="M260" s="35">
        <f t="shared" si="25"/>
        <v>20</v>
      </c>
      <c r="N260" s="35">
        <v>7</v>
      </c>
      <c r="O260" s="36">
        <f t="shared" si="26"/>
        <v>11</v>
      </c>
      <c r="P260" s="29">
        <f>LOOKUP(O260,{0,7.8,8,8.2,8.4,8.6,8.8,9,9.2,9.4,9.6,9.8,10,10.2,10.4,10.6,10.8,10.9,11,11.1,11.2},{0,10,20,30,40,50,60,62,64,66,68,70,72,74,76,78,80,85,90,95,100})</f>
        <v>90</v>
      </c>
      <c r="Q260" s="5">
        <v>5.5</v>
      </c>
      <c r="R260" s="36">
        <f t="shared" si="27"/>
        <v>4.5</v>
      </c>
      <c r="S260" s="29">
        <f>LOOKUP(R260,{0,3.85,4.45,4.65,4.85,5.45,5.65,5.7,5.75,5.8,5.85,5.9,5.95,6,6.45,6.5,6.55,6.63,6.7,6.75,6.8},{0,10,20,30,40,50,60,62,64,66,68,70,72,74,76,78,80,85,90,95,100})</f>
        <v>20</v>
      </c>
      <c r="T260" s="27"/>
      <c r="U260" s="27"/>
      <c r="V260" s="27">
        <f t="shared" si="28"/>
        <v>20</v>
      </c>
      <c r="W260" s="27"/>
      <c r="X260" s="19">
        <f t="shared" si="29"/>
        <v>40</v>
      </c>
      <c r="Y260" s="13">
        <f t="shared" si="30"/>
        <v>57.1428571428571</v>
      </c>
    </row>
    <row r="261" ht="15.6" spans="1:25">
      <c r="A261" s="27">
        <v>306</v>
      </c>
      <c r="B261" s="27">
        <v>1</v>
      </c>
      <c r="C261" s="30" t="s">
        <v>242</v>
      </c>
      <c r="D261" s="28" t="s">
        <v>12</v>
      </c>
      <c r="E261" s="27">
        <v>8</v>
      </c>
      <c r="F261" s="29">
        <f>LOOKUP(E261,{0,-1.8,-0.8,0.2,1.2,2.2,3.2,4.6,6,7.4,8.8,10.2,11.6,13,14.4,15.8,17.2,19.1,21,22.8,24.6},{0,10,20,30,40,50,60,62,64,66,68,70,72,74,76,78,80,85,90,95,100})</f>
        <v>66</v>
      </c>
      <c r="G261" s="27">
        <v>250</v>
      </c>
      <c r="H261" s="29">
        <f>LOOKUP(G261,{0,180,185,190,195,200,205,209,213,217,221,225,229,233,237,241,245,253,260,265,270},{0,10,20,30,40,50,60,62,64,66,68,70,72,74,76,78,80,85,90,95,100})</f>
        <v>80</v>
      </c>
      <c r="I261" s="27">
        <v>1</v>
      </c>
      <c r="J261" s="29">
        <f>LOOKUP(I261,{0,4,5,6,7,8,9,10,11,12,13,14,15,16,17,18},{0,10,20,30,40,50,60,64,68,72,76,80,85,90,95,100})</f>
        <v>0</v>
      </c>
      <c r="K261" s="44"/>
      <c r="L261" s="35"/>
      <c r="M261" s="35">
        <f t="shared" si="25"/>
        <v>0</v>
      </c>
      <c r="N261" s="35">
        <v>7.6</v>
      </c>
      <c r="O261" s="36">
        <f t="shared" si="26"/>
        <v>10.4</v>
      </c>
      <c r="P261" s="29">
        <f>LOOKUP(O261,{0,7.8,8,8.2,8.4,8.6,8.8,9,9.2,9.4,9.6,9.8,10,10.2,10.4,10.6,10.8,10.9,11,11.1,11.2},{0,10,20,30,40,50,60,62,64,66,68,70,72,74,76,78,80,85,90,95,100})</f>
        <v>76</v>
      </c>
      <c r="Q261" s="5">
        <v>4.36</v>
      </c>
      <c r="R261" s="36">
        <f t="shared" si="27"/>
        <v>5.64</v>
      </c>
      <c r="S261" s="29">
        <f>LOOKUP(R261,{0,3.85,4.45,4.65,4.85,5.45,5.65,5.7,5.75,5.8,5.85,5.9,5.95,6,6.45,6.5,6.55,6.63,6.7,6.75,6.8},{0,10,20,30,40,50,60,62,64,66,68,70,72,74,76,78,80,85,90,95,100})</f>
        <v>50</v>
      </c>
      <c r="T261" s="27"/>
      <c r="U261" s="27"/>
      <c r="V261" s="27">
        <f t="shared" si="28"/>
        <v>50</v>
      </c>
      <c r="W261" s="27"/>
      <c r="X261" s="19">
        <f t="shared" si="29"/>
        <v>39.8</v>
      </c>
      <c r="Y261" s="13">
        <f t="shared" si="30"/>
        <v>56.8571428571429</v>
      </c>
    </row>
    <row r="262" ht="15.6" spans="1:25">
      <c r="A262" s="27">
        <v>302</v>
      </c>
      <c r="B262" s="27">
        <v>15</v>
      </c>
      <c r="C262" s="27" t="s">
        <v>73</v>
      </c>
      <c r="D262" s="27" t="s">
        <v>12</v>
      </c>
      <c r="E262" s="27">
        <v>12.3</v>
      </c>
      <c r="F262" s="29">
        <f>LOOKUP(E262,{0,-1.8,-0.8,0.2,1.2,2.2,3.2,4.6,6,7.4,8.8,10.2,11.6,13,14.4,15.8,17.2,19.1,21,22.8,24.6},{0,10,20,30,40,50,60,62,64,66,68,70,72,74,76,78,80,85,90,95,100})</f>
        <v>72</v>
      </c>
      <c r="G262" s="27">
        <v>227</v>
      </c>
      <c r="H262" s="29">
        <f>LOOKUP(G262,{0,180,185,190,195,200,205,209,213,217,221,225,229,233,237,241,245,253,260,265,270},{0,10,20,30,40,50,60,62,64,66,68,70,72,74,76,78,80,85,90,95,100})</f>
        <v>70</v>
      </c>
      <c r="I262" s="27">
        <v>2</v>
      </c>
      <c r="J262" s="29">
        <f>LOOKUP(I262,{0,4,5,6,7,8,9,10,11,12,13,14,15,16,17,18},{0,10,20,30,40,50,60,64,68,72,76,80,85,90,95,100})</f>
        <v>0</v>
      </c>
      <c r="K262" s="44"/>
      <c r="L262" s="35"/>
      <c r="M262" s="35">
        <f t="shared" si="25"/>
        <v>0</v>
      </c>
      <c r="N262" s="35">
        <v>7.3</v>
      </c>
      <c r="O262" s="36">
        <f t="shared" si="26"/>
        <v>10.7</v>
      </c>
      <c r="P262" s="29">
        <f>LOOKUP(O262,{0,7.8,8,8.2,8.4,8.6,8.8,9,9.2,9.4,9.6,9.8,10,10.2,10.4,10.6,10.8,10.9,11,11.1,11.2},{0,10,20,30,40,50,60,62,64,66,68,70,72,74,76,78,80,85,90,95,100})</f>
        <v>78</v>
      </c>
      <c r="Q262" s="5">
        <v>4.37</v>
      </c>
      <c r="R262" s="36">
        <f t="shared" si="27"/>
        <v>5.63</v>
      </c>
      <c r="S262" s="29">
        <f>LOOKUP(R262,{0,3.85,4.45,4.65,4.85,5.45,5.65,5.7,5.75,5.8,5.85,5.9,5.95,6,6.45,6.5,6.55,6.63,6.7,6.75,6.8},{0,10,20,30,40,50,60,62,64,66,68,70,72,74,76,78,80,85,90,95,100})</f>
        <v>50</v>
      </c>
      <c r="T262" s="27"/>
      <c r="U262" s="27"/>
      <c r="V262" s="27">
        <f t="shared" si="28"/>
        <v>50</v>
      </c>
      <c r="W262" s="27"/>
      <c r="X262" s="19">
        <f t="shared" si="29"/>
        <v>39.8</v>
      </c>
      <c r="Y262" s="13">
        <f t="shared" si="30"/>
        <v>56.8571428571429</v>
      </c>
    </row>
    <row r="263" ht="15.6" spans="1:25">
      <c r="A263" s="27">
        <v>309</v>
      </c>
      <c r="B263" s="27">
        <v>17</v>
      </c>
      <c r="C263" s="28" t="s">
        <v>422</v>
      </c>
      <c r="D263" s="28" t="s">
        <v>12</v>
      </c>
      <c r="E263" s="27">
        <v>9.4</v>
      </c>
      <c r="F263" s="29">
        <f>LOOKUP(E263,{0,-1.8,-0.8,0.2,1.2,2.2,3.2,4.6,6,7.4,8.8,10.2,11.6,13,14.4,15.8,17.2,19.1,21,22.8,24.6},{0,10,20,30,40,50,60,62,64,66,68,70,72,74,76,78,80,85,90,95,100})</f>
        <v>68</v>
      </c>
      <c r="G263" s="27">
        <v>225</v>
      </c>
      <c r="H263" s="29">
        <f>LOOKUP(G263,{0,180,185,190,195,200,205,209,213,217,221,225,229,233,237,241,245,253,260,265,270},{0,10,20,30,40,50,60,62,64,66,68,70,72,74,76,78,80,85,90,95,100})</f>
        <v>70</v>
      </c>
      <c r="I263" s="27">
        <v>2</v>
      </c>
      <c r="J263" s="29">
        <f>LOOKUP(I263,{0,4,5,6,7,8,9,10,11,12,13,14,15,16,17,18},{0,10,20,30,40,50,60,64,68,72,76,80,85,90,95,100})</f>
        <v>0</v>
      </c>
      <c r="K263" s="44"/>
      <c r="L263" s="35"/>
      <c r="M263" s="35">
        <f t="shared" si="25"/>
        <v>0</v>
      </c>
      <c r="N263" s="35">
        <v>8.5</v>
      </c>
      <c r="O263" s="36">
        <f t="shared" si="26"/>
        <v>9.5</v>
      </c>
      <c r="P263" s="29">
        <f>LOOKUP(O263,{0,7.8,8,8.2,8.4,8.6,8.8,9,9.2,9.4,9.6,9.8,10,10.2,10.4,10.6,10.8,10.9,11,11.1,11.2},{0,10,20,30,40,50,60,62,64,66,68,70,72,74,76,78,80,85,90,95,100})</f>
        <v>66</v>
      </c>
      <c r="Q263" s="5">
        <v>4.24</v>
      </c>
      <c r="R263" s="36">
        <f t="shared" si="27"/>
        <v>5.76</v>
      </c>
      <c r="S263" s="29">
        <f>LOOKUP(R263,{0,3.85,4.45,4.65,4.85,5.45,5.65,5.7,5.75,5.8,5.85,5.9,5.95,6,6.45,6.5,6.55,6.63,6.7,6.75,6.8},{0,10,20,30,40,50,60,62,64,66,68,70,72,74,76,78,80,85,90,95,100})</f>
        <v>64</v>
      </c>
      <c r="T263" s="27"/>
      <c r="U263" s="27"/>
      <c r="V263" s="27">
        <f t="shared" si="28"/>
        <v>64</v>
      </c>
      <c r="W263" s="27"/>
      <c r="X263" s="19">
        <f t="shared" si="29"/>
        <v>39.8</v>
      </c>
      <c r="Y263" s="13">
        <f t="shared" si="30"/>
        <v>56.8571428571429</v>
      </c>
    </row>
    <row r="264" ht="15.6" spans="1:25">
      <c r="A264" s="27">
        <v>301</v>
      </c>
      <c r="B264" s="27">
        <v>31</v>
      </c>
      <c r="C264" s="27" t="s">
        <v>43</v>
      </c>
      <c r="D264" s="27" t="s">
        <v>12</v>
      </c>
      <c r="E264" s="27">
        <v>13</v>
      </c>
      <c r="F264" s="29">
        <f>LOOKUP(E264,{0,-1.8,-0.8,0.2,1.2,2.2,3.2,4.6,6,7.4,8.8,10.2,11.6,13,14.4,15.8,17.2,19.1,21,22.8,24.6},{0,10,20,30,40,50,60,62,64,66,68,70,72,74,76,78,80,85,90,95,100})</f>
        <v>74</v>
      </c>
      <c r="G264" s="27">
        <v>200</v>
      </c>
      <c r="H264" s="29">
        <f>LOOKUP(G264,{0,180,185,190,195,200,205,209,213,217,221,225,229,233,237,241,245,253,260,265,270},{0,10,20,30,40,50,60,62,64,66,68,70,72,74,76,78,80,85,90,95,100})</f>
        <v>50</v>
      </c>
      <c r="I264" s="27">
        <v>0</v>
      </c>
      <c r="J264" s="29">
        <f>LOOKUP(I264,{0,4,5,6,7,8,9,10,11,12,13,14,15,16,17,18},{0,10,20,30,40,50,60,64,68,72,76,80,85,90,95,100})</f>
        <v>0</v>
      </c>
      <c r="K264" s="44"/>
      <c r="L264" s="35"/>
      <c r="M264" s="35">
        <f t="shared" si="25"/>
        <v>0</v>
      </c>
      <c r="N264" s="35">
        <v>7.7</v>
      </c>
      <c r="O264" s="36">
        <f t="shared" si="26"/>
        <v>10.3</v>
      </c>
      <c r="P264" s="29">
        <f>LOOKUP(O264,{0,7.8,8,8.2,8.4,8.6,8.8,9,9.2,9.4,9.6,9.8,10,10.2,10.4,10.6,10.8,10.9,11,11.1,11.2},{0,10,20,30,40,50,60,62,64,66,68,70,72,74,76,78,80,85,90,95,100})</f>
        <v>74</v>
      </c>
      <c r="Q264" s="5">
        <v>4.26</v>
      </c>
      <c r="R264" s="36">
        <f t="shared" si="27"/>
        <v>5.74</v>
      </c>
      <c r="S264" s="29">
        <f>LOOKUP(R264,{0,3.85,4.45,4.65,4.85,5.45,5.65,5.7,5.75,5.8,5.85,5.9,5.95,6,6.45,6.5,6.55,6.63,6.7,6.75,6.8},{0,10,20,30,40,50,60,62,64,66,68,70,72,74,76,78,80,85,90,95,100})</f>
        <v>62</v>
      </c>
      <c r="T264" s="27"/>
      <c r="U264" s="27"/>
      <c r="V264" s="27">
        <f t="shared" si="28"/>
        <v>62</v>
      </c>
      <c r="W264" s="27"/>
      <c r="X264" s="19">
        <f t="shared" si="29"/>
        <v>39.6</v>
      </c>
      <c r="Y264" s="13">
        <f t="shared" si="30"/>
        <v>56.5714285714286</v>
      </c>
    </row>
    <row r="265" ht="15.6" spans="1:25">
      <c r="A265" s="27">
        <v>303</v>
      </c>
      <c r="B265" s="27">
        <v>3</v>
      </c>
      <c r="C265" s="27" t="s">
        <v>105</v>
      </c>
      <c r="D265" s="27" t="s">
        <v>12</v>
      </c>
      <c r="E265" s="27">
        <v>5.5</v>
      </c>
      <c r="F265" s="29">
        <f>LOOKUP(E265,{0,-1.8,-0.8,0.2,1.2,2.2,3.2,4.6,6,7.4,8.8,10.2,11.6,13,14.4,15.8,17.2,19.1,21,22.8,24.6},{0,10,20,30,40,50,60,62,64,66,68,70,72,74,76,78,80,85,90,95,100})</f>
        <v>62</v>
      </c>
      <c r="G265" s="27">
        <v>200</v>
      </c>
      <c r="H265" s="29">
        <f>LOOKUP(G265,{0,180,185,190,195,200,205,209,213,217,221,225,229,233,237,241,245,253,260,265,270},{0,10,20,30,40,50,60,62,64,66,68,70,72,74,76,78,80,85,90,95,100})</f>
        <v>50</v>
      </c>
      <c r="I265" s="27">
        <v>1</v>
      </c>
      <c r="J265" s="29">
        <f>LOOKUP(I265,{0,4,5,6,7,8,9,10,11,12,13,14,15,16,17,18},{0,10,20,30,40,50,60,64,68,72,76,80,85,90,95,100})</f>
        <v>0</v>
      </c>
      <c r="K265" s="44"/>
      <c r="L265" s="35"/>
      <c r="M265" s="35">
        <f t="shared" si="25"/>
        <v>0</v>
      </c>
      <c r="N265" s="35">
        <v>7.7</v>
      </c>
      <c r="O265" s="36">
        <f t="shared" si="26"/>
        <v>10.3</v>
      </c>
      <c r="P265" s="29">
        <f>LOOKUP(O265,{0,7.8,8,8.2,8.4,8.6,8.8,9,9.2,9.4,9.6,9.8,10,10.2,10.4,10.6,10.8,10.9,11,11.1,11.2},{0,10,20,30,40,50,60,62,64,66,68,70,72,74,76,78,80,85,90,95,100})</f>
        <v>74</v>
      </c>
      <c r="Q265" s="5">
        <v>4.12</v>
      </c>
      <c r="R265" s="36">
        <f t="shared" si="27"/>
        <v>5.88</v>
      </c>
      <c r="S265" s="29">
        <f>LOOKUP(R265,{0,3.85,4.45,4.65,4.85,5.45,5.65,5.7,5.75,5.8,5.85,5.9,5.95,6,6.45,6.5,6.55,6.63,6.7,6.75,6.8},{0,10,20,30,40,50,60,62,64,66,68,70,72,74,76,78,80,85,90,95,100})</f>
        <v>68</v>
      </c>
      <c r="T265" s="27"/>
      <c r="U265" s="27"/>
      <c r="V265" s="27">
        <f t="shared" si="28"/>
        <v>68</v>
      </c>
      <c r="W265" s="27"/>
      <c r="X265" s="19">
        <f t="shared" si="29"/>
        <v>39.6</v>
      </c>
      <c r="Y265" s="13">
        <f t="shared" si="30"/>
        <v>56.5714285714286</v>
      </c>
    </row>
    <row r="266" ht="15.6" spans="1:25">
      <c r="A266" s="27">
        <v>304</v>
      </c>
      <c r="B266" s="27">
        <v>21</v>
      </c>
      <c r="C266" s="27" t="s">
        <v>169</v>
      </c>
      <c r="D266" s="27" t="s">
        <v>12</v>
      </c>
      <c r="E266" s="27">
        <v>12.5</v>
      </c>
      <c r="F266" s="29">
        <f>LOOKUP(E266,{0,-1.8,-0.8,0.2,1.2,2.2,3.2,4.6,6,7.4,8.8,10.2,11.6,13,14.4,15.8,17.2,19.1,21,22.8,24.6},{0,10,20,30,40,50,60,62,64,66,68,70,72,74,76,78,80,85,90,95,100})</f>
        <v>72</v>
      </c>
      <c r="G266" s="27">
        <v>195</v>
      </c>
      <c r="H266" s="29">
        <f>LOOKUP(G266,{0,180,185,190,195,200,205,209,213,217,221,225,229,233,237,241,245,253,260,265,270},{0,10,20,30,40,50,60,62,64,66,68,70,72,74,76,78,80,85,90,95,100})</f>
        <v>40</v>
      </c>
      <c r="I266" s="27">
        <v>0</v>
      </c>
      <c r="J266" s="29">
        <f>LOOKUP(I266,{0,4,5,6,7,8,9,10,11,12,13,14,15,16,17,18},{0,10,20,30,40,50,60,64,68,72,76,80,85,90,95,100})</f>
        <v>0</v>
      </c>
      <c r="K266" s="44"/>
      <c r="L266" s="35"/>
      <c r="M266" s="35">
        <f t="shared" si="25"/>
        <v>0</v>
      </c>
      <c r="N266" s="35">
        <v>7.5</v>
      </c>
      <c r="O266" s="36">
        <f t="shared" si="26"/>
        <v>10.5</v>
      </c>
      <c r="P266" s="29">
        <f>LOOKUP(O266,{0,7.8,8,8.2,8.4,8.6,8.8,9,9.2,9.4,9.6,9.8,10,10.2,10.4,10.6,10.8,10.9,11,11.1,11.2},{0,10,20,30,40,50,60,62,64,66,68,70,72,74,76,78,80,85,90,95,100})</f>
        <v>76</v>
      </c>
      <c r="Q266" s="5">
        <v>4.19</v>
      </c>
      <c r="R266" s="36">
        <f t="shared" si="27"/>
        <v>5.81</v>
      </c>
      <c r="S266" s="29">
        <f>LOOKUP(R266,{0,3.85,4.45,4.65,4.85,5.45,5.65,5.7,5.75,5.8,5.85,5.9,5.95,6,6.45,6.5,6.55,6.63,6.7,6.75,6.8},{0,10,20,30,40,50,60,62,64,66,68,70,72,74,76,78,80,85,90,95,100})</f>
        <v>66</v>
      </c>
      <c r="T266" s="27"/>
      <c r="U266" s="27"/>
      <c r="V266" s="27">
        <f t="shared" si="28"/>
        <v>66</v>
      </c>
      <c r="W266" s="27"/>
      <c r="X266" s="19">
        <f t="shared" si="29"/>
        <v>39.6</v>
      </c>
      <c r="Y266" s="13">
        <f t="shared" si="30"/>
        <v>56.5714285714286</v>
      </c>
    </row>
    <row r="267" ht="15.6" spans="1:25">
      <c r="A267" s="27">
        <v>313</v>
      </c>
      <c r="B267" s="27">
        <v>15</v>
      </c>
      <c r="C267" s="28" t="s">
        <v>642</v>
      </c>
      <c r="D267" s="28" t="s">
        <v>12</v>
      </c>
      <c r="E267" s="27">
        <v>17</v>
      </c>
      <c r="F267" s="29">
        <f>LOOKUP(E267,{0,-1.8,-0.8,0.2,1.2,2.2,3.2,4.6,6,7.4,8.8,10.2,11.6,13,14.4,15.8,17.2,19.1,21,22.8,24.6},{0,10,20,30,40,50,60,62,64,66,68,70,72,74,76,78,80,85,90,95,100})</f>
        <v>78</v>
      </c>
      <c r="G267" s="27">
        <v>239</v>
      </c>
      <c r="H267" s="29">
        <f>LOOKUP(G267,{0,180,185,190,195,200,205,209,213,217,221,225,229,233,237,241,245,253,260,265,270},{0,10,20,30,40,50,60,62,64,66,68,70,72,74,76,78,80,85,90,95,100})</f>
        <v>76</v>
      </c>
      <c r="I267" s="27">
        <v>4</v>
      </c>
      <c r="J267" s="29">
        <f>LOOKUP(I267,{0,4,5,6,7,8,9,10,11,12,13,14,15,16,17,18},{0,10,20,30,40,50,60,64,68,72,76,80,85,90,95,100})</f>
        <v>10</v>
      </c>
      <c r="K267" s="44"/>
      <c r="L267" s="35"/>
      <c r="M267" s="35">
        <f t="shared" si="25"/>
        <v>10</v>
      </c>
      <c r="N267" s="35">
        <v>7.5</v>
      </c>
      <c r="O267" s="36">
        <f t="shared" si="26"/>
        <v>10.5</v>
      </c>
      <c r="P267" s="29">
        <f>LOOKUP(O267,{0,7.8,8,8.2,8.4,8.6,8.8,9,9.2,9.4,9.6,9.8,10,10.2,10.4,10.6,10.8,10.9,11,11.1,11.2},{0,10,20,30,40,50,60,62,64,66,68,70,72,74,76,78,80,85,90,95,100})</f>
        <v>76</v>
      </c>
      <c r="Q267" s="5">
        <v>5.09</v>
      </c>
      <c r="R267" s="36">
        <f t="shared" si="27"/>
        <v>4.91</v>
      </c>
      <c r="S267" s="29">
        <f>LOOKUP(R267,{0,3.85,4.45,4.65,4.85,5.45,5.65,5.7,5.75,5.8,5.85,5.9,5.95,6,6.45,6.5,6.55,6.63,6.7,6.75,6.8},{0,10,20,30,40,50,60,62,64,66,68,70,72,74,76,78,80,85,90,95,100})</f>
        <v>40</v>
      </c>
      <c r="T267" s="27"/>
      <c r="U267" s="27"/>
      <c r="V267" s="27">
        <f t="shared" si="28"/>
        <v>40</v>
      </c>
      <c r="W267" s="27"/>
      <c r="X267" s="19">
        <f t="shared" si="29"/>
        <v>39.6</v>
      </c>
      <c r="Y267" s="13">
        <f t="shared" si="30"/>
        <v>56.5714285714286</v>
      </c>
    </row>
    <row r="268" ht="15.6" spans="1:25">
      <c r="A268" s="27">
        <v>301</v>
      </c>
      <c r="B268" s="27">
        <v>12</v>
      </c>
      <c r="C268" s="27" t="s">
        <v>23</v>
      </c>
      <c r="D268" s="27" t="s">
        <v>12</v>
      </c>
      <c r="E268" s="27">
        <v>17.5</v>
      </c>
      <c r="F268" s="29">
        <f>LOOKUP(E268,{0,-1.8,-0.8,0.2,1.2,2.2,3.2,4.6,6,7.4,8.8,10.2,11.6,13,14.4,15.8,17.2,19.1,21,22.8,24.6},{0,10,20,30,40,50,60,62,64,66,68,70,72,74,76,78,80,85,90,95,100})</f>
        <v>80</v>
      </c>
      <c r="G268" s="27">
        <v>195</v>
      </c>
      <c r="H268" s="29">
        <f>LOOKUP(G268,{0,180,185,190,195,200,205,209,213,217,221,225,229,233,237,241,245,253,260,265,270},{0,10,20,30,40,50,60,62,64,66,68,70,72,74,76,78,80,85,90,95,100})</f>
        <v>40</v>
      </c>
      <c r="I268" s="27">
        <v>4</v>
      </c>
      <c r="J268" s="29">
        <f>LOOKUP(I268,{0,4,5,6,7,8,9,10,11,12,13,14,15,16,17,18},{0,10,20,30,40,50,60,64,68,72,76,80,85,90,95,100})</f>
        <v>10</v>
      </c>
      <c r="K268" s="44"/>
      <c r="L268" s="35"/>
      <c r="M268" s="35">
        <f t="shared" si="25"/>
        <v>10</v>
      </c>
      <c r="N268" s="35">
        <v>8.7</v>
      </c>
      <c r="O268" s="36">
        <f t="shared" si="26"/>
        <v>9.3</v>
      </c>
      <c r="P268" s="29">
        <f>LOOKUP(O268,{0,7.8,8,8.2,8.4,8.6,8.8,9,9.2,9.4,9.6,9.8,10,10.2,10.4,10.6,10.8,10.9,11,11.1,11.2},{0,10,20,30,40,50,60,62,64,66,68,70,72,74,76,78,80,85,90,95,100})</f>
        <v>64</v>
      </c>
      <c r="Q268" s="5">
        <v>4.14</v>
      </c>
      <c r="R268" s="36">
        <f t="shared" si="27"/>
        <v>5.86</v>
      </c>
      <c r="S268" s="29">
        <f>LOOKUP(R268,{0,3.85,4.45,4.65,4.85,5.45,5.65,5.7,5.75,5.8,5.85,5.9,5.95,6,6.45,6.5,6.55,6.63,6.7,6.75,6.8},{0,10,20,30,40,50,60,62,64,66,68,70,72,74,76,78,80,85,90,95,100})</f>
        <v>68</v>
      </c>
      <c r="T268" s="27"/>
      <c r="U268" s="27"/>
      <c r="V268" s="27">
        <f t="shared" si="28"/>
        <v>68</v>
      </c>
      <c r="W268" s="27"/>
      <c r="X268" s="19">
        <f t="shared" si="29"/>
        <v>39.4</v>
      </c>
      <c r="Y268" s="13">
        <f t="shared" si="30"/>
        <v>56.2857142857143</v>
      </c>
    </row>
    <row r="269" ht="15.6" spans="1:25">
      <c r="A269" s="27">
        <v>304</v>
      </c>
      <c r="B269" s="27">
        <v>30</v>
      </c>
      <c r="C269" s="27" t="s">
        <v>179</v>
      </c>
      <c r="D269" s="27" t="s">
        <v>12</v>
      </c>
      <c r="E269" s="27">
        <v>13</v>
      </c>
      <c r="F269" s="29">
        <f>LOOKUP(E269,{0,-1.8,-0.8,0.2,1.2,2.2,3.2,4.6,6,7.4,8.8,10.2,11.6,13,14.4,15.8,17.2,19.1,21,22.8,24.6},{0,10,20,30,40,50,60,62,64,66,68,70,72,74,76,78,80,85,90,95,100})</f>
        <v>74</v>
      </c>
      <c r="G269" s="27">
        <v>230</v>
      </c>
      <c r="H269" s="29">
        <f>LOOKUP(G269,{0,180,185,190,195,200,205,209,213,217,221,225,229,233,237,241,245,253,260,265,270},{0,10,20,30,40,50,60,62,64,66,68,70,72,74,76,78,80,85,90,95,100})</f>
        <v>72</v>
      </c>
      <c r="I269" s="27">
        <v>2</v>
      </c>
      <c r="J269" s="29">
        <f>LOOKUP(I269,{0,4,5,6,7,8,9,10,11,12,13,14,15,16,17,18},{0,10,20,30,40,50,60,64,68,72,76,80,85,90,95,100})</f>
        <v>0</v>
      </c>
      <c r="K269" s="44"/>
      <c r="L269" s="35"/>
      <c r="M269" s="35">
        <f t="shared" si="25"/>
        <v>0</v>
      </c>
      <c r="N269" s="35">
        <v>7.7</v>
      </c>
      <c r="O269" s="36">
        <f t="shared" si="26"/>
        <v>10.3</v>
      </c>
      <c r="P269" s="29">
        <f>LOOKUP(O269,{0,7.8,8,8.2,8.4,8.6,8.8,9,9.2,9.4,9.6,9.8,10,10.2,10.4,10.6,10.8,10.9,11,11.1,11.2},{0,10,20,30,40,50,60,62,64,66,68,70,72,74,76,78,80,85,90,95,100})</f>
        <v>74</v>
      </c>
      <c r="Q269" s="5">
        <v>4.5</v>
      </c>
      <c r="R269" s="36">
        <f t="shared" si="27"/>
        <v>5.5</v>
      </c>
      <c r="S269" s="29">
        <f>LOOKUP(R269,{0,3.85,4.45,4.65,4.85,5.45,5.65,5.7,5.75,5.8,5.85,5.9,5.95,6,6.45,6.5,6.55,6.63,6.7,6.75,6.8},{0,10,20,30,40,50,60,62,64,66,68,70,72,74,76,78,80,85,90,95,100})</f>
        <v>50</v>
      </c>
      <c r="T269" s="27"/>
      <c r="U269" s="27"/>
      <c r="V269" s="27">
        <f t="shared" si="28"/>
        <v>50</v>
      </c>
      <c r="W269" s="27"/>
      <c r="X269" s="19">
        <f t="shared" si="29"/>
        <v>39.4</v>
      </c>
      <c r="Y269" s="13">
        <f t="shared" si="30"/>
        <v>56.2857142857143</v>
      </c>
    </row>
    <row r="270" ht="15.6" spans="1:25">
      <c r="A270" s="27">
        <v>306</v>
      </c>
      <c r="B270" s="27">
        <v>6</v>
      </c>
      <c r="C270" s="28" t="s">
        <v>247</v>
      </c>
      <c r="D270" s="28" t="s">
        <v>12</v>
      </c>
      <c r="E270" s="27">
        <v>-9</v>
      </c>
      <c r="F270" s="29">
        <v>0</v>
      </c>
      <c r="G270" s="27">
        <v>215</v>
      </c>
      <c r="H270" s="29">
        <f>LOOKUP(G270,{0,180,185,190,195,200,205,209,213,217,221,225,229,233,237,241,245,253,260,265,270},{0,10,20,30,40,50,60,62,64,66,68,70,72,74,76,78,80,85,90,95,100})</f>
        <v>64</v>
      </c>
      <c r="I270" s="27">
        <v>6</v>
      </c>
      <c r="J270" s="29">
        <f>LOOKUP(I270,{0,4,5,6,7,8,9,10,11,12,13,14,15,16,17,18},{0,10,20,30,40,50,60,64,68,72,76,80,85,90,95,100})</f>
        <v>30</v>
      </c>
      <c r="K270" s="44"/>
      <c r="L270" s="35"/>
      <c r="M270" s="35">
        <f t="shared" si="25"/>
        <v>30</v>
      </c>
      <c r="N270" s="35">
        <v>7.5</v>
      </c>
      <c r="O270" s="36">
        <f t="shared" si="26"/>
        <v>10.5</v>
      </c>
      <c r="P270" s="29">
        <f>LOOKUP(O270,{0,7.8,8,8.2,8.4,8.6,8.8,9,9.2,9.4,9.6,9.8,10,10.2,10.4,10.6,10.8,10.9,11,11.1,11.2},{0,10,20,30,40,50,60,62,64,66,68,70,72,74,76,78,80,85,90,95,100})</f>
        <v>76</v>
      </c>
      <c r="Q270" s="5">
        <v>3.56</v>
      </c>
      <c r="R270" s="36">
        <f t="shared" si="27"/>
        <v>6.44</v>
      </c>
      <c r="S270" s="29">
        <f>LOOKUP(R270,{0,3.85,4.45,4.65,4.85,5.45,5.65,5.7,5.75,5.8,5.85,5.9,5.95,6,6.45,6.5,6.55,6.63,6.7,6.75,6.8},{0,10,20,30,40,50,60,62,64,66,68,70,72,74,76,78,80,85,90,95,100})</f>
        <v>74</v>
      </c>
      <c r="T270" s="27"/>
      <c r="U270" s="27"/>
      <c r="V270" s="27">
        <f t="shared" si="28"/>
        <v>74</v>
      </c>
      <c r="W270" s="27"/>
      <c r="X270" s="19">
        <f t="shared" si="29"/>
        <v>39.4</v>
      </c>
      <c r="Y270" s="13">
        <f t="shared" si="30"/>
        <v>56.2857142857143</v>
      </c>
    </row>
    <row r="271" ht="15.6" spans="1:25">
      <c r="A271" s="27">
        <v>302</v>
      </c>
      <c r="B271" s="27">
        <v>10</v>
      </c>
      <c r="C271" s="27" t="s">
        <v>67</v>
      </c>
      <c r="D271" s="27" t="s">
        <v>12</v>
      </c>
      <c r="E271" s="27">
        <v>2</v>
      </c>
      <c r="F271" s="29">
        <f>LOOKUP(E271,{0,-1.8,-0.8,0.2,1.2,2.2,3.2,4.6,6,7.4,8.8,10.2,11.6,13,14.4,15.8,17.2,19.1,21,22.8,24.6},{0,10,20,30,40,50,60,62,64,66,68,70,72,74,76,78,80,85,90,95,100})</f>
        <v>40</v>
      </c>
      <c r="G271" s="27">
        <v>229</v>
      </c>
      <c r="H271" s="29">
        <f>LOOKUP(G271,{0,180,185,190,195,200,205,209,213,217,221,225,229,233,237,241,245,253,260,265,270},{0,10,20,30,40,50,60,62,64,66,68,70,72,74,76,78,80,85,90,95,100})</f>
        <v>72</v>
      </c>
      <c r="I271" s="27">
        <v>2</v>
      </c>
      <c r="J271" s="29">
        <f>LOOKUP(I271,{0,4,5,6,7,8,9,10,11,12,13,14,15,16,17,18},{0,10,20,30,40,50,60,64,68,72,76,80,85,90,95,100})</f>
        <v>0</v>
      </c>
      <c r="K271" s="44"/>
      <c r="L271" s="35"/>
      <c r="M271" s="35">
        <f t="shared" si="25"/>
        <v>0</v>
      </c>
      <c r="N271" s="35">
        <v>8</v>
      </c>
      <c r="O271" s="36">
        <f t="shared" si="26"/>
        <v>10</v>
      </c>
      <c r="P271" s="29">
        <f>LOOKUP(O271,{0,7.8,8,8.2,8.4,8.6,8.8,9,9.2,9.4,9.6,9.8,10,10.2,10.4,10.6,10.8,10.9,11,11.1,11.2},{0,10,20,30,40,50,60,62,64,66,68,70,72,74,76,78,80,85,90,95,100})</f>
        <v>72</v>
      </c>
      <c r="Q271" s="5">
        <v>4.15</v>
      </c>
      <c r="R271" s="36">
        <f t="shared" si="27"/>
        <v>5.85</v>
      </c>
      <c r="S271" s="29">
        <f>LOOKUP(R271,{0,3.85,4.45,4.65,4.85,5.45,5.65,5.7,5.75,5.8,5.85,5.9,5.95,6,6.45,6.5,6.55,6.63,6.7,6.75,6.8},{0,10,20,30,40,50,60,62,64,66,68,70,72,74,76,78,80,85,90,95,100})</f>
        <v>68</v>
      </c>
      <c r="T271" s="27"/>
      <c r="U271" s="27"/>
      <c r="V271" s="27">
        <f t="shared" si="28"/>
        <v>68</v>
      </c>
      <c r="W271" s="27"/>
      <c r="X271" s="19">
        <f t="shared" si="29"/>
        <v>39.2</v>
      </c>
      <c r="Y271" s="13">
        <f t="shared" si="30"/>
        <v>56</v>
      </c>
    </row>
    <row r="272" ht="15.6" spans="1:25">
      <c r="A272" s="27">
        <v>304</v>
      </c>
      <c r="B272" s="27">
        <v>15</v>
      </c>
      <c r="C272" s="27" t="s">
        <v>163</v>
      </c>
      <c r="D272" s="27" t="s">
        <v>12</v>
      </c>
      <c r="E272" s="27">
        <v>6</v>
      </c>
      <c r="F272" s="29">
        <f>LOOKUP(E272,{0,-1.8,-0.8,0.2,1.2,2.2,3.2,4.6,6,7.4,8.8,10.2,11.6,13,14.4,15.8,17.2,19.1,21,22.8,24.6},{0,10,20,30,40,50,60,62,64,66,68,70,72,74,76,78,80,85,90,95,100})</f>
        <v>64</v>
      </c>
      <c r="G272" s="27">
        <v>240</v>
      </c>
      <c r="H272" s="29">
        <f>LOOKUP(G272,{0,180,185,190,195,200,205,209,213,217,221,225,229,233,237,241,245,253,260,265,270},{0,10,20,30,40,50,60,62,64,66,68,70,72,74,76,78,80,85,90,95,100})</f>
        <v>76</v>
      </c>
      <c r="I272" s="27">
        <v>2</v>
      </c>
      <c r="J272" s="29">
        <f>LOOKUP(I272,{0,4,5,6,7,8,9,10,11,12,13,14,15,16,17,18},{0,10,20,30,40,50,60,64,68,72,76,80,85,90,95,100})</f>
        <v>0</v>
      </c>
      <c r="K272" s="44"/>
      <c r="L272" s="35"/>
      <c r="M272" s="35">
        <f t="shared" si="25"/>
        <v>0</v>
      </c>
      <c r="N272" s="35">
        <v>7.5</v>
      </c>
      <c r="O272" s="36">
        <f t="shared" si="26"/>
        <v>10.5</v>
      </c>
      <c r="P272" s="29">
        <f>LOOKUP(O272,{0,7.8,8,8.2,8.4,8.6,8.8,9,9.2,9.4,9.6,9.8,10,10.2,10.4,10.6,10.8,10.9,11,11.1,11.2},{0,10,20,30,40,50,60,62,64,66,68,70,72,74,76,78,80,85,90,95,100})</f>
        <v>76</v>
      </c>
      <c r="Q272" s="5">
        <v>4.5</v>
      </c>
      <c r="R272" s="36">
        <f t="shared" si="27"/>
        <v>5.5</v>
      </c>
      <c r="S272" s="29">
        <f>LOOKUP(R272,{0,3.85,4.45,4.65,4.85,5.45,5.65,5.7,5.75,5.8,5.85,5.9,5.95,6,6.45,6.5,6.55,6.63,6.7,6.75,6.8},{0,10,20,30,40,50,60,62,64,66,68,70,72,74,76,78,80,85,90,95,100})</f>
        <v>50</v>
      </c>
      <c r="T272" s="27"/>
      <c r="U272" s="27"/>
      <c r="V272" s="27">
        <f t="shared" si="28"/>
        <v>50</v>
      </c>
      <c r="W272" s="27"/>
      <c r="X272" s="19">
        <f t="shared" si="29"/>
        <v>39.2</v>
      </c>
      <c r="Y272" s="13">
        <f t="shared" si="30"/>
        <v>56</v>
      </c>
    </row>
    <row r="273" ht="15.6" spans="1:25">
      <c r="A273" s="27">
        <v>305</v>
      </c>
      <c r="B273" s="27">
        <v>5</v>
      </c>
      <c r="C273" s="28" t="s">
        <v>189</v>
      </c>
      <c r="D273" s="28" t="s">
        <v>12</v>
      </c>
      <c r="E273" s="27">
        <v>14</v>
      </c>
      <c r="F273" s="29">
        <f>LOOKUP(E273,{0,-1.8,-0.8,0.2,1.2,2.2,3.2,4.6,6,7.4,8.8,10.2,11.6,13,14.4,15.8,17.2,19.1,21,22.8,24.6},{0,10,20,30,40,50,60,62,64,66,68,70,72,74,76,78,80,85,90,95,100})</f>
        <v>74</v>
      </c>
      <c r="G273" s="27">
        <v>220</v>
      </c>
      <c r="H273" s="29">
        <f>LOOKUP(G273,{0,180,185,190,195,200,205,209,213,217,221,225,229,233,237,241,245,253,260,265,270},{0,10,20,30,40,50,60,62,64,66,68,70,72,74,76,78,80,85,90,95,100})</f>
        <v>66</v>
      </c>
      <c r="I273" s="27">
        <v>2</v>
      </c>
      <c r="J273" s="29">
        <f>LOOKUP(I273,{0,4,5,6,7,8,9,10,11,12,13,14,15,16,17,18},{0,10,20,30,40,50,60,64,68,72,76,80,85,90,95,100})</f>
        <v>0</v>
      </c>
      <c r="K273" s="44"/>
      <c r="L273" s="35"/>
      <c r="M273" s="35">
        <f t="shared" si="25"/>
        <v>0</v>
      </c>
      <c r="N273" s="35">
        <v>7.6</v>
      </c>
      <c r="O273" s="36">
        <f t="shared" si="26"/>
        <v>10.4</v>
      </c>
      <c r="P273" s="29">
        <f>LOOKUP(O273,{0,7.8,8,8.2,8.4,8.6,8.8,9,9.2,9.4,9.6,9.8,10,10.2,10.4,10.6,10.8,10.9,11,11.1,11.2},{0,10,20,30,40,50,60,62,64,66,68,70,72,74,76,78,80,85,90,95,100})</f>
        <v>76</v>
      </c>
      <c r="Q273" s="5">
        <v>4.42</v>
      </c>
      <c r="R273" s="36">
        <f t="shared" si="27"/>
        <v>5.58</v>
      </c>
      <c r="S273" s="29">
        <f>LOOKUP(R273,{0,3.85,4.45,4.65,4.85,5.45,5.65,5.7,5.75,5.8,5.85,5.9,5.95,6,6.45,6.5,6.55,6.63,6.7,6.75,6.8},{0,10,20,30,40,50,60,62,64,66,68,70,72,74,76,78,80,85,90,95,100})</f>
        <v>50</v>
      </c>
      <c r="T273" s="27"/>
      <c r="U273" s="27"/>
      <c r="V273" s="27">
        <f t="shared" si="28"/>
        <v>50</v>
      </c>
      <c r="W273" s="27"/>
      <c r="X273" s="19">
        <f t="shared" si="29"/>
        <v>39.2</v>
      </c>
      <c r="Y273" s="13">
        <f t="shared" si="30"/>
        <v>56</v>
      </c>
    </row>
    <row r="274" ht="15.6" spans="1:25">
      <c r="A274" s="27">
        <v>306</v>
      </c>
      <c r="B274" s="27">
        <v>29</v>
      </c>
      <c r="C274" s="28" t="s">
        <v>272</v>
      </c>
      <c r="D274" s="28" t="s">
        <v>12</v>
      </c>
      <c r="E274" s="27">
        <v>15</v>
      </c>
      <c r="F274" s="29">
        <f>LOOKUP(E274,{0,-1.8,-0.8,0.2,1.2,2.2,3.2,4.6,6,7.4,8.8,10.2,11.6,13,14.4,15.8,17.2,19.1,21,22.8,24.6},{0,10,20,30,40,50,60,62,64,66,68,70,72,74,76,78,80,85,90,95,100})</f>
        <v>76</v>
      </c>
      <c r="G274" s="27">
        <v>213</v>
      </c>
      <c r="H274" s="29">
        <f>LOOKUP(G274,{0,180,185,190,195,200,205,209,213,217,221,225,229,233,237,241,245,253,260,265,270},{0,10,20,30,40,50,60,62,64,66,68,70,72,74,76,78,80,85,90,95,100})</f>
        <v>64</v>
      </c>
      <c r="I274" s="27">
        <v>7</v>
      </c>
      <c r="J274" s="29">
        <f>LOOKUP(I274,{0,4,5,6,7,8,9,10,11,12,13,14,15,16,17,18},{0,10,20,30,40,50,60,64,68,72,76,80,85,90,95,100})</f>
        <v>40</v>
      </c>
      <c r="K274" s="44"/>
      <c r="L274" s="35"/>
      <c r="M274" s="35">
        <f t="shared" si="25"/>
        <v>40</v>
      </c>
      <c r="N274" s="35">
        <v>8.5</v>
      </c>
      <c r="O274" s="36">
        <f t="shared" si="26"/>
        <v>9.5</v>
      </c>
      <c r="P274" s="29">
        <f>LOOKUP(O274,{0,7.8,8,8.2,8.4,8.6,8.8,9,9.2,9.4,9.6,9.8,10,10.2,10.4,10.6,10.8,10.9,11,11.1,11.2},{0,10,20,30,40,50,60,62,64,66,68,70,72,74,76,78,80,85,90,95,100})</f>
        <v>66</v>
      </c>
      <c r="Q274" s="5">
        <v>4.56</v>
      </c>
      <c r="R274" s="36">
        <f t="shared" si="27"/>
        <v>5.44</v>
      </c>
      <c r="S274" s="29">
        <f>LOOKUP(R274,{0,3.85,4.45,4.65,4.85,5.45,5.65,5.7,5.75,5.8,5.85,5.9,5.95,6,6.45,6.5,6.55,6.63,6.7,6.75,6.8},{0,10,20,30,40,50,60,62,64,66,68,70,72,74,76,78,80,85,90,95,100})</f>
        <v>40</v>
      </c>
      <c r="T274" s="27"/>
      <c r="U274" s="27"/>
      <c r="V274" s="27">
        <f t="shared" si="28"/>
        <v>40</v>
      </c>
      <c r="W274" s="27"/>
      <c r="X274" s="19">
        <f t="shared" si="29"/>
        <v>39.2</v>
      </c>
      <c r="Y274" s="13">
        <f t="shared" si="30"/>
        <v>56</v>
      </c>
    </row>
    <row r="275" ht="15.6" spans="1:25">
      <c r="A275" s="27">
        <v>307</v>
      </c>
      <c r="B275" s="27">
        <v>10</v>
      </c>
      <c r="C275" s="30" t="s">
        <v>309</v>
      </c>
      <c r="D275" s="28" t="s">
        <v>12</v>
      </c>
      <c r="E275" s="27">
        <v>9.2</v>
      </c>
      <c r="F275" s="29">
        <f>LOOKUP(E275,{0,-1.8,-0.8,0.2,1.2,2.2,3.2,4.6,6,7.4,8.8,10.2,11.6,13,14.4,15.8,17.2,19.1,21,22.8,24.6},{0,10,20,30,40,50,60,62,64,66,68,70,72,74,76,78,80,85,90,95,100})</f>
        <v>68</v>
      </c>
      <c r="G275" s="27">
        <v>222</v>
      </c>
      <c r="H275" s="29">
        <f>LOOKUP(G275,{0,180,185,190,195,200,205,209,213,217,221,225,229,233,237,241,245,253,260,265,270},{0,10,20,30,40,50,60,62,64,66,68,70,72,74,76,78,80,85,90,95,100})</f>
        <v>68</v>
      </c>
      <c r="I275" s="27">
        <v>1</v>
      </c>
      <c r="J275" s="29">
        <f>LOOKUP(I275,{0,4,5,6,7,8,9,10,11,12,13,14,15,16,17,18},{0,10,20,30,40,50,60,64,68,72,76,80,85,90,95,100})</f>
        <v>0</v>
      </c>
      <c r="K275" s="44"/>
      <c r="L275" s="35"/>
      <c r="M275" s="35">
        <f t="shared" si="25"/>
        <v>0</v>
      </c>
      <c r="N275" s="35">
        <v>7.3</v>
      </c>
      <c r="O275" s="36">
        <f t="shared" si="26"/>
        <v>10.7</v>
      </c>
      <c r="P275" s="29">
        <f>LOOKUP(O275,{0,7.8,8,8.2,8.4,8.6,8.8,9,9.2,9.4,9.6,9.8,10,10.2,10.4,10.6,10.8,10.9,11,11.1,11.2},{0,10,20,30,40,50,60,62,64,66,68,70,72,74,76,78,80,85,90,95,100})</f>
        <v>78</v>
      </c>
      <c r="Q275" s="5">
        <v>4.44</v>
      </c>
      <c r="R275" s="36">
        <f t="shared" si="27"/>
        <v>5.56</v>
      </c>
      <c r="S275" s="29">
        <f>LOOKUP(R275,{0,3.85,4.45,4.65,4.85,5.45,5.65,5.7,5.75,5.8,5.85,5.9,5.95,6,6.45,6.5,6.55,6.63,6.7,6.75,6.8},{0,10,20,30,40,50,60,62,64,66,68,70,72,74,76,78,80,85,90,95,100})</f>
        <v>50</v>
      </c>
      <c r="T275" s="27"/>
      <c r="U275" s="27"/>
      <c r="V275" s="27">
        <f t="shared" si="28"/>
        <v>50</v>
      </c>
      <c r="W275" s="27"/>
      <c r="X275" s="19">
        <f t="shared" si="29"/>
        <v>39.2</v>
      </c>
      <c r="Y275" s="13">
        <f t="shared" si="30"/>
        <v>56</v>
      </c>
    </row>
    <row r="276" ht="15.6" spans="1:25">
      <c r="A276" s="27">
        <v>310</v>
      </c>
      <c r="B276" s="27">
        <v>17</v>
      </c>
      <c r="C276" s="28" t="s">
        <v>475</v>
      </c>
      <c r="D276" s="28" t="s">
        <v>12</v>
      </c>
      <c r="E276" s="27">
        <v>9.4</v>
      </c>
      <c r="F276" s="29">
        <f>LOOKUP(E276,{0,-1.8,-0.8,0.2,1.2,2.2,3.2,4.6,6,7.4,8.8,10.2,11.6,13,14.4,15.8,17.2,19.1,21,22.8,24.6},{0,10,20,30,40,50,60,62,64,66,68,70,72,74,76,78,80,85,90,95,100})</f>
        <v>68</v>
      </c>
      <c r="G276" s="27">
        <v>212</v>
      </c>
      <c r="H276" s="29">
        <f>LOOKUP(G276,{0,180,185,190,195,200,205,209,213,217,221,225,229,233,237,241,245,253,260,265,270},{0,10,20,30,40,50,60,62,64,66,68,70,72,74,76,78,80,85,90,95,100})</f>
        <v>62</v>
      </c>
      <c r="I276" s="27">
        <v>0</v>
      </c>
      <c r="J276" s="29">
        <f>LOOKUP(I276,{0,4,5,6,7,8,9,10,11,12,13,14,15,16,17,18},{0,10,20,30,40,50,60,64,68,72,76,80,85,90,95,100})</f>
        <v>0</v>
      </c>
      <c r="K276" s="44"/>
      <c r="L276" s="35"/>
      <c r="M276" s="35">
        <f t="shared" si="25"/>
        <v>0</v>
      </c>
      <c r="N276" s="35">
        <v>8.4</v>
      </c>
      <c r="O276" s="36">
        <f t="shared" si="26"/>
        <v>9.6</v>
      </c>
      <c r="P276" s="29">
        <f>LOOKUP(O276,{0,7.8,8,8.2,8.4,8.6,8.8,9,9.2,9.4,9.6,9.8,10,10.2,10.4,10.6,10.8,10.9,11,11.1,11.2},{0,10,20,30,40,50,60,62,64,66,68,70,72,74,76,78,80,85,90,95,100})</f>
        <v>68</v>
      </c>
      <c r="Q276" s="5">
        <v>4.3</v>
      </c>
      <c r="R276" s="36">
        <f t="shared" si="27"/>
        <v>5.7</v>
      </c>
      <c r="S276" s="29">
        <f>LOOKUP(R276,{0,3.85,4.45,4.65,4.85,5.45,5.65,5.7,5.75,5.8,5.85,5.9,5.95,6,6.45,6.5,6.55,6.63,6.7,6.75,6.8},{0,10,20,30,40,50,60,62,64,66,68,70,72,74,76,78,80,85,90,95,100})</f>
        <v>62</v>
      </c>
      <c r="T276" s="27"/>
      <c r="U276" s="27"/>
      <c r="V276" s="27">
        <f t="shared" si="28"/>
        <v>62</v>
      </c>
      <c r="W276" s="27"/>
      <c r="X276" s="19">
        <f t="shared" si="29"/>
        <v>39</v>
      </c>
      <c r="Y276" s="13">
        <f t="shared" si="30"/>
        <v>55.7142857142857</v>
      </c>
    </row>
    <row r="277" ht="15.6" spans="1:25">
      <c r="A277" s="27">
        <v>311</v>
      </c>
      <c r="B277" s="27">
        <v>1</v>
      </c>
      <c r="C277" s="30" t="s">
        <v>514</v>
      </c>
      <c r="D277" s="28" t="s">
        <v>12</v>
      </c>
      <c r="E277" s="27">
        <v>0</v>
      </c>
      <c r="F277" s="29">
        <f>LOOKUP(E277,{0,-1.8,-0.8,0.2,1.2,2.2,3.2,4.6,6,7.4,8.8,10.2,11.6,13,14.4,15.8,17.2,19.1,21,22.8,24.6},{0,10,20,30,40,50,60,62,64,66,68,70,72,74,76,78,80,85,90,95,100})</f>
        <v>20</v>
      </c>
      <c r="G277" s="27">
        <v>246</v>
      </c>
      <c r="H277" s="29">
        <f>LOOKUP(G277,{0,180,185,190,195,200,205,209,213,217,221,225,229,233,237,241,245,253,260,265,270},{0,10,20,30,40,50,60,62,64,66,68,70,72,74,76,78,80,85,90,95,100})</f>
        <v>80</v>
      </c>
      <c r="I277" s="27">
        <v>3</v>
      </c>
      <c r="J277" s="29">
        <f>LOOKUP(I277,{0,4,5,6,7,8,9,10,11,12,13,14,15,16,17,18},{0,10,20,30,40,50,60,64,68,72,76,80,85,90,95,100})</f>
        <v>0</v>
      </c>
      <c r="K277" s="44"/>
      <c r="L277" s="35"/>
      <c r="M277" s="35">
        <f t="shared" si="25"/>
        <v>0</v>
      </c>
      <c r="N277" s="35">
        <v>7.1</v>
      </c>
      <c r="O277" s="36">
        <f t="shared" si="26"/>
        <v>10.9</v>
      </c>
      <c r="P277" s="29">
        <f>LOOKUP(O277,{0,7.8,8,8.2,8.4,8.6,8.8,9,9.2,9.4,9.6,9.8,10,10.2,10.4,10.6,10.8,10.9,11,11.1,11.2},{0,10,20,30,40,50,60,62,64,66,68,70,72,74,76,78,80,85,90,95,100})</f>
        <v>85</v>
      </c>
      <c r="Q277" s="5">
        <v>4.34</v>
      </c>
      <c r="R277" s="36">
        <f t="shared" si="27"/>
        <v>5.66</v>
      </c>
      <c r="S277" s="29">
        <f>LOOKUP(R277,{0,3.85,4.45,4.65,4.85,5.45,5.65,5.7,5.75,5.8,5.85,5.9,5.95,6,6.45,6.5,6.55,6.63,6.7,6.75,6.8},{0,10,20,30,40,50,60,62,64,66,68,70,72,74,76,78,80,85,90,95,100})</f>
        <v>60</v>
      </c>
      <c r="T277" s="27"/>
      <c r="U277" s="27"/>
      <c r="V277" s="27">
        <f t="shared" si="28"/>
        <v>60</v>
      </c>
      <c r="W277" s="27"/>
      <c r="X277" s="19">
        <f t="shared" si="29"/>
        <v>39</v>
      </c>
      <c r="Y277" s="13">
        <f t="shared" si="30"/>
        <v>55.7142857142857</v>
      </c>
    </row>
    <row r="278" ht="15.6" spans="1:25">
      <c r="A278" s="27">
        <v>303</v>
      </c>
      <c r="B278" s="27">
        <v>15</v>
      </c>
      <c r="C278" s="27" t="s">
        <v>118</v>
      </c>
      <c r="D278" s="27" t="s">
        <v>12</v>
      </c>
      <c r="E278" s="27">
        <v>11.5</v>
      </c>
      <c r="F278" s="29">
        <f>LOOKUP(E278,{0,-1.8,-0.8,0.2,1.2,2.2,3.2,4.6,6,7.4,8.8,10.2,11.6,13,14.4,15.8,17.2,19.1,21,22.8,24.6},{0,10,20,30,40,50,60,62,64,66,68,70,72,74,76,78,80,85,90,95,100})</f>
        <v>70</v>
      </c>
      <c r="G278" s="27">
        <v>235</v>
      </c>
      <c r="H278" s="29">
        <f>LOOKUP(G278,{0,180,185,190,195,200,205,209,213,217,221,225,229,233,237,241,245,253,260,265,270},{0,10,20,30,40,50,60,62,64,66,68,70,72,74,76,78,80,85,90,95,100})</f>
        <v>74</v>
      </c>
      <c r="I278" s="27">
        <v>1</v>
      </c>
      <c r="J278" s="29">
        <f>LOOKUP(I278,{0,4,5,6,7,8,9,10,11,12,13,14,15,16,17,18},{0,10,20,30,40,50,60,64,68,72,76,80,85,90,95,100})</f>
        <v>0</v>
      </c>
      <c r="K278" s="44"/>
      <c r="L278" s="35"/>
      <c r="M278" s="35">
        <f t="shared" si="25"/>
        <v>0</v>
      </c>
      <c r="N278" s="35">
        <v>7.9</v>
      </c>
      <c r="O278" s="36">
        <f t="shared" si="26"/>
        <v>10.1</v>
      </c>
      <c r="P278" s="29">
        <f>LOOKUP(O278,{0,7.8,8,8.2,8.4,8.6,8.8,9,9.2,9.4,9.6,9.8,10,10.2,10.4,10.6,10.8,10.9,11,11.1,11.2},{0,10,20,30,40,50,60,62,64,66,68,70,72,74,76,78,80,85,90,95,100})</f>
        <v>72</v>
      </c>
      <c r="Q278" s="5">
        <v>4.49</v>
      </c>
      <c r="R278" s="36">
        <f t="shared" si="27"/>
        <v>5.51</v>
      </c>
      <c r="S278" s="29">
        <f>LOOKUP(R278,{0,3.85,4.45,4.65,4.85,5.45,5.65,5.7,5.75,5.8,5.85,5.9,5.95,6,6.45,6.5,6.55,6.63,6.7,6.75,6.8},{0,10,20,30,40,50,60,62,64,66,68,70,72,74,76,78,80,85,90,95,100})</f>
        <v>50</v>
      </c>
      <c r="T278" s="27"/>
      <c r="U278" s="27"/>
      <c r="V278" s="27">
        <f t="shared" si="28"/>
        <v>50</v>
      </c>
      <c r="W278" s="27"/>
      <c r="X278" s="19">
        <f t="shared" si="29"/>
        <v>38.8</v>
      </c>
      <c r="Y278" s="13">
        <f t="shared" si="30"/>
        <v>55.4285714285714</v>
      </c>
    </row>
    <row r="279" ht="15.6" spans="1:25">
      <c r="A279" s="27">
        <v>302</v>
      </c>
      <c r="B279" s="27">
        <v>25</v>
      </c>
      <c r="C279" s="27" t="s">
        <v>85</v>
      </c>
      <c r="D279" s="27" t="s">
        <v>12</v>
      </c>
      <c r="E279" s="27">
        <v>-6.5</v>
      </c>
      <c r="F279" s="29">
        <v>0</v>
      </c>
      <c r="G279" s="27">
        <v>200</v>
      </c>
      <c r="H279" s="29">
        <f>LOOKUP(G279,{0,180,185,190,195,200,205,209,213,217,221,225,229,233,237,241,245,253,260,265,270},{0,10,20,30,40,50,60,62,64,66,68,70,72,74,76,78,80,85,90,95,100})</f>
        <v>50</v>
      </c>
      <c r="I279" s="27">
        <v>11</v>
      </c>
      <c r="J279" s="29">
        <f>LOOKUP(I279,{0,4,5,6,7,8,9,10,11,12,13,14,15,16,17,18},{0,10,20,30,40,50,60,64,68,72,76,80,85,90,95,100})</f>
        <v>68</v>
      </c>
      <c r="K279" s="44"/>
      <c r="L279" s="35"/>
      <c r="M279" s="35">
        <f t="shared" si="25"/>
        <v>68</v>
      </c>
      <c r="N279" s="35">
        <v>8.1</v>
      </c>
      <c r="O279" s="36">
        <f t="shared" si="26"/>
        <v>9.9</v>
      </c>
      <c r="P279" s="29">
        <f>LOOKUP(O279,{0,7.8,8,8.2,8.4,8.6,8.8,9,9.2,9.4,9.6,9.8,10,10.2,10.4,10.6,10.8,10.9,11,11.1,11.2},{0,10,20,30,40,50,60,62,64,66,68,70,72,74,76,78,80,85,90,95,100})</f>
        <v>70</v>
      </c>
      <c r="Q279" s="5">
        <v>4.21</v>
      </c>
      <c r="R279" s="36">
        <f t="shared" si="27"/>
        <v>5.79</v>
      </c>
      <c r="S279" s="29">
        <f>LOOKUP(R279,{0,3.85,4.45,4.65,4.85,5.45,5.65,5.7,5.75,5.8,5.85,5.9,5.95,6,6.45,6.5,6.55,6.63,6.7,6.75,6.8},{0,10,20,30,40,50,60,62,64,66,68,70,72,74,76,78,80,85,90,95,100})</f>
        <v>64</v>
      </c>
      <c r="T279" s="27"/>
      <c r="U279" s="27"/>
      <c r="V279" s="27">
        <f t="shared" si="28"/>
        <v>64</v>
      </c>
      <c r="W279" s="27"/>
      <c r="X279" s="19">
        <f t="shared" si="29"/>
        <v>38.6</v>
      </c>
      <c r="Y279" s="13">
        <f t="shared" si="30"/>
        <v>55.1428571428571</v>
      </c>
    </row>
    <row r="280" ht="15.6" spans="1:25">
      <c r="A280" s="27">
        <v>302</v>
      </c>
      <c r="B280" s="27">
        <v>20</v>
      </c>
      <c r="C280" s="27" t="s">
        <v>79</v>
      </c>
      <c r="D280" s="27" t="s">
        <v>12</v>
      </c>
      <c r="E280" s="27">
        <v>14.5</v>
      </c>
      <c r="F280" s="29">
        <f>LOOKUP(E280,{0,-1.8,-0.8,0.2,1.2,2.2,3.2,4.6,6,7.4,8.8,10.2,11.6,13,14.4,15.8,17.2,19.1,21,22.8,24.6},{0,10,20,30,40,50,60,62,64,66,68,70,72,74,76,78,80,85,90,95,100})</f>
        <v>76</v>
      </c>
      <c r="G280" s="27">
        <v>240</v>
      </c>
      <c r="H280" s="29">
        <f>LOOKUP(G280,{0,180,185,190,195,200,205,209,213,217,221,225,229,233,237,241,245,253,260,265,270},{0,10,20,30,40,50,60,62,64,66,68,70,72,74,76,78,80,85,90,95,100})</f>
        <v>76</v>
      </c>
      <c r="I280" s="27">
        <v>13</v>
      </c>
      <c r="J280" s="29">
        <f>LOOKUP(I280,{0,4,5,6,7,8,9,10,11,12,13,14,15,16,17,18},{0,10,20,30,40,50,60,64,68,72,76,80,85,90,95,100})</f>
        <v>76</v>
      </c>
      <c r="K280" s="44"/>
      <c r="L280" s="35"/>
      <c r="M280" s="35">
        <f t="shared" si="25"/>
        <v>76</v>
      </c>
      <c r="N280" s="35">
        <v>7.3</v>
      </c>
      <c r="O280" s="36">
        <f t="shared" si="26"/>
        <v>10.7</v>
      </c>
      <c r="P280" s="29">
        <f>LOOKUP(O280,{0,7.8,8,8.2,8.4,8.6,8.8,9,9.2,9.4,9.6,9.8,10,10.2,10.4,10.6,10.8,10.9,11,11.1,11.2},{0,10,20,30,40,50,60,62,64,66,68,70,72,74,76,78,80,85,90,95,100})</f>
        <v>78</v>
      </c>
      <c r="Q280" s="5" t="s">
        <v>77</v>
      </c>
      <c r="R280" s="36" t="e">
        <f t="shared" si="27"/>
        <v>#VALUE!</v>
      </c>
      <c r="S280" s="29"/>
      <c r="T280" s="27"/>
      <c r="U280" s="27"/>
      <c r="V280" s="27"/>
      <c r="W280" s="27"/>
      <c r="X280" s="19">
        <f t="shared" si="29"/>
        <v>38.4</v>
      </c>
      <c r="Y280" s="13">
        <f t="shared" si="30"/>
        <v>54.8571428571429</v>
      </c>
    </row>
    <row r="281" ht="15.6" spans="1:25">
      <c r="A281" s="27">
        <v>312</v>
      </c>
      <c r="B281" s="27">
        <v>6</v>
      </c>
      <c r="C281" s="28" t="s">
        <v>579</v>
      </c>
      <c r="D281" s="28" t="s">
        <v>12</v>
      </c>
      <c r="E281" s="27">
        <v>9</v>
      </c>
      <c r="F281" s="29">
        <f>LOOKUP(E281,{0,-1.8,-0.8,0.2,1.2,2.2,3.2,4.6,6,7.4,8.8,10.2,11.6,13,14.4,15.8,17.2,19.1,21,22.8,24.6},{0,10,20,30,40,50,60,62,64,66,68,70,72,74,76,78,80,85,90,95,100})</f>
        <v>68</v>
      </c>
      <c r="G281" s="27">
        <v>220</v>
      </c>
      <c r="H281" s="29">
        <f>LOOKUP(G281,{0,180,185,190,195,200,205,209,213,217,221,225,229,233,237,241,245,253,260,265,270},{0,10,20,30,40,50,60,62,64,66,68,70,72,74,76,78,80,85,90,95,100})</f>
        <v>66</v>
      </c>
      <c r="I281" s="27">
        <v>4</v>
      </c>
      <c r="J281" s="29">
        <f>LOOKUP(I281,{0,4,5,6,7,8,9,10,11,12,13,14,15,16,17,18},{0,10,20,30,40,50,60,64,68,72,76,80,85,90,95,100})</f>
        <v>10</v>
      </c>
      <c r="K281" s="44"/>
      <c r="L281" s="35"/>
      <c r="M281" s="35">
        <f t="shared" si="25"/>
        <v>10</v>
      </c>
      <c r="N281" s="35">
        <v>7.2</v>
      </c>
      <c r="O281" s="36">
        <f t="shared" si="26"/>
        <v>10.8</v>
      </c>
      <c r="P281" s="29">
        <f>LOOKUP(O281,{0,7.8,8,8.2,8.4,8.6,8.8,9,9.2,9.4,9.6,9.8,10,10.2,10.4,10.6,10.8,10.9,11,11.1,11.2},{0,10,20,30,40,50,60,62,64,66,68,70,72,74,76,78,80,85,90,95,100})</f>
        <v>80</v>
      </c>
      <c r="Q281" s="5">
        <v>5.07</v>
      </c>
      <c r="R281" s="36">
        <f t="shared" si="27"/>
        <v>4.93</v>
      </c>
      <c r="S281" s="29">
        <f>LOOKUP(R281,{0,3.85,4.45,4.65,4.85,5.45,5.65,5.7,5.75,5.8,5.85,5.9,5.95,6,6.45,6.5,6.55,6.63,6.7,6.75,6.8},{0,10,20,30,40,50,60,62,64,66,68,70,72,74,76,78,80,85,90,95,100})</f>
        <v>40</v>
      </c>
      <c r="T281" s="27"/>
      <c r="U281" s="27"/>
      <c r="V281" s="27">
        <f t="shared" ref="V281:V322" si="31">S281+U281</f>
        <v>40</v>
      </c>
      <c r="W281" s="27"/>
      <c r="X281" s="19">
        <f t="shared" si="29"/>
        <v>38.4</v>
      </c>
      <c r="Y281" s="13">
        <f t="shared" si="30"/>
        <v>54.8571428571429</v>
      </c>
    </row>
    <row r="282" ht="15.6" spans="1:25">
      <c r="A282" s="27">
        <v>308</v>
      </c>
      <c r="B282" s="27">
        <v>16</v>
      </c>
      <c r="C282" s="28" t="s">
        <v>368</v>
      </c>
      <c r="D282" s="28" t="s">
        <v>12</v>
      </c>
      <c r="E282" s="27">
        <v>17.7</v>
      </c>
      <c r="F282" s="29">
        <f>LOOKUP(E282,{0,-1.8,-0.8,0.2,1.2,2.2,3.2,4.6,6,7.4,8.8,10.2,11.6,13,14.4,15.8,17.2,19.1,21,22.8,24.6},{0,10,20,30,40,50,60,62,64,66,68,70,72,74,76,78,80,85,90,95,100})</f>
        <v>80</v>
      </c>
      <c r="G282" s="27">
        <v>205</v>
      </c>
      <c r="H282" s="29">
        <f>LOOKUP(G282,{0,180,185,190,195,200,205,209,213,217,221,225,229,233,237,241,245,253,260,265,270},{0,10,20,30,40,50,60,62,64,66,68,70,72,74,76,78,80,85,90,95,100})</f>
        <v>60</v>
      </c>
      <c r="I282" s="27">
        <v>3</v>
      </c>
      <c r="J282" s="29">
        <f>LOOKUP(I282,{0,4,5,6,7,8,9,10,11,12,13,14,15,16,17,18},{0,10,20,30,40,50,60,64,68,72,76,80,85,90,95,100})</f>
        <v>0</v>
      </c>
      <c r="K282" s="44"/>
      <c r="L282" s="35"/>
      <c r="M282" s="35">
        <f t="shared" si="25"/>
        <v>0</v>
      </c>
      <c r="N282" s="35">
        <v>8</v>
      </c>
      <c r="O282" s="36">
        <f t="shared" si="26"/>
        <v>10</v>
      </c>
      <c r="P282" s="29">
        <f>LOOKUP(O282,{0,7.8,8,8.2,8.4,8.6,8.8,9,9.2,9.4,9.6,9.8,10,10.2,10.4,10.6,10.8,10.9,11,11.1,11.2},{0,10,20,30,40,50,60,62,64,66,68,70,72,74,76,78,80,85,90,95,100})</f>
        <v>72</v>
      </c>
      <c r="Q282" s="5">
        <v>4.49</v>
      </c>
      <c r="R282" s="36">
        <f t="shared" si="27"/>
        <v>5.51</v>
      </c>
      <c r="S282" s="29">
        <f>LOOKUP(R282,{0,3.85,4.45,4.65,4.85,5.45,5.65,5.7,5.75,5.8,5.85,5.9,5.95,6,6.45,6.5,6.55,6.63,6.7,6.75,6.8},{0,10,20,30,40,50,60,62,64,66,68,70,72,74,76,78,80,85,90,95,100})</f>
        <v>50</v>
      </c>
      <c r="T282" s="27"/>
      <c r="U282" s="27"/>
      <c r="V282" s="27">
        <f t="shared" si="31"/>
        <v>50</v>
      </c>
      <c r="W282" s="27"/>
      <c r="X282" s="19">
        <f t="shared" si="29"/>
        <v>38.4</v>
      </c>
      <c r="Y282" s="13">
        <f t="shared" si="30"/>
        <v>54.8571428571429</v>
      </c>
    </row>
    <row r="283" ht="15.6" spans="1:25">
      <c r="A283" s="27">
        <v>302</v>
      </c>
      <c r="B283" s="27">
        <v>19</v>
      </c>
      <c r="C283" s="27" t="s">
        <v>78</v>
      </c>
      <c r="D283" s="27" t="s">
        <v>12</v>
      </c>
      <c r="E283" s="27">
        <v>4</v>
      </c>
      <c r="F283" s="29">
        <f>LOOKUP(E283,{0,-1.8,-0.8,0.2,1.2,2.2,3.2,4.6,6,7.4,8.8,10.2,11.6,13,14.4,15.8,17.2,19.1,21,22.8,24.6},{0,10,20,30,40,50,60,62,64,66,68,70,72,74,76,78,80,85,90,95,100})</f>
        <v>60</v>
      </c>
      <c r="G283" s="27">
        <v>230</v>
      </c>
      <c r="H283" s="29">
        <f>LOOKUP(G283,{0,180,185,190,195,200,205,209,213,217,221,225,229,233,237,241,245,253,260,265,270},{0,10,20,30,40,50,60,62,64,66,68,70,72,74,76,78,80,85,90,95,100})</f>
        <v>72</v>
      </c>
      <c r="I283" s="27">
        <v>3</v>
      </c>
      <c r="J283" s="29">
        <f>LOOKUP(I283,{0,4,5,6,7,8,9,10,11,12,13,14,15,16,17,18},{0,10,20,30,40,50,60,64,68,72,76,80,85,90,95,100})</f>
        <v>0</v>
      </c>
      <c r="K283" s="44"/>
      <c r="L283" s="35"/>
      <c r="M283" s="35">
        <f t="shared" si="25"/>
        <v>0</v>
      </c>
      <c r="N283" s="35">
        <v>7.1</v>
      </c>
      <c r="O283" s="36">
        <f t="shared" si="26"/>
        <v>10.9</v>
      </c>
      <c r="P283" s="29">
        <f>LOOKUP(O283,{0,7.8,8,8.2,8.4,8.6,8.8,9,9.2,9.4,9.6,9.8,10,10.2,10.4,10.6,10.8,10.9,11,11.1,11.2},{0,10,20,30,40,50,60,62,64,66,68,70,72,74,76,78,80,85,90,95,100})</f>
        <v>85</v>
      </c>
      <c r="Q283" s="5">
        <v>5.11</v>
      </c>
      <c r="R283" s="36">
        <f t="shared" si="27"/>
        <v>4.89</v>
      </c>
      <c r="S283" s="29">
        <f>LOOKUP(R283,{0,3.85,4.45,4.65,4.85,5.45,5.65,5.7,5.75,5.8,5.85,5.9,5.95,6,6.45,6.5,6.55,6.63,6.7,6.75,6.8},{0,10,20,30,40,50,60,62,64,66,68,70,72,74,76,78,80,85,90,95,100})</f>
        <v>40</v>
      </c>
      <c r="T283" s="27"/>
      <c r="U283" s="27"/>
      <c r="V283" s="27">
        <f t="shared" si="31"/>
        <v>40</v>
      </c>
      <c r="W283" s="27"/>
      <c r="X283" s="19">
        <f t="shared" si="29"/>
        <v>38.2</v>
      </c>
      <c r="Y283" s="13">
        <f t="shared" si="30"/>
        <v>54.5714285714286</v>
      </c>
    </row>
    <row r="284" ht="15.6" spans="1:25">
      <c r="A284" s="27">
        <v>305</v>
      </c>
      <c r="B284" s="27">
        <v>29</v>
      </c>
      <c r="C284" s="28" t="s">
        <v>215</v>
      </c>
      <c r="D284" s="28" t="s">
        <v>12</v>
      </c>
      <c r="E284" s="27">
        <v>2</v>
      </c>
      <c r="F284" s="29">
        <f>LOOKUP(E284,{0,-1.8,-0.8,0.2,1.2,2.2,3.2,4.6,6,7.4,8.8,10.2,11.6,13,14.4,15.8,17.2,19.1,21,22.8,24.6},{0,10,20,30,40,50,60,62,64,66,68,70,72,74,76,78,80,85,90,95,100})</f>
        <v>40</v>
      </c>
      <c r="G284" s="27">
        <v>270</v>
      </c>
      <c r="H284" s="29">
        <f>LOOKUP(G284,{0,180,185,190,195,200,205,209,213,217,221,225,229,233,237,241,245,253,260,265,270},{0,10,20,30,40,50,60,62,64,66,68,70,72,74,76,78,80,85,90,95,100})</f>
        <v>100</v>
      </c>
      <c r="I284" s="27">
        <v>8</v>
      </c>
      <c r="J284" s="29">
        <f>LOOKUP(I284,{0,4,5,6,7,8,9,10,11,12,13,14,15,16,17,18},{0,10,20,30,40,50,60,64,68,72,76,80,85,90,95,100})</f>
        <v>50</v>
      </c>
      <c r="K284" s="44"/>
      <c r="L284" s="35"/>
      <c r="M284" s="35">
        <f t="shared" si="25"/>
        <v>50</v>
      </c>
      <c r="N284" s="35">
        <v>6.9</v>
      </c>
      <c r="O284" s="36">
        <f t="shared" si="26"/>
        <v>11.1</v>
      </c>
      <c r="P284" s="29">
        <f>LOOKUP(O284,{0,7.8,8,8.2,8.4,8.6,8.8,9,9.2,9.4,9.6,9.8,10,10.2,10.4,10.6,10.8,10.9,11,11.1,11.2},{0,10,20,30,40,50,60,62,64,66,68,70,72,74,76,78,80,85,90,95,100})</f>
        <v>95</v>
      </c>
      <c r="Q284" s="5">
        <v>6.37</v>
      </c>
      <c r="R284" s="36">
        <f t="shared" si="27"/>
        <v>3.63</v>
      </c>
      <c r="S284" s="29">
        <f>LOOKUP(R284,{0,3.85,4.45,4.65,4.85,5.45,5.65,5.7,5.75,5.8,5.85,5.9,5.95,6,6.45,6.5,6.55,6.63,6.7,6.75,6.8},{0,10,20,30,40,50,60,62,64,66,68,70,72,74,76,78,80,85,90,95,100})</f>
        <v>0</v>
      </c>
      <c r="T284" s="27"/>
      <c r="U284" s="27"/>
      <c r="V284" s="27">
        <f t="shared" si="31"/>
        <v>0</v>
      </c>
      <c r="W284" s="27"/>
      <c r="X284" s="19">
        <f t="shared" si="29"/>
        <v>38</v>
      </c>
      <c r="Y284" s="13">
        <f t="shared" si="30"/>
        <v>54.2857142857143</v>
      </c>
    </row>
    <row r="285" ht="15.6" spans="1:25">
      <c r="A285" s="27">
        <v>301</v>
      </c>
      <c r="B285" s="27">
        <v>24</v>
      </c>
      <c r="C285" s="27" t="s">
        <v>36</v>
      </c>
      <c r="D285" s="27" t="s">
        <v>12</v>
      </c>
      <c r="E285" s="27">
        <v>11</v>
      </c>
      <c r="F285" s="29">
        <f>LOOKUP(E285,{0,-1.8,-0.8,0.2,1.2,2.2,3.2,4.6,6,7.4,8.8,10.2,11.6,13,14.4,15.8,17.2,19.1,21,22.8,24.6},{0,10,20,30,40,50,60,62,64,66,68,70,72,74,76,78,80,85,90,95,100})</f>
        <v>70</v>
      </c>
      <c r="G285" s="27">
        <v>186</v>
      </c>
      <c r="H285" s="29">
        <f>LOOKUP(G285,{0,180,185,190,195,200,205,209,213,217,221,225,229,233,237,241,245,253,260,265,270},{0,10,20,30,40,50,60,62,64,66,68,70,72,74,76,78,80,85,90,95,100})</f>
        <v>20</v>
      </c>
      <c r="I285" s="27">
        <v>0</v>
      </c>
      <c r="J285" s="29">
        <f>LOOKUP(I285,{0,4,5,6,7,8,9,10,11,12,13,14,15,16,17,18},{0,10,20,30,40,50,60,64,68,72,76,80,85,90,95,100})</f>
        <v>0</v>
      </c>
      <c r="K285" s="44"/>
      <c r="L285" s="35"/>
      <c r="M285" s="35">
        <f t="shared" si="25"/>
        <v>0</v>
      </c>
      <c r="N285" s="35">
        <v>7.6</v>
      </c>
      <c r="O285" s="36">
        <f t="shared" si="26"/>
        <v>10.4</v>
      </c>
      <c r="P285" s="29">
        <f>LOOKUP(O285,{0,7.8,8,8.2,8.4,8.6,8.8,9,9.2,9.4,9.6,9.8,10,10.2,10.4,10.6,10.8,10.9,11,11.1,11.2},{0,10,20,30,40,50,60,62,64,66,68,70,72,74,76,78,80,85,90,95,100})</f>
        <v>76</v>
      </c>
      <c r="Q285" s="5">
        <v>4.15</v>
      </c>
      <c r="R285" s="36">
        <f t="shared" si="27"/>
        <v>5.85</v>
      </c>
      <c r="S285" s="29">
        <f>LOOKUP(R285,{0,3.85,4.45,4.65,4.85,5.45,5.65,5.7,5.75,5.8,5.85,5.9,5.95,6,6.45,6.5,6.55,6.63,6.7,6.75,6.8},{0,10,20,30,40,50,60,62,64,66,68,70,72,74,76,78,80,85,90,95,100})</f>
        <v>68</v>
      </c>
      <c r="T285" s="27"/>
      <c r="U285" s="27"/>
      <c r="V285" s="27">
        <f t="shared" si="31"/>
        <v>68</v>
      </c>
      <c r="W285" s="27"/>
      <c r="X285" s="19">
        <f t="shared" si="29"/>
        <v>37.8</v>
      </c>
      <c r="Y285" s="13">
        <f t="shared" si="30"/>
        <v>54</v>
      </c>
    </row>
    <row r="286" ht="15.6" spans="1:25">
      <c r="A286" s="27">
        <v>306</v>
      </c>
      <c r="B286" s="27">
        <v>31</v>
      </c>
      <c r="C286" s="28" t="s">
        <v>274</v>
      </c>
      <c r="D286" s="28" t="s">
        <v>12</v>
      </c>
      <c r="E286" s="27">
        <v>24.5</v>
      </c>
      <c r="F286" s="29">
        <f>LOOKUP(E286,{0,-1.8,-0.8,0.2,1.2,2.2,3.2,4.6,6,7.4,8.8,10.2,11.6,13,14.4,15.8,17.2,19.1,21,22.8,24.6},{0,10,20,30,40,50,60,62,64,66,68,70,72,74,76,78,80,85,90,95,100})</f>
        <v>95</v>
      </c>
      <c r="G286" s="27">
        <v>219</v>
      </c>
      <c r="H286" s="29">
        <f>LOOKUP(G286,{0,180,185,190,195,200,205,209,213,217,221,225,229,233,237,241,245,253,260,265,270},{0,10,20,30,40,50,60,62,64,66,68,70,72,74,76,78,80,85,90,95,100})</f>
        <v>66</v>
      </c>
      <c r="I286" s="27">
        <v>0</v>
      </c>
      <c r="J286" s="29">
        <f>LOOKUP(I286,{0,4,5,6,7,8,9,10,11,12,13,14,15,16,17,18},{0,10,20,30,40,50,60,64,68,72,76,80,85,90,95,100})</f>
        <v>0</v>
      </c>
      <c r="K286" s="44"/>
      <c r="L286" s="35"/>
      <c r="M286" s="35">
        <f t="shared" si="25"/>
        <v>0</v>
      </c>
      <c r="N286" s="35">
        <v>8.3</v>
      </c>
      <c r="O286" s="36">
        <f t="shared" si="26"/>
        <v>9.7</v>
      </c>
      <c r="P286" s="29">
        <f>LOOKUP(O286,{0,7.8,8,8.2,8.4,8.6,8.8,9,9.2,9.4,9.6,9.8,10,10.2,10.4,10.6,10.8,10.9,11,11.1,11.2},{0,10,20,30,40,50,60,62,64,66,68,70,72,74,76,78,80,85,90,95,100})</f>
        <v>68</v>
      </c>
      <c r="Q286" s="5">
        <v>4.58</v>
      </c>
      <c r="R286" s="36">
        <f t="shared" si="27"/>
        <v>5.42</v>
      </c>
      <c r="S286" s="29">
        <f>LOOKUP(R286,{0,3.85,4.45,4.65,4.85,5.45,5.65,5.7,5.75,5.8,5.85,5.9,5.95,6,6.45,6.5,6.55,6.63,6.7,6.75,6.8},{0,10,20,30,40,50,60,62,64,66,68,70,72,74,76,78,80,85,90,95,100})</f>
        <v>40</v>
      </c>
      <c r="T286" s="27"/>
      <c r="U286" s="27"/>
      <c r="V286" s="27">
        <f t="shared" si="31"/>
        <v>40</v>
      </c>
      <c r="W286" s="27"/>
      <c r="X286" s="19">
        <f t="shared" si="29"/>
        <v>37.7</v>
      </c>
      <c r="Y286" s="13">
        <f t="shared" si="30"/>
        <v>53.8571428571429</v>
      </c>
    </row>
    <row r="287" ht="15.6" spans="1:25">
      <c r="A287" s="27">
        <v>311</v>
      </c>
      <c r="B287" s="27">
        <v>21</v>
      </c>
      <c r="C287" s="28" t="s">
        <v>535</v>
      </c>
      <c r="D287" s="28" t="s">
        <v>12</v>
      </c>
      <c r="E287" s="27">
        <v>-4.9</v>
      </c>
      <c r="F287" s="29">
        <v>0</v>
      </c>
      <c r="G287" s="27">
        <v>215</v>
      </c>
      <c r="H287" s="29">
        <f>LOOKUP(G287,{0,180,185,190,195,200,205,209,213,217,221,225,229,233,237,241,245,253,260,265,270},{0,10,20,30,40,50,60,62,64,66,68,70,72,74,76,78,80,85,90,95,100})</f>
        <v>64</v>
      </c>
      <c r="I287" s="27">
        <v>18</v>
      </c>
      <c r="J287" s="29">
        <f>LOOKUP(I287,{0,4,5,6,7,8,9,10,11,12,13,14,15,16,17,18},{0,10,20,30,40,50,60,64,68,72,76,80,85,90,95,100})</f>
        <v>100</v>
      </c>
      <c r="K287" s="44"/>
      <c r="L287" s="35"/>
      <c r="M287" s="35">
        <f t="shared" si="25"/>
        <v>100</v>
      </c>
      <c r="N287" s="35">
        <v>7.6</v>
      </c>
      <c r="O287" s="36">
        <f t="shared" si="26"/>
        <v>10.4</v>
      </c>
      <c r="P287" s="29">
        <f>LOOKUP(O287,{0,7.8,8,8.2,8.4,8.6,8.8,9,9.2,9.4,9.6,9.8,10,10.2,10.4,10.6,10.8,10.9,11,11.1,11.2},{0,10,20,30,40,50,60,62,64,66,68,70,72,74,76,78,80,85,90,95,100})</f>
        <v>76</v>
      </c>
      <c r="Q287" s="5">
        <v>5.28</v>
      </c>
      <c r="R287" s="36">
        <f t="shared" si="27"/>
        <v>4.72</v>
      </c>
      <c r="S287" s="29">
        <f>LOOKUP(R287,{0,3.85,4.45,4.65,4.85,5.45,5.65,5.7,5.75,5.8,5.85,5.9,5.95,6,6.45,6.5,6.55,6.63,6.7,6.75,6.8},{0,10,20,30,40,50,60,62,64,66,68,70,72,74,76,78,80,85,90,95,100})</f>
        <v>30</v>
      </c>
      <c r="T287" s="27"/>
      <c r="U287" s="27"/>
      <c r="V287" s="27">
        <f t="shared" si="31"/>
        <v>30</v>
      </c>
      <c r="W287" s="27"/>
      <c r="X287" s="19">
        <f t="shared" si="29"/>
        <v>37.6</v>
      </c>
      <c r="Y287" s="13">
        <f t="shared" si="30"/>
        <v>53.7142857142857</v>
      </c>
    </row>
    <row r="288" ht="15.6" spans="1:25">
      <c r="A288" s="27">
        <v>305</v>
      </c>
      <c r="B288" s="27">
        <v>7</v>
      </c>
      <c r="C288" s="28" t="s">
        <v>191</v>
      </c>
      <c r="D288" s="28" t="s">
        <v>12</v>
      </c>
      <c r="E288" s="27">
        <v>7.5</v>
      </c>
      <c r="F288" s="29">
        <f>LOOKUP(E288,{0,-1.8,-0.8,0.2,1.2,2.2,3.2,4.6,6,7.4,8.8,10.2,11.6,13,14.4,15.8,17.2,19.1,21,22.8,24.6},{0,10,20,30,40,50,60,62,64,66,68,70,72,74,76,78,80,85,90,95,100})</f>
        <v>66</v>
      </c>
      <c r="G288" s="27">
        <v>205</v>
      </c>
      <c r="H288" s="29">
        <f>LOOKUP(G288,{0,180,185,190,195,200,205,209,213,217,221,225,229,233,237,241,245,253,260,265,270},{0,10,20,30,40,50,60,62,64,66,68,70,72,74,76,78,80,85,90,95,100})</f>
        <v>60</v>
      </c>
      <c r="I288" s="27">
        <v>0</v>
      </c>
      <c r="J288" s="29">
        <f>LOOKUP(I288,{0,4,5,6,7,8,9,10,11,12,13,14,15,16,17,18},{0,10,20,30,40,50,60,64,68,72,76,80,85,90,95,100})</f>
        <v>0</v>
      </c>
      <c r="K288" s="44"/>
      <c r="L288" s="35"/>
      <c r="M288" s="35">
        <f t="shared" si="25"/>
        <v>0</v>
      </c>
      <c r="N288" s="35">
        <v>7.8</v>
      </c>
      <c r="O288" s="36">
        <f t="shared" si="26"/>
        <v>10.2</v>
      </c>
      <c r="P288" s="29">
        <f>LOOKUP(O288,{0,7.8,8,8.2,8.4,8.6,8.8,9,9.2,9.4,9.6,9.8,10,10.2,10.4,10.6,10.8,10.9,11,11.1,11.2},{0,10,20,30,40,50,60,62,64,66,68,70,72,74,76,78,80,85,90,95,100})</f>
        <v>74</v>
      </c>
      <c r="Q288" s="5">
        <v>4.5</v>
      </c>
      <c r="R288" s="36">
        <f t="shared" si="27"/>
        <v>5.5</v>
      </c>
      <c r="S288" s="29">
        <f>LOOKUP(R288,{0,3.85,4.45,4.65,4.85,5.45,5.65,5.7,5.75,5.8,5.85,5.9,5.95,6,6.45,6.5,6.55,6.63,6.7,6.75,6.8},{0,10,20,30,40,50,60,62,64,66,68,70,72,74,76,78,80,85,90,95,100})</f>
        <v>50</v>
      </c>
      <c r="T288" s="27"/>
      <c r="U288" s="27"/>
      <c r="V288" s="27">
        <f t="shared" si="31"/>
        <v>50</v>
      </c>
      <c r="W288" s="27"/>
      <c r="X288" s="19">
        <f t="shared" si="29"/>
        <v>37.4</v>
      </c>
      <c r="Y288" s="13">
        <f t="shared" si="30"/>
        <v>53.4285714285714</v>
      </c>
    </row>
    <row r="289" ht="15.6" spans="1:25">
      <c r="A289" s="27">
        <v>306</v>
      </c>
      <c r="B289" s="27">
        <v>20</v>
      </c>
      <c r="C289" s="28" t="s">
        <v>262</v>
      </c>
      <c r="D289" s="28" t="s">
        <v>12</v>
      </c>
      <c r="E289" s="27">
        <v>8.2</v>
      </c>
      <c r="F289" s="29">
        <f>LOOKUP(E289,{0,-1.8,-0.8,0.2,1.2,2.2,3.2,4.6,6,7.4,8.8,10.2,11.6,13,14.4,15.8,17.2,19.1,21,22.8,24.6},{0,10,20,30,40,50,60,62,64,66,68,70,72,74,76,78,80,85,90,95,100})</f>
        <v>66</v>
      </c>
      <c r="G289" s="27">
        <v>230</v>
      </c>
      <c r="H289" s="29">
        <f>LOOKUP(G289,{0,180,185,190,195,200,205,209,213,217,221,225,229,233,237,241,245,253,260,265,270},{0,10,20,30,40,50,60,62,64,66,68,70,72,74,76,78,80,85,90,95,100})</f>
        <v>72</v>
      </c>
      <c r="I289" s="27">
        <v>10</v>
      </c>
      <c r="J289" s="29">
        <f>LOOKUP(I289,{0,4,5,6,7,8,9,10,11,12,13,14,15,16,17,18},{0,10,20,30,40,50,60,64,68,72,76,80,85,90,95,100})</f>
        <v>64</v>
      </c>
      <c r="K289" s="44"/>
      <c r="L289" s="35"/>
      <c r="M289" s="35">
        <f t="shared" si="25"/>
        <v>64</v>
      </c>
      <c r="N289" s="35">
        <v>7.5</v>
      </c>
      <c r="O289" s="36">
        <f t="shared" si="26"/>
        <v>10.5</v>
      </c>
      <c r="P289" s="29">
        <f>LOOKUP(O289,{0,7.8,8,8.2,8.4,8.6,8.8,9,9.2,9.4,9.6,9.8,10,10.2,10.4,10.6,10.8,10.9,11,11.1,11.2},{0,10,20,30,40,50,60,62,64,66,68,70,72,74,76,78,80,85,90,95,100})</f>
        <v>76</v>
      </c>
      <c r="Q289" s="5">
        <v>5.57</v>
      </c>
      <c r="R289" s="36">
        <f t="shared" si="27"/>
        <v>4.43</v>
      </c>
      <c r="S289" s="29">
        <f>LOOKUP(R289,{0,3.85,4.45,4.65,4.85,5.45,5.65,5.7,5.75,5.8,5.85,5.9,5.95,6,6.45,6.5,6.55,6.63,6.7,6.75,6.8},{0,10,20,30,40,50,60,62,64,66,68,70,72,74,76,78,80,85,90,95,100})</f>
        <v>10</v>
      </c>
      <c r="T289" s="27"/>
      <c r="U289" s="27"/>
      <c r="V289" s="27">
        <f t="shared" si="31"/>
        <v>10</v>
      </c>
      <c r="W289" s="27"/>
      <c r="X289" s="19">
        <f t="shared" si="29"/>
        <v>37.4</v>
      </c>
      <c r="Y289" s="13">
        <f t="shared" si="30"/>
        <v>53.4285714285714</v>
      </c>
    </row>
    <row r="290" ht="15.6" spans="1:25">
      <c r="A290" s="27">
        <v>315</v>
      </c>
      <c r="B290" s="27">
        <v>2</v>
      </c>
      <c r="C290" s="28" t="s">
        <v>735</v>
      </c>
      <c r="D290" s="28" t="s">
        <v>12</v>
      </c>
      <c r="E290" s="27">
        <v>2.5</v>
      </c>
      <c r="F290" s="29">
        <f>LOOKUP(E290,{0,-1.8,-0.8,0.2,1.2,2.2,3.2,4.6,6,7.4,8.8,10.2,11.6,13,14.4,15.8,17.2,19.1,21,22.8,24.6},{0,10,20,30,40,50,60,62,64,66,68,70,72,74,76,78,80,85,90,95,100})</f>
        <v>50</v>
      </c>
      <c r="G290" s="27">
        <v>220</v>
      </c>
      <c r="H290" s="29">
        <f>LOOKUP(G290,{0,180,185,190,195,200,205,209,213,217,221,225,229,233,237,241,245,253,260,265,270},{0,10,20,30,40,50,60,62,64,66,68,70,72,74,76,78,80,85,90,95,100})</f>
        <v>66</v>
      </c>
      <c r="I290" s="27">
        <v>6</v>
      </c>
      <c r="J290" s="29">
        <f>LOOKUP(I290,{0,4,5,6,7,8,9,10,11,12,13,14,15,16,17,18},{0,10,20,30,40,50,60,64,68,72,76,80,85,90,95,100})</f>
        <v>30</v>
      </c>
      <c r="K290" s="44"/>
      <c r="L290" s="35"/>
      <c r="M290" s="35">
        <f t="shared" si="25"/>
        <v>30</v>
      </c>
      <c r="N290" s="35">
        <v>7.8</v>
      </c>
      <c r="O290" s="36">
        <f t="shared" si="26"/>
        <v>10.2</v>
      </c>
      <c r="P290" s="29">
        <f>LOOKUP(O290,{0,7.8,8,8.2,8.4,8.6,8.8,9,9.2,9.4,9.6,9.8,10,10.2,10.4,10.6,10.8,10.9,11,11.1,11.2},{0,10,20,30,40,50,60,62,64,66,68,70,72,74,76,78,80,85,90,95,100})</f>
        <v>74</v>
      </c>
      <c r="Q290" s="5">
        <v>5.07</v>
      </c>
      <c r="R290" s="36">
        <f t="shared" si="27"/>
        <v>4.93</v>
      </c>
      <c r="S290" s="29">
        <f>LOOKUP(R290,{0,3.85,4.45,4.65,4.85,5.45,5.65,5.7,5.75,5.8,5.85,5.9,5.95,6,6.45,6.5,6.55,6.63,6.7,6.75,6.8},{0,10,20,30,40,50,60,62,64,66,68,70,72,74,76,78,80,85,90,95,100})</f>
        <v>40</v>
      </c>
      <c r="T290" s="27"/>
      <c r="U290" s="27"/>
      <c r="V290" s="27">
        <f t="shared" si="31"/>
        <v>40</v>
      </c>
      <c r="W290" s="27"/>
      <c r="X290" s="19">
        <f t="shared" si="29"/>
        <v>37.4</v>
      </c>
      <c r="Y290" s="13">
        <f t="shared" si="30"/>
        <v>53.4285714285714</v>
      </c>
    </row>
    <row r="291" ht="15.6" spans="1:25">
      <c r="A291" s="27">
        <v>308</v>
      </c>
      <c r="B291" s="27">
        <v>20</v>
      </c>
      <c r="C291" s="28" t="s">
        <v>372</v>
      </c>
      <c r="D291" s="28" t="s">
        <v>12</v>
      </c>
      <c r="E291" s="27">
        <v>11.5</v>
      </c>
      <c r="F291" s="29">
        <f>LOOKUP(E291,{0,-1.8,-0.8,0.2,1.2,2.2,3.2,4.6,6,7.4,8.8,10.2,11.6,13,14.4,15.8,17.2,19.1,21,22.8,24.6},{0,10,20,30,40,50,60,62,64,66,68,70,72,74,76,78,80,85,90,95,100})</f>
        <v>70</v>
      </c>
      <c r="G291" s="27">
        <v>205</v>
      </c>
      <c r="H291" s="29">
        <f>LOOKUP(G291,{0,180,185,190,195,200,205,209,213,217,221,225,229,233,237,241,245,253,260,265,270},{0,10,20,30,40,50,60,62,64,66,68,70,72,74,76,78,80,85,90,95,100})</f>
        <v>60</v>
      </c>
      <c r="I291" s="27">
        <v>3</v>
      </c>
      <c r="J291" s="29">
        <f>LOOKUP(I291,{0,4,5,6,7,8,9,10,11,12,13,14,15,16,17,18},{0,10,20,30,40,50,60,64,68,72,76,80,85,90,95,100})</f>
        <v>0</v>
      </c>
      <c r="K291" s="44"/>
      <c r="L291" s="35"/>
      <c r="M291" s="35">
        <f t="shared" si="25"/>
        <v>0</v>
      </c>
      <c r="N291" s="35">
        <v>8</v>
      </c>
      <c r="O291" s="36">
        <f t="shared" si="26"/>
        <v>10</v>
      </c>
      <c r="P291" s="29">
        <f>LOOKUP(O291,{0,7.8,8,8.2,8.4,8.6,8.8,9,9.2,9.4,9.6,9.8,10,10.2,10.4,10.6,10.8,10.9,11,11.1,11.2},{0,10,20,30,40,50,60,62,64,66,68,70,72,74,76,78,80,85,90,95,100})</f>
        <v>72</v>
      </c>
      <c r="Q291" s="5">
        <v>4.53</v>
      </c>
      <c r="R291" s="36">
        <f t="shared" si="27"/>
        <v>5.47</v>
      </c>
      <c r="S291" s="29">
        <f>LOOKUP(R291,{0,3.85,4.45,4.65,4.85,5.45,5.65,5.7,5.75,5.8,5.85,5.9,5.95,6,6.45,6.5,6.55,6.63,6.7,6.75,6.8},{0,10,20,30,40,50,60,62,64,66,68,70,72,74,76,78,80,85,90,95,100})</f>
        <v>50</v>
      </c>
      <c r="T291" s="27"/>
      <c r="U291" s="27"/>
      <c r="V291" s="27">
        <f t="shared" si="31"/>
        <v>50</v>
      </c>
      <c r="W291" s="27"/>
      <c r="X291" s="19">
        <f t="shared" si="29"/>
        <v>37.4</v>
      </c>
      <c r="Y291" s="13">
        <f t="shared" si="30"/>
        <v>53.4285714285714</v>
      </c>
    </row>
    <row r="292" ht="15.6" spans="1:25">
      <c r="A292" s="27">
        <v>305</v>
      </c>
      <c r="B292" s="27">
        <v>18</v>
      </c>
      <c r="C292" s="28" t="s">
        <v>203</v>
      </c>
      <c r="D292" s="28" t="s">
        <v>12</v>
      </c>
      <c r="E292" s="27">
        <v>11</v>
      </c>
      <c r="F292" s="29">
        <f>LOOKUP(E292,{0,-1.8,-0.8,0.2,1.2,2.2,3.2,4.6,6,7.4,8.8,10.2,11.6,13,14.4,15.8,17.2,19.1,21,22.8,24.6},{0,10,20,30,40,50,60,62,64,66,68,70,72,74,76,78,80,85,90,95,100})</f>
        <v>70</v>
      </c>
      <c r="G292" s="27">
        <v>251</v>
      </c>
      <c r="H292" s="29">
        <f>LOOKUP(G292,{0,180,185,190,195,200,205,209,213,217,221,225,229,233,237,241,245,253,260,265,270},{0,10,20,30,40,50,60,62,64,66,68,70,72,74,76,78,80,85,90,95,100})</f>
        <v>80</v>
      </c>
      <c r="I292" s="27">
        <v>4</v>
      </c>
      <c r="J292" s="29">
        <f>LOOKUP(I292,{0,4,5,6,7,8,9,10,11,12,13,14,15,16,17,18},{0,10,20,30,40,50,60,64,68,72,76,80,85,90,95,100})</f>
        <v>10</v>
      </c>
      <c r="K292" s="44"/>
      <c r="L292" s="35"/>
      <c r="M292" s="35">
        <f t="shared" si="25"/>
        <v>10</v>
      </c>
      <c r="N292" s="35">
        <v>8.6</v>
      </c>
      <c r="O292" s="36">
        <f t="shared" si="26"/>
        <v>9.4</v>
      </c>
      <c r="P292" s="29">
        <f>LOOKUP(O292,{0,7.8,8,8.2,8.4,8.6,8.8,9,9.2,9.4,9.6,9.8,10,10.2,10.4,10.6,10.8,10.9,11,11.1,11.2},{0,10,20,30,40,50,60,62,64,66,68,70,72,74,76,78,80,85,90,95,100})</f>
        <v>66</v>
      </c>
      <c r="Q292" s="5">
        <v>5.01</v>
      </c>
      <c r="R292" s="36">
        <f t="shared" si="27"/>
        <v>4.99</v>
      </c>
      <c r="S292" s="29">
        <f>LOOKUP(R292,{0,3.85,4.45,4.65,4.85,5.45,5.65,5.7,5.75,5.8,5.85,5.9,5.95,6,6.45,6.5,6.55,6.63,6.7,6.75,6.8},{0,10,20,30,40,50,60,62,64,66,68,70,72,74,76,78,80,85,90,95,100})</f>
        <v>40</v>
      </c>
      <c r="T292" s="27"/>
      <c r="U292" s="27"/>
      <c r="V292" s="27">
        <f t="shared" si="31"/>
        <v>40</v>
      </c>
      <c r="W292" s="27"/>
      <c r="X292" s="19">
        <f t="shared" si="29"/>
        <v>37.2</v>
      </c>
      <c r="Y292" s="13">
        <f t="shared" si="30"/>
        <v>53.1428571428572</v>
      </c>
    </row>
    <row r="293" ht="15.6" spans="1:25">
      <c r="A293" s="27">
        <v>311</v>
      </c>
      <c r="B293" s="27">
        <v>20</v>
      </c>
      <c r="C293" s="28" t="s">
        <v>534</v>
      </c>
      <c r="D293" s="28" t="s">
        <v>12</v>
      </c>
      <c r="E293" s="27">
        <v>4.2</v>
      </c>
      <c r="F293" s="29">
        <f>LOOKUP(E293,{0,-1.8,-0.8,0.2,1.2,2.2,3.2,4.6,6,7.4,8.8,10.2,11.6,13,14.4,15.8,17.2,19.1,21,22.8,24.6},{0,10,20,30,40,50,60,62,64,66,68,70,72,74,76,78,80,85,90,95,100})</f>
        <v>60</v>
      </c>
      <c r="G293" s="27">
        <v>235</v>
      </c>
      <c r="H293" s="29">
        <f>LOOKUP(G293,{0,180,185,190,195,200,205,209,213,217,221,225,229,233,237,241,245,253,260,265,270},{0,10,20,30,40,50,60,62,64,66,68,70,72,74,76,78,80,85,90,95,100})</f>
        <v>74</v>
      </c>
      <c r="I293" s="27">
        <v>6</v>
      </c>
      <c r="J293" s="29">
        <f>LOOKUP(I293,{0,4,5,6,7,8,9,10,11,12,13,14,15,16,17,18},{0,10,20,30,40,50,60,64,68,72,76,80,85,90,95,100})</f>
        <v>30</v>
      </c>
      <c r="K293" s="44"/>
      <c r="L293" s="35"/>
      <c r="M293" s="35">
        <f t="shared" si="25"/>
        <v>30</v>
      </c>
      <c r="N293" s="35">
        <v>7.7</v>
      </c>
      <c r="O293" s="36">
        <f t="shared" si="26"/>
        <v>10.3</v>
      </c>
      <c r="P293" s="29">
        <f>LOOKUP(O293,{0,7.8,8,8.2,8.4,8.6,8.8,9,9.2,9.4,9.6,9.8,10,10.2,10.4,10.6,10.8,10.9,11,11.1,11.2},{0,10,20,30,40,50,60,62,64,66,68,70,72,74,76,78,80,85,90,95,100})</f>
        <v>74</v>
      </c>
      <c r="Q293" s="5">
        <v>5.29</v>
      </c>
      <c r="R293" s="36">
        <f t="shared" si="27"/>
        <v>4.71</v>
      </c>
      <c r="S293" s="29">
        <f>LOOKUP(R293,{0,3.85,4.45,4.65,4.85,5.45,5.65,5.7,5.75,5.8,5.85,5.9,5.95,6,6.45,6.5,6.55,6.63,6.7,6.75,6.8},{0,10,20,30,40,50,60,62,64,66,68,70,72,74,76,78,80,85,90,95,100})</f>
        <v>30</v>
      </c>
      <c r="T293" s="27"/>
      <c r="U293" s="27"/>
      <c r="V293" s="27">
        <f t="shared" si="31"/>
        <v>30</v>
      </c>
      <c r="W293" s="27"/>
      <c r="X293" s="19">
        <f t="shared" si="29"/>
        <v>37.2</v>
      </c>
      <c r="Y293" s="13">
        <f t="shared" si="30"/>
        <v>53.1428571428572</v>
      </c>
    </row>
    <row r="294" ht="15.6" spans="1:25">
      <c r="A294" s="27">
        <v>315</v>
      </c>
      <c r="B294" s="27">
        <v>4</v>
      </c>
      <c r="C294" s="28" t="s">
        <v>737</v>
      </c>
      <c r="D294" s="28" t="s">
        <v>12</v>
      </c>
      <c r="E294" s="27">
        <v>17</v>
      </c>
      <c r="F294" s="29">
        <f>LOOKUP(E294,{0,-1.8,-0.8,0.2,1.2,2.2,3.2,4.6,6,7.4,8.8,10.2,11.6,13,14.4,15.8,17.2,19.1,21,22.8,24.6},{0,10,20,30,40,50,60,62,64,66,68,70,72,74,76,78,80,85,90,95,100})</f>
        <v>78</v>
      </c>
      <c r="G294" s="27">
        <v>215</v>
      </c>
      <c r="H294" s="29">
        <f>LOOKUP(G294,{0,180,185,190,195,200,205,209,213,217,221,225,229,233,237,241,245,253,260,265,270},{0,10,20,30,40,50,60,62,64,66,68,70,72,74,76,78,80,85,90,95,100})</f>
        <v>64</v>
      </c>
      <c r="I294" s="27">
        <v>4</v>
      </c>
      <c r="J294" s="29">
        <f>LOOKUP(I294,{0,4,5,6,7,8,9,10,11,12,13,14,15,16,17,18},{0,10,20,30,40,50,60,64,68,72,76,80,85,90,95,100})</f>
        <v>10</v>
      </c>
      <c r="K294" s="44"/>
      <c r="L294" s="35"/>
      <c r="M294" s="35">
        <f t="shared" si="25"/>
        <v>10</v>
      </c>
      <c r="N294" s="35">
        <v>8.2</v>
      </c>
      <c r="O294" s="36">
        <f t="shared" si="26"/>
        <v>9.8</v>
      </c>
      <c r="P294" s="29">
        <f>LOOKUP(O294,{0,7.8,8,8.2,8.4,8.6,8.8,9,9.2,9.4,9.6,9.8,10,10.2,10.4,10.6,10.8,10.9,11,11.1,11.2},{0,10,20,30,40,50,60,62,64,66,68,70,72,74,76,78,80,85,90,95,100})</f>
        <v>70</v>
      </c>
      <c r="Q294" s="5">
        <v>5.07</v>
      </c>
      <c r="R294" s="36">
        <f t="shared" si="27"/>
        <v>4.93</v>
      </c>
      <c r="S294" s="29">
        <f>LOOKUP(R294,{0,3.85,4.45,4.65,4.85,5.45,5.65,5.7,5.75,5.8,5.85,5.9,5.95,6,6.45,6.5,6.55,6.63,6.7,6.75,6.8},{0,10,20,30,40,50,60,62,64,66,68,70,72,74,76,78,80,85,90,95,100})</f>
        <v>40</v>
      </c>
      <c r="T294" s="27"/>
      <c r="U294" s="27"/>
      <c r="V294" s="27">
        <f t="shared" si="31"/>
        <v>40</v>
      </c>
      <c r="W294" s="27"/>
      <c r="X294" s="19">
        <f t="shared" si="29"/>
        <v>37.2</v>
      </c>
      <c r="Y294" s="13">
        <f t="shared" si="30"/>
        <v>53.1428571428572</v>
      </c>
    </row>
    <row r="295" ht="15.6" spans="1:25">
      <c r="A295" s="27">
        <v>315</v>
      </c>
      <c r="B295" s="27">
        <v>8</v>
      </c>
      <c r="C295" s="28" t="s">
        <v>741</v>
      </c>
      <c r="D295" s="28" t="s">
        <v>12</v>
      </c>
      <c r="E295" s="27">
        <v>12</v>
      </c>
      <c r="F295" s="29">
        <f>LOOKUP(E295,{0,-1.8,-0.8,0.2,1.2,2.2,3.2,4.6,6,7.4,8.8,10.2,11.6,13,14.4,15.8,17.2,19.1,21,22.8,24.6},{0,10,20,30,40,50,60,62,64,66,68,70,72,74,76,78,80,85,90,95,100})</f>
        <v>72</v>
      </c>
      <c r="G295" s="27">
        <v>215</v>
      </c>
      <c r="H295" s="29">
        <f>LOOKUP(G295,{0,180,185,190,195,200,205,209,213,217,221,225,229,233,237,241,245,253,260,265,270},{0,10,20,30,40,50,60,62,64,66,68,70,72,74,76,78,80,85,90,95,100})</f>
        <v>64</v>
      </c>
      <c r="I295" s="27">
        <v>1</v>
      </c>
      <c r="J295" s="29">
        <f>LOOKUP(I295,{0,4,5,6,7,8,9,10,11,12,13,14,15,16,17,18},{0,10,20,30,40,50,60,64,68,72,76,80,85,90,95,100})</f>
        <v>0</v>
      </c>
      <c r="K295" s="44"/>
      <c r="L295" s="35"/>
      <c r="M295" s="35">
        <f t="shared" si="25"/>
        <v>0</v>
      </c>
      <c r="N295" s="35">
        <v>7.3</v>
      </c>
      <c r="O295" s="36">
        <f t="shared" si="26"/>
        <v>10.7</v>
      </c>
      <c r="P295" s="29">
        <f>LOOKUP(O295,{0,7.8,8,8.2,8.4,8.6,8.8,9,9.2,9.4,9.6,9.8,10,10.2,10.4,10.6,10.8,10.9,11,11.1,11.2},{0,10,20,30,40,50,60,62,64,66,68,70,72,74,76,78,80,85,90,95,100})</f>
        <v>78</v>
      </c>
      <c r="Q295" s="5">
        <v>5.07</v>
      </c>
      <c r="R295" s="36">
        <f t="shared" si="27"/>
        <v>4.93</v>
      </c>
      <c r="S295" s="29">
        <f>LOOKUP(R295,{0,3.85,4.45,4.65,4.85,5.45,5.65,5.7,5.75,5.8,5.85,5.9,5.95,6,6.45,6.5,6.55,6.63,6.7,6.75,6.8},{0,10,20,30,40,50,60,62,64,66,68,70,72,74,76,78,80,85,90,95,100})</f>
        <v>40</v>
      </c>
      <c r="T295" s="27"/>
      <c r="U295" s="27"/>
      <c r="V295" s="27">
        <f t="shared" si="31"/>
        <v>40</v>
      </c>
      <c r="W295" s="27"/>
      <c r="X295" s="19">
        <f t="shared" si="29"/>
        <v>37.2</v>
      </c>
      <c r="Y295" s="13">
        <f t="shared" si="30"/>
        <v>53.1428571428572</v>
      </c>
    </row>
    <row r="296" ht="15.6" spans="1:25">
      <c r="A296" s="27">
        <v>305</v>
      </c>
      <c r="B296" s="27">
        <v>38</v>
      </c>
      <c r="C296" s="28" t="s">
        <v>225</v>
      </c>
      <c r="D296" s="28" t="s">
        <v>12</v>
      </c>
      <c r="E296" s="27">
        <v>7</v>
      </c>
      <c r="F296" s="29">
        <f>LOOKUP(E296,{0,-1.8,-0.8,0.2,1.2,2.2,3.2,4.6,6,7.4,8.8,10.2,11.6,13,14.4,15.8,17.2,19.1,21,22.8,24.6},{0,10,20,30,40,50,60,62,64,66,68,70,72,74,76,78,80,85,90,95,100})</f>
        <v>64</v>
      </c>
      <c r="G296" s="27">
        <v>212</v>
      </c>
      <c r="H296" s="29">
        <f>LOOKUP(G296,{0,180,185,190,195,200,205,209,213,217,221,225,229,233,237,241,245,253,260,265,270},{0,10,20,30,40,50,60,62,64,66,68,70,72,74,76,78,80,85,90,95,100})</f>
        <v>62</v>
      </c>
      <c r="I296" s="27">
        <v>1</v>
      </c>
      <c r="J296" s="29">
        <f>LOOKUP(I296,{0,4,5,6,7,8,9,10,11,12,13,14,15,16,17,18},{0,10,20,30,40,50,60,64,68,72,76,80,85,90,95,100})</f>
        <v>0</v>
      </c>
      <c r="K296" s="44"/>
      <c r="L296" s="35"/>
      <c r="M296" s="35">
        <f t="shared" si="25"/>
        <v>0</v>
      </c>
      <c r="N296" s="35">
        <v>7.9</v>
      </c>
      <c r="O296" s="36">
        <f t="shared" si="26"/>
        <v>10.1</v>
      </c>
      <c r="P296" s="29">
        <f>LOOKUP(O296,{0,7.8,8,8.2,8.4,8.6,8.8,9,9.2,9.4,9.6,9.8,10,10.2,10.4,10.6,10.8,10.9,11,11.1,11.2},{0,10,20,30,40,50,60,62,64,66,68,70,72,74,76,78,80,85,90,95,100})</f>
        <v>72</v>
      </c>
      <c r="Q296" s="5">
        <v>4.47</v>
      </c>
      <c r="R296" s="36">
        <f t="shared" si="27"/>
        <v>5.53</v>
      </c>
      <c r="S296" s="29">
        <f>LOOKUP(R296,{0,3.85,4.45,4.65,4.85,5.45,5.65,5.7,5.75,5.8,5.85,5.9,5.95,6,6.45,6.5,6.55,6.63,6.7,6.75,6.8},{0,10,20,30,40,50,60,62,64,66,68,70,72,74,76,78,80,85,90,95,100})</f>
        <v>50</v>
      </c>
      <c r="T296" s="27"/>
      <c r="U296" s="27"/>
      <c r="V296" s="27">
        <f t="shared" si="31"/>
        <v>50</v>
      </c>
      <c r="W296" s="27"/>
      <c r="X296" s="19">
        <f t="shared" si="29"/>
        <v>37</v>
      </c>
      <c r="Y296" s="13">
        <f t="shared" si="30"/>
        <v>52.8571428571429</v>
      </c>
    </row>
    <row r="297" ht="15.6" spans="1:25">
      <c r="A297" s="27">
        <v>313</v>
      </c>
      <c r="B297" s="27">
        <v>1</v>
      </c>
      <c r="C297" s="30" t="s">
        <v>627</v>
      </c>
      <c r="D297" s="28" t="s">
        <v>12</v>
      </c>
      <c r="E297" s="27">
        <v>15.5</v>
      </c>
      <c r="F297" s="29">
        <f>LOOKUP(E297,{0,-1.8,-0.8,0.2,1.2,2.2,3.2,4.6,6,7.4,8.8,10.2,11.6,13,14.4,15.8,17.2,19.1,21,22.8,24.6},{0,10,20,30,40,50,60,62,64,66,68,70,72,74,76,78,80,85,90,95,100})</f>
        <v>76</v>
      </c>
      <c r="G297" s="27">
        <v>220</v>
      </c>
      <c r="H297" s="29">
        <f>LOOKUP(G297,{0,180,185,190,195,200,205,209,213,217,221,225,229,233,237,241,245,253,260,265,270},{0,10,20,30,40,50,60,62,64,66,68,70,72,74,76,78,80,85,90,95,100})</f>
        <v>66</v>
      </c>
      <c r="I297" s="27">
        <v>0</v>
      </c>
      <c r="J297" s="29">
        <f>LOOKUP(I297,{0,4,5,6,7,8,9,10,11,12,13,14,15,16,17,18},{0,10,20,30,40,50,60,64,68,72,76,80,85,90,95,100})</f>
        <v>0</v>
      </c>
      <c r="K297" s="44"/>
      <c r="L297" s="35"/>
      <c r="M297" s="35">
        <f t="shared" si="25"/>
        <v>0</v>
      </c>
      <c r="N297" s="35">
        <v>7.7</v>
      </c>
      <c r="O297" s="36">
        <f t="shared" si="26"/>
        <v>10.3</v>
      </c>
      <c r="P297" s="29">
        <f>LOOKUP(O297,{0,7.8,8,8.2,8.4,8.6,8.8,9,9.2,9.4,9.6,9.8,10,10.2,10.4,10.6,10.8,10.9,11,11.1,11.2},{0,10,20,30,40,50,60,62,64,66,68,70,72,74,76,78,80,85,90,95,100})</f>
        <v>74</v>
      </c>
      <c r="Q297" s="5">
        <v>5.09</v>
      </c>
      <c r="R297" s="36">
        <f t="shared" si="27"/>
        <v>4.91</v>
      </c>
      <c r="S297" s="29">
        <f>LOOKUP(R297,{0,3.85,4.45,4.65,4.85,5.45,5.65,5.7,5.75,5.8,5.85,5.9,5.95,6,6.45,6.5,6.55,6.63,6.7,6.75,6.8},{0,10,20,30,40,50,60,62,64,66,68,70,72,74,76,78,80,85,90,95,100})</f>
        <v>40</v>
      </c>
      <c r="T297" s="27"/>
      <c r="U297" s="27"/>
      <c r="V297" s="27">
        <f t="shared" si="31"/>
        <v>40</v>
      </c>
      <c r="W297" s="27"/>
      <c r="X297" s="19">
        <f t="shared" si="29"/>
        <v>37</v>
      </c>
      <c r="Y297" s="13">
        <f t="shared" si="30"/>
        <v>52.8571428571429</v>
      </c>
    </row>
    <row r="298" ht="15.6" spans="1:25">
      <c r="A298" s="27">
        <v>302</v>
      </c>
      <c r="B298" s="27">
        <v>13</v>
      </c>
      <c r="C298" s="27" t="s">
        <v>71</v>
      </c>
      <c r="D298" s="27" t="s">
        <v>12</v>
      </c>
      <c r="E298" s="27">
        <v>14.2</v>
      </c>
      <c r="F298" s="29">
        <f>LOOKUP(E298,{0,-1.8,-0.8,0.2,1.2,2.2,3.2,4.6,6,7.4,8.8,10.2,11.6,13,14.4,15.8,17.2,19.1,21,22.8,24.6},{0,10,20,30,40,50,60,62,64,66,68,70,72,74,76,78,80,85,90,95,100})</f>
        <v>74</v>
      </c>
      <c r="G298" s="27">
        <v>235</v>
      </c>
      <c r="H298" s="29">
        <f>LOOKUP(G298,{0,180,185,190,195,200,205,209,213,217,221,225,229,233,237,241,245,253,260,265,270},{0,10,20,30,40,50,60,62,64,66,68,70,72,74,76,78,80,85,90,95,100})</f>
        <v>74</v>
      </c>
      <c r="I298" s="27">
        <v>0</v>
      </c>
      <c r="J298" s="29">
        <f>LOOKUP(I298,{0,4,5,6,7,8,9,10,11,12,13,14,15,16,17,18},{0,10,20,30,40,50,60,64,68,72,76,80,85,90,95,100})</f>
        <v>0</v>
      </c>
      <c r="K298" s="44"/>
      <c r="L298" s="35"/>
      <c r="M298" s="35">
        <f t="shared" si="25"/>
        <v>0</v>
      </c>
      <c r="N298" s="35">
        <v>7.4</v>
      </c>
      <c r="O298" s="36">
        <f t="shared" si="26"/>
        <v>10.6</v>
      </c>
      <c r="P298" s="29">
        <f>LOOKUP(O298,{0,7.8,8,8.2,8.4,8.6,8.8,9,9.2,9.4,9.6,9.8,10,10.2,10.4,10.6,10.8,10.9,11,11.1,11.2},{0,10,20,30,40,50,60,62,64,66,68,70,72,74,76,78,80,85,90,95,100})</f>
        <v>78</v>
      </c>
      <c r="Q298" s="5">
        <v>5.27</v>
      </c>
      <c r="R298" s="36">
        <f t="shared" si="27"/>
        <v>4.73</v>
      </c>
      <c r="S298" s="29">
        <f>LOOKUP(R298,{0,3.85,4.45,4.65,4.85,5.45,5.65,5.7,5.75,5.8,5.85,5.9,5.95,6,6.45,6.5,6.55,6.63,6.7,6.75,6.8},{0,10,20,30,40,50,60,62,64,66,68,70,72,74,76,78,80,85,90,95,100})</f>
        <v>30</v>
      </c>
      <c r="T298" s="27"/>
      <c r="U298" s="27"/>
      <c r="V298" s="27">
        <f t="shared" si="31"/>
        <v>30</v>
      </c>
      <c r="W298" s="27"/>
      <c r="X298" s="19">
        <f t="shared" si="29"/>
        <v>36.4</v>
      </c>
      <c r="Y298" s="13">
        <f t="shared" si="30"/>
        <v>52</v>
      </c>
    </row>
    <row r="299" ht="15.6" spans="1:25">
      <c r="A299" s="27">
        <v>311</v>
      </c>
      <c r="B299" s="27">
        <v>15</v>
      </c>
      <c r="C299" s="28" t="s">
        <v>529</v>
      </c>
      <c r="D299" s="28" t="s">
        <v>12</v>
      </c>
      <c r="E299" s="27">
        <v>10.7</v>
      </c>
      <c r="F299" s="29">
        <f>LOOKUP(E299,{0,-1.8,-0.8,0.2,1.2,2.2,3.2,4.6,6,7.4,8.8,10.2,11.6,13,14.4,15.8,17.2,19.1,21,22.8,24.6},{0,10,20,30,40,50,60,62,64,66,68,70,72,74,76,78,80,85,90,95,100})</f>
        <v>70</v>
      </c>
      <c r="G299" s="27">
        <v>220</v>
      </c>
      <c r="H299" s="29">
        <f>LOOKUP(G299,{0,180,185,190,195,200,205,209,213,217,221,225,229,233,237,241,245,253,260,265,270},{0,10,20,30,40,50,60,62,64,66,68,70,72,74,76,78,80,85,90,95,100})</f>
        <v>66</v>
      </c>
      <c r="I299" s="27">
        <v>1</v>
      </c>
      <c r="J299" s="29">
        <f>LOOKUP(I299,{0,4,5,6,7,8,9,10,11,12,13,14,15,16,17,18},{0,10,20,30,40,50,60,64,68,72,76,80,85,90,95,100})</f>
        <v>0</v>
      </c>
      <c r="K299" s="44"/>
      <c r="L299" s="35"/>
      <c r="M299" s="35">
        <f t="shared" si="25"/>
        <v>0</v>
      </c>
      <c r="N299" s="35">
        <v>7.8</v>
      </c>
      <c r="O299" s="36">
        <f t="shared" si="26"/>
        <v>10.2</v>
      </c>
      <c r="P299" s="29">
        <f>LOOKUP(O299,{0,7.8,8,8.2,8.4,8.6,8.8,9,9.2,9.4,9.6,9.8,10,10.2,10.4,10.6,10.8,10.9,11,11.1,11.2},{0,10,20,30,40,50,60,62,64,66,68,70,72,74,76,78,80,85,90,95,100})</f>
        <v>74</v>
      </c>
      <c r="Q299" s="5">
        <v>5.02</v>
      </c>
      <c r="R299" s="36">
        <f t="shared" si="27"/>
        <v>4.98</v>
      </c>
      <c r="S299" s="29">
        <f>LOOKUP(R299,{0,3.85,4.45,4.65,4.85,5.45,5.65,5.7,5.75,5.8,5.85,5.9,5.95,6,6.45,6.5,6.55,6.63,6.7,6.75,6.8},{0,10,20,30,40,50,60,62,64,66,68,70,72,74,76,78,80,85,90,95,100})</f>
        <v>40</v>
      </c>
      <c r="T299" s="27"/>
      <c r="U299" s="27"/>
      <c r="V299" s="27">
        <f t="shared" si="31"/>
        <v>40</v>
      </c>
      <c r="W299" s="27"/>
      <c r="X299" s="19">
        <f t="shared" si="29"/>
        <v>36.4</v>
      </c>
      <c r="Y299" s="13">
        <f t="shared" si="30"/>
        <v>52</v>
      </c>
    </row>
    <row r="300" ht="15.6" spans="1:25">
      <c r="A300" s="27">
        <v>301</v>
      </c>
      <c r="B300" s="27">
        <v>27</v>
      </c>
      <c r="C300" s="27" t="s">
        <v>39</v>
      </c>
      <c r="D300" s="27" t="s">
        <v>12</v>
      </c>
      <c r="E300" s="27">
        <v>5</v>
      </c>
      <c r="F300" s="29">
        <f>LOOKUP(E300,{0,-1.8,-0.8,0.2,1.2,2.2,3.2,4.6,6,7.4,8.8,10.2,11.6,13,14.4,15.8,17.2,19.1,21,22.8,24.6},{0,10,20,30,40,50,60,62,64,66,68,70,72,74,76,78,80,85,90,95,100})</f>
        <v>62</v>
      </c>
      <c r="G300" s="27">
        <v>212</v>
      </c>
      <c r="H300" s="29">
        <f>LOOKUP(G300,{0,180,185,190,195,200,205,209,213,217,221,225,229,233,237,241,245,253,260,265,270},{0,10,20,30,40,50,60,62,64,66,68,70,72,74,76,78,80,85,90,95,100})</f>
        <v>62</v>
      </c>
      <c r="I300" s="27">
        <v>3</v>
      </c>
      <c r="J300" s="29">
        <f>LOOKUP(I300,{0,4,5,6,7,8,9,10,11,12,13,14,15,16,17,18},{0,10,20,30,40,50,60,64,68,72,76,80,85,90,95,100})</f>
        <v>0</v>
      </c>
      <c r="K300" s="44"/>
      <c r="L300" s="35"/>
      <c r="M300" s="35">
        <f t="shared" si="25"/>
        <v>0</v>
      </c>
      <c r="N300" s="35">
        <v>7.2</v>
      </c>
      <c r="O300" s="36">
        <f t="shared" si="26"/>
        <v>10.8</v>
      </c>
      <c r="P300" s="29">
        <f>LOOKUP(O300,{0,7.8,8,8.2,8.4,8.6,8.8,9,9.2,9.4,9.6,9.8,10,10.2,10.4,10.6,10.8,10.9,11,11.1,11.2},{0,10,20,30,40,50,60,62,64,66,68,70,72,74,76,78,80,85,90,95,100})</f>
        <v>80</v>
      </c>
      <c r="Q300" s="5">
        <v>4.57</v>
      </c>
      <c r="R300" s="36">
        <f t="shared" si="27"/>
        <v>5.43</v>
      </c>
      <c r="S300" s="29">
        <f>LOOKUP(R300,{0,3.85,4.45,4.65,4.85,5.45,5.65,5.7,5.75,5.8,5.85,5.9,5.95,6,6.45,6.5,6.55,6.63,6.7,6.75,6.8},{0,10,20,30,40,50,60,62,64,66,68,70,72,74,76,78,80,85,90,95,100})</f>
        <v>40</v>
      </c>
      <c r="T300" s="27"/>
      <c r="U300" s="27"/>
      <c r="V300" s="27">
        <f t="shared" si="31"/>
        <v>40</v>
      </c>
      <c r="W300" s="27"/>
      <c r="X300" s="19">
        <f t="shared" si="29"/>
        <v>36.4</v>
      </c>
      <c r="Y300" s="13">
        <f t="shared" si="30"/>
        <v>52</v>
      </c>
    </row>
    <row r="301" ht="15.6" spans="1:25">
      <c r="A301" s="27">
        <v>302</v>
      </c>
      <c r="B301" s="27">
        <v>26</v>
      </c>
      <c r="C301" s="27" t="s">
        <v>86</v>
      </c>
      <c r="D301" s="27" t="s">
        <v>12</v>
      </c>
      <c r="E301" s="27">
        <v>1</v>
      </c>
      <c r="F301" s="29">
        <f>LOOKUP(E301,{0,-1.8,-0.8,0.2,1.2,2.2,3.2,4.6,6,7.4,8.8,10.2,11.6,13,14.4,15.8,17.2,19.1,21,22.8,24.6},{0,10,20,30,40,50,60,62,64,66,68,70,72,74,76,78,80,85,90,95,100})</f>
        <v>30</v>
      </c>
      <c r="G301" s="27">
        <v>210</v>
      </c>
      <c r="H301" s="29">
        <f>LOOKUP(G301,{0,180,185,190,195,200,205,209,213,217,221,225,229,233,237,241,245,253,260,265,270},{0,10,20,30,40,50,60,62,64,66,68,70,72,74,76,78,80,85,90,95,100})</f>
        <v>62</v>
      </c>
      <c r="I301" s="27">
        <v>1</v>
      </c>
      <c r="J301" s="29">
        <f>LOOKUP(I301,{0,4,5,6,7,8,9,10,11,12,13,14,15,16,17,18},{0,10,20,30,40,50,60,64,68,72,76,80,85,90,95,100})</f>
        <v>0</v>
      </c>
      <c r="K301" s="44"/>
      <c r="L301" s="35"/>
      <c r="M301" s="35">
        <f t="shared" si="25"/>
        <v>0</v>
      </c>
      <c r="N301" s="35">
        <v>8.1</v>
      </c>
      <c r="O301" s="36">
        <f t="shared" si="26"/>
        <v>9.9</v>
      </c>
      <c r="P301" s="29">
        <f>LOOKUP(O301,{0,7.8,8,8.2,8.4,8.6,8.8,9,9.2,9.4,9.6,9.8,10,10.2,10.4,10.6,10.8,10.9,11,11.1,11.2},{0,10,20,30,40,50,60,62,64,66,68,70,72,74,76,78,80,85,90,95,100})</f>
        <v>70</v>
      </c>
      <c r="Q301" s="5">
        <v>4.16</v>
      </c>
      <c r="R301" s="36">
        <f t="shared" si="27"/>
        <v>5.84</v>
      </c>
      <c r="S301" s="29">
        <f>LOOKUP(R301,{0,3.85,4.45,4.65,4.85,5.45,5.65,5.7,5.75,5.8,5.85,5.9,5.95,6,6.45,6.5,6.55,6.63,6.7,6.75,6.8},{0,10,20,30,40,50,60,62,64,66,68,70,72,74,76,78,80,85,90,95,100})</f>
        <v>66</v>
      </c>
      <c r="T301" s="27"/>
      <c r="U301" s="27"/>
      <c r="V301" s="27">
        <f t="shared" si="31"/>
        <v>66</v>
      </c>
      <c r="W301" s="27"/>
      <c r="X301" s="19">
        <f t="shared" si="29"/>
        <v>36.4</v>
      </c>
      <c r="Y301" s="13">
        <f t="shared" si="30"/>
        <v>52</v>
      </c>
    </row>
    <row r="302" ht="15.6" spans="1:25">
      <c r="A302" s="27">
        <v>311</v>
      </c>
      <c r="B302" s="27">
        <v>32</v>
      </c>
      <c r="C302" s="28" t="s">
        <v>547</v>
      </c>
      <c r="D302" s="28" t="s">
        <v>12</v>
      </c>
      <c r="E302" s="27">
        <v>11.5</v>
      </c>
      <c r="F302" s="29">
        <f>LOOKUP(E302,{0,-1.8,-0.8,0.2,1.2,2.2,3.2,4.6,6,7.4,8.8,10.2,11.6,13,14.4,15.8,17.2,19.1,21,22.8,24.6},{0,10,20,30,40,50,60,62,64,66,68,70,72,74,76,78,80,85,90,95,100})</f>
        <v>70</v>
      </c>
      <c r="G302" s="27">
        <v>210</v>
      </c>
      <c r="H302" s="29">
        <f>LOOKUP(G302,{0,180,185,190,195,200,205,209,213,217,221,225,229,233,237,241,245,253,260,265,270},{0,10,20,30,40,50,60,62,64,66,68,70,72,74,76,78,80,85,90,95,100})</f>
        <v>62</v>
      </c>
      <c r="I302" s="27">
        <v>0</v>
      </c>
      <c r="J302" s="29">
        <f>LOOKUP(I302,{0,4,5,6,7,8,9,10,11,12,13,14,15,16,17,18},{0,10,20,30,40,50,60,64,68,72,76,80,85,90,95,100})</f>
        <v>0</v>
      </c>
      <c r="K302" s="44"/>
      <c r="L302" s="35"/>
      <c r="M302" s="35">
        <f t="shared" si="25"/>
        <v>0</v>
      </c>
      <c r="N302" s="35">
        <v>8.5</v>
      </c>
      <c r="O302" s="36">
        <f t="shared" si="26"/>
        <v>9.5</v>
      </c>
      <c r="P302" s="29">
        <f>LOOKUP(O302,{0,7.8,8,8.2,8.4,8.6,8.8,9,9.2,9.4,9.6,9.8,10,10.2,10.4,10.6,10.8,10.9,11,11.1,11.2},{0,10,20,30,40,50,60,62,64,66,68,70,72,74,76,78,80,85,90,95,100})</f>
        <v>66</v>
      </c>
      <c r="Q302" s="5">
        <v>4.37</v>
      </c>
      <c r="R302" s="36">
        <f t="shared" si="27"/>
        <v>5.63</v>
      </c>
      <c r="S302" s="29">
        <f>LOOKUP(R302,{0,3.85,4.45,4.65,4.85,5.45,5.65,5.7,5.75,5.8,5.85,5.9,5.95,6,6.45,6.5,6.55,6.63,6.7,6.75,6.8},{0,10,20,30,40,50,60,62,64,66,68,70,72,74,76,78,80,85,90,95,100})</f>
        <v>50</v>
      </c>
      <c r="T302" s="27"/>
      <c r="U302" s="27"/>
      <c r="V302" s="27">
        <f t="shared" si="31"/>
        <v>50</v>
      </c>
      <c r="W302" s="27"/>
      <c r="X302" s="19">
        <f t="shared" si="29"/>
        <v>36.4</v>
      </c>
      <c r="Y302" s="13">
        <f t="shared" si="30"/>
        <v>52</v>
      </c>
    </row>
    <row r="303" ht="15.6" spans="1:25">
      <c r="A303" s="27">
        <v>316</v>
      </c>
      <c r="B303" s="27">
        <v>6</v>
      </c>
      <c r="C303" s="28" t="s">
        <v>793</v>
      </c>
      <c r="D303" s="28" t="s">
        <v>12</v>
      </c>
      <c r="E303" s="27">
        <v>18</v>
      </c>
      <c r="F303" s="29">
        <f>LOOKUP(E303,{0,-1.8,-0.8,0.2,1.2,2.2,3.2,4.6,6,7.4,8.8,10.2,11.6,13,14.4,15.8,17.2,19.1,21,22.8,24.6},{0,10,20,30,40,50,60,62,64,66,68,70,72,74,76,78,80,85,90,95,100})</f>
        <v>80</v>
      </c>
      <c r="G303" s="27">
        <v>195</v>
      </c>
      <c r="H303" s="29">
        <f>LOOKUP(G303,{0,180,185,190,195,200,205,209,213,217,221,225,229,233,237,241,245,253,260,265,270},{0,10,20,30,40,50,60,62,64,66,68,70,72,74,76,78,80,85,90,95,100})</f>
        <v>40</v>
      </c>
      <c r="I303" s="27">
        <v>0</v>
      </c>
      <c r="J303" s="29">
        <f>LOOKUP(I303,{0,4,5,6,7,8,9,10,11,12,13,14,15,16,17,18},{0,10,20,30,40,50,60,64,68,72,76,80,85,90,95,100})</f>
        <v>0</v>
      </c>
      <c r="K303" s="44"/>
      <c r="L303" s="35"/>
      <c r="M303" s="35">
        <f t="shared" si="25"/>
        <v>0</v>
      </c>
      <c r="N303" s="35">
        <v>7.9</v>
      </c>
      <c r="O303" s="36">
        <f t="shared" si="26"/>
        <v>10.1</v>
      </c>
      <c r="P303" s="29">
        <f>LOOKUP(O303,{0,7.8,8,8.2,8.4,8.6,8.8,9,9.2,9.4,9.6,9.8,10,10.2,10.4,10.6,10.8,10.9,11,11.1,11.2},{0,10,20,30,40,50,60,62,64,66,68,70,72,74,76,78,80,85,90,95,100})</f>
        <v>72</v>
      </c>
      <c r="Q303" s="5">
        <v>4.54</v>
      </c>
      <c r="R303" s="36">
        <f t="shared" si="27"/>
        <v>5.46</v>
      </c>
      <c r="S303" s="29">
        <f>LOOKUP(R303,{0,3.85,4.45,4.65,4.85,5.45,5.65,5.7,5.75,5.8,5.85,5.9,5.95,6,6.45,6.5,6.55,6.63,6.7,6.75,6.8},{0,10,20,30,40,50,60,62,64,66,68,70,72,74,76,78,80,85,90,95,100})</f>
        <v>50</v>
      </c>
      <c r="T303" s="27"/>
      <c r="U303" s="27"/>
      <c r="V303" s="27">
        <f t="shared" si="31"/>
        <v>50</v>
      </c>
      <c r="W303" s="27"/>
      <c r="X303" s="19">
        <f t="shared" si="29"/>
        <v>36.4</v>
      </c>
      <c r="Y303" s="13">
        <f t="shared" si="30"/>
        <v>52</v>
      </c>
    </row>
    <row r="304" ht="15.6" spans="1:25">
      <c r="A304" s="27">
        <v>316</v>
      </c>
      <c r="B304" s="27">
        <v>11</v>
      </c>
      <c r="C304" s="28" t="s">
        <v>798</v>
      </c>
      <c r="D304" s="28" t="s">
        <v>12</v>
      </c>
      <c r="E304" s="27">
        <v>16.5</v>
      </c>
      <c r="F304" s="29">
        <f>LOOKUP(E304,{0,-1.8,-0.8,0.2,1.2,2.2,3.2,4.6,6,7.4,8.8,10.2,11.6,13,14.4,15.8,17.2,19.1,21,22.8,24.6},{0,10,20,30,40,50,60,62,64,66,68,70,72,74,76,78,80,85,90,95,100})</f>
        <v>78</v>
      </c>
      <c r="G304" s="27">
        <v>195</v>
      </c>
      <c r="H304" s="29">
        <f>LOOKUP(G304,{0,180,185,190,195,200,205,209,213,217,221,225,229,233,237,241,245,253,260,265,270},{0,10,20,30,40,50,60,62,64,66,68,70,72,74,76,78,80,85,90,95,100})</f>
        <v>40</v>
      </c>
      <c r="I304" s="27">
        <v>0</v>
      </c>
      <c r="J304" s="29">
        <f>LOOKUP(I304,{0,4,5,6,7,8,9,10,11,12,13,14,15,16,17,18},{0,10,20,30,40,50,60,64,68,72,76,80,85,90,95,100})</f>
        <v>0</v>
      </c>
      <c r="K304" s="44"/>
      <c r="L304" s="35"/>
      <c r="M304" s="35">
        <f t="shared" si="25"/>
        <v>0</v>
      </c>
      <c r="N304" s="35">
        <v>7.9</v>
      </c>
      <c r="O304" s="36">
        <f t="shared" si="26"/>
        <v>10.1</v>
      </c>
      <c r="P304" s="29">
        <f>LOOKUP(O304,{0,7.8,8,8.2,8.4,8.6,8.8,9,9.2,9.4,9.6,9.8,10,10.2,10.4,10.6,10.8,10.9,11,11.1,11.2},{0,10,20,30,40,50,60,62,64,66,68,70,72,74,76,78,80,85,90,95,100})</f>
        <v>72</v>
      </c>
      <c r="Q304" s="5">
        <v>4.54</v>
      </c>
      <c r="R304" s="36">
        <f t="shared" si="27"/>
        <v>5.46</v>
      </c>
      <c r="S304" s="29">
        <f>LOOKUP(R304,{0,3.85,4.45,4.65,4.85,5.45,5.65,5.7,5.75,5.8,5.85,5.9,5.95,6,6.45,6.5,6.55,6.63,6.7,6.75,6.8},{0,10,20,30,40,50,60,62,64,66,68,70,72,74,76,78,80,85,90,95,100})</f>
        <v>50</v>
      </c>
      <c r="T304" s="27"/>
      <c r="U304" s="27"/>
      <c r="V304" s="27">
        <f t="shared" si="31"/>
        <v>50</v>
      </c>
      <c r="W304" s="27"/>
      <c r="X304" s="19">
        <f t="shared" si="29"/>
        <v>36.2</v>
      </c>
      <c r="Y304" s="13">
        <f t="shared" si="30"/>
        <v>51.7142857142857</v>
      </c>
    </row>
    <row r="305" ht="15.6" spans="1:25">
      <c r="A305" s="27">
        <v>304</v>
      </c>
      <c r="B305" s="27">
        <v>26</v>
      </c>
      <c r="C305" s="27" t="s">
        <v>175</v>
      </c>
      <c r="D305" s="27" t="s">
        <v>12</v>
      </c>
      <c r="E305" s="27">
        <v>7.5</v>
      </c>
      <c r="F305" s="29">
        <f>LOOKUP(E305,{0,-1.8,-0.8,0.2,1.2,2.2,3.2,4.6,6,7.4,8.8,10.2,11.6,13,14.4,15.8,17.2,19.1,21,22.8,24.6},{0,10,20,30,40,50,60,62,64,66,68,70,72,74,76,78,80,85,90,95,100})</f>
        <v>66</v>
      </c>
      <c r="G305" s="27">
        <v>220</v>
      </c>
      <c r="H305" s="29">
        <f>LOOKUP(G305,{0,180,185,190,195,200,205,209,213,217,221,225,229,233,237,241,245,253,260,265,270},{0,10,20,30,40,50,60,62,64,66,68,70,72,74,76,78,80,85,90,95,100})</f>
        <v>66</v>
      </c>
      <c r="I305" s="27">
        <v>1</v>
      </c>
      <c r="J305" s="29">
        <f>LOOKUP(I305,{0,4,5,6,7,8,9,10,11,12,13,14,15,16,17,18},{0,10,20,30,40,50,60,64,68,72,76,80,85,90,95,100})</f>
        <v>0</v>
      </c>
      <c r="K305" s="44"/>
      <c r="L305" s="35"/>
      <c r="M305" s="35">
        <f t="shared" si="25"/>
        <v>0</v>
      </c>
      <c r="N305" s="35">
        <v>7.7</v>
      </c>
      <c r="O305" s="36">
        <f t="shared" si="26"/>
        <v>10.3</v>
      </c>
      <c r="P305" s="29">
        <f>LOOKUP(O305,{0,7.8,8,8.2,8.4,8.6,8.8,9,9.2,9.4,9.6,9.8,10,10.2,10.4,10.6,10.8,10.9,11,11.1,11.2},{0,10,20,30,40,50,60,62,64,66,68,70,72,74,76,78,80,85,90,95,100})</f>
        <v>74</v>
      </c>
      <c r="Q305" s="5">
        <v>5.06</v>
      </c>
      <c r="R305" s="36">
        <f t="shared" si="27"/>
        <v>4.94</v>
      </c>
      <c r="S305" s="29">
        <f>LOOKUP(R305,{0,3.85,4.45,4.65,4.85,5.45,5.65,5.7,5.75,5.8,5.85,5.9,5.95,6,6.45,6.5,6.55,6.63,6.7,6.75,6.8},{0,10,20,30,40,50,60,62,64,66,68,70,72,74,76,78,80,85,90,95,100})</f>
        <v>40</v>
      </c>
      <c r="T305" s="27"/>
      <c r="U305" s="27"/>
      <c r="V305" s="27">
        <f t="shared" si="31"/>
        <v>40</v>
      </c>
      <c r="W305" s="27"/>
      <c r="X305" s="19">
        <f t="shared" si="29"/>
        <v>36</v>
      </c>
      <c r="Y305" s="13">
        <f t="shared" si="30"/>
        <v>51.4285714285714</v>
      </c>
    </row>
    <row r="306" ht="15.6" spans="1:25">
      <c r="A306" s="27">
        <v>307</v>
      </c>
      <c r="B306" s="27">
        <v>15</v>
      </c>
      <c r="C306" s="28" t="s">
        <v>314</v>
      </c>
      <c r="D306" s="28" t="s">
        <v>12</v>
      </c>
      <c r="E306" s="27">
        <v>0.5</v>
      </c>
      <c r="F306" s="29">
        <f>LOOKUP(E306,{0,-1.8,-0.8,0.2,1.2,2.2,3.2,4.6,6,7.4,8.8,10.2,11.6,13,14.4,15.8,17.2,19.1,21,22.8,24.6},{0,10,20,30,40,50,60,62,64,66,68,70,72,74,76,78,80,85,90,95,100})</f>
        <v>30</v>
      </c>
      <c r="G306" s="27">
        <v>210</v>
      </c>
      <c r="H306" s="29">
        <f>LOOKUP(G306,{0,180,185,190,195,200,205,209,213,217,221,225,229,233,237,241,245,253,260,265,270},{0,10,20,30,40,50,60,62,64,66,68,70,72,74,76,78,80,85,90,95,100})</f>
        <v>62</v>
      </c>
      <c r="I306" s="27">
        <v>0</v>
      </c>
      <c r="J306" s="29">
        <f>LOOKUP(I306,{0,4,5,6,7,8,9,10,11,12,13,14,15,16,17,18},{0,10,20,30,40,50,60,64,68,72,76,80,85,90,95,100})</f>
        <v>0</v>
      </c>
      <c r="K306" s="44"/>
      <c r="L306" s="35"/>
      <c r="M306" s="35">
        <f t="shared" si="25"/>
        <v>0</v>
      </c>
      <c r="N306" s="35">
        <v>7.8</v>
      </c>
      <c r="O306" s="36">
        <f t="shared" si="26"/>
        <v>10.2</v>
      </c>
      <c r="P306" s="29">
        <f>LOOKUP(O306,{0,7.8,8,8.2,8.4,8.6,8.8,9,9.2,9.4,9.6,9.8,10,10.2,10.4,10.6,10.8,10.9,11,11.1,11.2},{0,10,20,30,40,50,60,62,64,66,68,70,72,74,76,78,80,85,90,95,100})</f>
        <v>74</v>
      </c>
      <c r="Q306" s="5">
        <v>4.34</v>
      </c>
      <c r="R306" s="36">
        <f t="shared" si="27"/>
        <v>5.66</v>
      </c>
      <c r="S306" s="29">
        <f>LOOKUP(R306,{0,3.85,4.45,4.65,4.85,5.45,5.65,5.7,5.75,5.8,5.85,5.9,5.95,6,6.45,6.5,6.55,6.63,6.7,6.75,6.8},{0,10,20,30,40,50,60,62,64,66,68,70,72,74,76,78,80,85,90,95,100})</f>
        <v>60</v>
      </c>
      <c r="T306" s="27"/>
      <c r="U306" s="27"/>
      <c r="V306" s="27">
        <f t="shared" si="31"/>
        <v>60</v>
      </c>
      <c r="W306" s="27"/>
      <c r="X306" s="19">
        <f t="shared" si="29"/>
        <v>36</v>
      </c>
      <c r="Y306" s="13">
        <f t="shared" si="30"/>
        <v>51.4285714285714</v>
      </c>
    </row>
    <row r="307" ht="15.6" spans="1:26">
      <c r="A307" s="27">
        <v>303</v>
      </c>
      <c r="B307" s="27">
        <v>2</v>
      </c>
      <c r="C307" s="27" t="s">
        <v>104</v>
      </c>
      <c r="D307" s="27" t="s">
        <v>12</v>
      </c>
      <c r="E307" s="27">
        <v>-10.5</v>
      </c>
      <c r="F307" s="29">
        <v>0</v>
      </c>
      <c r="G307" s="27">
        <v>215</v>
      </c>
      <c r="H307" s="29">
        <f>LOOKUP(G307,{0,180,185,190,195,200,205,209,213,217,221,225,229,233,237,241,245,253,260,265,270},{0,10,20,30,40,50,60,62,64,66,68,70,72,74,76,78,80,85,90,95,100})</f>
        <v>64</v>
      </c>
      <c r="I307" s="27">
        <v>4</v>
      </c>
      <c r="J307" s="29">
        <f>LOOKUP(I307,{0,4,5,6,7,8,9,10,11,12,13,14,15,16,17,18},{0,10,20,30,40,50,60,64,68,72,76,80,85,90,95,100})</f>
        <v>10</v>
      </c>
      <c r="K307" s="44"/>
      <c r="L307" s="35"/>
      <c r="M307" s="35">
        <f t="shared" si="25"/>
        <v>10</v>
      </c>
      <c r="N307" s="35">
        <v>7.6</v>
      </c>
      <c r="O307" s="36">
        <f t="shared" si="26"/>
        <v>10.4</v>
      </c>
      <c r="P307" s="29">
        <f>LOOKUP(O307,{0,7.8,8,8.2,8.4,8.6,8.8,9,9.2,9.4,9.6,9.8,10,10.2,10.4,10.6,10.8,10.9,11,11.1,11.2},{0,10,20,30,40,50,60,62,64,66,68,70,72,74,76,78,80,85,90,95,100})</f>
        <v>76</v>
      </c>
      <c r="Q307" s="5">
        <v>4.16</v>
      </c>
      <c r="R307" s="36">
        <f t="shared" si="27"/>
        <v>5.84</v>
      </c>
      <c r="S307" s="29">
        <f>LOOKUP(R307,{0,3.85,4.45,4.65,4.85,5.45,5.65,5.7,5.75,5.8,5.85,5.9,5.95,6,6.45,6.5,6.55,6.63,6.7,6.75,6.8},{0,10,20,30,40,50,60,62,64,66,68,70,72,74,76,78,80,85,90,95,100})</f>
        <v>66</v>
      </c>
      <c r="T307" s="27"/>
      <c r="U307" s="27"/>
      <c r="V307" s="27">
        <f t="shared" si="31"/>
        <v>66</v>
      </c>
      <c r="W307" s="27"/>
      <c r="X307" s="19">
        <f t="shared" si="29"/>
        <v>35.8</v>
      </c>
      <c r="Y307" s="13">
        <f t="shared" si="30"/>
        <v>51.1428571428572</v>
      </c>
      <c r="Z307" s="19"/>
    </row>
    <row r="308" ht="15.6" spans="1:26">
      <c r="A308" s="27">
        <v>303</v>
      </c>
      <c r="B308" s="27">
        <v>14</v>
      </c>
      <c r="C308" s="27" t="s">
        <v>117</v>
      </c>
      <c r="D308" s="27" t="s">
        <v>12</v>
      </c>
      <c r="E308" s="27">
        <v>5</v>
      </c>
      <c r="F308" s="29">
        <f>LOOKUP(E308,{0,-1.8,-0.8,0.2,1.2,2.2,3.2,4.6,6,7.4,8.8,10.2,11.6,13,14.4,15.8,17.2,19.1,21,22.8,24.6},{0,10,20,30,40,50,60,62,64,66,68,70,72,74,76,78,80,85,90,95,100})</f>
        <v>62</v>
      </c>
      <c r="G308" s="27">
        <v>185</v>
      </c>
      <c r="H308" s="29">
        <f>LOOKUP(G308,{0,180,185,190,195,200,205,209,213,217,221,225,229,233,237,241,245,253,260,265,270},{0,10,20,30,40,50,60,62,64,66,68,70,72,74,76,78,80,85,90,95,100})</f>
        <v>20</v>
      </c>
      <c r="I308" s="27">
        <v>3</v>
      </c>
      <c r="J308" s="29">
        <f>LOOKUP(I308,{0,4,5,6,7,8,9,10,11,12,13,14,15,16,17,18},{0,10,20,30,40,50,60,64,68,72,76,80,85,90,95,100})</f>
        <v>0</v>
      </c>
      <c r="K308" s="44"/>
      <c r="L308" s="35"/>
      <c r="M308" s="35">
        <f t="shared" si="25"/>
        <v>0</v>
      </c>
      <c r="N308" s="35">
        <v>7.9</v>
      </c>
      <c r="O308" s="36">
        <f t="shared" si="26"/>
        <v>10.1</v>
      </c>
      <c r="P308" s="29">
        <f>LOOKUP(O308,{0,7.8,8,8.2,8.4,8.6,8.8,9,9.2,9.4,9.6,9.8,10,10.2,10.4,10.6,10.8,10.9,11,11.1,11.2},{0,10,20,30,40,50,60,62,64,66,68,70,72,74,76,78,80,85,90,95,100})</f>
        <v>72</v>
      </c>
      <c r="Q308" s="5">
        <v>4.17</v>
      </c>
      <c r="R308" s="36">
        <f t="shared" si="27"/>
        <v>5.83</v>
      </c>
      <c r="S308" s="29">
        <f>LOOKUP(R308,{0,3.85,4.45,4.65,4.85,5.45,5.65,5.7,5.75,5.8,5.85,5.9,5.95,6,6.45,6.5,6.55,6.63,6.7,6.75,6.8},{0,10,20,30,40,50,60,62,64,66,68,70,72,74,76,78,80,85,90,95,100})</f>
        <v>66</v>
      </c>
      <c r="T308" s="27"/>
      <c r="U308" s="27"/>
      <c r="V308" s="27">
        <f t="shared" si="31"/>
        <v>66</v>
      </c>
      <c r="W308" s="27"/>
      <c r="X308" s="19">
        <f t="shared" si="29"/>
        <v>35.8</v>
      </c>
      <c r="Y308" s="13">
        <f t="shared" si="30"/>
        <v>51.1428571428572</v>
      </c>
      <c r="Z308" s="19"/>
    </row>
    <row r="309" ht="15.6" spans="1:26">
      <c r="A309" s="27">
        <v>311</v>
      </c>
      <c r="B309" s="27">
        <v>22</v>
      </c>
      <c r="C309" s="28" t="s">
        <v>536</v>
      </c>
      <c r="D309" s="28" t="s">
        <v>12</v>
      </c>
      <c r="E309" s="27">
        <v>7</v>
      </c>
      <c r="F309" s="29">
        <f>LOOKUP(E309,{0,-1.8,-0.8,0.2,1.2,2.2,3.2,4.6,6,7.4,8.8,10.2,11.6,13,14.4,15.8,17.2,19.1,21,22.8,24.6},{0,10,20,30,40,50,60,62,64,66,68,70,72,74,76,78,80,85,90,95,100})</f>
        <v>64</v>
      </c>
      <c r="G309" s="27">
        <v>242</v>
      </c>
      <c r="H309" s="29">
        <f>LOOKUP(G309,{0,180,185,190,195,200,205,209,213,217,221,225,229,233,237,241,245,253,260,265,270},{0,10,20,30,40,50,60,62,64,66,68,70,72,74,76,78,80,85,90,95,100})</f>
        <v>78</v>
      </c>
      <c r="I309" s="27">
        <v>2</v>
      </c>
      <c r="J309" s="29">
        <f>LOOKUP(I309,{0,4,5,6,7,8,9,10,11,12,13,14,15,16,17,18},{0,10,20,30,40,50,60,64,68,72,76,80,85,90,95,100})</f>
        <v>0</v>
      </c>
      <c r="K309" s="44"/>
      <c r="L309" s="35"/>
      <c r="M309" s="35">
        <f t="shared" si="25"/>
        <v>0</v>
      </c>
      <c r="N309" s="35">
        <v>7.4</v>
      </c>
      <c r="O309" s="36">
        <f t="shared" si="26"/>
        <v>10.6</v>
      </c>
      <c r="P309" s="29">
        <f>LOOKUP(O309,{0,7.8,8,8.2,8.4,8.6,8.8,9,9.2,9.4,9.6,9.8,10,10.2,10.4,10.6,10.8,10.9,11,11.1,11.2},{0,10,20,30,40,50,60,62,64,66,68,70,72,74,76,78,80,85,90,95,100})</f>
        <v>78</v>
      </c>
      <c r="Q309" s="5">
        <v>5.3</v>
      </c>
      <c r="R309" s="36">
        <f t="shared" si="27"/>
        <v>4.7</v>
      </c>
      <c r="S309" s="29">
        <f>LOOKUP(R309,{0,3.85,4.45,4.65,4.85,5.45,5.65,5.7,5.75,5.8,5.85,5.9,5.95,6,6.45,6.5,6.55,6.63,6.7,6.75,6.8},{0,10,20,30,40,50,60,62,64,66,68,70,72,74,76,78,80,85,90,95,100})</f>
        <v>30</v>
      </c>
      <c r="T309" s="27"/>
      <c r="U309" s="27"/>
      <c r="V309" s="27">
        <f t="shared" si="31"/>
        <v>30</v>
      </c>
      <c r="W309" s="27"/>
      <c r="X309" s="19">
        <f t="shared" si="29"/>
        <v>35.8</v>
      </c>
      <c r="Y309" s="13">
        <f t="shared" si="30"/>
        <v>51.1428571428572</v>
      </c>
      <c r="Z309" s="19"/>
    </row>
    <row r="310" ht="15.6" spans="1:26">
      <c r="A310" s="27">
        <v>302</v>
      </c>
      <c r="B310" s="27">
        <v>29</v>
      </c>
      <c r="C310" s="27" t="s">
        <v>89</v>
      </c>
      <c r="D310" s="27" t="s">
        <v>12</v>
      </c>
      <c r="E310" s="27">
        <v>14.5</v>
      </c>
      <c r="F310" s="29">
        <f>LOOKUP(E310,{0,-1.8,-0.8,0.2,1.2,2.2,3.2,4.6,6,7.4,8.8,10.2,11.6,13,14.4,15.8,17.2,19.1,21,22.8,24.6},{0,10,20,30,40,50,60,62,64,66,68,70,72,74,76,78,80,85,90,95,100})</f>
        <v>76</v>
      </c>
      <c r="G310" s="27">
        <v>230</v>
      </c>
      <c r="H310" s="29">
        <f>LOOKUP(G310,{0,180,185,190,195,200,205,209,213,217,221,225,229,233,237,241,245,253,260,265,270},{0,10,20,30,40,50,60,62,64,66,68,70,72,74,76,78,80,85,90,95,100})</f>
        <v>72</v>
      </c>
      <c r="I310" s="27">
        <v>4</v>
      </c>
      <c r="J310" s="29">
        <f>LOOKUP(I310,{0,4,5,6,7,8,9,10,11,12,13,14,15,16,17,18},{0,10,20,30,40,50,60,64,68,72,76,80,85,90,95,100})</f>
        <v>10</v>
      </c>
      <c r="K310" s="44"/>
      <c r="L310" s="35"/>
      <c r="M310" s="35">
        <f t="shared" si="25"/>
        <v>10</v>
      </c>
      <c r="N310" s="35">
        <v>9.3</v>
      </c>
      <c r="O310" s="36">
        <f t="shared" si="26"/>
        <v>8.7</v>
      </c>
      <c r="P310" s="29">
        <f>LOOKUP(O310,{0,7.8,8,8.2,8.4,8.6,8.8,9,9.2,9.4,9.6,9.8,10,10.2,10.4,10.6,10.8,10.9,11,11.1,11.2},{0,10,20,30,40,50,60,62,64,66,68,70,72,74,76,78,80,85,90,95,100})</f>
        <v>50</v>
      </c>
      <c r="Q310" s="5">
        <v>4.38</v>
      </c>
      <c r="R310" s="36">
        <f t="shared" si="27"/>
        <v>5.62</v>
      </c>
      <c r="S310" s="29">
        <f>LOOKUP(R310,{0,3.85,4.45,4.65,4.85,5.45,5.65,5.7,5.75,5.8,5.85,5.9,5.95,6,6.45,6.5,6.55,6.63,6.7,6.75,6.8},{0,10,20,30,40,50,60,62,64,66,68,70,72,74,76,78,80,85,90,95,100})</f>
        <v>50</v>
      </c>
      <c r="T310" s="27"/>
      <c r="U310" s="27"/>
      <c r="V310" s="27">
        <f t="shared" si="31"/>
        <v>50</v>
      </c>
      <c r="W310" s="27"/>
      <c r="X310" s="19">
        <f t="shared" si="29"/>
        <v>35.8</v>
      </c>
      <c r="Y310" s="13">
        <f t="shared" si="30"/>
        <v>51.1428571428571</v>
      </c>
      <c r="Z310" s="20"/>
    </row>
    <row r="311" ht="15.6" spans="1:26">
      <c r="A311" s="27">
        <v>312</v>
      </c>
      <c r="B311" s="27">
        <v>7</v>
      </c>
      <c r="C311" s="28" t="s">
        <v>580</v>
      </c>
      <c r="D311" s="28" t="s">
        <v>12</v>
      </c>
      <c r="E311" s="27">
        <v>9</v>
      </c>
      <c r="F311" s="29">
        <f>LOOKUP(E311,{0,-1.8,-0.8,0.2,1.2,2.2,3.2,4.6,6,7.4,8.8,10.2,11.6,13,14.4,15.8,17.2,19.1,21,22.8,24.6},{0,10,20,30,40,50,60,62,64,66,68,70,72,74,76,78,80,85,90,95,100})</f>
        <v>68</v>
      </c>
      <c r="G311" s="27">
        <v>200</v>
      </c>
      <c r="H311" s="29">
        <f>LOOKUP(G311,{0,180,185,190,195,200,205,209,213,217,221,225,229,233,237,241,245,253,260,265,270},{0,10,20,30,40,50,60,62,64,66,68,70,72,74,76,78,80,85,90,95,100})</f>
        <v>50</v>
      </c>
      <c r="I311" s="27">
        <v>0</v>
      </c>
      <c r="J311" s="29">
        <f>LOOKUP(I311,{0,4,5,6,7,8,9,10,11,12,13,14,15,16,17,18},{0,10,20,30,40,50,60,64,68,72,76,80,85,90,95,100})</f>
        <v>0</v>
      </c>
      <c r="K311" s="44"/>
      <c r="L311" s="35"/>
      <c r="M311" s="35">
        <f t="shared" si="25"/>
        <v>0</v>
      </c>
      <c r="N311" s="35">
        <v>6.8</v>
      </c>
      <c r="O311" s="36">
        <f t="shared" si="26"/>
        <v>11.2</v>
      </c>
      <c r="P311" s="29">
        <f>LOOKUP(O311,{0,7.8,8,8.2,8.4,8.6,8.8,9,9.2,9.4,9.6,9.8,10,10.2,10.4,10.6,10.8,10.9,11,11.1,11.2},{0,10,20,30,40,50,60,62,64,66,68,70,72,74,76,78,80,85,90,95,100})</f>
        <v>100</v>
      </c>
      <c r="Q311" s="5">
        <v>5.5</v>
      </c>
      <c r="R311" s="36">
        <f t="shared" si="27"/>
        <v>4.5</v>
      </c>
      <c r="S311" s="29">
        <f>LOOKUP(R311,{0,3.85,4.45,4.65,4.85,5.45,5.65,5.7,5.75,5.8,5.85,5.9,5.95,6,6.45,6.5,6.55,6.63,6.7,6.75,6.8},{0,10,20,30,40,50,60,62,64,66,68,70,72,74,76,78,80,85,90,95,100})</f>
        <v>20</v>
      </c>
      <c r="T311" s="27"/>
      <c r="U311" s="27"/>
      <c r="V311" s="27">
        <f t="shared" si="31"/>
        <v>20</v>
      </c>
      <c r="W311" s="27"/>
      <c r="X311" s="19">
        <f t="shared" si="29"/>
        <v>35.8</v>
      </c>
      <c r="Y311" s="13">
        <f t="shared" si="30"/>
        <v>51.1428571428571</v>
      </c>
      <c r="Z311" s="19"/>
    </row>
    <row r="312" ht="15.6" spans="1:26">
      <c r="A312" s="27">
        <v>302</v>
      </c>
      <c r="B312" s="27">
        <v>1</v>
      </c>
      <c r="C312" s="31" t="s">
        <v>58</v>
      </c>
      <c r="D312" s="27" t="s">
        <v>12</v>
      </c>
      <c r="E312" s="27">
        <v>-5</v>
      </c>
      <c r="F312" s="29">
        <v>0</v>
      </c>
      <c r="G312" s="27">
        <v>260</v>
      </c>
      <c r="H312" s="29">
        <f>LOOKUP(G312,{0,180,185,190,195,200,205,209,213,217,221,225,229,233,237,241,245,253,260,265,270},{0,10,20,30,40,50,60,62,64,66,68,70,72,74,76,78,80,85,90,95,100})</f>
        <v>90</v>
      </c>
      <c r="I312" s="27">
        <v>4</v>
      </c>
      <c r="J312" s="29">
        <f>LOOKUP(I312,{0,4,5,6,7,8,9,10,11,12,13,14,15,16,17,18},{0,10,20,30,40,50,60,64,68,72,76,80,85,90,95,100})</f>
        <v>10</v>
      </c>
      <c r="K312" s="44"/>
      <c r="L312" s="39"/>
      <c r="M312" s="35">
        <f t="shared" si="25"/>
        <v>10</v>
      </c>
      <c r="N312" s="35">
        <v>7.4</v>
      </c>
      <c r="O312" s="36">
        <f t="shared" si="26"/>
        <v>10.6</v>
      </c>
      <c r="P312" s="29">
        <f>LOOKUP(O312,{0,7.8,8,8.2,8.4,8.6,8.8,9,9.2,9.4,9.6,9.8,10,10.2,10.4,10.6,10.8,10.9,11,11.1,11.2},{0,10,20,30,40,50,60,62,64,66,68,70,72,74,76,78,80,85,90,95,100})</f>
        <v>78</v>
      </c>
      <c r="Q312" s="5">
        <v>4.38</v>
      </c>
      <c r="R312" s="36">
        <f t="shared" si="27"/>
        <v>5.62</v>
      </c>
      <c r="S312" s="29">
        <f>LOOKUP(R312,{0,3.85,4.45,4.65,4.85,5.45,5.65,5.7,5.75,5.8,5.85,5.9,5.95,6,6.45,6.5,6.55,6.63,6.7,6.75,6.8},{0,10,20,30,40,50,60,62,64,66,68,70,72,74,76,78,80,85,90,95,100})</f>
        <v>50</v>
      </c>
      <c r="T312" s="27"/>
      <c r="U312" s="27"/>
      <c r="V312" s="27">
        <f t="shared" si="31"/>
        <v>50</v>
      </c>
      <c r="W312" s="27"/>
      <c r="X312" s="19">
        <f t="shared" si="29"/>
        <v>35.6</v>
      </c>
      <c r="Y312" s="13">
        <f t="shared" si="30"/>
        <v>50.8571428571429</v>
      </c>
      <c r="Z312" s="19"/>
    </row>
    <row r="313" ht="15.6" spans="1:26">
      <c r="A313" s="27">
        <v>304</v>
      </c>
      <c r="B313" s="27">
        <v>31</v>
      </c>
      <c r="C313" s="27" t="s">
        <v>180</v>
      </c>
      <c r="D313" s="27" t="s">
        <v>12</v>
      </c>
      <c r="E313" s="27">
        <v>0</v>
      </c>
      <c r="F313" s="29">
        <f>LOOKUP(E313,{0,-1.8,-0.8,0.2,1.2,2.2,3.2,4.6,6,7.4,8.8,10.2,11.6,13,14.4,15.8,17.2,19.1,21,22.8,24.6},{0,10,20,30,40,50,60,62,64,66,68,70,72,74,76,78,80,85,90,95,100})</f>
        <v>20</v>
      </c>
      <c r="G313" s="27">
        <v>247</v>
      </c>
      <c r="H313" s="29">
        <f>LOOKUP(G313,{0,180,185,190,195,200,205,209,213,217,221,225,229,233,237,241,245,253,260,265,270},{0,10,20,30,40,50,60,62,64,66,68,70,72,74,76,78,80,85,90,95,100})</f>
        <v>80</v>
      </c>
      <c r="I313" s="27">
        <v>10</v>
      </c>
      <c r="J313" s="29">
        <f>LOOKUP(I313,{0,4,5,6,7,8,9,10,11,12,13,14,15,16,17,18},{0,10,20,30,40,50,60,64,68,72,76,80,85,90,95,100})</f>
        <v>64</v>
      </c>
      <c r="K313" s="44"/>
      <c r="L313" s="35"/>
      <c r="M313" s="35">
        <f t="shared" si="25"/>
        <v>64</v>
      </c>
      <c r="N313" s="35">
        <v>7.6</v>
      </c>
      <c r="O313" s="36">
        <f t="shared" si="26"/>
        <v>10.4</v>
      </c>
      <c r="P313" s="29">
        <f>LOOKUP(O313,{0,7.8,8,8.2,8.4,8.6,8.8,9,9.2,9.4,9.6,9.8,10,10.2,10.4,10.6,10.8,10.9,11,11.1,11.2},{0,10,20,30,40,50,60,62,64,66,68,70,72,74,76,78,80,85,90,95,100})</f>
        <v>76</v>
      </c>
      <c r="Q313" s="5">
        <v>5.42</v>
      </c>
      <c r="R313" s="36">
        <f t="shared" si="27"/>
        <v>4.58</v>
      </c>
      <c r="S313" s="29">
        <f>LOOKUP(R313,{0,3.85,4.45,4.65,4.85,5.45,5.65,5.7,5.75,5.8,5.85,5.9,5.95,6,6.45,6.5,6.55,6.63,6.7,6.75,6.8},{0,10,20,30,40,50,60,62,64,66,68,70,72,74,76,78,80,85,90,95,100})</f>
        <v>20</v>
      </c>
      <c r="T313" s="27"/>
      <c r="U313" s="27"/>
      <c r="V313" s="27">
        <f t="shared" si="31"/>
        <v>20</v>
      </c>
      <c r="W313" s="27"/>
      <c r="X313" s="19">
        <f t="shared" si="29"/>
        <v>35.6</v>
      </c>
      <c r="Y313" s="13">
        <f t="shared" si="30"/>
        <v>50.8571428571429</v>
      </c>
      <c r="Z313" s="19"/>
    </row>
    <row r="314" ht="15.6" spans="1:26">
      <c r="A314" s="27">
        <v>310</v>
      </c>
      <c r="B314" s="27">
        <v>41</v>
      </c>
      <c r="C314" s="28" t="s">
        <v>501</v>
      </c>
      <c r="D314" s="28" t="s">
        <v>12</v>
      </c>
      <c r="E314" s="27">
        <v>4.4</v>
      </c>
      <c r="F314" s="29">
        <f>LOOKUP(E314,{0,-1.8,-0.8,0.2,1.2,2.2,3.2,4.6,6,7.4,8.8,10.2,11.6,13,14.4,15.8,17.2,19.1,21,22.8,24.6},{0,10,20,30,40,50,60,62,64,66,68,70,72,74,76,78,80,85,90,95,100})</f>
        <v>60</v>
      </c>
      <c r="G314" s="27">
        <v>205</v>
      </c>
      <c r="H314" s="29">
        <f>LOOKUP(G314,{0,180,185,190,195,200,205,209,213,217,221,225,229,233,237,241,245,253,260,265,270},{0,10,20,30,40,50,60,62,64,66,68,70,72,74,76,78,80,85,90,95,100})</f>
        <v>60</v>
      </c>
      <c r="I314" s="27">
        <v>1</v>
      </c>
      <c r="J314" s="29">
        <f>LOOKUP(I314,{0,4,5,6,7,8,9,10,11,12,13,14,15,16,17,18},{0,10,20,30,40,50,60,64,68,72,76,80,85,90,95,100})</f>
        <v>0</v>
      </c>
      <c r="K314" s="44"/>
      <c r="L314" s="35"/>
      <c r="M314" s="35">
        <f t="shared" si="25"/>
        <v>0</v>
      </c>
      <c r="N314" s="35">
        <v>8.3</v>
      </c>
      <c r="O314" s="36">
        <f t="shared" si="26"/>
        <v>9.7</v>
      </c>
      <c r="P314" s="29">
        <f>LOOKUP(O314,{0,7.8,8,8.2,8.4,8.6,8.8,9,9.2,9.4,9.6,9.8,10,10.2,10.4,10.6,10.8,10.9,11,11.1,11.2},{0,10,20,30,40,50,60,62,64,66,68,70,72,74,76,78,80,85,90,95,100})</f>
        <v>68</v>
      </c>
      <c r="Q314" s="5">
        <v>4.38</v>
      </c>
      <c r="R314" s="36">
        <f t="shared" si="27"/>
        <v>5.62</v>
      </c>
      <c r="S314" s="29">
        <f>LOOKUP(R314,{0,3.85,4.45,4.65,4.85,5.45,5.65,5.7,5.75,5.8,5.85,5.9,5.95,6,6.45,6.5,6.55,6.63,6.7,6.75,6.8},{0,10,20,30,40,50,60,62,64,66,68,70,72,74,76,78,80,85,90,95,100})</f>
        <v>50</v>
      </c>
      <c r="T314" s="27"/>
      <c r="U314" s="27"/>
      <c r="V314" s="27">
        <f t="shared" si="31"/>
        <v>50</v>
      </c>
      <c r="W314" s="27"/>
      <c r="X314" s="19">
        <f t="shared" si="29"/>
        <v>35.6</v>
      </c>
      <c r="Y314" s="13">
        <f t="shared" si="30"/>
        <v>50.8571428571429</v>
      </c>
      <c r="Z314" s="19"/>
    </row>
    <row r="315" ht="15.6" spans="1:26">
      <c r="A315" s="27">
        <v>314</v>
      </c>
      <c r="B315" s="27">
        <v>1</v>
      </c>
      <c r="C315" s="30" t="s">
        <v>682</v>
      </c>
      <c r="D315" s="28" t="s">
        <v>12</v>
      </c>
      <c r="E315" s="27">
        <v>14.5</v>
      </c>
      <c r="F315" s="29">
        <f>LOOKUP(E315,{0,-1.8,-0.8,0.2,1.2,2.2,3.2,4.6,6,7.4,8.8,10.2,11.6,13,14.4,15.8,17.2,19.1,21,22.8,24.6},{0,10,20,30,40,50,60,62,64,66,68,70,72,74,76,78,80,85,90,95,100})</f>
        <v>76</v>
      </c>
      <c r="G315" s="27">
        <v>215</v>
      </c>
      <c r="H315" s="29">
        <f>LOOKUP(G315,{0,180,185,190,195,200,205,209,213,217,221,225,229,233,237,241,245,253,260,265,270},{0,10,20,30,40,50,60,62,64,66,68,70,72,74,76,78,80,85,90,95,100})</f>
        <v>64</v>
      </c>
      <c r="I315" s="27">
        <v>0</v>
      </c>
      <c r="J315" s="29">
        <f>LOOKUP(I315,{0,4,5,6,7,8,9,10,11,12,13,14,15,16,17,18},{0,10,20,30,40,50,60,64,68,72,76,80,85,90,95,100})</f>
        <v>0</v>
      </c>
      <c r="K315" s="44"/>
      <c r="L315" s="35"/>
      <c r="M315" s="35">
        <f t="shared" si="25"/>
        <v>0</v>
      </c>
      <c r="N315" s="35">
        <v>7.3</v>
      </c>
      <c r="O315" s="36">
        <f t="shared" si="26"/>
        <v>10.7</v>
      </c>
      <c r="P315" s="29">
        <f>LOOKUP(O315,{0,7.8,8,8.2,8.4,8.6,8.8,9,9.2,9.4,9.6,9.8,10,10.2,10.4,10.6,10.8,10.9,11,11.1,11.2},{0,10,20,30,40,50,60,62,64,66,68,70,72,74,76,78,80,85,90,95,100})</f>
        <v>78</v>
      </c>
      <c r="Q315" s="5">
        <v>5.26</v>
      </c>
      <c r="R315" s="36">
        <f t="shared" si="27"/>
        <v>4.74</v>
      </c>
      <c r="S315" s="29">
        <f>LOOKUP(R315,{0,3.85,4.45,4.65,4.85,5.45,5.65,5.7,5.75,5.8,5.85,5.9,5.95,6,6.45,6.5,6.55,6.63,6.7,6.75,6.8},{0,10,20,30,40,50,60,62,64,66,68,70,72,74,76,78,80,85,90,95,100})</f>
        <v>30</v>
      </c>
      <c r="T315" s="27"/>
      <c r="U315" s="27"/>
      <c r="V315" s="27">
        <f t="shared" si="31"/>
        <v>30</v>
      </c>
      <c r="W315" s="27"/>
      <c r="X315" s="19">
        <f t="shared" si="29"/>
        <v>35.6</v>
      </c>
      <c r="Y315" s="13">
        <f t="shared" si="30"/>
        <v>50.8571428571429</v>
      </c>
      <c r="Z315" s="19"/>
    </row>
    <row r="316" ht="15.6" spans="1:26">
      <c r="A316" s="27">
        <v>307</v>
      </c>
      <c r="B316" s="27">
        <v>11</v>
      </c>
      <c r="C316" s="28" t="s">
        <v>310</v>
      </c>
      <c r="D316" s="28" t="s">
        <v>12</v>
      </c>
      <c r="E316" s="27">
        <v>16</v>
      </c>
      <c r="F316" s="29">
        <f>LOOKUP(E316,{0,-1.8,-0.8,0.2,1.2,2.2,3.2,4.6,6,7.4,8.8,10.2,11.6,13,14.4,15.8,17.2,19.1,21,22.8,24.6},{0,10,20,30,40,50,60,62,64,66,68,70,72,74,76,78,80,85,90,95,100})</f>
        <v>78</v>
      </c>
      <c r="G316" s="27">
        <v>197</v>
      </c>
      <c r="H316" s="29">
        <f>LOOKUP(G316,{0,180,185,190,195,200,205,209,213,217,221,225,229,233,237,241,245,253,260,265,270},{0,10,20,30,40,50,60,62,64,66,68,70,72,74,76,78,80,85,90,95,100})</f>
        <v>40</v>
      </c>
      <c r="I316" s="27">
        <v>1</v>
      </c>
      <c r="J316" s="29">
        <f>LOOKUP(I316,{0,4,5,6,7,8,9,10,11,12,13,14,15,16,17,18},{0,10,20,30,40,50,60,64,68,72,76,80,85,90,95,100})</f>
        <v>0</v>
      </c>
      <c r="K316" s="44"/>
      <c r="L316" s="35"/>
      <c r="M316" s="35">
        <f t="shared" si="25"/>
        <v>0</v>
      </c>
      <c r="N316" s="35">
        <v>7.3</v>
      </c>
      <c r="O316" s="36">
        <f t="shared" si="26"/>
        <v>10.7</v>
      </c>
      <c r="P316" s="29">
        <f>LOOKUP(O316,{0,7.8,8,8.2,8.4,8.6,8.8,9,9.2,9.4,9.6,9.8,10,10.2,10.4,10.6,10.8,10.9,11,11.1,11.2},{0,10,20,30,40,50,60,62,64,66,68,70,72,74,76,78,80,85,90,95,100})</f>
        <v>78</v>
      </c>
      <c r="Q316" s="5">
        <v>5.08</v>
      </c>
      <c r="R316" s="36">
        <f t="shared" si="27"/>
        <v>4.92</v>
      </c>
      <c r="S316" s="29">
        <f>LOOKUP(R316,{0,3.85,4.45,4.65,4.85,5.45,5.65,5.7,5.75,5.8,5.85,5.9,5.95,6,6.45,6.5,6.55,6.63,6.7,6.75,6.8},{0,10,20,30,40,50,60,62,64,66,68,70,72,74,76,78,80,85,90,95,100})</f>
        <v>40</v>
      </c>
      <c r="T316" s="27"/>
      <c r="U316" s="27"/>
      <c r="V316" s="27">
        <f t="shared" si="31"/>
        <v>40</v>
      </c>
      <c r="W316" s="27"/>
      <c r="X316" s="19">
        <f t="shared" si="29"/>
        <v>35.4</v>
      </c>
      <c r="Y316" s="13">
        <f t="shared" si="30"/>
        <v>50.5714285714286</v>
      </c>
      <c r="Z316" s="19"/>
    </row>
    <row r="317" ht="15.6" spans="1:26">
      <c r="A317" s="27">
        <v>310</v>
      </c>
      <c r="B317" s="27">
        <v>35</v>
      </c>
      <c r="C317" s="28" t="s">
        <v>495</v>
      </c>
      <c r="D317" s="28" t="s">
        <v>12</v>
      </c>
      <c r="E317" s="27">
        <v>16.7</v>
      </c>
      <c r="F317" s="29">
        <f>LOOKUP(E317,{0,-1.8,-0.8,0.2,1.2,2.2,3.2,4.6,6,7.4,8.8,10.2,11.6,13,14.4,15.8,17.2,19.1,21,22.8,24.6},{0,10,20,30,40,50,60,62,64,66,68,70,72,74,76,78,80,85,90,95,100})</f>
        <v>78</v>
      </c>
      <c r="G317" s="27">
        <v>168</v>
      </c>
      <c r="H317" s="29">
        <f>LOOKUP(G317,{0,180,185,190,195,200,205,209,213,217,221,225,229,233,237,241,245,253,260,265,270},{0,10,20,30,40,50,60,62,64,66,68,70,72,74,76,78,80,85,90,95,100})</f>
        <v>0</v>
      </c>
      <c r="I317" s="27">
        <v>3</v>
      </c>
      <c r="J317" s="29">
        <f>LOOKUP(I317,{0,4,5,6,7,8,9,10,11,12,13,14,15,16,17,18},{0,10,20,30,40,50,60,64,68,72,76,80,85,90,95,100})</f>
        <v>0</v>
      </c>
      <c r="K317" s="44"/>
      <c r="L317" s="35"/>
      <c r="M317" s="35">
        <f t="shared" si="25"/>
        <v>0</v>
      </c>
      <c r="N317" s="35">
        <v>8.2</v>
      </c>
      <c r="O317" s="36">
        <f t="shared" si="26"/>
        <v>9.8</v>
      </c>
      <c r="P317" s="29">
        <f>LOOKUP(O317,{0,7.8,8,8.2,8.4,8.6,8.8,9,9.2,9.4,9.6,9.8,10,10.2,10.4,10.6,10.8,10.9,11,11.1,11.2},{0,10,20,30,40,50,60,62,64,66,68,70,72,74,76,78,80,85,90,95,100})</f>
        <v>70</v>
      </c>
      <c r="Q317" s="5">
        <v>4.11</v>
      </c>
      <c r="R317" s="36">
        <f t="shared" si="27"/>
        <v>5.89</v>
      </c>
      <c r="S317" s="29">
        <f>LOOKUP(R317,{0,3.85,4.45,4.65,4.85,5.45,5.65,5.7,5.75,5.8,5.85,5.9,5.95,6,6.45,6.5,6.55,6.63,6.7,6.75,6.8},{0,10,20,30,40,50,60,62,64,66,68,70,72,74,76,78,80,85,90,95,100})</f>
        <v>68</v>
      </c>
      <c r="T317" s="27"/>
      <c r="U317" s="27"/>
      <c r="V317" s="27">
        <f t="shared" si="31"/>
        <v>68</v>
      </c>
      <c r="W317" s="27"/>
      <c r="X317" s="19">
        <f t="shared" si="29"/>
        <v>35.4</v>
      </c>
      <c r="Y317" s="13">
        <f t="shared" si="30"/>
        <v>50.5714285714286</v>
      </c>
      <c r="Z317" s="20"/>
    </row>
    <row r="318" ht="15.6" spans="1:26">
      <c r="A318" s="27">
        <v>305</v>
      </c>
      <c r="B318" s="27">
        <v>8</v>
      </c>
      <c r="C318" s="28" t="s">
        <v>192</v>
      </c>
      <c r="D318" s="28" t="s">
        <v>12</v>
      </c>
      <c r="E318" s="27">
        <v>13.5</v>
      </c>
      <c r="F318" s="29">
        <f>LOOKUP(E318,{0,-1.8,-0.8,0.2,1.2,2.2,3.2,4.6,6,7.4,8.8,10.2,11.6,13,14.4,15.8,17.2,19.1,21,22.8,24.6},{0,10,20,30,40,50,60,62,64,66,68,70,72,74,76,78,80,85,90,95,100})</f>
        <v>74</v>
      </c>
      <c r="G318" s="27">
        <v>207</v>
      </c>
      <c r="H318" s="29">
        <f>LOOKUP(G318,{0,180,185,190,195,200,205,209,213,217,221,225,229,233,237,241,245,253,260,265,270},{0,10,20,30,40,50,60,62,64,66,68,70,72,74,76,78,80,85,90,95,100})</f>
        <v>60</v>
      </c>
      <c r="I318" s="27">
        <v>1</v>
      </c>
      <c r="J318" s="29">
        <f>LOOKUP(I318,{0,4,5,6,7,8,9,10,11,12,13,14,15,16,17,18},{0,10,20,30,40,50,60,64,68,72,76,80,85,90,95,100})</f>
        <v>0</v>
      </c>
      <c r="K318" s="44"/>
      <c r="L318" s="35"/>
      <c r="M318" s="35">
        <f t="shared" si="25"/>
        <v>0</v>
      </c>
      <c r="N318" s="35">
        <v>8.1</v>
      </c>
      <c r="O318" s="36">
        <f t="shared" si="26"/>
        <v>9.9</v>
      </c>
      <c r="P318" s="29">
        <f>LOOKUP(O318,{0,7.8,8,8.2,8.4,8.6,8.8,9,9.2,9.4,9.6,9.8,10,10.2,10.4,10.6,10.8,10.9,11,11.1,11.2},{0,10,20,30,40,50,60,62,64,66,68,70,72,74,76,78,80,85,90,95,100})</f>
        <v>70</v>
      </c>
      <c r="Q318" s="5">
        <v>5.02</v>
      </c>
      <c r="R318" s="36">
        <f t="shared" si="27"/>
        <v>4.98</v>
      </c>
      <c r="S318" s="29">
        <f>LOOKUP(R318,{0,3.85,4.45,4.65,4.85,5.45,5.65,5.7,5.75,5.8,5.85,5.9,5.95,6,6.45,6.5,6.55,6.63,6.7,6.75,6.8},{0,10,20,30,40,50,60,62,64,66,68,70,72,74,76,78,80,85,90,95,100})</f>
        <v>40</v>
      </c>
      <c r="T318" s="27"/>
      <c r="U318" s="27"/>
      <c r="V318" s="27">
        <f t="shared" si="31"/>
        <v>40</v>
      </c>
      <c r="W318" s="27"/>
      <c r="X318" s="19">
        <f t="shared" si="29"/>
        <v>35.4</v>
      </c>
      <c r="Y318" s="13">
        <f t="shared" si="30"/>
        <v>50.5714285714286</v>
      </c>
      <c r="Z318" s="19"/>
    </row>
    <row r="319" ht="15.6" spans="1:26">
      <c r="A319" s="27">
        <v>310</v>
      </c>
      <c r="B319" s="27">
        <v>20</v>
      </c>
      <c r="C319" s="28" t="s">
        <v>478</v>
      </c>
      <c r="D319" s="28" t="s">
        <v>12</v>
      </c>
      <c r="E319" s="27">
        <v>-4</v>
      </c>
      <c r="F319" s="29">
        <v>0</v>
      </c>
      <c r="G319" s="27">
        <v>263</v>
      </c>
      <c r="H319" s="29">
        <f>LOOKUP(G319,{0,180,185,190,195,200,205,209,213,217,221,225,229,233,237,241,245,253,260,265,270},{0,10,20,30,40,50,60,62,64,66,68,70,72,74,76,78,80,85,90,95,100})</f>
        <v>90</v>
      </c>
      <c r="I319" s="27">
        <v>3</v>
      </c>
      <c r="J319" s="29">
        <f>LOOKUP(I319,{0,4,5,6,7,8,9,10,11,12,13,14,15,16,17,18},{0,10,20,30,40,50,60,64,68,72,76,80,85,90,95,100})</f>
        <v>0</v>
      </c>
      <c r="K319" s="44"/>
      <c r="L319" s="35"/>
      <c r="M319" s="35">
        <f t="shared" si="25"/>
        <v>0</v>
      </c>
      <c r="N319" s="35">
        <v>8.1</v>
      </c>
      <c r="O319" s="36">
        <f t="shared" si="26"/>
        <v>9.9</v>
      </c>
      <c r="P319" s="29">
        <f>LOOKUP(O319,{0,7.8,8,8.2,8.4,8.6,8.8,9,9.2,9.4,9.6,9.8,10,10.2,10.4,10.6,10.8,10.9,11,11.1,11.2},{0,10,20,30,40,50,60,62,64,66,68,70,72,74,76,78,80,85,90,95,100})</f>
        <v>70</v>
      </c>
      <c r="Q319" s="5">
        <v>4.27</v>
      </c>
      <c r="R319" s="36">
        <f t="shared" si="27"/>
        <v>5.73</v>
      </c>
      <c r="S319" s="29">
        <f>LOOKUP(R319,{0,3.85,4.45,4.65,4.85,5.45,5.65,5.7,5.75,5.8,5.85,5.9,5.95,6,6.45,6.5,6.55,6.63,6.7,6.75,6.8},{0,10,20,30,40,50,60,62,64,66,68,70,72,74,76,78,80,85,90,95,100})</f>
        <v>62</v>
      </c>
      <c r="T319" s="27"/>
      <c r="U319" s="27"/>
      <c r="V319" s="27">
        <f t="shared" si="31"/>
        <v>62</v>
      </c>
      <c r="W319" s="27"/>
      <c r="X319" s="19">
        <f t="shared" si="29"/>
        <v>35.4</v>
      </c>
      <c r="Y319" s="13">
        <f t="shared" si="30"/>
        <v>50.5714285714286</v>
      </c>
      <c r="Z319" s="19"/>
    </row>
    <row r="320" ht="15.6" spans="1:26">
      <c r="A320" s="27">
        <v>311</v>
      </c>
      <c r="B320" s="27">
        <v>45</v>
      </c>
      <c r="C320" s="28" t="s">
        <v>561</v>
      </c>
      <c r="D320" s="28" t="s">
        <v>12</v>
      </c>
      <c r="E320" s="27">
        <v>-11</v>
      </c>
      <c r="F320" s="29">
        <v>0</v>
      </c>
      <c r="G320" s="27">
        <v>206</v>
      </c>
      <c r="H320" s="29">
        <f>LOOKUP(G320,{0,180,185,190,195,200,205,209,213,217,221,225,229,233,237,241,245,253,260,265,270},{0,10,20,30,40,50,60,62,64,66,68,70,72,74,76,78,80,85,90,95,100})</f>
        <v>60</v>
      </c>
      <c r="I320" s="27">
        <v>1</v>
      </c>
      <c r="J320" s="29">
        <f>LOOKUP(I320,{0,4,5,6,7,8,9,10,11,12,13,14,15,16,17,18},{0,10,20,30,40,50,60,64,68,72,76,80,85,90,95,100})</f>
        <v>0</v>
      </c>
      <c r="K320" s="44"/>
      <c r="L320" s="35"/>
      <c r="M320" s="35">
        <f t="shared" si="25"/>
        <v>0</v>
      </c>
      <c r="N320" s="35">
        <v>7.1</v>
      </c>
      <c r="O320" s="36">
        <f t="shared" si="26"/>
        <v>10.9</v>
      </c>
      <c r="P320" s="29">
        <f>LOOKUP(O320,{0,7.8,8,8.2,8.4,8.6,8.8,9,9.2,9.4,9.6,9.8,10,10.2,10.4,10.6,10.8,10.9,11,11.1,11.2},{0,10,20,30,40,50,60,62,64,66,68,70,72,74,76,78,80,85,90,95,100})</f>
        <v>85</v>
      </c>
      <c r="Q320" s="5">
        <v>4.29</v>
      </c>
      <c r="R320" s="36">
        <f t="shared" si="27"/>
        <v>5.71</v>
      </c>
      <c r="S320" s="29">
        <f>LOOKUP(R320,{0,3.85,4.45,4.65,4.85,5.45,5.65,5.7,5.75,5.8,5.85,5.9,5.95,6,6.45,6.5,6.55,6.63,6.7,6.75,6.8},{0,10,20,30,40,50,60,62,64,66,68,70,72,74,76,78,80,85,90,95,100})</f>
        <v>62</v>
      </c>
      <c r="T320" s="27"/>
      <c r="U320" s="27"/>
      <c r="V320" s="27">
        <f t="shared" si="31"/>
        <v>62</v>
      </c>
      <c r="W320" s="27"/>
      <c r="X320" s="19">
        <f t="shared" si="29"/>
        <v>35.4</v>
      </c>
      <c r="Y320" s="13">
        <f t="shared" si="30"/>
        <v>50.5714285714286</v>
      </c>
      <c r="Z320" s="19"/>
    </row>
    <row r="321" ht="15.6" spans="1:26">
      <c r="A321" s="27">
        <v>308</v>
      </c>
      <c r="B321" s="27">
        <v>10</v>
      </c>
      <c r="C321" s="28" t="s">
        <v>361</v>
      </c>
      <c r="D321" s="28" t="s">
        <v>12</v>
      </c>
      <c r="E321" s="27">
        <v>11</v>
      </c>
      <c r="F321" s="29">
        <f>LOOKUP(E321,{0,-1.8,-0.8,0.2,1.2,2.2,3.2,4.6,6,7.4,8.8,10.2,11.6,13,14.4,15.8,17.2,19.1,21,22.8,24.6},{0,10,20,30,40,50,60,62,64,66,68,70,72,74,76,78,80,85,90,95,100})</f>
        <v>70</v>
      </c>
      <c r="G321" s="27">
        <v>225</v>
      </c>
      <c r="H321" s="29">
        <f>LOOKUP(G321,{0,180,185,190,195,200,205,209,213,217,221,225,229,233,237,241,245,253,260,265,270},{0,10,20,30,40,50,60,62,64,66,68,70,72,74,76,78,80,85,90,95,100})</f>
        <v>70</v>
      </c>
      <c r="I321" s="27">
        <v>3</v>
      </c>
      <c r="J321" s="29">
        <f>LOOKUP(I321,{0,4,5,6,7,8,9,10,11,12,13,14,15,16,17,18},{0,10,20,30,40,50,60,64,68,72,76,80,85,90,95,100})</f>
        <v>0</v>
      </c>
      <c r="K321" s="44"/>
      <c r="L321" s="35"/>
      <c r="M321" s="35">
        <f t="shared" si="25"/>
        <v>0</v>
      </c>
      <c r="N321" s="35">
        <v>7.6</v>
      </c>
      <c r="O321" s="36">
        <f t="shared" si="26"/>
        <v>10.4</v>
      </c>
      <c r="P321" s="29">
        <f>LOOKUP(O321,{0,7.8,8,8.2,8.4,8.6,8.8,9,9.2,9.4,9.6,9.8,10,10.2,10.4,10.6,10.8,10.9,11,11.1,11.2},{0,10,20,30,40,50,60,62,64,66,68,70,72,74,76,78,80,85,90,95,100})</f>
        <v>76</v>
      </c>
      <c r="Q321" s="5">
        <v>5.2</v>
      </c>
      <c r="R321" s="36">
        <f t="shared" si="27"/>
        <v>4.8</v>
      </c>
      <c r="S321" s="29">
        <f>LOOKUP(R321,{0,3.85,4.45,4.65,4.85,5.45,5.65,5.7,5.75,5.8,5.85,5.9,5.95,6,6.45,6.5,6.55,6.63,6.7,6.75,6.8},{0,10,20,30,40,50,60,62,64,66,68,70,72,74,76,78,80,85,90,95,100})</f>
        <v>30</v>
      </c>
      <c r="T321" s="27"/>
      <c r="U321" s="27"/>
      <c r="V321" s="27">
        <f t="shared" si="31"/>
        <v>30</v>
      </c>
      <c r="W321" s="27"/>
      <c r="X321" s="19">
        <f t="shared" si="29"/>
        <v>35.2</v>
      </c>
      <c r="Y321" s="13">
        <f t="shared" si="30"/>
        <v>50.2857142857143</v>
      </c>
      <c r="Z321" s="19"/>
    </row>
    <row r="322" ht="15.6" spans="1:26">
      <c r="A322" s="27">
        <v>311</v>
      </c>
      <c r="B322" s="27">
        <v>11</v>
      </c>
      <c r="C322" s="28" t="s">
        <v>524</v>
      </c>
      <c r="D322" s="28" t="s">
        <v>12</v>
      </c>
      <c r="E322" s="27">
        <v>10.5</v>
      </c>
      <c r="F322" s="29">
        <f>LOOKUP(E322,{0,-1.8,-0.8,0.2,1.2,2.2,3.2,4.6,6,7.4,8.8,10.2,11.6,13,14.4,15.8,17.2,19.1,21,22.8,24.6},{0,10,20,30,40,50,60,62,64,66,68,70,72,74,76,78,80,85,90,95,100})</f>
        <v>70</v>
      </c>
      <c r="G322" s="27">
        <v>210</v>
      </c>
      <c r="H322" s="29">
        <f>LOOKUP(G322,{0,180,185,190,195,200,205,209,213,217,221,225,229,233,237,241,245,253,260,265,270},{0,10,20,30,40,50,60,62,64,66,68,70,72,74,76,78,80,85,90,95,100})</f>
        <v>62</v>
      </c>
      <c r="I322" s="27">
        <v>5</v>
      </c>
      <c r="J322" s="29">
        <f>LOOKUP(I322,{0,4,5,6,7,8,9,10,11,12,13,14,15,16,17,18},{0,10,20,30,40,50,60,64,68,72,76,80,85,90,95,100})</f>
        <v>20</v>
      </c>
      <c r="K322" s="44"/>
      <c r="L322" s="35"/>
      <c r="M322" s="35">
        <f>J322+L322</f>
        <v>20</v>
      </c>
      <c r="N322" s="35">
        <v>8.1</v>
      </c>
      <c r="O322" s="36">
        <f>18-N322</f>
        <v>9.9</v>
      </c>
      <c r="P322" s="29">
        <f>LOOKUP(O322,{0,7.8,8,8.2,8.4,8.6,8.8,9,9.2,9.4,9.6,9.8,10,10.2,10.4,10.6,10.8,10.9,11,11.1,11.2},{0,10,20,30,40,50,60,62,64,66,68,70,72,74,76,78,80,85,90,95,100})</f>
        <v>70</v>
      </c>
      <c r="Q322" s="5">
        <v>5.19</v>
      </c>
      <c r="R322" s="36">
        <f>10-Q322</f>
        <v>4.81</v>
      </c>
      <c r="S322" s="29">
        <f>LOOKUP(R322,{0,3.85,4.45,4.65,4.85,5.45,5.65,5.7,5.75,5.8,5.85,5.9,5.95,6,6.45,6.5,6.55,6.63,6.7,6.75,6.8},{0,10,20,30,40,50,60,62,64,66,68,70,72,74,76,78,80,85,90,95,100})</f>
        <v>30</v>
      </c>
      <c r="T322" s="27"/>
      <c r="U322" s="27"/>
      <c r="V322" s="27">
        <f t="shared" si="31"/>
        <v>30</v>
      </c>
      <c r="W322" s="27"/>
      <c r="X322" s="19">
        <f>F322*0.1+H322*0.1+J322*0.1+P322*0.2+S322*0.2</f>
        <v>35.2</v>
      </c>
      <c r="Y322" s="13">
        <f>X322/0.7+L322+U322</f>
        <v>50.2857142857143</v>
      </c>
      <c r="Z322" s="19"/>
    </row>
    <row r="323" ht="15.6" spans="1:26">
      <c r="A323" s="27">
        <v>301</v>
      </c>
      <c r="B323" s="27">
        <v>29</v>
      </c>
      <c r="C323" s="27" t="s">
        <v>41</v>
      </c>
      <c r="D323" s="27" t="s">
        <v>12</v>
      </c>
      <c r="E323" s="27"/>
      <c r="F323" s="29"/>
      <c r="G323" s="27"/>
      <c r="H323" s="29"/>
      <c r="I323" s="27"/>
      <c r="J323" s="35"/>
      <c r="K323" s="44"/>
      <c r="L323" s="35"/>
      <c r="M323" s="35"/>
      <c r="N323" s="35"/>
      <c r="O323" s="5"/>
      <c r="P323" s="5"/>
      <c r="Q323" s="5"/>
      <c r="R323" s="27"/>
      <c r="S323" s="27"/>
      <c r="T323" s="27"/>
      <c r="U323" s="27"/>
      <c r="V323" s="27"/>
      <c r="W323" s="27">
        <v>50</v>
      </c>
      <c r="X323" s="19"/>
      <c r="Y323" s="19">
        <v>50</v>
      </c>
      <c r="Z323" s="19"/>
    </row>
    <row r="324" ht="15.6" spans="1:26">
      <c r="A324" s="27">
        <v>302</v>
      </c>
      <c r="B324" s="27">
        <v>2</v>
      </c>
      <c r="C324" s="27" t="s">
        <v>59</v>
      </c>
      <c r="D324" s="27" t="s">
        <v>12</v>
      </c>
      <c r="E324" s="27"/>
      <c r="F324" s="29"/>
      <c r="G324" s="27"/>
      <c r="H324" s="29"/>
      <c r="I324" s="27"/>
      <c r="J324" s="35"/>
      <c r="K324" s="44"/>
      <c r="L324" s="35"/>
      <c r="M324" s="35"/>
      <c r="N324" s="35"/>
      <c r="O324" s="5"/>
      <c r="P324" s="5"/>
      <c r="Q324" s="5"/>
      <c r="R324" s="27"/>
      <c r="S324" s="27"/>
      <c r="T324" s="27"/>
      <c r="U324" s="27"/>
      <c r="V324" s="27"/>
      <c r="W324" s="27">
        <v>50</v>
      </c>
      <c r="X324" s="19"/>
      <c r="Y324" s="19">
        <v>50</v>
      </c>
      <c r="Z324" s="19"/>
    </row>
    <row r="325" ht="15.6" spans="1:26">
      <c r="A325" s="27">
        <v>302</v>
      </c>
      <c r="B325" s="27">
        <v>18</v>
      </c>
      <c r="C325" s="27" t="s">
        <v>76</v>
      </c>
      <c r="D325" s="27" t="s">
        <v>12</v>
      </c>
      <c r="E325" s="27">
        <v>4.5</v>
      </c>
      <c r="F325" s="29">
        <f>LOOKUP(E325,{0,-1.8,-0.8,0.2,1.2,2.2,3.2,4.6,6,7.4,8.8,10.2,11.6,13,14.4,15.8,17.2,19.1,21,22.8,24.6},{0,10,20,30,40,50,60,62,64,66,68,70,72,74,76,78,80,85,90,95,100})</f>
        <v>60</v>
      </c>
      <c r="G325" s="27">
        <v>210</v>
      </c>
      <c r="H325" s="29">
        <f>LOOKUP(G325,{0,180,185,190,195,200,205,209,213,217,221,225,229,233,237,241,245,253,260,265,270},{0,10,20,30,40,50,60,62,64,66,68,70,72,74,76,78,80,85,90,95,100})</f>
        <v>62</v>
      </c>
      <c r="I325" s="27">
        <v>0</v>
      </c>
      <c r="J325" s="29">
        <f>LOOKUP(I325,{0,4,5,6,7,8,9,10,11,12,13,14,15,16,17,18},{0,10,20,30,40,50,60,64,68,72,76,80,85,90,95,100})</f>
        <v>0</v>
      </c>
      <c r="K325" s="44"/>
      <c r="L325" s="35"/>
      <c r="M325" s="35">
        <f>J325+L325</f>
        <v>0</v>
      </c>
      <c r="N325" s="35">
        <v>7.7</v>
      </c>
      <c r="O325" s="36">
        <f>18-N325</f>
        <v>10.3</v>
      </c>
      <c r="P325" s="29">
        <f>LOOKUP(O325,{0,7.8,8,8.2,8.4,8.6,8.8,9,9.2,9.4,9.6,9.8,10,10.2,10.4,10.6,10.8,10.9,11,11.1,11.2},{0,10,20,30,40,50,60,62,64,66,68,70,72,74,76,78,80,85,90,95,100})</f>
        <v>74</v>
      </c>
      <c r="Q325" s="5" t="s">
        <v>77</v>
      </c>
      <c r="R325" s="36" t="e">
        <f>10-Q325</f>
        <v>#VALUE!</v>
      </c>
      <c r="S325" s="29"/>
      <c r="T325" s="27"/>
      <c r="U325" s="27"/>
      <c r="V325" s="27"/>
      <c r="W325" s="42">
        <v>50</v>
      </c>
      <c r="X325" s="19">
        <f>F325*0.1+H325*0.1+J325*0.1+P325*0.2+S325*0.2</f>
        <v>27</v>
      </c>
      <c r="Y325" s="13">
        <v>50</v>
      </c>
      <c r="Z325" s="19"/>
    </row>
    <row r="326" ht="15.6" spans="1:26">
      <c r="A326" s="27">
        <v>302</v>
      </c>
      <c r="B326" s="27">
        <v>23</v>
      </c>
      <c r="C326" s="27" t="s">
        <v>83</v>
      </c>
      <c r="D326" s="27" t="s">
        <v>12</v>
      </c>
      <c r="E326" s="27">
        <v>2.5</v>
      </c>
      <c r="F326" s="29">
        <f>LOOKUP(E326,{0,-1.8,-0.8,0.2,1.2,2.2,3.2,4.6,6,7.4,8.8,10.2,11.6,13,14.4,15.8,17.2,19.1,21,22.8,24.6},{0,10,20,30,40,50,60,62,64,66,68,70,72,74,76,78,80,85,90,95,100})</f>
        <v>50</v>
      </c>
      <c r="G326" s="27">
        <v>225</v>
      </c>
      <c r="H326" s="29">
        <f>LOOKUP(G326,{0,180,185,190,195,200,205,209,213,217,221,225,229,233,237,241,245,253,260,265,270},{0,10,20,30,40,50,60,62,64,66,68,70,72,74,76,78,80,85,90,95,100})</f>
        <v>70</v>
      </c>
      <c r="I326" s="27">
        <v>1</v>
      </c>
      <c r="J326" s="29">
        <f>LOOKUP(I326,{0,4,5,6,7,8,9,10,11,12,13,14,15,16,17,18},{0,10,20,30,40,50,60,64,68,72,76,80,85,90,95,100})</f>
        <v>0</v>
      </c>
      <c r="K326" s="44"/>
      <c r="L326" s="35"/>
      <c r="M326" s="35">
        <f>J326+L326</f>
        <v>0</v>
      </c>
      <c r="N326" s="35">
        <v>7.3</v>
      </c>
      <c r="O326" s="36">
        <f>18-N326</f>
        <v>10.7</v>
      </c>
      <c r="P326" s="29">
        <f>LOOKUP(O326,{0,7.8,8,8.2,8.4,8.6,8.8,9,9.2,9.4,9.6,9.8,10,10.2,10.4,10.6,10.8,10.9,11,11.1,11.2},{0,10,20,30,40,50,60,62,64,66,68,70,72,74,76,78,80,85,90,95,100})</f>
        <v>78</v>
      </c>
      <c r="Q326" s="5" t="s">
        <v>77</v>
      </c>
      <c r="R326" s="36" t="e">
        <f>10-Q326</f>
        <v>#VALUE!</v>
      </c>
      <c r="S326" s="29"/>
      <c r="T326" s="27"/>
      <c r="U326" s="27"/>
      <c r="V326" s="27"/>
      <c r="W326" s="42">
        <v>50</v>
      </c>
      <c r="X326" s="19">
        <f>F326*0.1+H326*0.1+J326*0.1+P326*0.2+S326*0.2</f>
        <v>27.6</v>
      </c>
      <c r="Y326" s="13">
        <v>50</v>
      </c>
      <c r="Z326" s="19"/>
    </row>
    <row r="327" ht="15.6" spans="1:26">
      <c r="A327" s="27">
        <v>302</v>
      </c>
      <c r="B327" s="27">
        <v>28</v>
      </c>
      <c r="C327" s="27" t="s">
        <v>88</v>
      </c>
      <c r="D327" s="27" t="s">
        <v>12</v>
      </c>
      <c r="E327" s="27">
        <v>15</v>
      </c>
      <c r="F327" s="29">
        <f>LOOKUP(E327,{0,-1.8,-0.8,0.2,1.2,2.2,3.2,4.6,6,7.4,8.8,10.2,11.6,13,14.4,15.8,17.2,19.1,21,22.8,24.6},{0,10,20,30,40,50,60,62,64,66,68,70,72,74,76,78,80,85,90,95,100})</f>
        <v>76</v>
      </c>
      <c r="G327" s="27">
        <v>200</v>
      </c>
      <c r="H327" s="29">
        <f>LOOKUP(G327,{0,180,185,190,195,200,205,209,213,217,221,225,229,233,237,241,245,253,260,265,270},{0,10,20,30,40,50,60,62,64,66,68,70,72,74,76,78,80,85,90,95,100})</f>
        <v>50</v>
      </c>
      <c r="I327" s="27">
        <v>1</v>
      </c>
      <c r="J327" s="29">
        <f>LOOKUP(I327,{0,4,5,6,7,8,9,10,11,12,13,14,15,16,17,18},{0,10,20,30,40,50,60,64,68,72,76,80,85,90,95,100})</f>
        <v>0</v>
      </c>
      <c r="K327" s="44"/>
      <c r="L327" s="35"/>
      <c r="M327" s="35">
        <f>J327+L327</f>
        <v>0</v>
      </c>
      <c r="N327" s="35">
        <v>8.5</v>
      </c>
      <c r="O327" s="36">
        <f>18-N327</f>
        <v>9.5</v>
      </c>
      <c r="P327" s="29">
        <f>LOOKUP(O327,{0,7.8,8,8.2,8.4,8.6,8.8,9,9.2,9.4,9.6,9.8,10,10.2,10.4,10.6,10.8,10.9,11,11.1,11.2},{0,10,20,30,40,50,60,62,64,66,68,70,72,74,76,78,80,85,90,95,100})</f>
        <v>66</v>
      </c>
      <c r="Q327" s="5" t="s">
        <v>77</v>
      </c>
      <c r="R327" s="36" t="e">
        <f>10-Q327</f>
        <v>#VALUE!</v>
      </c>
      <c r="S327" s="29"/>
      <c r="T327" s="27"/>
      <c r="U327" s="27"/>
      <c r="V327" s="27"/>
      <c r="W327" s="42">
        <v>50</v>
      </c>
      <c r="X327" s="19">
        <f>F327*0.1+H327*0.1+J327*0.1+P327*0.2+S327*0.2</f>
        <v>25.8</v>
      </c>
      <c r="Y327" s="13">
        <v>50</v>
      </c>
      <c r="Z327" s="19"/>
    </row>
    <row r="328" ht="15.6" spans="1:26">
      <c r="A328" s="27">
        <v>302</v>
      </c>
      <c r="B328" s="27">
        <v>30</v>
      </c>
      <c r="C328" s="27" t="s">
        <v>90</v>
      </c>
      <c r="D328" s="27" t="s">
        <v>12</v>
      </c>
      <c r="E328" s="27">
        <v>2</v>
      </c>
      <c r="F328" s="29">
        <f>LOOKUP(E328,{0,-1.8,-0.8,0.2,1.2,2.2,3.2,4.6,6,7.4,8.8,10.2,11.6,13,14.4,15.8,17.2,19.1,21,22.8,24.6},{0,10,20,30,40,50,60,62,64,66,68,70,72,74,76,78,80,85,90,95,100})</f>
        <v>40</v>
      </c>
      <c r="G328" s="27">
        <v>195</v>
      </c>
      <c r="H328" s="29">
        <f>LOOKUP(G328,{0,180,185,190,195,200,205,209,213,217,221,225,229,233,237,241,245,253,260,265,270},{0,10,20,30,40,50,60,62,64,66,68,70,72,74,76,78,80,85,90,95,100})</f>
        <v>40</v>
      </c>
      <c r="I328" s="27">
        <v>0</v>
      </c>
      <c r="J328" s="29">
        <f>LOOKUP(I328,{0,4,5,6,7,8,9,10,11,12,13,14,15,16,17,18},{0,10,20,30,40,50,60,64,68,72,76,80,85,90,95,100})</f>
        <v>0</v>
      </c>
      <c r="K328" s="44"/>
      <c r="L328" s="35"/>
      <c r="M328" s="35">
        <f>J328+L328</f>
        <v>0</v>
      </c>
      <c r="N328" s="35">
        <v>14.8</v>
      </c>
      <c r="O328" s="36">
        <f>18-N328</f>
        <v>3.2</v>
      </c>
      <c r="P328" s="29">
        <f>LOOKUP(O328,{0,7.8,8,8.2,8.4,8.6,8.8,9,9.2,9.4,9.6,9.8,10,10.2,10.4,10.6,10.8,10.9,11,11.1,11.2},{0,10,20,30,40,50,60,62,64,66,68,70,72,74,76,78,80,85,90,95,100})</f>
        <v>0</v>
      </c>
      <c r="Q328" s="5" t="s">
        <v>77</v>
      </c>
      <c r="R328" s="36" t="e">
        <f>10-Q328</f>
        <v>#VALUE!</v>
      </c>
      <c r="S328" s="29"/>
      <c r="T328" s="27"/>
      <c r="U328" s="27"/>
      <c r="V328" s="27"/>
      <c r="W328" s="42">
        <v>50</v>
      </c>
      <c r="X328" s="19">
        <f>F328*0.1+H328*0.1+J328*0.1+P328*0.2+S328*0.2</f>
        <v>8</v>
      </c>
      <c r="Y328" s="13">
        <v>50</v>
      </c>
      <c r="Z328" s="19"/>
    </row>
    <row r="329" ht="15.6" spans="1:26">
      <c r="A329" s="27">
        <v>303</v>
      </c>
      <c r="B329" s="27">
        <v>10</v>
      </c>
      <c r="C329" s="27" t="s">
        <v>112</v>
      </c>
      <c r="D329" s="27" t="s">
        <v>12</v>
      </c>
      <c r="E329" s="27"/>
      <c r="F329" s="29"/>
      <c r="G329" s="27"/>
      <c r="H329" s="29"/>
      <c r="I329" s="27"/>
      <c r="J329" s="35"/>
      <c r="K329" s="44"/>
      <c r="L329" s="35"/>
      <c r="M329" s="35"/>
      <c r="N329" s="35"/>
      <c r="O329" s="5"/>
      <c r="P329" s="5"/>
      <c r="Q329" s="5"/>
      <c r="R329" s="27"/>
      <c r="S329" s="27"/>
      <c r="T329" s="27"/>
      <c r="U329" s="27"/>
      <c r="V329" s="27"/>
      <c r="W329" s="27">
        <v>50</v>
      </c>
      <c r="X329" s="19"/>
      <c r="Y329" s="19">
        <v>50</v>
      </c>
      <c r="Z329" s="19"/>
    </row>
    <row r="330" ht="15.6" spans="1:26">
      <c r="A330" s="27">
        <v>303</v>
      </c>
      <c r="B330" s="27">
        <v>17</v>
      </c>
      <c r="C330" s="27" t="s">
        <v>120</v>
      </c>
      <c r="D330" s="27" t="s">
        <v>12</v>
      </c>
      <c r="E330" s="27"/>
      <c r="F330" s="29"/>
      <c r="G330" s="27"/>
      <c r="H330" s="29"/>
      <c r="I330" s="27"/>
      <c r="J330" s="35"/>
      <c r="K330" s="44"/>
      <c r="L330" s="35"/>
      <c r="M330" s="35"/>
      <c r="N330" s="35"/>
      <c r="O330" s="5"/>
      <c r="P330" s="5"/>
      <c r="Q330" s="5"/>
      <c r="R330" s="27"/>
      <c r="S330" s="27"/>
      <c r="T330" s="27"/>
      <c r="U330" s="27"/>
      <c r="V330" s="27"/>
      <c r="W330" s="27">
        <v>50</v>
      </c>
      <c r="X330" s="19"/>
      <c r="Y330" s="19">
        <v>50</v>
      </c>
      <c r="Z330" s="19"/>
    </row>
    <row r="331" ht="15.6" spans="1:26">
      <c r="A331" s="27">
        <v>303</v>
      </c>
      <c r="B331" s="27">
        <v>18</v>
      </c>
      <c r="C331" s="27" t="s">
        <v>121</v>
      </c>
      <c r="D331" s="27" t="s">
        <v>12</v>
      </c>
      <c r="E331" s="27"/>
      <c r="F331" s="29"/>
      <c r="G331" s="27"/>
      <c r="H331" s="29"/>
      <c r="I331" s="27"/>
      <c r="J331" s="35"/>
      <c r="K331" s="44"/>
      <c r="L331" s="35"/>
      <c r="M331" s="35"/>
      <c r="N331" s="35"/>
      <c r="O331" s="5"/>
      <c r="P331" s="5"/>
      <c r="Q331" s="5"/>
      <c r="R331" s="27"/>
      <c r="S331" s="27"/>
      <c r="T331" s="27"/>
      <c r="U331" s="27"/>
      <c r="V331" s="27"/>
      <c r="W331" s="27">
        <v>50</v>
      </c>
      <c r="X331" s="19"/>
      <c r="Y331" s="19">
        <v>50</v>
      </c>
      <c r="Z331" s="19"/>
    </row>
    <row r="332" ht="15.6" spans="1:26">
      <c r="A332" s="27">
        <v>303</v>
      </c>
      <c r="B332" s="27">
        <v>19</v>
      </c>
      <c r="C332" s="27" t="s">
        <v>122</v>
      </c>
      <c r="D332" s="27" t="s">
        <v>12</v>
      </c>
      <c r="E332" s="27"/>
      <c r="F332" s="29"/>
      <c r="G332" s="27"/>
      <c r="H332" s="29"/>
      <c r="I332" s="27"/>
      <c r="J332" s="35"/>
      <c r="K332" s="44"/>
      <c r="L332" s="35"/>
      <c r="M332" s="35"/>
      <c r="N332" s="35"/>
      <c r="O332" s="5"/>
      <c r="P332" s="5"/>
      <c r="Q332" s="5"/>
      <c r="R332" s="27"/>
      <c r="S332" s="27"/>
      <c r="T332" s="27"/>
      <c r="U332" s="27"/>
      <c r="V332" s="27"/>
      <c r="W332" s="27">
        <v>50</v>
      </c>
      <c r="X332" s="19"/>
      <c r="Y332" s="19">
        <v>50</v>
      </c>
      <c r="Z332" s="19"/>
    </row>
    <row r="333" ht="15.6" spans="1:26">
      <c r="A333" s="27">
        <v>303</v>
      </c>
      <c r="B333" s="27">
        <v>20</v>
      </c>
      <c r="C333" s="27" t="s">
        <v>123</v>
      </c>
      <c r="D333" s="27" t="s">
        <v>12</v>
      </c>
      <c r="E333" s="27"/>
      <c r="F333" s="29"/>
      <c r="G333" s="27"/>
      <c r="H333" s="29"/>
      <c r="I333" s="27"/>
      <c r="J333" s="35"/>
      <c r="K333" s="44"/>
      <c r="L333" s="35"/>
      <c r="M333" s="35"/>
      <c r="N333" s="35"/>
      <c r="O333" s="5"/>
      <c r="P333" s="5"/>
      <c r="Q333" s="5"/>
      <c r="R333" s="27"/>
      <c r="S333" s="27"/>
      <c r="T333" s="27"/>
      <c r="U333" s="27"/>
      <c r="V333" s="27"/>
      <c r="W333" s="27">
        <v>50</v>
      </c>
      <c r="X333" s="19"/>
      <c r="Y333" s="19">
        <v>50</v>
      </c>
      <c r="Z333" s="19"/>
    </row>
    <row r="334" ht="15.6" spans="1:26">
      <c r="A334" s="27">
        <v>303</v>
      </c>
      <c r="B334" s="27">
        <v>30</v>
      </c>
      <c r="C334" s="27" t="s">
        <v>132</v>
      </c>
      <c r="D334" s="27" t="s">
        <v>12</v>
      </c>
      <c r="E334" s="27"/>
      <c r="F334" s="29"/>
      <c r="G334" s="27"/>
      <c r="H334" s="29"/>
      <c r="I334" s="27"/>
      <c r="J334" s="35"/>
      <c r="K334" s="44"/>
      <c r="L334" s="35"/>
      <c r="M334" s="35"/>
      <c r="N334" s="35"/>
      <c r="O334" s="5"/>
      <c r="P334" s="5"/>
      <c r="Q334" s="5"/>
      <c r="R334" s="27"/>
      <c r="S334" s="27"/>
      <c r="T334" s="27"/>
      <c r="U334" s="27"/>
      <c r="V334" s="27"/>
      <c r="W334" s="27">
        <v>50</v>
      </c>
      <c r="X334" s="19"/>
      <c r="Y334" s="19">
        <v>50</v>
      </c>
      <c r="Z334" s="19"/>
    </row>
    <row r="335" ht="15.6" spans="1:26">
      <c r="A335" s="27">
        <v>303</v>
      </c>
      <c r="B335" s="27">
        <v>35</v>
      </c>
      <c r="C335" s="27" t="s">
        <v>137</v>
      </c>
      <c r="D335" s="27" t="s">
        <v>12</v>
      </c>
      <c r="E335" s="27"/>
      <c r="F335" s="29"/>
      <c r="G335" s="27"/>
      <c r="H335" s="29"/>
      <c r="I335" s="27"/>
      <c r="J335" s="35"/>
      <c r="K335" s="44"/>
      <c r="L335" s="35"/>
      <c r="M335" s="35"/>
      <c r="N335" s="35"/>
      <c r="O335" s="5"/>
      <c r="P335" s="5"/>
      <c r="Q335" s="5"/>
      <c r="R335" s="27"/>
      <c r="S335" s="27"/>
      <c r="T335" s="27"/>
      <c r="U335" s="27"/>
      <c r="V335" s="27"/>
      <c r="W335" s="27">
        <v>50</v>
      </c>
      <c r="X335" s="19"/>
      <c r="Y335" s="19">
        <v>50</v>
      </c>
      <c r="Z335" s="19"/>
    </row>
    <row r="336" ht="15.6" spans="1:26">
      <c r="A336" s="27">
        <v>304</v>
      </c>
      <c r="B336" s="27">
        <v>1</v>
      </c>
      <c r="C336" s="31" t="s">
        <v>148</v>
      </c>
      <c r="D336" s="27" t="s">
        <v>12</v>
      </c>
      <c r="E336" s="27"/>
      <c r="F336" s="29"/>
      <c r="G336" s="27"/>
      <c r="H336" s="29"/>
      <c r="I336" s="27"/>
      <c r="J336" s="35"/>
      <c r="K336" s="44"/>
      <c r="L336" s="35"/>
      <c r="M336" s="35"/>
      <c r="N336" s="35"/>
      <c r="O336" s="5"/>
      <c r="P336" s="5"/>
      <c r="Q336" s="5"/>
      <c r="R336" s="27"/>
      <c r="S336" s="27"/>
      <c r="T336" s="27"/>
      <c r="U336" s="27"/>
      <c r="V336" s="27"/>
      <c r="W336" s="27">
        <v>50</v>
      </c>
      <c r="X336" s="19"/>
      <c r="Y336" s="19">
        <v>50</v>
      </c>
      <c r="Z336" s="20"/>
    </row>
    <row r="337" ht="15.6" spans="1:26">
      <c r="A337" s="27">
        <v>304</v>
      </c>
      <c r="B337" s="27">
        <v>2</v>
      </c>
      <c r="C337" s="27" t="s">
        <v>149</v>
      </c>
      <c r="D337" s="27" t="s">
        <v>12</v>
      </c>
      <c r="E337" s="27">
        <v>0.5</v>
      </c>
      <c r="F337" s="29">
        <f>LOOKUP(E337,{0,-1.8,-0.8,0.2,1.2,2.2,3.2,4.6,6,7.4,8.8,10.2,11.6,13,14.4,15.8,17.2,19.1,21,22.8,24.6},{0,10,20,30,40,50,60,62,64,66,68,70,72,74,76,78,80,85,90,95,100})</f>
        <v>30</v>
      </c>
      <c r="G337" s="27">
        <v>184</v>
      </c>
      <c r="H337" s="29">
        <f>LOOKUP(G337,{0,180,185,190,195,200,205,209,213,217,221,225,229,233,237,241,245,253,260,265,270},{0,10,20,30,40,50,60,62,64,66,68,70,72,74,76,78,80,85,90,95,100})</f>
        <v>10</v>
      </c>
      <c r="I337" s="27">
        <v>0</v>
      </c>
      <c r="J337" s="29">
        <f>LOOKUP(I337,{0,4,5,6,7,8,9,10,11,12,13,14,15,16,17,18},{0,10,20,30,40,50,60,64,68,72,76,80,85,90,95,100})</f>
        <v>0</v>
      </c>
      <c r="K337" s="44"/>
      <c r="L337" s="39"/>
      <c r="M337" s="35">
        <f>J337+L337</f>
        <v>0</v>
      </c>
      <c r="N337" s="35">
        <v>8.1</v>
      </c>
      <c r="O337" s="36">
        <f>18-N337</f>
        <v>9.9</v>
      </c>
      <c r="P337" s="29">
        <f>LOOKUP(O337,{0,7.8,8,8.2,8.4,8.6,8.8,9,9.2,9.4,9.6,9.8,10,10.2,10.4,10.6,10.8,10.9,11,11.1,11.2},{0,10,20,30,40,50,60,62,64,66,68,70,72,74,76,78,80,85,90,95,100})</f>
        <v>70</v>
      </c>
      <c r="Q337" s="5" t="s">
        <v>77</v>
      </c>
      <c r="R337" s="36" t="e">
        <f>10-Q337</f>
        <v>#VALUE!</v>
      </c>
      <c r="S337" s="29"/>
      <c r="T337" s="27"/>
      <c r="U337" s="27"/>
      <c r="V337" s="27"/>
      <c r="W337" s="42">
        <v>50</v>
      </c>
      <c r="X337" s="19">
        <f>F337*0.1+H337*0.1+J337*0.1+P337*0.2+S337*0.2</f>
        <v>18</v>
      </c>
      <c r="Y337" s="13">
        <v>50</v>
      </c>
      <c r="Z337" s="19"/>
    </row>
    <row r="338" ht="15.6" spans="1:26">
      <c r="A338" s="27">
        <v>304</v>
      </c>
      <c r="B338" s="27">
        <v>5</v>
      </c>
      <c r="C338" s="27" t="s">
        <v>152</v>
      </c>
      <c r="D338" s="27" t="s">
        <v>12</v>
      </c>
      <c r="E338" s="27"/>
      <c r="F338" s="29"/>
      <c r="G338" s="27"/>
      <c r="H338" s="29"/>
      <c r="I338" s="27"/>
      <c r="J338" s="35"/>
      <c r="K338" s="44"/>
      <c r="L338" s="35"/>
      <c r="M338" s="35"/>
      <c r="N338" s="35"/>
      <c r="O338" s="5"/>
      <c r="P338" s="5"/>
      <c r="Q338" s="5"/>
      <c r="R338" s="27"/>
      <c r="S338" s="27"/>
      <c r="T338" s="27"/>
      <c r="U338" s="27"/>
      <c r="V338" s="27"/>
      <c r="W338" s="27">
        <v>50</v>
      </c>
      <c r="X338" s="19"/>
      <c r="Y338" s="19">
        <v>50</v>
      </c>
      <c r="Z338" s="19"/>
    </row>
    <row r="339" ht="15.6" spans="1:26">
      <c r="A339" s="27">
        <v>304</v>
      </c>
      <c r="B339" s="27">
        <v>6</v>
      </c>
      <c r="C339" s="27" t="s">
        <v>153</v>
      </c>
      <c r="D339" s="27" t="s">
        <v>12</v>
      </c>
      <c r="E339" s="27"/>
      <c r="F339" s="29"/>
      <c r="G339" s="27"/>
      <c r="H339" s="29"/>
      <c r="I339" s="27"/>
      <c r="J339" s="35"/>
      <c r="K339" s="44"/>
      <c r="L339" s="35"/>
      <c r="M339" s="35"/>
      <c r="N339" s="35"/>
      <c r="O339" s="5"/>
      <c r="P339" s="5"/>
      <c r="Q339" s="5"/>
      <c r="R339" s="27"/>
      <c r="S339" s="27"/>
      <c r="T339" s="27"/>
      <c r="U339" s="27"/>
      <c r="V339" s="27"/>
      <c r="W339" s="27">
        <v>50</v>
      </c>
      <c r="X339" s="19"/>
      <c r="Y339" s="19">
        <v>50</v>
      </c>
      <c r="Z339" s="19"/>
    </row>
    <row r="340" ht="15.6" spans="1:26">
      <c r="A340" s="27">
        <v>304</v>
      </c>
      <c r="B340" s="27">
        <v>8</v>
      </c>
      <c r="C340" s="27" t="s">
        <v>155</v>
      </c>
      <c r="D340" s="27" t="s">
        <v>12</v>
      </c>
      <c r="E340" s="27"/>
      <c r="F340" s="29"/>
      <c r="G340" s="27"/>
      <c r="H340" s="29"/>
      <c r="I340" s="27"/>
      <c r="J340" s="35"/>
      <c r="K340" s="44"/>
      <c r="L340" s="35"/>
      <c r="M340" s="35"/>
      <c r="N340" s="35"/>
      <c r="O340" s="5"/>
      <c r="P340" s="5"/>
      <c r="Q340" s="5"/>
      <c r="R340" s="27"/>
      <c r="S340" s="27"/>
      <c r="T340" s="27"/>
      <c r="U340" s="27"/>
      <c r="V340" s="27"/>
      <c r="W340" s="27">
        <v>50</v>
      </c>
      <c r="X340" s="19"/>
      <c r="Y340" s="19">
        <v>50</v>
      </c>
      <c r="Z340" s="19"/>
    </row>
    <row r="341" ht="15.6" spans="1:26">
      <c r="A341" s="27">
        <v>304</v>
      </c>
      <c r="B341" s="27">
        <v>10</v>
      </c>
      <c r="C341" s="27" t="s">
        <v>157</v>
      </c>
      <c r="D341" s="27" t="s">
        <v>12</v>
      </c>
      <c r="E341" s="27"/>
      <c r="F341" s="29"/>
      <c r="G341" s="27"/>
      <c r="H341" s="29"/>
      <c r="I341" s="27"/>
      <c r="J341" s="35"/>
      <c r="K341" s="44"/>
      <c r="L341" s="35"/>
      <c r="M341" s="35"/>
      <c r="N341" s="35"/>
      <c r="O341" s="5"/>
      <c r="P341" s="5"/>
      <c r="Q341" s="5"/>
      <c r="R341" s="27"/>
      <c r="S341" s="27"/>
      <c r="T341" s="27"/>
      <c r="U341" s="27"/>
      <c r="V341" s="27"/>
      <c r="W341" s="27">
        <v>50</v>
      </c>
      <c r="X341" s="19"/>
      <c r="Y341" s="19">
        <v>50</v>
      </c>
      <c r="Z341" s="19"/>
    </row>
    <row r="342" ht="15.6" spans="1:26">
      <c r="A342" s="27">
        <v>304</v>
      </c>
      <c r="B342" s="27">
        <v>11</v>
      </c>
      <c r="C342" s="27" t="s">
        <v>158</v>
      </c>
      <c r="D342" s="27" t="s">
        <v>12</v>
      </c>
      <c r="E342" s="27"/>
      <c r="F342" s="29"/>
      <c r="G342" s="27"/>
      <c r="H342" s="29"/>
      <c r="I342" s="27"/>
      <c r="J342" s="35"/>
      <c r="K342" s="44"/>
      <c r="L342" s="39"/>
      <c r="M342" s="35"/>
      <c r="N342" s="35"/>
      <c r="O342" s="5"/>
      <c r="P342" s="5"/>
      <c r="Q342" s="5"/>
      <c r="R342" s="27"/>
      <c r="S342" s="27"/>
      <c r="T342" s="27"/>
      <c r="U342" s="27"/>
      <c r="V342" s="27"/>
      <c r="W342" s="27">
        <v>50</v>
      </c>
      <c r="X342" s="19"/>
      <c r="Y342" s="19">
        <v>50</v>
      </c>
      <c r="Z342" s="19"/>
    </row>
    <row r="343" ht="15.6" spans="1:26">
      <c r="A343" s="27">
        <v>304</v>
      </c>
      <c r="B343" s="27">
        <v>13</v>
      </c>
      <c r="C343" s="27" t="s">
        <v>161</v>
      </c>
      <c r="D343" s="27" t="s">
        <v>12</v>
      </c>
      <c r="E343" s="27"/>
      <c r="F343" s="29"/>
      <c r="G343" s="27"/>
      <c r="H343" s="29"/>
      <c r="I343" s="27"/>
      <c r="J343" s="35"/>
      <c r="K343" s="44"/>
      <c r="L343" s="39"/>
      <c r="M343" s="35"/>
      <c r="N343" s="35"/>
      <c r="O343" s="5"/>
      <c r="P343" s="5"/>
      <c r="Q343" s="5"/>
      <c r="R343" s="27"/>
      <c r="S343" s="27"/>
      <c r="T343" s="27"/>
      <c r="U343" s="27"/>
      <c r="V343" s="27"/>
      <c r="W343" s="27">
        <v>50</v>
      </c>
      <c r="X343" s="19"/>
      <c r="Y343" s="19">
        <v>50</v>
      </c>
      <c r="Z343" s="19"/>
    </row>
    <row r="344" ht="15.6" spans="1:26">
      <c r="A344" s="27">
        <v>304</v>
      </c>
      <c r="B344" s="27">
        <v>17</v>
      </c>
      <c r="C344" s="27" t="s">
        <v>165</v>
      </c>
      <c r="D344" s="27" t="s">
        <v>12</v>
      </c>
      <c r="E344" s="27"/>
      <c r="F344" s="29"/>
      <c r="G344" s="27"/>
      <c r="H344" s="29"/>
      <c r="I344" s="27"/>
      <c r="J344" s="35"/>
      <c r="K344" s="44"/>
      <c r="L344" s="35"/>
      <c r="M344" s="35"/>
      <c r="N344" s="35"/>
      <c r="O344" s="5"/>
      <c r="P344" s="5"/>
      <c r="Q344" s="5"/>
      <c r="R344" s="27"/>
      <c r="S344" s="27"/>
      <c r="T344" s="27"/>
      <c r="U344" s="27"/>
      <c r="V344" s="27"/>
      <c r="W344" s="27">
        <v>50</v>
      </c>
      <c r="X344" s="19"/>
      <c r="Y344" s="19">
        <v>50</v>
      </c>
      <c r="Z344" s="19"/>
    </row>
    <row r="345" ht="15.6" spans="1:26">
      <c r="A345" s="27">
        <v>304</v>
      </c>
      <c r="B345" s="27">
        <v>20</v>
      </c>
      <c r="C345" s="27" t="s">
        <v>168</v>
      </c>
      <c r="D345" s="27" t="s">
        <v>12</v>
      </c>
      <c r="E345" s="27"/>
      <c r="F345" s="29"/>
      <c r="G345" s="27"/>
      <c r="H345" s="29"/>
      <c r="I345" s="27"/>
      <c r="J345" s="35"/>
      <c r="K345" s="44"/>
      <c r="L345" s="35"/>
      <c r="M345" s="35"/>
      <c r="N345" s="35"/>
      <c r="O345" s="5"/>
      <c r="P345" s="5"/>
      <c r="Q345" s="5"/>
      <c r="R345" s="27"/>
      <c r="S345" s="27"/>
      <c r="T345" s="27"/>
      <c r="U345" s="27"/>
      <c r="V345" s="27"/>
      <c r="W345" s="27">
        <v>50</v>
      </c>
      <c r="X345" s="19"/>
      <c r="Y345" s="19">
        <v>50</v>
      </c>
      <c r="Z345" s="19"/>
    </row>
    <row r="346" ht="15.6" spans="1:26">
      <c r="A346" s="27">
        <v>304</v>
      </c>
      <c r="B346" s="27">
        <v>23</v>
      </c>
      <c r="C346" s="27" t="s">
        <v>171</v>
      </c>
      <c r="D346" s="27" t="s">
        <v>12</v>
      </c>
      <c r="E346" s="27"/>
      <c r="F346" s="29"/>
      <c r="G346" s="27"/>
      <c r="H346" s="29"/>
      <c r="I346" s="27"/>
      <c r="J346" s="35"/>
      <c r="K346" s="44"/>
      <c r="L346" s="35"/>
      <c r="M346" s="35"/>
      <c r="N346" s="35"/>
      <c r="O346" s="5"/>
      <c r="P346" s="5"/>
      <c r="Q346" s="5"/>
      <c r="R346" s="27"/>
      <c r="S346" s="27"/>
      <c r="T346" s="27"/>
      <c r="U346" s="27"/>
      <c r="V346" s="27"/>
      <c r="W346" s="27">
        <v>50</v>
      </c>
      <c r="X346" s="19"/>
      <c r="Y346" s="19">
        <v>50</v>
      </c>
      <c r="Z346" s="19"/>
    </row>
    <row r="347" ht="15.6" spans="1:26">
      <c r="A347" s="27">
        <v>304</v>
      </c>
      <c r="B347" s="27">
        <v>28</v>
      </c>
      <c r="C347" s="27" t="s">
        <v>177</v>
      </c>
      <c r="D347" s="27" t="s">
        <v>12</v>
      </c>
      <c r="E347" s="27"/>
      <c r="F347" s="29"/>
      <c r="G347" s="27"/>
      <c r="H347" s="29"/>
      <c r="I347" s="27"/>
      <c r="J347" s="35"/>
      <c r="K347" s="44"/>
      <c r="L347" s="35"/>
      <c r="M347" s="35"/>
      <c r="N347" s="35"/>
      <c r="O347" s="5"/>
      <c r="P347" s="5"/>
      <c r="Q347" s="5"/>
      <c r="R347" s="27"/>
      <c r="S347" s="27"/>
      <c r="T347" s="27"/>
      <c r="U347" s="27"/>
      <c r="V347" s="27"/>
      <c r="W347" s="27">
        <v>50</v>
      </c>
      <c r="X347" s="19"/>
      <c r="Y347" s="19">
        <v>50</v>
      </c>
      <c r="Z347" s="19"/>
    </row>
    <row r="348" ht="15.6" spans="1:26">
      <c r="A348" s="27">
        <v>304</v>
      </c>
      <c r="B348" s="27">
        <v>32</v>
      </c>
      <c r="C348" s="27" t="s">
        <v>181</v>
      </c>
      <c r="D348" s="27" t="s">
        <v>12</v>
      </c>
      <c r="E348" s="27"/>
      <c r="F348" s="29"/>
      <c r="G348" s="27"/>
      <c r="H348" s="29"/>
      <c r="I348" s="27"/>
      <c r="J348" s="35"/>
      <c r="K348" s="44"/>
      <c r="L348" s="35"/>
      <c r="M348" s="35"/>
      <c r="N348" s="35"/>
      <c r="O348" s="5"/>
      <c r="P348" s="5"/>
      <c r="Q348" s="5"/>
      <c r="R348" s="27"/>
      <c r="S348" s="27"/>
      <c r="T348" s="27"/>
      <c r="U348" s="27"/>
      <c r="V348" s="27"/>
      <c r="W348" s="27">
        <v>50</v>
      </c>
      <c r="X348" s="19"/>
      <c r="Y348" s="19">
        <v>50</v>
      </c>
      <c r="Z348" s="19"/>
    </row>
    <row r="349" ht="15.6" spans="1:26">
      <c r="A349" s="27">
        <v>304</v>
      </c>
      <c r="B349" s="27">
        <v>34</v>
      </c>
      <c r="C349" s="27" t="s">
        <v>183</v>
      </c>
      <c r="D349" s="27" t="s">
        <v>12</v>
      </c>
      <c r="E349" s="27"/>
      <c r="F349" s="29"/>
      <c r="G349" s="27"/>
      <c r="H349" s="29"/>
      <c r="I349" s="27"/>
      <c r="J349" s="35"/>
      <c r="K349" s="44"/>
      <c r="L349" s="35"/>
      <c r="M349" s="35"/>
      <c r="N349" s="35"/>
      <c r="O349" s="5"/>
      <c r="P349" s="5"/>
      <c r="Q349" s="5"/>
      <c r="R349" s="27"/>
      <c r="S349" s="27"/>
      <c r="T349" s="27"/>
      <c r="U349" s="27"/>
      <c r="V349" s="27"/>
      <c r="W349" s="27">
        <v>50</v>
      </c>
      <c r="X349" s="19"/>
      <c r="Y349" s="19">
        <v>50</v>
      </c>
      <c r="Z349" s="19"/>
    </row>
    <row r="350" ht="15.6" spans="1:26">
      <c r="A350" s="27">
        <v>305</v>
      </c>
      <c r="B350" s="27">
        <v>25</v>
      </c>
      <c r="C350" s="28" t="s">
        <v>211</v>
      </c>
      <c r="D350" s="28" t="s">
        <v>12</v>
      </c>
      <c r="E350" s="27"/>
      <c r="F350" s="29"/>
      <c r="G350" s="27"/>
      <c r="H350" s="29"/>
      <c r="I350" s="27"/>
      <c r="J350" s="35"/>
      <c r="K350" s="44"/>
      <c r="L350" s="35"/>
      <c r="M350" s="35"/>
      <c r="N350" s="35"/>
      <c r="O350" s="5"/>
      <c r="P350" s="5"/>
      <c r="Q350" s="5"/>
      <c r="R350" s="27"/>
      <c r="S350" s="27"/>
      <c r="T350" s="27"/>
      <c r="U350" s="27"/>
      <c r="V350" s="27"/>
      <c r="W350" s="27">
        <v>50</v>
      </c>
      <c r="X350" s="19"/>
      <c r="Y350" s="19">
        <v>50</v>
      </c>
      <c r="Z350" s="19"/>
    </row>
    <row r="351" ht="15.6" spans="1:26">
      <c r="A351" s="27">
        <v>306</v>
      </c>
      <c r="B351" s="27">
        <v>4</v>
      </c>
      <c r="C351" s="28" t="s">
        <v>245</v>
      </c>
      <c r="D351" s="28" t="s">
        <v>12</v>
      </c>
      <c r="E351" s="27"/>
      <c r="F351" s="29"/>
      <c r="G351" s="27"/>
      <c r="H351" s="29"/>
      <c r="I351" s="27"/>
      <c r="J351" s="35"/>
      <c r="K351" s="44"/>
      <c r="L351" s="35"/>
      <c r="M351" s="35"/>
      <c r="N351" s="35"/>
      <c r="O351" s="5"/>
      <c r="P351" s="5"/>
      <c r="Q351" s="5"/>
      <c r="R351" s="27"/>
      <c r="S351" s="27"/>
      <c r="T351" s="27"/>
      <c r="U351" s="27"/>
      <c r="V351" s="27"/>
      <c r="W351" s="27">
        <v>50</v>
      </c>
      <c r="X351" s="19"/>
      <c r="Y351" s="19">
        <v>50</v>
      </c>
      <c r="Z351" s="20"/>
    </row>
    <row r="352" ht="15.6" spans="1:26">
      <c r="A352" s="27">
        <v>306</v>
      </c>
      <c r="B352" s="27">
        <v>13</v>
      </c>
      <c r="C352" s="28" t="s">
        <v>255</v>
      </c>
      <c r="D352" s="28" t="s">
        <v>12</v>
      </c>
      <c r="E352" s="27"/>
      <c r="F352" s="29"/>
      <c r="G352" s="27"/>
      <c r="H352" s="29"/>
      <c r="I352" s="27"/>
      <c r="J352" s="35"/>
      <c r="K352" s="44"/>
      <c r="L352" s="35"/>
      <c r="M352" s="35"/>
      <c r="N352" s="35"/>
      <c r="O352" s="5"/>
      <c r="P352" s="5"/>
      <c r="Q352" s="5"/>
      <c r="R352" s="27"/>
      <c r="S352" s="27"/>
      <c r="T352" s="27"/>
      <c r="U352" s="27"/>
      <c r="V352" s="27"/>
      <c r="W352" s="27">
        <v>50</v>
      </c>
      <c r="X352" s="19"/>
      <c r="Y352" s="19">
        <v>50</v>
      </c>
      <c r="Z352" s="19"/>
    </row>
    <row r="353" ht="15.6" spans="1:26">
      <c r="A353" s="27">
        <v>307</v>
      </c>
      <c r="B353" s="27">
        <v>2</v>
      </c>
      <c r="C353" s="28" t="s">
        <v>300</v>
      </c>
      <c r="D353" s="28" t="s">
        <v>12</v>
      </c>
      <c r="E353" s="27"/>
      <c r="F353" s="29"/>
      <c r="G353" s="27"/>
      <c r="H353" s="29"/>
      <c r="I353" s="27"/>
      <c r="J353" s="35"/>
      <c r="K353" s="44"/>
      <c r="L353" s="35"/>
      <c r="M353" s="35"/>
      <c r="N353" s="35"/>
      <c r="O353" s="5"/>
      <c r="P353" s="5"/>
      <c r="Q353" s="5"/>
      <c r="R353" s="27"/>
      <c r="S353" s="27"/>
      <c r="T353" s="27"/>
      <c r="U353" s="27"/>
      <c r="V353" s="27"/>
      <c r="W353" s="27">
        <v>50</v>
      </c>
      <c r="X353" s="19"/>
      <c r="Y353" s="19">
        <v>50</v>
      </c>
      <c r="Z353" s="19"/>
    </row>
    <row r="354" ht="15.6" spans="1:26">
      <c r="A354" s="27">
        <v>308</v>
      </c>
      <c r="B354" s="27">
        <v>2</v>
      </c>
      <c r="C354" s="28" t="s">
        <v>353</v>
      </c>
      <c r="D354" s="28" t="s">
        <v>12</v>
      </c>
      <c r="E354" s="27"/>
      <c r="F354" s="29"/>
      <c r="G354" s="27"/>
      <c r="H354" s="29"/>
      <c r="I354" s="27"/>
      <c r="J354" s="35"/>
      <c r="K354" s="44"/>
      <c r="L354" s="35"/>
      <c r="M354" s="35"/>
      <c r="N354" s="35"/>
      <c r="O354" s="5"/>
      <c r="P354" s="5"/>
      <c r="Q354" s="5"/>
      <c r="R354" s="27"/>
      <c r="S354" s="27"/>
      <c r="T354" s="27"/>
      <c r="U354" s="27"/>
      <c r="V354" s="27"/>
      <c r="W354" s="27">
        <v>50</v>
      </c>
      <c r="X354" s="20"/>
      <c r="Y354" s="19">
        <v>50</v>
      </c>
      <c r="Z354" s="19"/>
    </row>
    <row r="355" ht="15.6" spans="1:26">
      <c r="A355" s="27">
        <v>308</v>
      </c>
      <c r="B355" s="27">
        <v>5</v>
      </c>
      <c r="C355" s="28" t="s">
        <v>356</v>
      </c>
      <c r="D355" s="28" t="s">
        <v>12</v>
      </c>
      <c r="E355" s="27"/>
      <c r="F355" s="29"/>
      <c r="G355" s="27"/>
      <c r="H355" s="29"/>
      <c r="I355" s="27"/>
      <c r="J355" s="35"/>
      <c r="K355" s="44"/>
      <c r="L355" s="35"/>
      <c r="M355" s="35"/>
      <c r="N355" s="35"/>
      <c r="O355" s="5"/>
      <c r="P355" s="5"/>
      <c r="Q355" s="5"/>
      <c r="R355" s="27"/>
      <c r="S355" s="27"/>
      <c r="T355" s="27"/>
      <c r="U355" s="27"/>
      <c r="V355" s="27"/>
      <c r="W355" s="27">
        <v>50</v>
      </c>
      <c r="X355" s="19"/>
      <c r="Y355" s="19">
        <v>50</v>
      </c>
      <c r="Z355" s="19"/>
    </row>
    <row r="356" ht="15.6" spans="1:26">
      <c r="A356" s="27">
        <v>308</v>
      </c>
      <c r="B356" s="27">
        <v>8</v>
      </c>
      <c r="C356" s="28" t="s">
        <v>359</v>
      </c>
      <c r="D356" s="28" t="s">
        <v>12</v>
      </c>
      <c r="E356" s="27"/>
      <c r="F356" s="29"/>
      <c r="G356" s="27"/>
      <c r="H356" s="29"/>
      <c r="I356" s="27"/>
      <c r="J356" s="35"/>
      <c r="K356" s="44"/>
      <c r="L356" s="35"/>
      <c r="M356" s="35"/>
      <c r="N356" s="35"/>
      <c r="O356" s="5"/>
      <c r="P356" s="5"/>
      <c r="Q356" s="5"/>
      <c r="R356" s="27"/>
      <c r="S356" s="27"/>
      <c r="T356" s="27"/>
      <c r="U356" s="27"/>
      <c r="V356" s="27"/>
      <c r="W356" s="27">
        <v>50</v>
      </c>
      <c r="X356" s="19"/>
      <c r="Y356" s="19">
        <v>50</v>
      </c>
      <c r="Z356" s="19"/>
    </row>
    <row r="357" ht="15.6" spans="1:26">
      <c r="A357" s="27">
        <v>308</v>
      </c>
      <c r="B357" s="27">
        <v>17</v>
      </c>
      <c r="C357" s="28" t="s">
        <v>369</v>
      </c>
      <c r="D357" s="28" t="s">
        <v>12</v>
      </c>
      <c r="E357" s="27"/>
      <c r="F357" s="29"/>
      <c r="G357" s="27"/>
      <c r="H357" s="29"/>
      <c r="I357" s="27"/>
      <c r="J357" s="35"/>
      <c r="K357" s="44"/>
      <c r="L357" s="35"/>
      <c r="M357" s="35"/>
      <c r="N357" s="35"/>
      <c r="O357" s="5"/>
      <c r="P357" s="5"/>
      <c r="Q357" s="5"/>
      <c r="R357" s="27"/>
      <c r="S357" s="27"/>
      <c r="T357" s="27"/>
      <c r="U357" s="27"/>
      <c r="V357" s="27"/>
      <c r="W357" s="27">
        <v>50</v>
      </c>
      <c r="X357" s="19"/>
      <c r="Y357" s="19">
        <v>50</v>
      </c>
      <c r="Z357" s="19"/>
    </row>
    <row r="358" ht="15.6" spans="1:26">
      <c r="A358" s="27">
        <v>309</v>
      </c>
      <c r="B358" s="27">
        <v>1</v>
      </c>
      <c r="C358" s="30" t="s">
        <v>405</v>
      </c>
      <c r="D358" s="28" t="s">
        <v>12</v>
      </c>
      <c r="E358" s="27"/>
      <c r="F358" s="29"/>
      <c r="G358" s="27"/>
      <c r="H358" s="29"/>
      <c r="I358" s="27"/>
      <c r="J358" s="35"/>
      <c r="K358" s="44"/>
      <c r="L358" s="35"/>
      <c r="M358" s="35"/>
      <c r="N358" s="35"/>
      <c r="O358" s="5"/>
      <c r="P358" s="5"/>
      <c r="Q358" s="5"/>
      <c r="R358" s="27"/>
      <c r="S358" s="27"/>
      <c r="T358" s="27"/>
      <c r="U358" s="27"/>
      <c r="V358" s="27"/>
      <c r="W358" s="27">
        <v>50</v>
      </c>
      <c r="X358" s="19"/>
      <c r="Y358" s="19">
        <v>50</v>
      </c>
      <c r="Z358" s="19"/>
    </row>
    <row r="359" ht="15.6" spans="1:26">
      <c r="A359" s="27">
        <v>309</v>
      </c>
      <c r="B359" s="27">
        <v>25</v>
      </c>
      <c r="C359" s="28" t="s">
        <v>431</v>
      </c>
      <c r="D359" s="28" t="s">
        <v>12</v>
      </c>
      <c r="E359" s="27"/>
      <c r="F359" s="29"/>
      <c r="G359" s="27"/>
      <c r="H359" s="29"/>
      <c r="I359" s="27"/>
      <c r="J359" s="35"/>
      <c r="K359" s="44"/>
      <c r="L359" s="35"/>
      <c r="M359" s="35"/>
      <c r="N359" s="35"/>
      <c r="O359" s="5"/>
      <c r="P359" s="5"/>
      <c r="Q359" s="5"/>
      <c r="R359" s="27"/>
      <c r="S359" s="27"/>
      <c r="T359" s="27"/>
      <c r="U359" s="27"/>
      <c r="V359" s="27"/>
      <c r="W359" s="27">
        <v>50</v>
      </c>
      <c r="X359" s="19"/>
      <c r="Y359" s="19">
        <v>50</v>
      </c>
      <c r="Z359" s="19"/>
    </row>
    <row r="360" ht="15.6" spans="1:26">
      <c r="A360" s="27">
        <v>309</v>
      </c>
      <c r="B360" s="27">
        <v>28</v>
      </c>
      <c r="C360" s="28" t="s">
        <v>434</v>
      </c>
      <c r="D360" s="28" t="s">
        <v>12</v>
      </c>
      <c r="E360" s="27">
        <v>6.3</v>
      </c>
      <c r="F360" s="29">
        <f>LOOKUP(E360,{0,-1.8,-0.8,0.2,1.2,2.2,3.2,4.6,6,7.4,8.8,10.2,11.6,13,14.4,15.8,17.2,19.1,21,22.8,24.6},{0,10,20,30,40,50,60,62,64,66,68,70,72,74,76,78,80,85,90,95,100})</f>
        <v>64</v>
      </c>
      <c r="G360" s="27">
        <v>211</v>
      </c>
      <c r="H360" s="29">
        <f>LOOKUP(G360,{0,180,185,190,195,200,205,209,213,217,221,225,229,233,237,241,245,253,260,265,270},{0,10,20,30,40,50,60,62,64,66,68,70,72,74,76,78,80,85,90,95,100})</f>
        <v>62</v>
      </c>
      <c r="I360" s="27">
        <v>0</v>
      </c>
      <c r="J360" s="29">
        <f>LOOKUP(I360,{0,4,5,6,7,8,9,10,11,12,13,14,15,16,17,18},{0,10,20,30,40,50,60,64,68,72,76,80,85,90,95,100})</f>
        <v>0</v>
      </c>
      <c r="K360" s="44"/>
      <c r="L360" s="35"/>
      <c r="M360" s="35">
        <f>J360+L360</f>
        <v>0</v>
      </c>
      <c r="N360" s="35">
        <v>8</v>
      </c>
      <c r="O360" s="36">
        <f>18-N360</f>
        <v>10</v>
      </c>
      <c r="P360" s="29">
        <f>LOOKUP(O360,{0,7.8,8,8.2,8.4,8.6,8.8,9,9.2,9.4,9.6,9.8,10,10.2,10.4,10.6,10.8,10.9,11,11.1,11.2},{0,10,20,30,40,50,60,62,64,66,68,70,72,74,76,78,80,85,90,95,100})</f>
        <v>72</v>
      </c>
      <c r="Q360" s="5">
        <v>5.05</v>
      </c>
      <c r="R360" s="36">
        <f>10-Q360</f>
        <v>4.95</v>
      </c>
      <c r="S360" s="29">
        <f>LOOKUP(R360,{0,3.85,4.45,4.65,4.85,5.45,5.65,5.7,5.75,5.8,5.85,5.9,5.95,6,6.45,6.5,6.55,6.63,6.7,6.75,6.8},{0,10,20,30,40,50,60,62,64,66,68,70,72,74,76,78,80,85,90,95,100})</f>
        <v>40</v>
      </c>
      <c r="T360" s="27"/>
      <c r="U360" s="27"/>
      <c r="V360" s="27">
        <f>S360+U360</f>
        <v>40</v>
      </c>
      <c r="W360" s="27"/>
      <c r="X360" s="19">
        <f>F360*0.1+H360*0.1+J360*0.1+P360*0.2+S360*0.2</f>
        <v>35</v>
      </c>
      <c r="Y360" s="13">
        <f>X360/0.7+L360+U360</f>
        <v>50</v>
      </c>
      <c r="Z360" s="19"/>
    </row>
    <row r="361" ht="15.6" spans="1:26">
      <c r="A361" s="27">
        <v>309</v>
      </c>
      <c r="B361" s="27">
        <v>30</v>
      </c>
      <c r="C361" s="30" t="s">
        <v>437</v>
      </c>
      <c r="D361" s="28" t="s">
        <v>12</v>
      </c>
      <c r="E361" s="27"/>
      <c r="F361" s="29"/>
      <c r="G361" s="27"/>
      <c r="H361" s="29"/>
      <c r="I361" s="27"/>
      <c r="J361" s="35"/>
      <c r="K361" s="44"/>
      <c r="L361" s="35"/>
      <c r="M361" s="35"/>
      <c r="N361" s="35"/>
      <c r="O361" s="5"/>
      <c r="P361" s="5"/>
      <c r="Q361" s="5"/>
      <c r="R361" s="27"/>
      <c r="S361" s="27"/>
      <c r="T361" s="27"/>
      <c r="U361" s="27"/>
      <c r="V361" s="27"/>
      <c r="W361" s="27">
        <v>50</v>
      </c>
      <c r="X361" s="19"/>
      <c r="Y361" s="19">
        <v>50</v>
      </c>
      <c r="Z361" s="19"/>
    </row>
    <row r="362" ht="15.6" spans="1:26">
      <c r="A362" s="27">
        <v>309</v>
      </c>
      <c r="B362" s="27">
        <v>32</v>
      </c>
      <c r="C362" s="28" t="s">
        <v>439</v>
      </c>
      <c r="D362" s="28" t="s">
        <v>12</v>
      </c>
      <c r="E362" s="27"/>
      <c r="F362" s="29"/>
      <c r="G362" s="27"/>
      <c r="H362" s="29"/>
      <c r="I362" s="27"/>
      <c r="J362" s="35"/>
      <c r="K362" s="44"/>
      <c r="L362" s="35"/>
      <c r="M362" s="35"/>
      <c r="N362" s="35"/>
      <c r="O362" s="5"/>
      <c r="P362" s="5"/>
      <c r="Q362" s="5"/>
      <c r="R362" s="27"/>
      <c r="S362" s="27"/>
      <c r="T362" s="27"/>
      <c r="U362" s="27"/>
      <c r="V362" s="27"/>
      <c r="W362" s="27">
        <v>50</v>
      </c>
      <c r="X362" s="19"/>
      <c r="Y362" s="19">
        <v>50</v>
      </c>
      <c r="Z362" s="19"/>
    </row>
    <row r="363" ht="15.6" spans="1:26">
      <c r="A363" s="27">
        <v>310</v>
      </c>
      <c r="B363" s="27">
        <v>7</v>
      </c>
      <c r="C363" s="27" t="s">
        <v>464</v>
      </c>
      <c r="D363" s="27" t="s">
        <v>12</v>
      </c>
      <c r="E363" s="27"/>
      <c r="F363" s="29"/>
      <c r="G363" s="27"/>
      <c r="H363" s="29"/>
      <c r="I363" s="27"/>
      <c r="J363" s="35"/>
      <c r="K363" s="44"/>
      <c r="L363" s="35"/>
      <c r="M363" s="35"/>
      <c r="N363" s="35"/>
      <c r="O363" s="5"/>
      <c r="P363" s="5"/>
      <c r="Q363" s="5"/>
      <c r="R363" s="27"/>
      <c r="S363" s="27"/>
      <c r="T363" s="27"/>
      <c r="U363" s="27"/>
      <c r="V363" s="27"/>
      <c r="W363" s="27">
        <v>50</v>
      </c>
      <c r="X363" s="19"/>
      <c r="Y363" s="19">
        <v>50</v>
      </c>
      <c r="Z363" s="19"/>
    </row>
    <row r="364" ht="15.6" spans="1:26">
      <c r="A364" s="27">
        <v>310</v>
      </c>
      <c r="B364" s="27">
        <v>33</v>
      </c>
      <c r="C364" s="28" t="s">
        <v>493</v>
      </c>
      <c r="D364" s="28" t="s">
        <v>12</v>
      </c>
      <c r="E364" s="27"/>
      <c r="F364" s="29"/>
      <c r="G364" s="27"/>
      <c r="H364" s="29"/>
      <c r="I364" s="27"/>
      <c r="J364" s="35"/>
      <c r="K364" s="44"/>
      <c r="L364" s="35"/>
      <c r="M364" s="35"/>
      <c r="N364" s="35"/>
      <c r="O364" s="5"/>
      <c r="P364" s="5"/>
      <c r="Q364" s="5"/>
      <c r="R364" s="27"/>
      <c r="S364" s="27"/>
      <c r="T364" s="27"/>
      <c r="U364" s="27"/>
      <c r="V364" s="27"/>
      <c r="W364" s="27">
        <v>50</v>
      </c>
      <c r="X364" s="19"/>
      <c r="Y364" s="19">
        <v>50</v>
      </c>
      <c r="Z364" s="19"/>
    </row>
    <row r="365" ht="15.6" spans="1:26">
      <c r="A365" s="27">
        <v>310</v>
      </c>
      <c r="B365" s="27">
        <v>40</v>
      </c>
      <c r="C365" s="28" t="s">
        <v>500</v>
      </c>
      <c r="D365" s="28" t="s">
        <v>12</v>
      </c>
      <c r="E365" s="27">
        <v>6.4</v>
      </c>
      <c r="F365" s="29">
        <f>LOOKUP(E365,{0,-1.8,-0.8,0.2,1.2,2.2,3.2,4.6,6,7.4,8.8,10.2,11.6,13,14.4,15.8,17.2,19.1,21,22.8,24.6},{0,10,20,30,40,50,60,62,64,66,68,70,72,74,76,78,80,85,90,95,100})</f>
        <v>64</v>
      </c>
      <c r="G365" s="27">
        <v>200</v>
      </c>
      <c r="H365" s="29">
        <f>LOOKUP(G365,{0,180,185,190,195,200,205,209,213,217,221,225,229,233,237,241,245,253,260,265,270},{0,10,20,30,40,50,60,62,64,66,68,70,72,74,76,78,80,85,90,95,100})</f>
        <v>50</v>
      </c>
      <c r="I365" s="27">
        <v>0</v>
      </c>
      <c r="J365" s="29">
        <f>LOOKUP(I365,{0,4,5,6,7,8,9,10,11,12,13,14,15,16,17,18},{0,10,20,30,40,50,60,64,68,72,76,80,85,90,95,100})</f>
        <v>0</v>
      </c>
      <c r="K365" s="44"/>
      <c r="L365" s="35"/>
      <c r="M365" s="35">
        <f>J365+L365</f>
        <v>0</v>
      </c>
      <c r="N365" s="35">
        <v>7.4</v>
      </c>
      <c r="O365" s="36">
        <f>18-N365</f>
        <v>10.6</v>
      </c>
      <c r="P365" s="29">
        <f>LOOKUP(O365,{0,7.8,8,8.2,8.4,8.6,8.8,9,9.2,9.4,9.6,9.8,10,10.2,10.4,10.6,10.8,10.9,11,11.1,11.2},{0,10,20,30,40,50,60,62,64,66,68,70,72,74,76,78,80,85,90,95,100})</f>
        <v>78</v>
      </c>
      <c r="Q365" s="5">
        <v>5.15</v>
      </c>
      <c r="R365" s="36">
        <f>10-Q365</f>
        <v>4.85</v>
      </c>
      <c r="S365" s="29">
        <f>LOOKUP(R365,{0,3.85,4.45,4.65,4.85,5.45,5.65,5.7,5.75,5.8,5.85,5.9,5.95,6,6.45,6.5,6.55,6.63,6.7,6.75,6.8},{0,10,20,30,40,50,60,62,64,66,68,70,72,74,76,78,80,85,90,95,100})</f>
        <v>40</v>
      </c>
      <c r="T365" s="27"/>
      <c r="U365" s="27"/>
      <c r="V365" s="27">
        <f>S365+U365</f>
        <v>40</v>
      </c>
      <c r="W365" s="27"/>
      <c r="X365" s="19">
        <f>F365*0.1+H365*0.1+J365*0.1+P365*0.2+S365*0.2</f>
        <v>35</v>
      </c>
      <c r="Y365" s="13">
        <f>X365/0.7+L365+U365</f>
        <v>50</v>
      </c>
      <c r="Z365" s="19"/>
    </row>
    <row r="366" ht="15.6" spans="1:26">
      <c r="A366" s="27">
        <v>311</v>
      </c>
      <c r="B366" s="27">
        <v>35</v>
      </c>
      <c r="C366" s="28" t="s">
        <v>550</v>
      </c>
      <c r="D366" s="28" t="s">
        <v>12</v>
      </c>
      <c r="E366" s="27"/>
      <c r="F366" s="29"/>
      <c r="G366" s="27"/>
      <c r="H366" s="29"/>
      <c r="I366" s="27"/>
      <c r="J366" s="35"/>
      <c r="K366" s="44"/>
      <c r="L366" s="35"/>
      <c r="M366" s="35"/>
      <c r="N366" s="35"/>
      <c r="O366" s="5"/>
      <c r="P366" s="5"/>
      <c r="Q366" s="5"/>
      <c r="R366" s="27"/>
      <c r="S366" s="27"/>
      <c r="T366" s="27"/>
      <c r="U366" s="27"/>
      <c r="V366" s="27"/>
      <c r="W366" s="27">
        <v>50</v>
      </c>
      <c r="X366" s="19"/>
      <c r="Y366" s="19">
        <v>50</v>
      </c>
      <c r="Z366" s="19"/>
    </row>
    <row r="367" ht="15.6" spans="1:26">
      <c r="A367" s="27">
        <v>312</v>
      </c>
      <c r="B367" s="27">
        <v>2</v>
      </c>
      <c r="C367" s="28" t="s">
        <v>575</v>
      </c>
      <c r="D367" s="28" t="s">
        <v>12</v>
      </c>
      <c r="E367" s="27"/>
      <c r="F367" s="29"/>
      <c r="G367" s="27"/>
      <c r="H367" s="29"/>
      <c r="I367" s="27"/>
      <c r="J367" s="35"/>
      <c r="K367" s="44"/>
      <c r="L367" s="35"/>
      <c r="M367" s="35"/>
      <c r="N367" s="35"/>
      <c r="O367" s="5"/>
      <c r="P367" s="5"/>
      <c r="Q367" s="5"/>
      <c r="R367" s="27"/>
      <c r="S367" s="27"/>
      <c r="T367" s="27"/>
      <c r="U367" s="27"/>
      <c r="V367" s="27"/>
      <c r="W367" s="27">
        <v>50</v>
      </c>
      <c r="X367" s="19"/>
      <c r="Y367" s="19">
        <v>50</v>
      </c>
      <c r="Z367" s="19"/>
    </row>
    <row r="368" ht="15.6" spans="1:26">
      <c r="A368" s="27">
        <v>312</v>
      </c>
      <c r="B368" s="27">
        <v>3</v>
      </c>
      <c r="C368" s="28" t="s">
        <v>576</v>
      </c>
      <c r="D368" s="28" t="s">
        <v>12</v>
      </c>
      <c r="E368" s="27"/>
      <c r="F368" s="29"/>
      <c r="G368" s="27"/>
      <c r="H368" s="29"/>
      <c r="I368" s="27"/>
      <c r="J368" s="35"/>
      <c r="K368" s="44"/>
      <c r="L368" s="35"/>
      <c r="M368" s="35"/>
      <c r="N368" s="35"/>
      <c r="O368" s="5"/>
      <c r="P368" s="5"/>
      <c r="Q368" s="5"/>
      <c r="R368" s="27"/>
      <c r="S368" s="27"/>
      <c r="T368" s="27"/>
      <c r="U368" s="27"/>
      <c r="V368" s="27"/>
      <c r="W368" s="27">
        <v>50</v>
      </c>
      <c r="X368" s="19"/>
      <c r="Y368" s="19">
        <v>50</v>
      </c>
      <c r="Z368" s="19"/>
    </row>
    <row r="369" ht="15.6" spans="1:26">
      <c r="A369" s="27">
        <v>312</v>
      </c>
      <c r="B369" s="27">
        <v>30</v>
      </c>
      <c r="C369" s="27" t="s">
        <v>604</v>
      </c>
      <c r="D369" s="27" t="s">
        <v>12</v>
      </c>
      <c r="E369" s="27"/>
      <c r="F369" s="29"/>
      <c r="G369" s="27"/>
      <c r="H369" s="29"/>
      <c r="I369" s="27"/>
      <c r="J369" s="35"/>
      <c r="K369" s="44"/>
      <c r="L369" s="35"/>
      <c r="M369" s="35"/>
      <c r="N369" s="35"/>
      <c r="O369" s="5"/>
      <c r="P369" s="5"/>
      <c r="Q369" s="5"/>
      <c r="R369" s="27"/>
      <c r="S369" s="27"/>
      <c r="T369" s="27"/>
      <c r="U369" s="27"/>
      <c r="V369" s="27"/>
      <c r="W369" s="27">
        <v>50</v>
      </c>
      <c r="X369" s="19"/>
      <c r="Y369" s="19">
        <v>50</v>
      </c>
      <c r="Z369" s="20"/>
    </row>
    <row r="370" ht="15.6" spans="1:26">
      <c r="A370" s="27">
        <v>312</v>
      </c>
      <c r="B370" s="27">
        <v>31</v>
      </c>
      <c r="C370" s="28" t="s">
        <v>605</v>
      </c>
      <c r="D370" s="28" t="s">
        <v>12</v>
      </c>
      <c r="E370" s="27"/>
      <c r="F370" s="29"/>
      <c r="G370" s="27"/>
      <c r="H370" s="29"/>
      <c r="I370" s="27"/>
      <c r="J370" s="35"/>
      <c r="K370" s="44"/>
      <c r="L370" s="35"/>
      <c r="M370" s="35"/>
      <c r="N370" s="35"/>
      <c r="O370" s="5"/>
      <c r="P370" s="5"/>
      <c r="Q370" s="5"/>
      <c r="R370" s="27"/>
      <c r="S370" s="27"/>
      <c r="T370" s="27"/>
      <c r="U370" s="27"/>
      <c r="V370" s="27"/>
      <c r="W370" s="27">
        <v>50</v>
      </c>
      <c r="X370" s="19"/>
      <c r="Y370" s="19">
        <v>50</v>
      </c>
      <c r="Z370" s="19"/>
    </row>
    <row r="371" ht="15.6" spans="1:26">
      <c r="A371" s="27">
        <v>312</v>
      </c>
      <c r="B371" s="27">
        <v>33</v>
      </c>
      <c r="C371" s="28" t="s">
        <v>607</v>
      </c>
      <c r="D371" s="28" t="s">
        <v>12</v>
      </c>
      <c r="E371" s="27"/>
      <c r="F371" s="29"/>
      <c r="G371" s="27"/>
      <c r="H371" s="29"/>
      <c r="I371" s="27"/>
      <c r="J371" s="35"/>
      <c r="K371" s="44"/>
      <c r="L371" s="35"/>
      <c r="M371" s="35"/>
      <c r="N371" s="35"/>
      <c r="O371" s="5"/>
      <c r="P371" s="5"/>
      <c r="Q371" s="5"/>
      <c r="R371" s="27"/>
      <c r="S371" s="27"/>
      <c r="T371" s="27"/>
      <c r="U371" s="27"/>
      <c r="V371" s="27"/>
      <c r="W371" s="27">
        <v>50</v>
      </c>
      <c r="X371" s="19"/>
      <c r="Y371" s="19">
        <v>50</v>
      </c>
      <c r="Z371" s="19"/>
    </row>
    <row r="372" ht="15.6" spans="1:26">
      <c r="A372" s="27">
        <v>313</v>
      </c>
      <c r="B372" s="27">
        <v>2</v>
      </c>
      <c r="C372" s="28" t="s">
        <v>628</v>
      </c>
      <c r="D372" s="28" t="s">
        <v>12</v>
      </c>
      <c r="E372" s="27"/>
      <c r="F372" s="29"/>
      <c r="G372" s="27"/>
      <c r="H372" s="29"/>
      <c r="I372" s="27"/>
      <c r="J372" s="35"/>
      <c r="K372" s="44"/>
      <c r="L372" s="35"/>
      <c r="M372" s="35"/>
      <c r="N372" s="35"/>
      <c r="O372" s="5"/>
      <c r="P372" s="5"/>
      <c r="Q372" s="5"/>
      <c r="R372" s="27"/>
      <c r="S372" s="27"/>
      <c r="T372" s="27"/>
      <c r="U372" s="27"/>
      <c r="V372" s="27"/>
      <c r="W372" s="27">
        <v>50</v>
      </c>
      <c r="X372" s="19"/>
      <c r="Y372" s="19">
        <v>50</v>
      </c>
      <c r="Z372" s="19"/>
    </row>
    <row r="373" ht="15.6" spans="1:26">
      <c r="A373" s="27">
        <v>313</v>
      </c>
      <c r="B373" s="27">
        <v>3</v>
      </c>
      <c r="C373" s="28" t="s">
        <v>629</v>
      </c>
      <c r="D373" s="28" t="s">
        <v>12</v>
      </c>
      <c r="E373" s="27"/>
      <c r="F373" s="29"/>
      <c r="G373" s="27"/>
      <c r="H373" s="29"/>
      <c r="I373" s="27"/>
      <c r="J373" s="35"/>
      <c r="K373" s="44"/>
      <c r="L373" s="35"/>
      <c r="M373" s="35"/>
      <c r="N373" s="35"/>
      <c r="O373" s="5"/>
      <c r="P373" s="5"/>
      <c r="Q373" s="5"/>
      <c r="R373" s="27"/>
      <c r="S373" s="27"/>
      <c r="T373" s="27"/>
      <c r="U373" s="27"/>
      <c r="V373" s="27"/>
      <c r="W373" s="27">
        <v>50</v>
      </c>
      <c r="X373" s="19"/>
      <c r="Y373" s="19">
        <v>50</v>
      </c>
      <c r="Z373" s="19"/>
    </row>
    <row r="374" ht="15.6" spans="1:26">
      <c r="A374" s="27">
        <v>313</v>
      </c>
      <c r="B374" s="27">
        <v>13</v>
      </c>
      <c r="C374" s="28" t="s">
        <v>640</v>
      </c>
      <c r="D374" s="28" t="s">
        <v>12</v>
      </c>
      <c r="E374" s="27">
        <v>18</v>
      </c>
      <c r="F374" s="29">
        <f>LOOKUP(E374,{0,-1.8,-0.8,0.2,1.2,2.2,3.2,4.6,6,7.4,8.8,10.2,11.6,13,14.4,15.8,17.2,19.1,21,22.8,24.6},{0,10,20,30,40,50,60,62,64,66,68,70,72,74,76,78,80,85,90,95,100})</f>
        <v>80</v>
      </c>
      <c r="G374" s="27">
        <v>204</v>
      </c>
      <c r="H374" s="29">
        <f>LOOKUP(G374,{0,180,185,190,195,200,205,209,213,217,221,225,229,233,237,241,245,253,260,265,270},{0,10,20,30,40,50,60,62,64,66,68,70,72,74,76,78,80,85,90,95,100})</f>
        <v>50</v>
      </c>
      <c r="I374" s="27">
        <v>0</v>
      </c>
      <c r="J374" s="29">
        <f>LOOKUP(I374,{0,4,5,6,7,8,9,10,11,12,13,14,15,16,17,18},{0,10,20,30,40,50,60,64,68,72,76,80,85,90,95,100})</f>
        <v>0</v>
      </c>
      <c r="K374" s="44"/>
      <c r="L374" s="35"/>
      <c r="M374" s="35">
        <f>J374+L374</f>
        <v>0</v>
      </c>
      <c r="N374" s="35">
        <v>8.2</v>
      </c>
      <c r="O374" s="36">
        <f>18-N374</f>
        <v>9.8</v>
      </c>
      <c r="P374" s="29">
        <f>LOOKUP(O374,{0,7.8,8,8.2,8.4,8.6,8.8,9,9.2,9.4,9.6,9.8,10,10.2,10.4,10.6,10.8,10.9,11,11.1,11.2},{0,10,20,30,40,50,60,62,64,66,68,70,72,74,76,78,80,85,90,95,100})</f>
        <v>70</v>
      </c>
      <c r="Q374" s="5">
        <v>5.09</v>
      </c>
      <c r="R374" s="36">
        <f>10-Q374</f>
        <v>4.91</v>
      </c>
      <c r="S374" s="29">
        <f>LOOKUP(R374,{0,3.85,4.45,4.65,4.85,5.45,5.65,5.7,5.75,5.8,5.85,5.9,5.95,6,6.45,6.5,6.55,6.63,6.7,6.75,6.8},{0,10,20,30,40,50,60,62,64,66,68,70,72,74,76,78,80,85,90,95,100})</f>
        <v>40</v>
      </c>
      <c r="T374" s="27"/>
      <c r="U374" s="27"/>
      <c r="V374" s="27">
        <f>S374+U374</f>
        <v>40</v>
      </c>
      <c r="W374" s="27"/>
      <c r="X374" s="19">
        <f>F374*0.1+H374*0.1+J374*0.1+P374*0.2+S374*0.2</f>
        <v>35</v>
      </c>
      <c r="Y374" s="13">
        <f>X374/0.7+L374+U374</f>
        <v>50</v>
      </c>
      <c r="Z374" s="19"/>
    </row>
    <row r="375" ht="15.6" spans="1:26">
      <c r="A375" s="27">
        <v>316</v>
      </c>
      <c r="B375" s="27">
        <v>4</v>
      </c>
      <c r="C375" s="28" t="s">
        <v>791</v>
      </c>
      <c r="D375" s="28" t="s">
        <v>12</v>
      </c>
      <c r="E375" s="27"/>
      <c r="F375" s="29"/>
      <c r="G375" s="27"/>
      <c r="H375" s="29"/>
      <c r="I375" s="27"/>
      <c r="J375" s="35"/>
      <c r="K375" s="44"/>
      <c r="L375" s="35"/>
      <c r="M375" s="35"/>
      <c r="N375" s="35"/>
      <c r="O375" s="5"/>
      <c r="P375" s="5"/>
      <c r="Q375" s="5"/>
      <c r="R375" s="27"/>
      <c r="S375" s="27"/>
      <c r="T375" s="27"/>
      <c r="U375" s="27"/>
      <c r="V375" s="27"/>
      <c r="W375" s="27">
        <v>50</v>
      </c>
      <c r="X375" s="19"/>
      <c r="Y375" s="19">
        <v>50</v>
      </c>
      <c r="Z375" s="19"/>
    </row>
    <row r="376" ht="15.6" spans="1:26">
      <c r="A376" s="27">
        <v>316</v>
      </c>
      <c r="B376" s="27">
        <v>7</v>
      </c>
      <c r="C376" s="28" t="s">
        <v>794</v>
      </c>
      <c r="D376" s="28" t="s">
        <v>12</v>
      </c>
      <c r="E376" s="27">
        <v>17.2</v>
      </c>
      <c r="F376" s="29">
        <f>LOOKUP(E376,{0,-1.8,-0.8,0.2,1.2,2.2,3.2,4.6,6,7.4,8.8,10.2,11.6,13,14.4,15.8,17.2,19.1,21,22.8,24.6},{0,10,20,30,40,50,60,62,64,66,68,70,72,74,76,78,80,85,90,95,100})</f>
        <v>80</v>
      </c>
      <c r="G376" s="27">
        <v>190</v>
      </c>
      <c r="H376" s="29">
        <f>LOOKUP(G376,{0,180,185,190,195,200,205,209,213,217,221,225,229,233,237,241,245,253,260,265,270},{0,10,20,30,40,50,60,62,64,66,68,70,72,74,76,78,80,85,90,95,100})</f>
        <v>30</v>
      </c>
      <c r="I376" s="27">
        <v>0</v>
      </c>
      <c r="J376" s="29">
        <f>LOOKUP(I376,{0,4,5,6,7,8,9,10,11,12,13,14,15,16,17,18},{0,10,20,30,40,50,60,64,68,72,76,80,85,90,95,100})</f>
        <v>0</v>
      </c>
      <c r="K376" s="44"/>
      <c r="L376" s="35"/>
      <c r="M376" s="35">
        <f t="shared" ref="M376:M438" si="32">J376+L376</f>
        <v>0</v>
      </c>
      <c r="N376" s="35">
        <v>8.1</v>
      </c>
      <c r="O376" s="36">
        <f t="shared" ref="O376:O438" si="33">18-N376</f>
        <v>9.9</v>
      </c>
      <c r="P376" s="29">
        <f>LOOKUP(O376,{0,7.8,8,8.2,8.4,8.6,8.8,9,9.2,9.4,9.6,9.8,10,10.2,10.4,10.6,10.8,10.9,11,11.1,11.2},{0,10,20,30,40,50,60,62,64,66,68,70,72,74,76,78,80,85,90,95,100})</f>
        <v>70</v>
      </c>
      <c r="Q376" s="5">
        <v>4.54</v>
      </c>
      <c r="R376" s="36">
        <f t="shared" ref="R376:R438" si="34">10-Q376</f>
        <v>5.46</v>
      </c>
      <c r="S376" s="29">
        <f>LOOKUP(R376,{0,3.85,4.45,4.65,4.85,5.45,5.65,5.7,5.75,5.8,5.85,5.9,5.95,6,6.45,6.5,6.55,6.63,6.7,6.75,6.8},{0,10,20,30,40,50,60,62,64,66,68,70,72,74,76,78,80,85,90,95,100})</f>
        <v>50</v>
      </c>
      <c r="T376" s="27"/>
      <c r="U376" s="27"/>
      <c r="V376" s="27">
        <f t="shared" ref="V376:V438" si="35">S376+U376</f>
        <v>50</v>
      </c>
      <c r="W376" s="27"/>
      <c r="X376" s="19">
        <f t="shared" ref="X376:X438" si="36">F376*0.1+H376*0.1+J376*0.1+P376*0.2+S376*0.2</f>
        <v>35</v>
      </c>
      <c r="Y376" s="13">
        <f t="shared" ref="Y376:Y438" si="37">X376/0.7+L376+U376</f>
        <v>50</v>
      </c>
      <c r="Z376" s="19"/>
    </row>
    <row r="377" ht="15.6" spans="1:26">
      <c r="A377" s="27">
        <v>302</v>
      </c>
      <c r="B377" s="27">
        <v>7</v>
      </c>
      <c r="C377" s="27" t="s">
        <v>64</v>
      </c>
      <c r="D377" s="27" t="s">
        <v>12</v>
      </c>
      <c r="E377" s="27">
        <v>-10</v>
      </c>
      <c r="F377" s="29">
        <v>0</v>
      </c>
      <c r="G377" s="27">
        <v>200</v>
      </c>
      <c r="H377" s="29">
        <f>LOOKUP(G377,{0,180,185,190,195,200,205,209,213,217,221,225,229,233,237,241,245,253,260,265,270},{0,10,20,30,40,50,60,62,64,66,68,70,72,74,76,78,80,85,90,95,100})</f>
        <v>50</v>
      </c>
      <c r="I377" s="27">
        <v>4</v>
      </c>
      <c r="J377" s="29">
        <f>LOOKUP(I377,{0,4,5,6,7,8,9,10,11,12,13,14,15,16,17,18},{0,10,20,30,40,50,60,64,68,72,76,80,85,90,95,100})</f>
        <v>10</v>
      </c>
      <c r="K377" s="44"/>
      <c r="L377" s="35"/>
      <c r="M377" s="35">
        <f t="shared" si="32"/>
        <v>10</v>
      </c>
      <c r="N377" s="35">
        <v>7.3</v>
      </c>
      <c r="O377" s="36">
        <f t="shared" si="33"/>
        <v>10.7</v>
      </c>
      <c r="P377" s="29">
        <f>LOOKUP(O377,{0,7.8,8,8.2,8.4,8.6,8.8,9,9.2,9.4,9.6,9.8,10,10.2,10.4,10.6,10.8,10.9,11,11.1,11.2},{0,10,20,30,40,50,60,62,64,66,68,70,72,74,76,78,80,85,90,95,100})</f>
        <v>78</v>
      </c>
      <c r="Q377" s="5">
        <v>4.2</v>
      </c>
      <c r="R377" s="36">
        <f t="shared" si="34"/>
        <v>5.8</v>
      </c>
      <c r="S377" s="29">
        <f>LOOKUP(R377,{0,3.85,4.45,4.65,4.85,5.45,5.65,5.7,5.75,5.8,5.85,5.9,5.95,6,6.45,6.5,6.55,6.63,6.7,6.75,6.8},{0,10,20,30,40,50,60,62,64,66,68,70,72,74,76,78,80,85,90,95,100})</f>
        <v>66</v>
      </c>
      <c r="T377" s="27"/>
      <c r="U377" s="27"/>
      <c r="V377" s="27">
        <f t="shared" si="35"/>
        <v>66</v>
      </c>
      <c r="W377" s="27"/>
      <c r="X377" s="19">
        <f t="shared" si="36"/>
        <v>34.8</v>
      </c>
      <c r="Y377" s="13">
        <f t="shared" si="37"/>
        <v>49.7142857142857</v>
      </c>
      <c r="Z377" s="19"/>
    </row>
    <row r="378" ht="15.6" spans="1:26">
      <c r="A378" s="27">
        <v>311</v>
      </c>
      <c r="B378" s="27">
        <v>47</v>
      </c>
      <c r="C378" s="28" t="s">
        <v>563</v>
      </c>
      <c r="D378" s="28" t="s">
        <v>12</v>
      </c>
      <c r="E378" s="27">
        <v>2.3</v>
      </c>
      <c r="F378" s="29">
        <f>LOOKUP(E378,{0,-1.8,-0.8,0.2,1.2,2.2,3.2,4.6,6,7.4,8.8,10.2,11.6,13,14.4,15.8,17.2,19.1,21,22.8,24.6},{0,10,20,30,40,50,60,62,64,66,68,70,72,74,76,78,80,85,90,95,100})</f>
        <v>50</v>
      </c>
      <c r="G378" s="27">
        <v>210</v>
      </c>
      <c r="H378" s="29">
        <f>LOOKUP(G378,{0,180,185,190,195,200,205,209,213,217,221,225,229,233,237,241,245,253,260,265,270},{0,10,20,30,40,50,60,62,64,66,68,70,72,74,76,78,80,85,90,95,100})</f>
        <v>62</v>
      </c>
      <c r="I378" s="27">
        <v>1</v>
      </c>
      <c r="J378" s="29">
        <f>LOOKUP(I378,{0,4,5,6,7,8,9,10,11,12,13,14,15,16,17,18},{0,10,20,30,40,50,60,64,68,72,76,80,85,90,95,100})</f>
        <v>0</v>
      </c>
      <c r="K378" s="44"/>
      <c r="L378" s="35"/>
      <c r="M378" s="35">
        <f t="shared" si="32"/>
        <v>0</v>
      </c>
      <c r="N378" s="35">
        <v>7.4</v>
      </c>
      <c r="O378" s="36">
        <f t="shared" si="33"/>
        <v>10.6</v>
      </c>
      <c r="P378" s="29">
        <f>LOOKUP(O378,{0,7.8,8,8.2,8.4,8.6,8.8,9,9.2,9.4,9.6,9.8,10,10.2,10.4,10.6,10.8,10.9,11,11.1,11.2},{0,10,20,30,40,50,60,62,64,66,68,70,72,74,76,78,80,85,90,95,100})</f>
        <v>78</v>
      </c>
      <c r="Q378" s="5">
        <v>5.06</v>
      </c>
      <c r="R378" s="36">
        <f t="shared" si="34"/>
        <v>4.94</v>
      </c>
      <c r="S378" s="29">
        <f>LOOKUP(R378,{0,3.85,4.45,4.65,4.85,5.45,5.65,5.7,5.75,5.8,5.85,5.9,5.95,6,6.45,6.5,6.55,6.63,6.7,6.75,6.8},{0,10,20,30,40,50,60,62,64,66,68,70,72,74,76,78,80,85,90,95,100})</f>
        <v>40</v>
      </c>
      <c r="T378" s="27"/>
      <c r="U378" s="27"/>
      <c r="V378" s="27">
        <f t="shared" si="35"/>
        <v>40</v>
      </c>
      <c r="W378" s="27"/>
      <c r="X378" s="19">
        <f t="shared" si="36"/>
        <v>34.8</v>
      </c>
      <c r="Y378" s="13">
        <f t="shared" si="37"/>
        <v>49.7142857142857</v>
      </c>
      <c r="Z378" s="19"/>
    </row>
    <row r="379" ht="15.6" spans="1:26">
      <c r="A379" s="27">
        <v>305</v>
      </c>
      <c r="B379" s="27">
        <v>11</v>
      </c>
      <c r="C379" s="30" t="s">
        <v>196</v>
      </c>
      <c r="D379" s="28" t="s">
        <v>12</v>
      </c>
      <c r="E379" s="27">
        <v>21</v>
      </c>
      <c r="F379" s="29">
        <f>LOOKUP(E379,{0,-1.8,-0.8,0.2,1.2,2.2,3.2,4.6,6,7.4,8.8,10.2,11.6,13,14.4,15.8,17.2,19.1,21,22.8,24.6},{0,10,20,30,40,50,60,62,64,66,68,70,72,74,76,78,80,85,90,95,100})</f>
        <v>90</v>
      </c>
      <c r="G379" s="27">
        <v>186</v>
      </c>
      <c r="H379" s="29">
        <f>LOOKUP(G379,{0,180,185,190,195,200,205,209,213,217,221,225,229,233,237,241,245,253,260,265,270},{0,10,20,30,40,50,60,62,64,66,68,70,72,74,76,78,80,85,90,95,100})</f>
        <v>20</v>
      </c>
      <c r="I379" s="27">
        <v>4</v>
      </c>
      <c r="J379" s="29">
        <f>LOOKUP(I379,{0,4,5,6,7,8,9,10,11,12,13,14,15,16,17,18},{0,10,20,30,40,50,60,64,68,72,76,80,85,90,95,100})</f>
        <v>10</v>
      </c>
      <c r="K379" s="44"/>
      <c r="L379" s="35"/>
      <c r="M379" s="35">
        <f t="shared" si="32"/>
        <v>10</v>
      </c>
      <c r="N379" s="35">
        <v>9</v>
      </c>
      <c r="O379" s="36">
        <f t="shared" si="33"/>
        <v>9</v>
      </c>
      <c r="P379" s="29">
        <f>LOOKUP(O379,{0,7.8,8,8.2,8.4,8.6,8.8,9,9.2,9.4,9.6,9.8,10,10.2,10.4,10.6,10.8,10.9,11,11.1,11.2},{0,10,20,30,40,50,60,62,64,66,68,70,72,74,76,78,80,85,90,95,100})</f>
        <v>62</v>
      </c>
      <c r="Q379" s="5">
        <v>4.53</v>
      </c>
      <c r="R379" s="36">
        <f t="shared" si="34"/>
        <v>5.47</v>
      </c>
      <c r="S379" s="29">
        <f>LOOKUP(R379,{0,3.85,4.45,4.65,4.85,5.45,5.65,5.7,5.75,5.8,5.85,5.9,5.95,6,6.45,6.5,6.55,6.63,6.7,6.75,6.8},{0,10,20,30,40,50,60,62,64,66,68,70,72,74,76,78,80,85,90,95,100})</f>
        <v>50</v>
      </c>
      <c r="T379" s="27"/>
      <c r="U379" s="27"/>
      <c r="V379" s="27">
        <f t="shared" si="35"/>
        <v>50</v>
      </c>
      <c r="W379" s="27"/>
      <c r="X379" s="19">
        <f t="shared" si="36"/>
        <v>34.4</v>
      </c>
      <c r="Y379" s="13">
        <f t="shared" si="37"/>
        <v>49.1428571428571</v>
      </c>
      <c r="Z379" s="19"/>
    </row>
    <row r="380" ht="15.6" spans="1:26">
      <c r="A380" s="27">
        <v>303</v>
      </c>
      <c r="B380" s="27">
        <v>34</v>
      </c>
      <c r="C380" s="27" t="s">
        <v>136</v>
      </c>
      <c r="D380" s="27" t="s">
        <v>12</v>
      </c>
      <c r="E380" s="27">
        <v>4.5</v>
      </c>
      <c r="F380" s="29">
        <f>LOOKUP(E380,{0,-1.8,-0.8,0.2,1.2,2.2,3.2,4.6,6,7.4,8.8,10.2,11.6,13,14.4,15.8,17.2,19.1,21,22.8,24.6},{0,10,20,30,40,50,60,62,64,66,68,70,72,74,76,78,80,85,90,95,100})</f>
        <v>60</v>
      </c>
      <c r="G380" s="27">
        <v>220</v>
      </c>
      <c r="H380" s="29">
        <f>LOOKUP(G380,{0,180,185,190,195,200,205,209,213,217,221,225,229,233,237,241,245,253,260,265,270},{0,10,20,30,40,50,60,62,64,66,68,70,72,74,76,78,80,85,90,95,100})</f>
        <v>66</v>
      </c>
      <c r="I380" s="27">
        <v>0</v>
      </c>
      <c r="J380" s="29">
        <f>LOOKUP(I380,{0,4,5,6,7,8,9,10,11,12,13,14,15,16,17,18},{0,10,20,30,40,50,60,64,68,72,76,80,85,90,95,100})</f>
        <v>0</v>
      </c>
      <c r="K380" s="44"/>
      <c r="L380" s="35"/>
      <c r="M380" s="35">
        <f t="shared" si="32"/>
        <v>0</v>
      </c>
      <c r="N380" s="35">
        <v>8.4</v>
      </c>
      <c r="O380" s="36">
        <f t="shared" si="33"/>
        <v>9.6</v>
      </c>
      <c r="P380" s="29">
        <f>LOOKUP(O380,{0,7.8,8,8.2,8.4,8.6,8.8,9,9.2,9.4,9.6,9.8,10,10.2,10.4,10.6,10.8,10.9,11,11.1,11.2},{0,10,20,30,40,50,60,62,64,66,68,70,72,74,76,78,80,85,90,95,100})</f>
        <v>68</v>
      </c>
      <c r="Q380" s="5">
        <v>5</v>
      </c>
      <c r="R380" s="36">
        <f t="shared" si="34"/>
        <v>5</v>
      </c>
      <c r="S380" s="29">
        <f>LOOKUP(R380,{0,3.85,4.45,4.65,4.85,5.45,5.65,5.7,5.75,5.8,5.85,5.9,5.95,6,6.45,6.5,6.55,6.63,6.7,6.75,6.8},{0,10,20,30,40,50,60,62,64,66,68,70,72,74,76,78,80,85,90,95,100})</f>
        <v>40</v>
      </c>
      <c r="T380" s="27"/>
      <c r="U380" s="27"/>
      <c r="V380" s="27">
        <f t="shared" si="35"/>
        <v>40</v>
      </c>
      <c r="W380" s="27"/>
      <c r="X380" s="19">
        <f t="shared" si="36"/>
        <v>34.2</v>
      </c>
      <c r="Y380" s="13">
        <f t="shared" si="37"/>
        <v>48.8571428571429</v>
      </c>
      <c r="Z380" s="19"/>
    </row>
    <row r="381" ht="15.6" spans="1:26">
      <c r="A381" s="27">
        <v>311</v>
      </c>
      <c r="B381" s="27">
        <v>8</v>
      </c>
      <c r="C381" s="28" t="s">
        <v>521</v>
      </c>
      <c r="D381" s="28" t="s">
        <v>12</v>
      </c>
      <c r="E381" s="27">
        <v>6.5</v>
      </c>
      <c r="F381" s="29">
        <f>LOOKUP(E381,{0,-1.8,-0.8,0.2,1.2,2.2,3.2,4.6,6,7.4,8.8,10.2,11.6,13,14.4,15.8,17.2,19.1,21,22.8,24.6},{0,10,20,30,40,50,60,62,64,66,68,70,72,74,76,78,80,85,90,95,100})</f>
        <v>64</v>
      </c>
      <c r="G381" s="27">
        <v>220</v>
      </c>
      <c r="H381" s="29">
        <f>LOOKUP(G381,{0,180,185,190,195,200,205,209,213,217,221,225,229,233,237,241,245,253,260,265,270},{0,10,20,30,40,50,60,62,64,66,68,70,72,74,76,78,80,85,90,95,100})</f>
        <v>66</v>
      </c>
      <c r="I381" s="27">
        <v>1</v>
      </c>
      <c r="J381" s="29">
        <f>LOOKUP(I381,{0,4,5,6,7,8,9,10,11,12,13,14,15,16,17,18},{0,10,20,30,40,50,60,64,68,72,76,80,85,90,95,100})</f>
        <v>0</v>
      </c>
      <c r="K381" s="44"/>
      <c r="L381" s="35"/>
      <c r="M381" s="35">
        <f t="shared" si="32"/>
        <v>0</v>
      </c>
      <c r="N381" s="35">
        <v>7.6</v>
      </c>
      <c r="O381" s="36">
        <f t="shared" si="33"/>
        <v>10.4</v>
      </c>
      <c r="P381" s="29">
        <f>LOOKUP(O381,{0,7.8,8,8.2,8.4,8.6,8.8,9,9.2,9.4,9.6,9.8,10,10.2,10.4,10.6,10.8,10.9,11,11.1,11.2},{0,10,20,30,40,50,60,62,64,66,68,70,72,74,76,78,80,85,90,95,100})</f>
        <v>76</v>
      </c>
      <c r="Q381" s="5">
        <v>5.28</v>
      </c>
      <c r="R381" s="36">
        <f t="shared" si="34"/>
        <v>4.72</v>
      </c>
      <c r="S381" s="29">
        <f>LOOKUP(R381,{0,3.85,4.45,4.65,4.85,5.45,5.65,5.7,5.75,5.8,5.85,5.9,5.95,6,6.45,6.5,6.55,6.63,6.7,6.75,6.8},{0,10,20,30,40,50,60,62,64,66,68,70,72,74,76,78,80,85,90,95,100})</f>
        <v>30</v>
      </c>
      <c r="T381" s="27"/>
      <c r="U381" s="27"/>
      <c r="V381" s="27">
        <f t="shared" si="35"/>
        <v>30</v>
      </c>
      <c r="W381" s="27"/>
      <c r="X381" s="19">
        <f t="shared" si="36"/>
        <v>34.2</v>
      </c>
      <c r="Y381" s="13">
        <f t="shared" si="37"/>
        <v>48.8571428571429</v>
      </c>
      <c r="Z381" s="19"/>
    </row>
    <row r="382" ht="15.6" spans="1:26">
      <c r="A382" s="27">
        <v>311</v>
      </c>
      <c r="B382" s="27">
        <v>17</v>
      </c>
      <c r="C382" s="28" t="s">
        <v>531</v>
      </c>
      <c r="D382" s="28" t="s">
        <v>12</v>
      </c>
      <c r="E382" s="27">
        <v>9.5</v>
      </c>
      <c r="F382" s="29">
        <f>LOOKUP(E382,{0,-1.8,-0.8,0.2,1.2,2.2,3.2,4.6,6,7.4,8.8,10.2,11.6,13,14.4,15.8,17.2,19.1,21,22.8,24.6},{0,10,20,30,40,50,60,62,64,66,68,70,72,74,76,78,80,85,90,95,100})</f>
        <v>68</v>
      </c>
      <c r="G382" s="27">
        <v>235</v>
      </c>
      <c r="H382" s="29">
        <f>LOOKUP(G382,{0,180,185,190,195,200,205,209,213,217,221,225,229,233,237,241,245,253,260,265,270},{0,10,20,30,40,50,60,62,64,66,68,70,72,74,76,78,80,85,90,95,100})</f>
        <v>74</v>
      </c>
      <c r="I382" s="27">
        <v>1</v>
      </c>
      <c r="J382" s="29">
        <f>LOOKUP(I382,{0,4,5,6,7,8,9,10,11,12,13,14,15,16,17,18},{0,10,20,30,40,50,60,64,68,72,76,80,85,90,95,100})</f>
        <v>0</v>
      </c>
      <c r="K382" s="44"/>
      <c r="L382" s="35"/>
      <c r="M382" s="35">
        <f t="shared" si="32"/>
        <v>0</v>
      </c>
      <c r="N382" s="35">
        <v>8.2</v>
      </c>
      <c r="O382" s="36">
        <f t="shared" si="33"/>
        <v>9.8</v>
      </c>
      <c r="P382" s="29">
        <f>LOOKUP(O382,{0,7.8,8,8.2,8.4,8.6,8.8,9,9.2,9.4,9.6,9.8,10,10.2,10.4,10.6,10.8,10.9,11,11.1,11.2},{0,10,20,30,40,50,60,62,64,66,68,70,72,74,76,78,80,85,90,95,100})</f>
        <v>70</v>
      </c>
      <c r="Q382" s="5">
        <v>5.28</v>
      </c>
      <c r="R382" s="36">
        <f t="shared" si="34"/>
        <v>4.72</v>
      </c>
      <c r="S382" s="29">
        <f>LOOKUP(R382,{0,3.85,4.45,4.65,4.85,5.45,5.65,5.7,5.75,5.8,5.85,5.9,5.95,6,6.45,6.5,6.55,6.63,6.7,6.75,6.8},{0,10,20,30,40,50,60,62,64,66,68,70,72,74,76,78,80,85,90,95,100})</f>
        <v>30</v>
      </c>
      <c r="T382" s="27"/>
      <c r="U382" s="27"/>
      <c r="V382" s="27">
        <f t="shared" si="35"/>
        <v>30</v>
      </c>
      <c r="W382" s="27"/>
      <c r="X382" s="19">
        <f t="shared" si="36"/>
        <v>34.2</v>
      </c>
      <c r="Y382" s="13">
        <f t="shared" si="37"/>
        <v>48.8571428571429</v>
      </c>
      <c r="Z382" s="19"/>
    </row>
    <row r="383" ht="15.6" spans="1:26">
      <c r="A383" s="27">
        <v>301</v>
      </c>
      <c r="B383" s="27">
        <v>25</v>
      </c>
      <c r="C383" s="27" t="s">
        <v>37</v>
      </c>
      <c r="D383" s="27" t="s">
        <v>12</v>
      </c>
      <c r="E383" s="27">
        <v>12</v>
      </c>
      <c r="F383" s="29">
        <f>LOOKUP(E383,{0,-1.8,-0.8,0.2,1.2,2.2,3.2,4.6,6,7.4,8.8,10.2,11.6,13,14.4,15.8,17.2,19.1,21,22.8,24.6},{0,10,20,30,40,50,60,62,64,66,68,70,72,74,76,78,80,85,90,95,100})</f>
        <v>72</v>
      </c>
      <c r="G383" s="27">
        <v>172</v>
      </c>
      <c r="H383" s="29">
        <f>LOOKUP(G383,{0,180,185,190,195,200,205,209,213,217,221,225,229,233,237,241,245,253,260,265,270},{0,10,20,30,40,50,60,62,64,66,68,70,72,74,76,78,80,85,90,95,100})</f>
        <v>0</v>
      </c>
      <c r="I383" s="27">
        <v>1</v>
      </c>
      <c r="J383" s="29">
        <f>LOOKUP(I383,{0,4,5,6,7,8,9,10,11,12,13,14,15,16,17,18},{0,10,20,30,40,50,60,64,68,72,76,80,85,90,95,100})</f>
        <v>0</v>
      </c>
      <c r="K383" s="44"/>
      <c r="L383" s="35"/>
      <c r="M383" s="35">
        <f t="shared" si="32"/>
        <v>0</v>
      </c>
      <c r="N383" s="35">
        <v>8.5</v>
      </c>
      <c r="O383" s="36">
        <f t="shared" si="33"/>
        <v>9.5</v>
      </c>
      <c r="P383" s="29">
        <f>LOOKUP(O383,{0,7.8,8,8.2,8.4,8.6,8.8,9,9.2,9.4,9.6,9.8,10,10.2,10.4,10.6,10.8,10.9,11,11.1,11.2},{0,10,20,30,40,50,60,62,64,66,68,70,72,74,76,78,80,85,90,95,100})</f>
        <v>66</v>
      </c>
      <c r="Q383" s="5">
        <v>4.11</v>
      </c>
      <c r="R383" s="36">
        <f t="shared" si="34"/>
        <v>5.89</v>
      </c>
      <c r="S383" s="29">
        <f>LOOKUP(R383,{0,3.85,4.45,4.65,4.85,5.45,5.65,5.7,5.75,5.8,5.85,5.9,5.95,6,6.45,6.5,6.55,6.63,6.7,6.75,6.8},{0,10,20,30,40,50,60,62,64,66,68,70,72,74,76,78,80,85,90,95,100})</f>
        <v>68</v>
      </c>
      <c r="T383" s="27"/>
      <c r="U383" s="27"/>
      <c r="V383" s="27">
        <f t="shared" si="35"/>
        <v>68</v>
      </c>
      <c r="W383" s="27"/>
      <c r="X383" s="19">
        <f t="shared" si="36"/>
        <v>34</v>
      </c>
      <c r="Y383" s="13">
        <f t="shared" si="37"/>
        <v>48.5714285714286</v>
      </c>
      <c r="Z383" s="19"/>
    </row>
    <row r="384" ht="15.6" spans="1:26">
      <c r="A384" s="27">
        <v>312</v>
      </c>
      <c r="B384" s="27">
        <v>11</v>
      </c>
      <c r="C384" s="28" t="s">
        <v>584</v>
      </c>
      <c r="D384" s="28" t="s">
        <v>12</v>
      </c>
      <c r="E384" s="27">
        <v>8.7</v>
      </c>
      <c r="F384" s="29">
        <f>LOOKUP(E384,{0,-1.8,-0.8,0.2,1.2,2.2,3.2,4.6,6,7.4,8.8,10.2,11.6,13,14.4,15.8,17.2,19.1,21,22.8,24.6},{0,10,20,30,40,50,60,62,64,66,68,70,72,74,76,78,80,85,90,95,100})</f>
        <v>66</v>
      </c>
      <c r="G384" s="27">
        <v>205</v>
      </c>
      <c r="H384" s="29">
        <f>LOOKUP(G384,{0,180,185,190,195,200,205,209,213,217,221,225,229,233,237,241,245,253,260,265,270},{0,10,20,30,40,50,60,62,64,66,68,70,72,74,76,78,80,85,90,95,100})</f>
        <v>60</v>
      </c>
      <c r="I384" s="27">
        <v>5</v>
      </c>
      <c r="J384" s="29">
        <f>LOOKUP(I384,{0,4,5,6,7,8,9,10,11,12,13,14,15,16,17,18},{0,10,20,30,40,50,60,64,68,72,76,80,85,90,95,100})</f>
        <v>20</v>
      </c>
      <c r="K384" s="44"/>
      <c r="L384" s="35"/>
      <c r="M384" s="35">
        <f t="shared" si="32"/>
        <v>20</v>
      </c>
      <c r="N384" s="35">
        <v>7.5</v>
      </c>
      <c r="O384" s="36">
        <f t="shared" si="33"/>
        <v>10.5</v>
      </c>
      <c r="P384" s="29">
        <f>LOOKUP(O384,{0,7.8,8,8.2,8.4,8.6,8.8,9,9.2,9.4,9.6,9.8,10,10.2,10.4,10.6,10.8,10.9,11,11.1,11.2},{0,10,20,30,40,50,60,62,64,66,68,70,72,74,76,78,80,85,90,95,100})</f>
        <v>76</v>
      </c>
      <c r="Q384" s="5">
        <v>5.42</v>
      </c>
      <c r="R384" s="36">
        <f t="shared" si="34"/>
        <v>4.58</v>
      </c>
      <c r="S384" s="29">
        <f>LOOKUP(R384,{0,3.85,4.45,4.65,4.85,5.45,5.65,5.7,5.75,5.8,5.85,5.9,5.95,6,6.45,6.5,6.55,6.63,6.7,6.75,6.8},{0,10,20,30,40,50,60,62,64,66,68,70,72,74,76,78,80,85,90,95,100})</f>
        <v>20</v>
      </c>
      <c r="T384" s="27"/>
      <c r="U384" s="27"/>
      <c r="V384" s="27">
        <f t="shared" si="35"/>
        <v>20</v>
      </c>
      <c r="W384" s="27"/>
      <c r="X384" s="19">
        <f t="shared" si="36"/>
        <v>33.8</v>
      </c>
      <c r="Y384" s="13">
        <f t="shared" si="37"/>
        <v>48.2857142857143</v>
      </c>
      <c r="Z384" s="19"/>
    </row>
    <row r="385" ht="15.6" spans="1:26">
      <c r="A385" s="27">
        <v>305</v>
      </c>
      <c r="B385" s="27">
        <v>14</v>
      </c>
      <c r="C385" s="28" t="s">
        <v>199</v>
      </c>
      <c r="D385" s="28" t="s">
        <v>12</v>
      </c>
      <c r="E385" s="27">
        <v>9</v>
      </c>
      <c r="F385" s="29">
        <f>LOOKUP(E385,{0,-1.8,-0.8,0.2,1.2,2.2,3.2,4.6,6,7.4,8.8,10.2,11.6,13,14.4,15.8,17.2,19.1,21,22.8,24.6},{0,10,20,30,40,50,60,62,64,66,68,70,72,74,76,78,80,85,90,95,100})</f>
        <v>68</v>
      </c>
      <c r="G385" s="27">
        <v>225</v>
      </c>
      <c r="H385" s="29">
        <f>LOOKUP(G385,{0,180,185,190,195,200,205,209,213,217,221,225,229,233,237,241,245,253,260,265,270},{0,10,20,30,40,50,60,62,64,66,68,70,72,74,76,78,80,85,90,95,100})</f>
        <v>70</v>
      </c>
      <c r="I385" s="27">
        <v>2</v>
      </c>
      <c r="J385" s="29">
        <f>LOOKUP(I385,{0,4,5,6,7,8,9,10,11,12,13,14,15,16,17,18},{0,10,20,30,40,50,60,64,68,72,76,80,85,90,95,100})</f>
        <v>0</v>
      </c>
      <c r="K385" s="44"/>
      <c r="L385" s="35"/>
      <c r="M385" s="35">
        <f t="shared" si="32"/>
        <v>0</v>
      </c>
      <c r="N385" s="35">
        <v>9.1</v>
      </c>
      <c r="O385" s="36">
        <f t="shared" si="33"/>
        <v>8.9</v>
      </c>
      <c r="P385" s="29">
        <f>LOOKUP(O385,{0,7.8,8,8.2,8.4,8.6,8.8,9,9.2,9.4,9.6,9.8,10,10.2,10.4,10.6,10.8,10.9,11,11.1,11.2},{0,10,20,30,40,50,60,62,64,66,68,70,72,74,76,78,80,85,90,95,100})</f>
        <v>60</v>
      </c>
      <c r="Q385" s="5">
        <v>5.01</v>
      </c>
      <c r="R385" s="36">
        <f t="shared" si="34"/>
        <v>4.99</v>
      </c>
      <c r="S385" s="29">
        <f>LOOKUP(R385,{0,3.85,4.45,4.65,4.85,5.45,5.65,5.7,5.75,5.8,5.85,5.9,5.95,6,6.45,6.5,6.55,6.63,6.7,6.75,6.8},{0,10,20,30,40,50,60,62,64,66,68,70,72,74,76,78,80,85,90,95,100})</f>
        <v>40</v>
      </c>
      <c r="T385" s="27"/>
      <c r="U385" s="27"/>
      <c r="V385" s="27">
        <f t="shared" si="35"/>
        <v>40</v>
      </c>
      <c r="W385" s="27"/>
      <c r="X385" s="19">
        <f t="shared" si="36"/>
        <v>33.8</v>
      </c>
      <c r="Y385" s="13">
        <f t="shared" si="37"/>
        <v>48.2857142857143</v>
      </c>
      <c r="Z385" s="19"/>
    </row>
    <row r="386" ht="15.6" spans="1:26">
      <c r="A386" s="27">
        <v>311</v>
      </c>
      <c r="B386" s="27">
        <v>5</v>
      </c>
      <c r="C386" s="28" t="s">
        <v>518</v>
      </c>
      <c r="D386" s="28" t="s">
        <v>12</v>
      </c>
      <c r="E386" s="27">
        <v>-6</v>
      </c>
      <c r="F386" s="29">
        <v>0</v>
      </c>
      <c r="G386" s="27">
        <v>220</v>
      </c>
      <c r="H386" s="29">
        <f>LOOKUP(G386,{0,180,185,190,195,200,205,209,213,217,221,225,229,233,237,241,245,253,260,265,270},{0,10,20,30,40,50,60,62,64,66,68,70,72,74,76,78,80,85,90,95,100})</f>
        <v>66</v>
      </c>
      <c r="I386" s="27">
        <v>0</v>
      </c>
      <c r="J386" s="29">
        <f>LOOKUP(I386,{0,4,5,6,7,8,9,10,11,12,13,14,15,16,17,18},{0,10,20,30,40,50,60,64,68,72,76,80,85,90,95,100})</f>
        <v>0</v>
      </c>
      <c r="K386" s="44"/>
      <c r="L386" s="35"/>
      <c r="M386" s="35">
        <f t="shared" si="32"/>
        <v>0</v>
      </c>
      <c r="N386" s="35">
        <v>7.5</v>
      </c>
      <c r="O386" s="36">
        <f t="shared" si="33"/>
        <v>10.5</v>
      </c>
      <c r="P386" s="29">
        <f>LOOKUP(O386,{0,7.8,8,8.2,8.4,8.6,8.8,9,9.2,9.4,9.6,9.8,10,10.2,10.4,10.6,10.8,10.9,11,11.1,11.2},{0,10,20,30,40,50,60,62,64,66,68,70,72,74,76,78,80,85,90,95,100})</f>
        <v>76</v>
      </c>
      <c r="Q386" s="5">
        <v>4.33</v>
      </c>
      <c r="R386" s="36">
        <f t="shared" si="34"/>
        <v>5.67</v>
      </c>
      <c r="S386" s="29">
        <f>LOOKUP(R386,{0,3.85,4.45,4.65,4.85,5.45,5.65,5.7,5.75,5.8,5.85,5.9,5.95,6,6.45,6.5,6.55,6.63,6.7,6.75,6.8},{0,10,20,30,40,50,60,62,64,66,68,70,72,74,76,78,80,85,90,95,100})</f>
        <v>60</v>
      </c>
      <c r="T386" s="27"/>
      <c r="U386" s="27"/>
      <c r="V386" s="27">
        <f t="shared" si="35"/>
        <v>60</v>
      </c>
      <c r="W386" s="27"/>
      <c r="X386" s="19">
        <f t="shared" si="36"/>
        <v>33.8</v>
      </c>
      <c r="Y386" s="13">
        <f t="shared" si="37"/>
        <v>48.2857142857143</v>
      </c>
      <c r="Z386" s="20"/>
    </row>
    <row r="387" ht="15.6" spans="1:26">
      <c r="A387" s="27">
        <v>311</v>
      </c>
      <c r="B387" s="27">
        <v>25</v>
      </c>
      <c r="C387" s="30" t="s">
        <v>540</v>
      </c>
      <c r="D387" s="28" t="s">
        <v>12</v>
      </c>
      <c r="E387" s="27">
        <v>9.5</v>
      </c>
      <c r="F387" s="29">
        <f>LOOKUP(E387,{0,-1.8,-0.8,0.2,1.2,2.2,3.2,4.6,6,7.4,8.8,10.2,11.6,13,14.4,15.8,17.2,19.1,21,22.8,24.6},{0,10,20,30,40,50,60,62,64,66,68,70,72,74,76,78,80,85,90,95,100})</f>
        <v>68</v>
      </c>
      <c r="G387" s="27">
        <v>210</v>
      </c>
      <c r="H387" s="29">
        <f>LOOKUP(G387,{0,180,185,190,195,200,205,209,213,217,221,225,229,233,237,241,245,253,260,265,270},{0,10,20,30,40,50,60,62,64,66,68,70,72,74,76,78,80,85,90,95,100})</f>
        <v>62</v>
      </c>
      <c r="I387" s="27">
        <v>1</v>
      </c>
      <c r="J387" s="29">
        <f>LOOKUP(I387,{0,4,5,6,7,8,9,10,11,12,13,14,15,16,17,18},{0,10,20,30,40,50,60,64,68,72,76,80,85,90,95,100})</f>
        <v>0</v>
      </c>
      <c r="K387" s="44"/>
      <c r="L387" s="35"/>
      <c r="M387" s="35">
        <f t="shared" si="32"/>
        <v>0</v>
      </c>
      <c r="N387" s="35">
        <v>7.8</v>
      </c>
      <c r="O387" s="36">
        <f t="shared" si="33"/>
        <v>10.2</v>
      </c>
      <c r="P387" s="29">
        <f>LOOKUP(O387,{0,7.8,8,8.2,8.4,8.6,8.8,9,9.2,9.4,9.6,9.8,10,10.2,10.4,10.6,10.8,10.9,11,11.1,11.2},{0,10,20,30,40,50,60,62,64,66,68,70,72,74,76,78,80,85,90,95,100})</f>
        <v>74</v>
      </c>
      <c r="Q387" s="5">
        <v>5.27</v>
      </c>
      <c r="R387" s="36">
        <f t="shared" si="34"/>
        <v>4.73</v>
      </c>
      <c r="S387" s="29">
        <f>LOOKUP(R387,{0,3.85,4.45,4.65,4.85,5.45,5.65,5.7,5.75,5.8,5.85,5.9,5.95,6,6.45,6.5,6.55,6.63,6.7,6.75,6.8},{0,10,20,30,40,50,60,62,64,66,68,70,72,74,76,78,80,85,90,95,100})</f>
        <v>30</v>
      </c>
      <c r="T387" s="27"/>
      <c r="U387" s="27"/>
      <c r="V387" s="27">
        <f t="shared" si="35"/>
        <v>30</v>
      </c>
      <c r="W387" s="27"/>
      <c r="X387" s="19">
        <f t="shared" si="36"/>
        <v>33.8</v>
      </c>
      <c r="Y387" s="13">
        <f t="shared" si="37"/>
        <v>48.2857142857143</v>
      </c>
      <c r="Z387" s="19"/>
    </row>
    <row r="388" ht="15.6" spans="1:26">
      <c r="A388" s="27">
        <v>306</v>
      </c>
      <c r="B388" s="27">
        <v>2</v>
      </c>
      <c r="C388" s="28" t="s">
        <v>243</v>
      </c>
      <c r="D388" s="28" t="s">
        <v>12</v>
      </c>
      <c r="E388" s="27">
        <v>-1</v>
      </c>
      <c r="F388" s="29">
        <f>LOOKUP(E388,{0,-1.8,-0.8,0.2,1.2,2.2,3.2,4.6,6,7.4,8.8,10.2,11.6,13,14.4,15.8,17.2,19.1,21,22.8,24.6},{0,10,20,30,40,50,60,62,64,66,68,70,72,74,76,78,80,85,90,95,100})</f>
        <v>10</v>
      </c>
      <c r="G388" s="27">
        <v>225</v>
      </c>
      <c r="H388" s="29">
        <f>LOOKUP(G388,{0,180,185,190,195,200,205,209,213,217,221,225,229,233,237,241,245,253,260,265,270},{0,10,20,30,40,50,60,62,64,66,68,70,72,74,76,78,80,85,90,95,100})</f>
        <v>70</v>
      </c>
      <c r="I388" s="27">
        <v>0</v>
      </c>
      <c r="J388" s="29">
        <f>LOOKUP(I388,{0,4,5,6,7,8,9,10,11,12,13,14,15,16,17,18},{0,10,20,30,40,50,60,64,68,72,76,80,85,90,95,100})</f>
        <v>0</v>
      </c>
      <c r="K388" s="44"/>
      <c r="L388" s="35"/>
      <c r="M388" s="35">
        <f t="shared" si="32"/>
        <v>0</v>
      </c>
      <c r="N388" s="35">
        <v>7.3</v>
      </c>
      <c r="O388" s="36">
        <f t="shared" si="33"/>
        <v>10.7</v>
      </c>
      <c r="P388" s="29">
        <f>LOOKUP(O388,{0,7.8,8,8.2,8.4,8.6,8.8,9,9.2,9.4,9.6,9.8,10,10.2,10.4,10.6,10.8,10.9,11,11.1,11.2},{0,10,20,30,40,50,60,62,64,66,68,70,72,74,76,78,80,85,90,95,100})</f>
        <v>78</v>
      </c>
      <c r="Q388" s="5">
        <v>4.41</v>
      </c>
      <c r="R388" s="36">
        <f t="shared" si="34"/>
        <v>5.59</v>
      </c>
      <c r="S388" s="29">
        <f>LOOKUP(R388,{0,3.85,4.45,4.65,4.85,5.45,5.65,5.7,5.75,5.8,5.85,5.9,5.95,6,6.45,6.5,6.55,6.63,6.7,6.75,6.8},{0,10,20,30,40,50,60,62,64,66,68,70,72,74,76,78,80,85,90,95,100})</f>
        <v>50</v>
      </c>
      <c r="T388" s="27"/>
      <c r="U388" s="27"/>
      <c r="V388" s="27">
        <f t="shared" si="35"/>
        <v>50</v>
      </c>
      <c r="W388" s="27"/>
      <c r="X388" s="19">
        <f t="shared" si="36"/>
        <v>33.6</v>
      </c>
      <c r="Y388" s="13">
        <f t="shared" si="37"/>
        <v>48</v>
      </c>
      <c r="Z388" s="19"/>
    </row>
    <row r="389" ht="15.6" spans="1:26">
      <c r="A389" s="27">
        <v>308</v>
      </c>
      <c r="B389" s="27">
        <v>7</v>
      </c>
      <c r="C389" s="28" t="s">
        <v>358</v>
      </c>
      <c r="D389" s="28" t="s">
        <v>12</v>
      </c>
      <c r="E389" s="27">
        <v>5.8</v>
      </c>
      <c r="F389" s="29">
        <f>LOOKUP(E389,{0,-1.8,-0.8,0.2,1.2,2.2,3.2,4.6,6,7.4,8.8,10.2,11.6,13,14.4,15.8,17.2,19.1,21,22.8,24.6},{0,10,20,30,40,50,60,62,64,66,68,70,72,74,76,78,80,85,90,95,100})</f>
        <v>62</v>
      </c>
      <c r="G389" s="27">
        <v>193</v>
      </c>
      <c r="H389" s="29">
        <f>LOOKUP(G389,{0,180,185,190,195,200,205,209,213,217,221,225,229,233,237,241,245,253,260,265,270},{0,10,20,30,40,50,60,62,64,66,68,70,72,74,76,78,80,85,90,95,100})</f>
        <v>30</v>
      </c>
      <c r="I389" s="27">
        <v>1</v>
      </c>
      <c r="J389" s="29">
        <f>LOOKUP(I389,{0,4,5,6,7,8,9,10,11,12,13,14,15,16,17,18},{0,10,20,30,40,50,60,64,68,72,76,80,85,90,95,100})</f>
        <v>0</v>
      </c>
      <c r="K389" s="44"/>
      <c r="L389" s="35"/>
      <c r="M389" s="35">
        <f t="shared" si="32"/>
        <v>0</v>
      </c>
      <c r="N389" s="35">
        <v>7.9</v>
      </c>
      <c r="O389" s="36">
        <f t="shared" si="33"/>
        <v>10.1</v>
      </c>
      <c r="P389" s="29">
        <f>LOOKUP(O389,{0,7.8,8,8.2,8.4,8.6,8.8,9,9.2,9.4,9.6,9.8,10,10.2,10.4,10.6,10.8,10.9,11,11.1,11.2},{0,10,20,30,40,50,60,62,64,66,68,70,72,74,76,78,80,85,90,95,100})</f>
        <v>72</v>
      </c>
      <c r="Q389" s="5">
        <v>4.49</v>
      </c>
      <c r="R389" s="36">
        <f t="shared" si="34"/>
        <v>5.51</v>
      </c>
      <c r="S389" s="29">
        <f>LOOKUP(R389,{0,3.85,4.45,4.65,4.85,5.45,5.65,5.7,5.75,5.8,5.85,5.9,5.95,6,6.45,6.5,6.55,6.63,6.7,6.75,6.8},{0,10,20,30,40,50,60,62,64,66,68,70,72,74,76,78,80,85,90,95,100})</f>
        <v>50</v>
      </c>
      <c r="T389" s="27"/>
      <c r="U389" s="27"/>
      <c r="V389" s="27">
        <f t="shared" si="35"/>
        <v>50</v>
      </c>
      <c r="W389" s="27"/>
      <c r="X389" s="19">
        <f t="shared" si="36"/>
        <v>33.6</v>
      </c>
      <c r="Y389" s="13">
        <f t="shared" si="37"/>
        <v>48</v>
      </c>
      <c r="Z389" s="19"/>
    </row>
    <row r="390" ht="15.6" spans="1:26">
      <c r="A390" s="27">
        <v>301</v>
      </c>
      <c r="B390" s="27">
        <v>9</v>
      </c>
      <c r="C390" s="27" t="s">
        <v>19</v>
      </c>
      <c r="D390" s="27" t="s">
        <v>12</v>
      </c>
      <c r="E390" s="27">
        <v>6.5</v>
      </c>
      <c r="F390" s="29">
        <f>LOOKUP(E390,{0,-1.8,-0.8,0.2,1.2,2.2,3.2,4.6,6,7.4,8.8,10.2,11.6,13,14.4,15.8,17.2,19.1,21,22.8,24.6},{0,10,20,30,40,50,60,62,64,66,68,70,72,74,76,78,80,85,90,95,100})</f>
        <v>64</v>
      </c>
      <c r="G390" s="27">
        <v>210</v>
      </c>
      <c r="H390" s="29">
        <f>LOOKUP(G390,{0,180,185,190,195,200,205,209,213,217,221,225,229,233,237,241,245,253,260,265,270},{0,10,20,30,40,50,60,62,64,66,68,70,72,74,76,78,80,85,90,95,100})</f>
        <v>62</v>
      </c>
      <c r="I390" s="27">
        <v>1</v>
      </c>
      <c r="J390" s="29">
        <f>LOOKUP(I390,{0,4,5,6,7,8,9,10,11,12,13,14,15,16,17,18},{0,10,20,30,40,50,60,64,68,72,76,80,85,90,95,100})</f>
        <v>0</v>
      </c>
      <c r="K390" s="44"/>
      <c r="L390" s="39"/>
      <c r="M390" s="35">
        <f t="shared" si="32"/>
        <v>0</v>
      </c>
      <c r="N390" s="35">
        <v>7.8</v>
      </c>
      <c r="O390" s="36">
        <f t="shared" si="33"/>
        <v>10.2</v>
      </c>
      <c r="P390" s="29">
        <f>LOOKUP(O390,{0,7.8,8,8.2,8.4,8.6,8.8,9,9.2,9.4,9.6,9.8,10,10.2,10.4,10.6,10.8,10.9,11,11.1,11.2},{0,10,20,30,40,50,60,62,64,66,68,70,72,74,76,78,80,85,90,95,100})</f>
        <v>74</v>
      </c>
      <c r="Q390" s="5">
        <v>5.27</v>
      </c>
      <c r="R390" s="36">
        <f t="shared" si="34"/>
        <v>4.73</v>
      </c>
      <c r="S390" s="29">
        <f>LOOKUP(R390,{0,3.85,4.45,4.65,4.85,5.45,5.65,5.7,5.75,5.8,5.85,5.9,5.95,6,6.45,6.5,6.55,6.63,6.7,6.75,6.8},{0,10,20,30,40,50,60,62,64,66,68,70,72,74,76,78,80,85,90,95,100})</f>
        <v>30</v>
      </c>
      <c r="T390" s="27"/>
      <c r="U390" s="27"/>
      <c r="V390" s="27">
        <f t="shared" si="35"/>
        <v>30</v>
      </c>
      <c r="W390" s="27"/>
      <c r="X390" s="19">
        <f t="shared" si="36"/>
        <v>33.4</v>
      </c>
      <c r="Y390" s="13">
        <f t="shared" si="37"/>
        <v>47.7142857142857</v>
      </c>
      <c r="Z390" s="19"/>
    </row>
    <row r="391" ht="15.6" spans="1:26">
      <c r="A391" s="27">
        <v>311</v>
      </c>
      <c r="B391" s="27">
        <v>10</v>
      </c>
      <c r="C391" s="28" t="s">
        <v>523</v>
      </c>
      <c r="D391" s="28" t="s">
        <v>12</v>
      </c>
      <c r="E391" s="27">
        <v>2</v>
      </c>
      <c r="F391" s="29">
        <f>LOOKUP(E391,{0,-1.8,-0.8,0.2,1.2,2.2,3.2,4.6,6,7.4,8.8,10.2,11.6,13,14.4,15.8,17.2,19.1,21,22.8,24.6},{0,10,20,30,40,50,60,62,64,66,68,70,72,74,76,78,80,85,90,95,100})</f>
        <v>40</v>
      </c>
      <c r="G391" s="27">
        <v>202</v>
      </c>
      <c r="H391" s="29">
        <f>LOOKUP(G391,{0,180,185,190,195,200,205,209,213,217,221,225,229,233,237,241,245,253,260,265,270},{0,10,20,30,40,50,60,62,64,66,68,70,72,74,76,78,80,85,90,95,100})</f>
        <v>50</v>
      </c>
      <c r="I391" s="27">
        <v>1</v>
      </c>
      <c r="J391" s="29">
        <f>LOOKUP(I391,{0,4,5,6,7,8,9,10,11,12,13,14,15,16,17,18},{0,10,20,30,40,50,60,64,68,72,76,80,85,90,95,100})</f>
        <v>0</v>
      </c>
      <c r="K391" s="44"/>
      <c r="L391" s="35"/>
      <c r="M391" s="35">
        <f t="shared" si="32"/>
        <v>0</v>
      </c>
      <c r="N391" s="35">
        <v>7.9</v>
      </c>
      <c r="O391" s="36">
        <f t="shared" si="33"/>
        <v>10.1</v>
      </c>
      <c r="P391" s="29">
        <f>LOOKUP(O391,{0,7.8,8,8.2,8.4,8.6,8.8,9,9.2,9.4,9.6,9.8,10,10.2,10.4,10.6,10.8,10.9,11,11.1,11.2},{0,10,20,30,40,50,60,62,64,66,68,70,72,74,76,78,80,85,90,95,100})</f>
        <v>72</v>
      </c>
      <c r="Q391" s="5">
        <v>4.46</v>
      </c>
      <c r="R391" s="36">
        <f t="shared" si="34"/>
        <v>5.54</v>
      </c>
      <c r="S391" s="29">
        <f>LOOKUP(R391,{0,3.85,4.45,4.65,4.85,5.45,5.65,5.7,5.75,5.8,5.85,5.9,5.95,6,6.45,6.5,6.55,6.63,6.7,6.75,6.8},{0,10,20,30,40,50,60,62,64,66,68,70,72,74,76,78,80,85,90,95,100})</f>
        <v>50</v>
      </c>
      <c r="T391" s="27"/>
      <c r="U391" s="27"/>
      <c r="V391" s="27">
        <f t="shared" si="35"/>
        <v>50</v>
      </c>
      <c r="W391" s="27"/>
      <c r="X391" s="19">
        <f t="shared" si="36"/>
        <v>33.4</v>
      </c>
      <c r="Y391" s="13">
        <f t="shared" si="37"/>
        <v>47.7142857142857</v>
      </c>
      <c r="Z391" s="19"/>
    </row>
    <row r="392" ht="15.6" spans="1:26">
      <c r="A392" s="27">
        <v>310</v>
      </c>
      <c r="B392" s="27">
        <v>36</v>
      </c>
      <c r="C392" s="28" t="s">
        <v>496</v>
      </c>
      <c r="D392" s="28" t="s">
        <v>12</v>
      </c>
      <c r="E392" s="27">
        <v>11.2</v>
      </c>
      <c r="F392" s="29">
        <f>LOOKUP(E392,{0,-1.8,-0.8,0.2,1.2,2.2,3.2,4.6,6,7.4,8.8,10.2,11.6,13,14.4,15.8,17.2,19.1,21,22.8,24.6},{0,10,20,30,40,50,60,62,64,66,68,70,72,74,76,78,80,85,90,95,100})</f>
        <v>70</v>
      </c>
      <c r="G392" s="27">
        <v>215</v>
      </c>
      <c r="H392" s="29">
        <f>LOOKUP(G392,{0,180,185,190,195,200,205,209,213,217,221,225,229,233,237,241,245,253,260,265,270},{0,10,20,30,40,50,60,62,64,66,68,70,72,74,76,78,80,85,90,95,100})</f>
        <v>64</v>
      </c>
      <c r="I392" s="27">
        <v>6</v>
      </c>
      <c r="J392" s="29">
        <f>LOOKUP(I392,{0,4,5,6,7,8,9,10,11,12,13,14,15,16,17,18},{0,10,20,30,40,50,60,64,68,72,76,80,85,90,95,100})</f>
        <v>30</v>
      </c>
      <c r="K392" s="44"/>
      <c r="L392" s="35"/>
      <c r="M392" s="35">
        <f t="shared" si="32"/>
        <v>30</v>
      </c>
      <c r="N392" s="35">
        <v>7.7</v>
      </c>
      <c r="O392" s="36">
        <f t="shared" si="33"/>
        <v>10.3</v>
      </c>
      <c r="P392" s="29">
        <f>LOOKUP(O392,{0,7.8,8,8.2,8.4,8.6,8.8,9,9.2,9.4,9.6,9.8,10,10.2,10.4,10.6,10.8,10.9,11,11.1,11.2},{0,10,20,30,40,50,60,62,64,66,68,70,72,74,76,78,80,85,90,95,100})</f>
        <v>74</v>
      </c>
      <c r="Q392" s="5">
        <v>5.58</v>
      </c>
      <c r="R392" s="36">
        <f t="shared" si="34"/>
        <v>4.42</v>
      </c>
      <c r="S392" s="29">
        <f>LOOKUP(R392,{0,3.85,4.45,4.65,4.85,5.45,5.65,5.7,5.75,5.8,5.85,5.9,5.95,6,6.45,6.5,6.55,6.63,6.7,6.75,6.8},{0,10,20,30,40,50,60,62,64,66,68,70,72,74,76,78,80,85,90,95,100})</f>
        <v>10</v>
      </c>
      <c r="T392" s="27"/>
      <c r="U392" s="27"/>
      <c r="V392" s="27">
        <f t="shared" si="35"/>
        <v>10</v>
      </c>
      <c r="W392" s="27"/>
      <c r="X392" s="19">
        <f t="shared" si="36"/>
        <v>33.2</v>
      </c>
      <c r="Y392" s="13">
        <f t="shared" si="37"/>
        <v>47.4285714285714</v>
      </c>
      <c r="Z392" s="19"/>
    </row>
    <row r="393" ht="15.6" spans="1:26">
      <c r="A393" s="27">
        <v>312</v>
      </c>
      <c r="B393" s="27">
        <v>17</v>
      </c>
      <c r="C393" s="28" t="s">
        <v>591</v>
      </c>
      <c r="D393" s="28" t="s">
        <v>12</v>
      </c>
      <c r="E393" s="27">
        <v>3</v>
      </c>
      <c r="F393" s="29">
        <f>LOOKUP(E393,{0,-1.8,-0.8,0.2,1.2,2.2,3.2,4.6,6,7.4,8.8,10.2,11.6,13,14.4,15.8,17.2,19.1,21,22.8,24.6},{0,10,20,30,40,50,60,62,64,66,68,70,72,74,76,78,80,85,90,95,100})</f>
        <v>50</v>
      </c>
      <c r="G393" s="27">
        <v>190</v>
      </c>
      <c r="H393" s="29">
        <f>LOOKUP(G393,{0,180,185,190,195,200,205,209,213,217,221,225,229,233,237,241,245,253,260,265,270},{0,10,20,30,40,50,60,62,64,66,68,70,72,74,76,78,80,85,90,95,100})</f>
        <v>30</v>
      </c>
      <c r="I393" s="27">
        <v>10</v>
      </c>
      <c r="J393" s="29">
        <f>LOOKUP(I393,{0,4,5,6,7,8,9,10,11,12,13,14,15,16,17,18},{0,10,20,30,40,50,60,64,68,72,76,80,85,90,95,100})</f>
        <v>64</v>
      </c>
      <c r="K393" s="44"/>
      <c r="L393" s="35"/>
      <c r="M393" s="35">
        <f t="shared" si="32"/>
        <v>64</v>
      </c>
      <c r="N393" s="35">
        <v>7.8</v>
      </c>
      <c r="O393" s="36">
        <f t="shared" si="33"/>
        <v>10.2</v>
      </c>
      <c r="P393" s="29">
        <f>LOOKUP(O393,{0,7.8,8,8.2,8.4,8.6,8.8,9,9.2,9.4,9.6,9.8,10,10.2,10.4,10.6,10.8,10.9,11,11.1,11.2},{0,10,20,30,40,50,60,62,64,66,68,70,72,74,76,78,80,85,90,95,100})</f>
        <v>74</v>
      </c>
      <c r="Q393" s="5">
        <v>5.5</v>
      </c>
      <c r="R393" s="36">
        <f t="shared" si="34"/>
        <v>4.5</v>
      </c>
      <c r="S393" s="29">
        <f>LOOKUP(R393,{0,3.85,4.45,4.65,4.85,5.45,5.65,5.7,5.75,5.8,5.85,5.9,5.95,6,6.45,6.5,6.55,6.63,6.7,6.75,6.8},{0,10,20,30,40,50,60,62,64,66,68,70,72,74,76,78,80,85,90,95,100})</f>
        <v>20</v>
      </c>
      <c r="T393" s="27"/>
      <c r="U393" s="27"/>
      <c r="V393" s="27">
        <f t="shared" si="35"/>
        <v>20</v>
      </c>
      <c r="W393" s="27"/>
      <c r="X393" s="19">
        <f t="shared" si="36"/>
        <v>33.2</v>
      </c>
      <c r="Y393" s="13">
        <f t="shared" si="37"/>
        <v>47.4285714285714</v>
      </c>
      <c r="Z393" s="19"/>
    </row>
    <row r="394" ht="15.6" spans="1:26">
      <c r="A394" s="27">
        <v>308</v>
      </c>
      <c r="B394" s="27">
        <v>1</v>
      </c>
      <c r="C394" s="30" t="s">
        <v>352</v>
      </c>
      <c r="D394" s="28" t="s">
        <v>12</v>
      </c>
      <c r="E394" s="27">
        <v>21.5</v>
      </c>
      <c r="F394" s="29">
        <f>LOOKUP(E394,{0,-1.8,-0.8,0.2,1.2,2.2,3.2,4.6,6,7.4,8.8,10.2,11.6,13,14.4,15.8,17.2,19.1,21,22.8,24.6},{0,10,20,30,40,50,60,62,64,66,68,70,72,74,76,78,80,85,90,95,100})</f>
        <v>90</v>
      </c>
      <c r="G394" s="27">
        <v>215</v>
      </c>
      <c r="H394" s="29">
        <f>LOOKUP(G394,{0,180,185,190,195,200,205,209,213,217,221,225,229,233,237,241,245,253,260,265,270},{0,10,20,30,40,50,60,62,64,66,68,70,72,74,76,78,80,85,90,95,100})</f>
        <v>64</v>
      </c>
      <c r="I394" s="27">
        <v>0</v>
      </c>
      <c r="J394" s="29">
        <f>LOOKUP(I394,{0,4,5,6,7,8,9,10,11,12,13,14,15,16,17,18},{0,10,20,30,40,50,60,64,68,72,76,80,85,90,95,100})</f>
        <v>0</v>
      </c>
      <c r="K394" s="44"/>
      <c r="L394" s="35"/>
      <c r="M394" s="35">
        <f t="shared" si="32"/>
        <v>0</v>
      </c>
      <c r="N394" s="35">
        <v>7.3</v>
      </c>
      <c r="O394" s="36">
        <f t="shared" si="33"/>
        <v>10.7</v>
      </c>
      <c r="P394" s="29">
        <f>LOOKUP(O394,{0,7.8,8,8.2,8.4,8.6,8.8,9,9.2,9.4,9.6,9.8,10,10.2,10.4,10.6,10.8,10.9,11,11.1,11.2},{0,10,20,30,40,50,60,62,64,66,68,70,72,74,76,78,80,85,90,95,100})</f>
        <v>78</v>
      </c>
      <c r="Q394" s="5">
        <v>6</v>
      </c>
      <c r="R394" s="36">
        <f t="shared" si="34"/>
        <v>4</v>
      </c>
      <c r="S394" s="29">
        <f>LOOKUP(R394,{0,3.85,4.45,4.65,4.85,5.45,5.65,5.7,5.75,5.8,5.85,5.9,5.95,6,6.45,6.5,6.55,6.63,6.7,6.75,6.8},{0,10,20,30,40,50,60,62,64,66,68,70,72,74,76,78,80,85,90,95,100})</f>
        <v>10</v>
      </c>
      <c r="T394" s="27"/>
      <c r="U394" s="27"/>
      <c r="V394" s="27">
        <f t="shared" si="35"/>
        <v>10</v>
      </c>
      <c r="W394" s="27"/>
      <c r="X394" s="19">
        <f t="shared" si="36"/>
        <v>33</v>
      </c>
      <c r="Y394" s="13">
        <f t="shared" si="37"/>
        <v>47.1428571428571</v>
      </c>
      <c r="Z394" s="19"/>
    </row>
    <row r="395" ht="15.6" spans="1:26">
      <c r="A395" s="27">
        <v>311</v>
      </c>
      <c r="B395" s="27">
        <v>36</v>
      </c>
      <c r="C395" s="28" t="s">
        <v>551</v>
      </c>
      <c r="D395" s="28" t="s">
        <v>12</v>
      </c>
      <c r="E395" s="27">
        <v>15.5</v>
      </c>
      <c r="F395" s="29">
        <f>LOOKUP(E395,{0,-1.8,-0.8,0.2,1.2,2.2,3.2,4.6,6,7.4,8.8,10.2,11.6,13,14.4,15.8,17.2,19.1,21,22.8,24.6},{0,10,20,30,40,50,60,62,64,66,68,70,72,74,76,78,80,85,90,95,100})</f>
        <v>76</v>
      </c>
      <c r="G395" s="27">
        <v>210</v>
      </c>
      <c r="H395" s="29">
        <f>LOOKUP(G395,{0,180,185,190,195,200,205,209,213,217,221,225,229,233,237,241,245,253,260,265,270},{0,10,20,30,40,50,60,62,64,66,68,70,72,74,76,78,80,85,90,95,100})</f>
        <v>62</v>
      </c>
      <c r="I395" s="27">
        <v>3</v>
      </c>
      <c r="J395" s="29">
        <f>LOOKUP(I395,{0,4,5,6,7,8,9,10,11,12,13,14,15,16,17,18},{0,10,20,30,40,50,60,64,68,72,76,80,85,90,95,100})</f>
        <v>0</v>
      </c>
      <c r="K395" s="44"/>
      <c r="L395" s="35"/>
      <c r="M395" s="35">
        <f t="shared" si="32"/>
        <v>0</v>
      </c>
      <c r="N395" s="35">
        <v>8.6</v>
      </c>
      <c r="O395" s="36">
        <f t="shared" si="33"/>
        <v>9.4</v>
      </c>
      <c r="P395" s="29">
        <f>LOOKUP(O395,{0,7.8,8,8.2,8.4,8.6,8.8,9,9.2,9.4,9.6,9.8,10,10.2,10.4,10.6,10.8,10.9,11,11.1,11.2},{0,10,20,30,40,50,60,62,64,66,68,70,72,74,76,78,80,85,90,95,100})</f>
        <v>66</v>
      </c>
      <c r="Q395" s="5">
        <v>5.18</v>
      </c>
      <c r="R395" s="36">
        <f t="shared" si="34"/>
        <v>4.82</v>
      </c>
      <c r="S395" s="29">
        <f>LOOKUP(R395,{0,3.85,4.45,4.65,4.85,5.45,5.65,5.7,5.75,5.8,5.85,5.9,5.95,6,6.45,6.5,6.55,6.63,6.7,6.75,6.8},{0,10,20,30,40,50,60,62,64,66,68,70,72,74,76,78,80,85,90,95,100})</f>
        <v>30</v>
      </c>
      <c r="T395" s="27"/>
      <c r="U395" s="27"/>
      <c r="V395" s="27">
        <f t="shared" si="35"/>
        <v>30</v>
      </c>
      <c r="W395" s="27"/>
      <c r="X395" s="19">
        <f t="shared" si="36"/>
        <v>33</v>
      </c>
      <c r="Y395" s="13">
        <f t="shared" si="37"/>
        <v>47.1428571428571</v>
      </c>
      <c r="Z395" s="19"/>
    </row>
    <row r="396" ht="15.6" spans="1:26">
      <c r="A396" s="27">
        <v>309</v>
      </c>
      <c r="B396" s="27">
        <v>20</v>
      </c>
      <c r="C396" s="28" t="s">
        <v>425</v>
      </c>
      <c r="D396" s="28" t="s">
        <v>12</v>
      </c>
      <c r="E396" s="27">
        <v>7</v>
      </c>
      <c r="F396" s="29">
        <f>LOOKUP(E396,{0,-1.8,-0.8,0.2,1.2,2.2,3.2,4.6,6,7.4,8.8,10.2,11.6,13,14.4,15.8,17.2,19.1,21,22.8,24.6},{0,10,20,30,40,50,60,62,64,66,68,70,72,74,76,78,80,85,90,95,100})</f>
        <v>64</v>
      </c>
      <c r="G396" s="27">
        <v>215</v>
      </c>
      <c r="H396" s="29">
        <f>LOOKUP(G396,{0,180,185,190,195,200,205,209,213,217,221,225,229,233,237,241,245,253,260,265,270},{0,10,20,30,40,50,60,62,64,66,68,70,72,74,76,78,80,85,90,95,100})</f>
        <v>64</v>
      </c>
      <c r="I396" s="27">
        <v>1</v>
      </c>
      <c r="J396" s="29">
        <f>LOOKUP(I396,{0,4,5,6,7,8,9,10,11,12,13,14,15,16,17,18},{0,10,20,30,40,50,60,64,68,72,76,80,85,90,95,100})</f>
        <v>0</v>
      </c>
      <c r="K396" s="44"/>
      <c r="L396" s="35"/>
      <c r="M396" s="35">
        <f t="shared" si="32"/>
        <v>0</v>
      </c>
      <c r="N396" s="35">
        <v>8.2</v>
      </c>
      <c r="O396" s="36">
        <f t="shared" si="33"/>
        <v>9.8</v>
      </c>
      <c r="P396" s="29">
        <f>LOOKUP(O396,{0,7.8,8,8.2,8.4,8.6,8.8,9,9.2,9.4,9.6,9.8,10,10.2,10.4,10.6,10.8,10.9,11,11.1,11.2},{0,10,20,30,40,50,60,62,64,66,68,70,72,74,76,78,80,85,90,95,100})</f>
        <v>70</v>
      </c>
      <c r="Q396" s="5">
        <v>5.24</v>
      </c>
      <c r="R396" s="36">
        <f t="shared" si="34"/>
        <v>4.76</v>
      </c>
      <c r="S396" s="29">
        <f>LOOKUP(R396,{0,3.85,4.45,4.65,4.85,5.45,5.65,5.7,5.75,5.8,5.85,5.9,5.95,6,6.45,6.5,6.55,6.63,6.7,6.75,6.8},{0,10,20,30,40,50,60,62,64,66,68,70,72,74,76,78,80,85,90,95,100})</f>
        <v>30</v>
      </c>
      <c r="T396" s="27"/>
      <c r="U396" s="27"/>
      <c r="V396" s="27">
        <f t="shared" si="35"/>
        <v>30</v>
      </c>
      <c r="W396" s="27"/>
      <c r="X396" s="19">
        <f t="shared" si="36"/>
        <v>32.8</v>
      </c>
      <c r="Y396" s="13">
        <f t="shared" si="37"/>
        <v>46.8571428571429</v>
      </c>
      <c r="Z396" s="19"/>
    </row>
    <row r="397" ht="15.6" spans="1:26">
      <c r="A397" s="27">
        <v>303</v>
      </c>
      <c r="B397" s="27">
        <v>1</v>
      </c>
      <c r="C397" s="31" t="s">
        <v>103</v>
      </c>
      <c r="D397" s="27" t="s">
        <v>12</v>
      </c>
      <c r="E397" s="27">
        <v>-19</v>
      </c>
      <c r="F397" s="29">
        <v>0</v>
      </c>
      <c r="G397" s="27">
        <v>201</v>
      </c>
      <c r="H397" s="29">
        <f>LOOKUP(G397,{0,180,185,190,195,200,205,209,213,217,221,225,229,233,237,241,245,253,260,265,270},{0,10,20,30,40,50,60,62,64,66,68,70,72,74,76,78,80,85,90,95,100})</f>
        <v>50</v>
      </c>
      <c r="I397" s="27">
        <v>1</v>
      </c>
      <c r="J397" s="29">
        <f>LOOKUP(I397,{0,4,5,6,7,8,9,10,11,12,13,14,15,16,17,18},{0,10,20,30,40,50,60,64,68,72,76,80,85,90,95,100})</f>
        <v>0</v>
      </c>
      <c r="K397" s="44"/>
      <c r="L397" s="35"/>
      <c r="M397" s="35">
        <f t="shared" si="32"/>
        <v>0</v>
      </c>
      <c r="N397" s="35">
        <v>7.5</v>
      </c>
      <c r="O397" s="36">
        <f t="shared" si="33"/>
        <v>10.5</v>
      </c>
      <c r="P397" s="29">
        <f>LOOKUP(O397,{0,7.8,8,8.2,8.4,8.6,8.8,9,9.2,9.4,9.6,9.8,10,10.2,10.4,10.6,10.8,10.9,11,11.1,11.2},{0,10,20,30,40,50,60,62,64,66,68,70,72,74,76,78,80,85,90,95,100})</f>
        <v>76</v>
      </c>
      <c r="Q397" s="5">
        <v>4.26</v>
      </c>
      <c r="R397" s="36">
        <f t="shared" si="34"/>
        <v>5.74</v>
      </c>
      <c r="S397" s="29">
        <f>LOOKUP(R397,{0,3.85,4.45,4.65,4.85,5.45,5.65,5.7,5.75,5.8,5.85,5.9,5.95,6,6.45,6.5,6.55,6.63,6.7,6.75,6.8},{0,10,20,30,40,50,60,62,64,66,68,70,72,74,76,78,80,85,90,95,100})</f>
        <v>62</v>
      </c>
      <c r="T397" s="27"/>
      <c r="U397" s="27"/>
      <c r="V397" s="27">
        <f t="shared" si="35"/>
        <v>62</v>
      </c>
      <c r="W397" s="27"/>
      <c r="X397" s="19">
        <f t="shared" si="36"/>
        <v>32.6</v>
      </c>
      <c r="Y397" s="13">
        <f t="shared" si="37"/>
        <v>46.5714285714286</v>
      </c>
      <c r="Z397" s="19"/>
    </row>
    <row r="398" ht="15.6" spans="1:26">
      <c r="A398" s="27">
        <v>304</v>
      </c>
      <c r="B398" s="27">
        <v>22</v>
      </c>
      <c r="C398" s="27" t="s">
        <v>170</v>
      </c>
      <c r="D398" s="27" t="s">
        <v>12</v>
      </c>
      <c r="E398" s="27">
        <v>-5.5</v>
      </c>
      <c r="F398" s="29">
        <v>0</v>
      </c>
      <c r="G398" s="27">
        <v>235</v>
      </c>
      <c r="H398" s="29">
        <f>LOOKUP(G398,{0,180,185,190,195,200,205,209,213,217,221,225,229,233,237,241,245,253,260,265,270},{0,10,20,30,40,50,60,62,64,66,68,70,72,74,76,78,80,85,90,95,100})</f>
        <v>74</v>
      </c>
      <c r="I398" s="27">
        <v>0</v>
      </c>
      <c r="J398" s="29">
        <f>LOOKUP(I398,{0,4,5,6,7,8,9,10,11,12,13,14,15,16,17,18},{0,10,20,30,40,50,60,64,68,72,76,80,85,90,95,100})</f>
        <v>0</v>
      </c>
      <c r="K398" s="44"/>
      <c r="L398" s="35"/>
      <c r="M398" s="35">
        <f t="shared" si="32"/>
        <v>0</v>
      </c>
      <c r="N398" s="35">
        <v>7.5</v>
      </c>
      <c r="O398" s="36">
        <f t="shared" si="33"/>
        <v>10.5</v>
      </c>
      <c r="P398" s="29">
        <f>LOOKUP(O398,{0,7.8,8,8.2,8.4,8.6,8.8,9,9.2,9.4,9.6,9.8,10,10.2,10.4,10.6,10.8,10.9,11,11.1,11.2},{0,10,20,30,40,50,60,62,64,66,68,70,72,74,76,78,80,85,90,95,100})</f>
        <v>76</v>
      </c>
      <c r="Q398" s="5">
        <v>4.5</v>
      </c>
      <c r="R398" s="36">
        <f t="shared" si="34"/>
        <v>5.5</v>
      </c>
      <c r="S398" s="29">
        <f>LOOKUP(R398,{0,3.85,4.45,4.65,4.85,5.45,5.65,5.7,5.75,5.8,5.85,5.9,5.95,6,6.45,6.5,6.55,6.63,6.7,6.75,6.8},{0,10,20,30,40,50,60,62,64,66,68,70,72,74,76,78,80,85,90,95,100})</f>
        <v>50</v>
      </c>
      <c r="T398" s="27"/>
      <c r="U398" s="27"/>
      <c r="V398" s="27">
        <f t="shared" si="35"/>
        <v>50</v>
      </c>
      <c r="W398" s="27"/>
      <c r="X398" s="19">
        <f t="shared" si="36"/>
        <v>32.6</v>
      </c>
      <c r="Y398" s="13">
        <f t="shared" si="37"/>
        <v>46.5714285714286</v>
      </c>
      <c r="Z398" s="19"/>
    </row>
    <row r="399" ht="15.6" spans="1:26">
      <c r="A399" s="27">
        <v>304</v>
      </c>
      <c r="B399" s="27">
        <v>25</v>
      </c>
      <c r="C399" s="27" t="s">
        <v>174</v>
      </c>
      <c r="D399" s="27" t="s">
        <v>12</v>
      </c>
      <c r="E399" s="27">
        <v>12</v>
      </c>
      <c r="F399" s="29">
        <f>LOOKUP(E399,{0,-1.8,-0.8,0.2,1.2,2.2,3.2,4.6,6,7.4,8.8,10.2,11.6,13,14.4,15.8,17.2,19.1,21,22.8,24.6},{0,10,20,30,40,50,60,62,64,66,68,70,72,74,76,78,80,85,90,95,100})</f>
        <v>72</v>
      </c>
      <c r="G399" s="27">
        <v>225</v>
      </c>
      <c r="H399" s="29">
        <f>LOOKUP(G399,{0,180,185,190,195,200,205,209,213,217,221,225,229,233,237,241,245,253,260,265,270},{0,10,20,30,40,50,60,62,64,66,68,70,72,74,76,78,80,85,90,95,100})</f>
        <v>70</v>
      </c>
      <c r="I399" s="27">
        <v>1</v>
      </c>
      <c r="J399" s="29">
        <f>LOOKUP(I399,{0,4,5,6,7,8,9,10,11,12,13,14,15,16,17,18},{0,10,20,30,40,50,60,64,68,72,76,80,85,90,95,100})</f>
        <v>0</v>
      </c>
      <c r="K399" s="44"/>
      <c r="L399" s="35"/>
      <c r="M399" s="35">
        <f t="shared" si="32"/>
        <v>0</v>
      </c>
      <c r="N399" s="35">
        <v>7.9</v>
      </c>
      <c r="O399" s="36">
        <f t="shared" si="33"/>
        <v>10.1</v>
      </c>
      <c r="P399" s="29">
        <f>LOOKUP(O399,{0,7.8,8,8.2,8.4,8.6,8.8,9,9.2,9.4,9.6,9.8,10,10.2,10.4,10.6,10.8,10.9,11,11.1,11.2},{0,10,20,30,40,50,60,62,64,66,68,70,72,74,76,78,80,85,90,95,100})</f>
        <v>72</v>
      </c>
      <c r="Q399" s="5">
        <v>5.47</v>
      </c>
      <c r="R399" s="36">
        <f t="shared" si="34"/>
        <v>4.53</v>
      </c>
      <c r="S399" s="29">
        <f>LOOKUP(R399,{0,3.85,4.45,4.65,4.85,5.45,5.65,5.7,5.75,5.8,5.85,5.9,5.95,6,6.45,6.5,6.55,6.63,6.7,6.75,6.8},{0,10,20,30,40,50,60,62,64,66,68,70,72,74,76,78,80,85,90,95,100})</f>
        <v>20</v>
      </c>
      <c r="T399" s="27"/>
      <c r="U399" s="27"/>
      <c r="V399" s="27">
        <f t="shared" si="35"/>
        <v>20</v>
      </c>
      <c r="W399" s="27"/>
      <c r="X399" s="19">
        <f t="shared" si="36"/>
        <v>32.6</v>
      </c>
      <c r="Y399" s="13">
        <f t="shared" si="37"/>
        <v>46.5714285714286</v>
      </c>
      <c r="Z399" s="19"/>
    </row>
    <row r="400" ht="15.6" spans="1:26">
      <c r="A400" s="27">
        <v>309</v>
      </c>
      <c r="B400" s="27">
        <v>3</v>
      </c>
      <c r="C400" s="28" t="s">
        <v>407</v>
      </c>
      <c r="D400" s="28" t="s">
        <v>12</v>
      </c>
      <c r="E400" s="27">
        <v>13</v>
      </c>
      <c r="F400" s="29">
        <f>LOOKUP(E400,{0,-1.8,-0.8,0.2,1.2,2.2,3.2,4.6,6,7.4,8.8,10.2,11.6,13,14.4,15.8,17.2,19.1,21,22.8,24.6},{0,10,20,30,40,50,60,62,64,66,68,70,72,74,76,78,80,85,90,95,100})</f>
        <v>74</v>
      </c>
      <c r="G400" s="27">
        <v>207</v>
      </c>
      <c r="H400" s="29">
        <f>LOOKUP(G400,{0,180,185,190,195,200,205,209,213,217,221,225,229,233,237,241,245,253,260,265,270},{0,10,20,30,40,50,60,62,64,66,68,70,72,74,76,78,80,85,90,95,100})</f>
        <v>60</v>
      </c>
      <c r="I400" s="27">
        <v>3</v>
      </c>
      <c r="J400" s="29">
        <f>LOOKUP(I400,{0,4,5,6,7,8,9,10,11,12,13,14,15,16,17,18},{0,10,20,30,40,50,60,64,68,72,76,80,85,90,95,100})</f>
        <v>0</v>
      </c>
      <c r="K400" s="44"/>
      <c r="L400" s="35"/>
      <c r="M400" s="35">
        <f t="shared" si="32"/>
        <v>0</v>
      </c>
      <c r="N400" s="35">
        <v>7.6</v>
      </c>
      <c r="O400" s="36">
        <f t="shared" si="33"/>
        <v>10.4</v>
      </c>
      <c r="P400" s="29">
        <f>LOOKUP(O400,{0,7.8,8,8.2,8.4,8.6,8.8,9,9.2,9.4,9.6,9.8,10,10.2,10.4,10.6,10.8,10.9,11,11.1,11.2},{0,10,20,30,40,50,60,62,64,66,68,70,72,74,76,78,80,85,90,95,100})</f>
        <v>76</v>
      </c>
      <c r="Q400" s="5">
        <v>5.39</v>
      </c>
      <c r="R400" s="36">
        <f t="shared" si="34"/>
        <v>4.61</v>
      </c>
      <c r="S400" s="29">
        <f>LOOKUP(R400,{0,3.85,4.45,4.65,4.85,5.45,5.65,5.7,5.75,5.8,5.85,5.9,5.95,6,6.45,6.5,6.55,6.63,6.7,6.75,6.8},{0,10,20,30,40,50,60,62,64,66,68,70,72,74,76,78,80,85,90,95,100})</f>
        <v>20</v>
      </c>
      <c r="T400" s="27"/>
      <c r="U400" s="27"/>
      <c r="V400" s="27">
        <f t="shared" si="35"/>
        <v>20</v>
      </c>
      <c r="W400" s="27"/>
      <c r="X400" s="19">
        <f t="shared" si="36"/>
        <v>32.6</v>
      </c>
      <c r="Y400" s="13">
        <f t="shared" si="37"/>
        <v>46.5714285714286</v>
      </c>
      <c r="Z400" s="19"/>
    </row>
    <row r="401" ht="15.6" spans="1:26">
      <c r="A401" s="27">
        <v>311</v>
      </c>
      <c r="B401" s="27">
        <v>16</v>
      </c>
      <c r="C401" s="28" t="s">
        <v>530</v>
      </c>
      <c r="D401" s="28" t="s">
        <v>12</v>
      </c>
      <c r="E401" s="27">
        <v>-5</v>
      </c>
      <c r="F401" s="29">
        <v>0</v>
      </c>
      <c r="G401" s="27">
        <v>225</v>
      </c>
      <c r="H401" s="29">
        <f>LOOKUP(G401,{0,180,185,190,195,200,205,209,213,217,221,225,229,233,237,241,245,253,260,265,270},{0,10,20,30,40,50,60,62,64,66,68,70,72,74,76,78,80,85,90,95,100})</f>
        <v>70</v>
      </c>
      <c r="I401" s="27">
        <v>5</v>
      </c>
      <c r="J401" s="29">
        <f>LOOKUP(I401,{0,4,5,6,7,8,9,10,11,12,13,14,15,16,17,18},{0,10,20,30,40,50,60,64,68,72,76,80,85,90,95,100})</f>
        <v>20</v>
      </c>
      <c r="K401" s="44"/>
      <c r="L401" s="35"/>
      <c r="M401" s="35">
        <f t="shared" si="32"/>
        <v>20</v>
      </c>
      <c r="N401" s="35">
        <v>7.1</v>
      </c>
      <c r="O401" s="36">
        <f t="shared" si="33"/>
        <v>10.9</v>
      </c>
      <c r="P401" s="29">
        <f>LOOKUP(O401,{0,7.8,8,8.2,8.4,8.6,8.8,9,9.2,9.4,9.6,9.8,10,10.2,10.4,10.6,10.8,10.9,11,11.1,11.2},{0,10,20,30,40,50,60,62,64,66,68,70,72,74,76,78,80,85,90,95,100})</f>
        <v>85</v>
      </c>
      <c r="Q401" s="5">
        <v>5.28</v>
      </c>
      <c r="R401" s="36">
        <f t="shared" si="34"/>
        <v>4.72</v>
      </c>
      <c r="S401" s="29">
        <f>LOOKUP(R401,{0,3.85,4.45,4.65,4.85,5.45,5.65,5.7,5.75,5.8,5.85,5.9,5.95,6,6.45,6.5,6.55,6.63,6.7,6.75,6.8},{0,10,20,30,40,50,60,62,64,66,68,70,72,74,76,78,80,85,90,95,100})</f>
        <v>30</v>
      </c>
      <c r="T401" s="27"/>
      <c r="U401" s="27"/>
      <c r="V401" s="27">
        <f t="shared" si="35"/>
        <v>30</v>
      </c>
      <c r="W401" s="27"/>
      <c r="X401" s="19">
        <f t="shared" si="36"/>
        <v>32</v>
      </c>
      <c r="Y401" s="13">
        <f t="shared" si="37"/>
        <v>45.7142857142857</v>
      </c>
      <c r="Z401" s="19"/>
    </row>
    <row r="402" ht="15.6" spans="1:26">
      <c r="A402" s="27">
        <v>304</v>
      </c>
      <c r="B402" s="27">
        <v>33</v>
      </c>
      <c r="C402" s="27" t="s">
        <v>182</v>
      </c>
      <c r="D402" s="27" t="s">
        <v>12</v>
      </c>
      <c r="E402" s="27">
        <v>3</v>
      </c>
      <c r="F402" s="29">
        <f>LOOKUP(E402,{0,-1.8,-0.8,0.2,1.2,2.2,3.2,4.6,6,7.4,8.8,10.2,11.6,13,14.4,15.8,17.2,19.1,21,22.8,24.6},{0,10,20,30,40,50,60,62,64,66,68,70,72,74,76,78,80,85,90,95,100})</f>
        <v>50</v>
      </c>
      <c r="G402" s="27">
        <v>195</v>
      </c>
      <c r="H402" s="29">
        <f>LOOKUP(G402,{0,180,185,190,195,200,205,209,213,217,221,225,229,233,237,241,245,253,260,265,270},{0,10,20,30,40,50,60,62,64,66,68,70,72,74,76,78,80,85,90,95,100})</f>
        <v>40</v>
      </c>
      <c r="I402" s="27">
        <v>2</v>
      </c>
      <c r="J402" s="29">
        <f>LOOKUP(I402,{0,4,5,6,7,8,9,10,11,12,13,14,15,16,17,18},{0,10,20,30,40,50,60,64,68,72,76,80,85,90,95,100})</f>
        <v>0</v>
      </c>
      <c r="K402" s="44"/>
      <c r="L402" s="35"/>
      <c r="M402" s="35">
        <f t="shared" si="32"/>
        <v>0</v>
      </c>
      <c r="N402" s="35">
        <v>8</v>
      </c>
      <c r="O402" s="36">
        <f t="shared" si="33"/>
        <v>10</v>
      </c>
      <c r="P402" s="29">
        <f>LOOKUP(O402,{0,7.8,8,8.2,8.4,8.6,8.8,9,9.2,9.4,9.6,9.8,10,10.2,10.4,10.6,10.8,10.9,11,11.1,11.2},{0,10,20,30,40,50,60,62,64,66,68,70,72,74,76,78,80,85,90,95,100})</f>
        <v>72</v>
      </c>
      <c r="Q402" s="5">
        <v>4.57</v>
      </c>
      <c r="R402" s="36">
        <f t="shared" si="34"/>
        <v>5.43</v>
      </c>
      <c r="S402" s="29">
        <f>LOOKUP(R402,{0,3.85,4.45,4.65,4.85,5.45,5.65,5.7,5.75,5.8,5.85,5.9,5.95,6,6.45,6.5,6.55,6.63,6.7,6.75,6.8},{0,10,20,30,40,50,60,62,64,66,68,70,72,74,76,78,80,85,90,95,100})</f>
        <v>40</v>
      </c>
      <c r="T402" s="27"/>
      <c r="U402" s="27"/>
      <c r="V402" s="27">
        <f t="shared" si="35"/>
        <v>40</v>
      </c>
      <c r="W402" s="27"/>
      <c r="X402" s="19">
        <f t="shared" si="36"/>
        <v>31.4</v>
      </c>
      <c r="Y402" s="13">
        <f t="shared" si="37"/>
        <v>44.8571428571429</v>
      </c>
      <c r="Z402" s="19"/>
    </row>
    <row r="403" ht="15.6" spans="1:26">
      <c r="A403" s="27">
        <v>309</v>
      </c>
      <c r="B403" s="27">
        <v>33</v>
      </c>
      <c r="C403" s="28" t="s">
        <v>440</v>
      </c>
      <c r="D403" s="28" t="s">
        <v>12</v>
      </c>
      <c r="E403" s="27">
        <v>15.5</v>
      </c>
      <c r="F403" s="29">
        <f>LOOKUP(E403,{0,-1.8,-0.8,0.2,1.2,2.2,3.2,4.6,6,7.4,8.8,10.2,11.6,13,14.4,15.8,17.2,19.1,21,22.8,24.6},{0,10,20,30,40,50,60,62,64,66,68,70,72,74,76,78,80,85,90,95,100})</f>
        <v>76</v>
      </c>
      <c r="G403" s="27">
        <v>230</v>
      </c>
      <c r="H403" s="29">
        <f>LOOKUP(G403,{0,180,185,190,195,200,205,209,213,217,221,225,229,233,237,241,245,253,260,265,270},{0,10,20,30,40,50,60,62,64,66,68,70,72,74,76,78,80,85,90,95,100})</f>
        <v>72</v>
      </c>
      <c r="I403" s="27">
        <v>2</v>
      </c>
      <c r="J403" s="29">
        <f>LOOKUP(I403,{0,4,5,6,7,8,9,10,11,12,13,14,15,16,17,18},{0,10,20,30,40,50,60,64,68,72,76,80,85,90,95,100})</f>
        <v>0</v>
      </c>
      <c r="K403" s="44"/>
      <c r="L403" s="35"/>
      <c r="M403" s="35">
        <f t="shared" si="32"/>
        <v>0</v>
      </c>
      <c r="N403" s="35">
        <v>9.1</v>
      </c>
      <c r="O403" s="36">
        <f t="shared" si="33"/>
        <v>8.9</v>
      </c>
      <c r="P403" s="29">
        <f>LOOKUP(O403,{0,7.8,8,8.2,8.4,8.6,8.8,9,9.2,9.4,9.6,9.8,10,10.2,10.4,10.6,10.8,10.9,11,11.1,11.2},{0,10,20,30,40,50,60,62,64,66,68,70,72,74,76,78,80,85,90,95,100})</f>
        <v>60</v>
      </c>
      <c r="Q403" s="5">
        <v>5.39</v>
      </c>
      <c r="R403" s="36">
        <f t="shared" si="34"/>
        <v>4.61</v>
      </c>
      <c r="S403" s="29">
        <f>LOOKUP(R403,{0,3.85,4.45,4.65,4.85,5.45,5.65,5.7,5.75,5.8,5.85,5.9,5.95,6,6.45,6.5,6.55,6.63,6.7,6.75,6.8},{0,10,20,30,40,50,60,62,64,66,68,70,72,74,76,78,80,85,90,95,100})</f>
        <v>20</v>
      </c>
      <c r="T403" s="27"/>
      <c r="U403" s="27"/>
      <c r="V403" s="27">
        <f t="shared" si="35"/>
        <v>20</v>
      </c>
      <c r="W403" s="27"/>
      <c r="X403" s="19">
        <f t="shared" si="36"/>
        <v>30.8</v>
      </c>
      <c r="Y403" s="13">
        <f t="shared" si="37"/>
        <v>44</v>
      </c>
      <c r="Z403" s="19"/>
    </row>
    <row r="404" ht="15.6" spans="1:26">
      <c r="A404" s="27">
        <v>310</v>
      </c>
      <c r="B404" s="27">
        <v>6</v>
      </c>
      <c r="C404" s="28" t="s">
        <v>463</v>
      </c>
      <c r="D404" s="28" t="s">
        <v>12</v>
      </c>
      <c r="E404" s="27">
        <v>10</v>
      </c>
      <c r="F404" s="29">
        <f>LOOKUP(E404,{0,-1.8,-0.8,0.2,1.2,2.2,3.2,4.6,6,7.4,8.8,10.2,11.6,13,14.4,15.8,17.2,19.1,21,22.8,24.6},{0,10,20,30,40,50,60,62,64,66,68,70,72,74,76,78,80,85,90,95,100})</f>
        <v>68</v>
      </c>
      <c r="G404" s="27">
        <v>225</v>
      </c>
      <c r="H404" s="29">
        <f>LOOKUP(G404,{0,180,185,190,195,200,205,209,213,217,221,225,229,233,237,241,245,253,260,265,270},{0,10,20,30,40,50,60,62,64,66,68,70,72,74,76,78,80,85,90,95,100})</f>
        <v>70</v>
      </c>
      <c r="I404" s="27">
        <v>0</v>
      </c>
      <c r="J404" s="29">
        <f>LOOKUP(I404,{0,4,5,6,7,8,9,10,11,12,13,14,15,16,17,18},{0,10,20,30,40,50,60,64,68,72,76,80,85,90,95,100})</f>
        <v>0</v>
      </c>
      <c r="K404" s="44"/>
      <c r="L404" s="35"/>
      <c r="M404" s="35">
        <f t="shared" si="32"/>
        <v>0</v>
      </c>
      <c r="N404" s="35">
        <v>7.1</v>
      </c>
      <c r="O404" s="36">
        <f t="shared" si="33"/>
        <v>10.9</v>
      </c>
      <c r="P404" s="29">
        <f>LOOKUP(O404,{0,7.8,8,8.2,8.4,8.6,8.8,9,9.2,9.4,9.6,9.8,10,10.2,10.4,10.6,10.8,10.9,11,11.1,11.2},{0,10,20,30,40,50,60,62,64,66,68,70,72,74,76,78,80,85,90,95,100})</f>
        <v>85</v>
      </c>
      <c r="Q404" s="5">
        <v>6.21</v>
      </c>
      <c r="R404" s="36">
        <f t="shared" si="34"/>
        <v>3.79</v>
      </c>
      <c r="S404" s="29">
        <f>LOOKUP(R404,{0,3.85,4.45,4.65,4.85,5.45,5.65,5.7,5.75,5.8,5.85,5.9,5.95,6,6.45,6.5,6.55,6.63,6.7,6.75,6.8},{0,10,20,30,40,50,60,62,64,66,68,70,72,74,76,78,80,85,90,95,100})</f>
        <v>0</v>
      </c>
      <c r="T404" s="27"/>
      <c r="U404" s="27"/>
      <c r="V404" s="27">
        <f t="shared" si="35"/>
        <v>0</v>
      </c>
      <c r="W404" s="27"/>
      <c r="X404" s="19">
        <f t="shared" si="36"/>
        <v>30.8</v>
      </c>
      <c r="Y404" s="13">
        <f t="shared" si="37"/>
        <v>44</v>
      </c>
      <c r="Z404" s="19"/>
    </row>
    <row r="405" ht="15.6" spans="1:26">
      <c r="A405" s="27">
        <v>302</v>
      </c>
      <c r="B405" s="27">
        <v>12</v>
      </c>
      <c r="C405" s="27" t="s">
        <v>70</v>
      </c>
      <c r="D405" s="27" t="s">
        <v>12</v>
      </c>
      <c r="E405" s="27">
        <v>9</v>
      </c>
      <c r="F405" s="29">
        <f>LOOKUP(E405,{0,-1.8,-0.8,0.2,1.2,2.2,3.2,4.6,6,7.4,8.8,10.2,11.6,13,14.4,15.8,17.2,19.1,21,22.8,24.6},{0,10,20,30,40,50,60,62,64,66,68,70,72,74,76,78,80,85,90,95,100})</f>
        <v>68</v>
      </c>
      <c r="G405" s="27">
        <v>220</v>
      </c>
      <c r="H405" s="29">
        <f>LOOKUP(G405,{0,180,185,190,195,200,205,209,213,217,221,225,229,233,237,241,245,253,260,265,270},{0,10,20,30,40,50,60,62,64,66,68,70,72,74,76,78,80,85,90,95,100})</f>
        <v>66</v>
      </c>
      <c r="I405" s="27">
        <v>5</v>
      </c>
      <c r="J405" s="29">
        <f>LOOKUP(I405,{0,4,5,6,7,8,9,10,11,12,13,14,15,16,17,18},{0,10,20,30,40,50,60,64,68,72,76,80,85,90,95,100})</f>
        <v>20</v>
      </c>
      <c r="K405" s="44"/>
      <c r="L405" s="35"/>
      <c r="M405" s="35">
        <f t="shared" si="32"/>
        <v>20</v>
      </c>
      <c r="N405" s="35">
        <v>10.2</v>
      </c>
      <c r="O405" s="36">
        <f t="shared" si="33"/>
        <v>7.8</v>
      </c>
      <c r="P405" s="29">
        <f>LOOKUP(O405,{0,7.8,8,8.2,8.4,8.6,8.8,9,9.2,9.4,9.6,9.8,10,10.2,10.4,10.6,10.8,10.9,11,11.1,11.2},{0,10,20,30,40,50,60,62,64,66,68,70,72,74,76,78,80,85,90,95,100})</f>
        <v>10</v>
      </c>
      <c r="Q405" s="5">
        <v>4.16</v>
      </c>
      <c r="R405" s="36">
        <f t="shared" si="34"/>
        <v>5.84</v>
      </c>
      <c r="S405" s="29">
        <f>LOOKUP(R405,{0,3.85,4.45,4.65,4.85,5.45,5.65,5.7,5.75,5.8,5.85,5.9,5.95,6,6.45,6.5,6.55,6.63,6.7,6.75,6.8},{0,10,20,30,40,50,60,62,64,66,68,70,72,74,76,78,80,85,90,95,100})</f>
        <v>66</v>
      </c>
      <c r="T405" s="27"/>
      <c r="U405" s="27"/>
      <c r="V405" s="27">
        <f t="shared" si="35"/>
        <v>66</v>
      </c>
      <c r="W405" s="27"/>
      <c r="X405" s="19">
        <f t="shared" si="36"/>
        <v>30.6</v>
      </c>
      <c r="Y405" s="13">
        <f t="shared" si="37"/>
        <v>43.7142857142857</v>
      </c>
      <c r="Z405" s="22"/>
    </row>
    <row r="406" ht="15.6" spans="1:26">
      <c r="A406" s="27">
        <v>311</v>
      </c>
      <c r="B406" s="27">
        <v>31</v>
      </c>
      <c r="C406" s="28" t="s">
        <v>546</v>
      </c>
      <c r="D406" s="28" t="s">
        <v>12</v>
      </c>
      <c r="E406" s="27">
        <v>0</v>
      </c>
      <c r="F406" s="29">
        <f>LOOKUP(E406,{0,-1.8,-0.8,0.2,1.2,2.2,3.2,4.6,6,7.4,8.8,10.2,11.6,13,14.4,15.8,17.2,19.1,21,22.8,24.6},{0,10,20,30,40,50,60,62,64,66,68,70,72,74,76,78,80,85,90,95,100})</f>
        <v>20</v>
      </c>
      <c r="G406" s="27">
        <v>225</v>
      </c>
      <c r="H406" s="29">
        <f>LOOKUP(G406,{0,180,185,190,195,200,205,209,213,217,221,225,229,233,237,241,245,253,260,265,270},{0,10,20,30,40,50,60,62,64,66,68,70,72,74,76,78,80,85,90,95,100})</f>
        <v>70</v>
      </c>
      <c r="I406" s="27">
        <v>0</v>
      </c>
      <c r="J406" s="29">
        <f>LOOKUP(I406,{0,4,5,6,7,8,9,10,11,12,13,14,15,16,17,18},{0,10,20,30,40,50,60,64,68,72,76,80,85,90,95,100})</f>
        <v>0</v>
      </c>
      <c r="K406" s="44"/>
      <c r="L406" s="35"/>
      <c r="M406" s="35">
        <f t="shared" si="32"/>
        <v>0</v>
      </c>
      <c r="N406" s="35">
        <v>7.4</v>
      </c>
      <c r="O406" s="36">
        <f t="shared" si="33"/>
        <v>10.6</v>
      </c>
      <c r="P406" s="29">
        <f>LOOKUP(O406,{0,7.8,8,8.2,8.4,8.6,8.8,9,9.2,9.4,9.6,9.8,10,10.2,10.4,10.6,10.8,10.9,11,11.1,11.2},{0,10,20,30,40,50,60,62,64,66,68,70,72,74,76,78,80,85,90,95,100})</f>
        <v>78</v>
      </c>
      <c r="Q406" s="5">
        <v>5.27</v>
      </c>
      <c r="R406" s="36">
        <f t="shared" si="34"/>
        <v>4.73</v>
      </c>
      <c r="S406" s="29">
        <f>LOOKUP(R406,{0,3.85,4.45,4.65,4.85,5.45,5.65,5.7,5.75,5.8,5.85,5.9,5.95,6,6.45,6.5,6.55,6.63,6.7,6.75,6.8},{0,10,20,30,40,50,60,62,64,66,68,70,72,74,76,78,80,85,90,95,100})</f>
        <v>30</v>
      </c>
      <c r="T406" s="27"/>
      <c r="U406" s="27"/>
      <c r="V406" s="27">
        <f t="shared" si="35"/>
        <v>30</v>
      </c>
      <c r="W406" s="27"/>
      <c r="X406" s="19">
        <f t="shared" si="36"/>
        <v>30.6</v>
      </c>
      <c r="Y406" s="13">
        <f t="shared" si="37"/>
        <v>43.7142857142857</v>
      </c>
      <c r="Z406" s="20"/>
    </row>
    <row r="407" ht="15.6" spans="1:26">
      <c r="A407" s="27">
        <v>306</v>
      </c>
      <c r="B407" s="27">
        <v>14</v>
      </c>
      <c r="C407" s="28" t="s">
        <v>256</v>
      </c>
      <c r="D407" s="28" t="s">
        <v>12</v>
      </c>
      <c r="E407" s="27">
        <v>3.4</v>
      </c>
      <c r="F407" s="29">
        <f>LOOKUP(E407,{0,-1.8,-0.8,0.2,1.2,2.2,3.2,4.6,6,7.4,8.8,10.2,11.6,13,14.4,15.8,17.2,19.1,21,22.8,24.6},{0,10,20,30,40,50,60,62,64,66,68,70,72,74,76,78,80,85,90,95,100})</f>
        <v>60</v>
      </c>
      <c r="G407" s="27">
        <v>212</v>
      </c>
      <c r="H407" s="29">
        <f>LOOKUP(G407,{0,180,185,190,195,200,205,209,213,217,221,225,229,233,237,241,245,253,260,265,270},{0,10,20,30,40,50,60,62,64,66,68,70,72,74,76,78,80,85,90,95,100})</f>
        <v>62</v>
      </c>
      <c r="I407" s="27">
        <v>1</v>
      </c>
      <c r="J407" s="29">
        <f>LOOKUP(I407,{0,4,5,6,7,8,9,10,11,12,13,14,15,16,17,18},{0,10,20,30,40,50,60,64,68,72,76,80,85,90,95,100})</f>
        <v>0</v>
      </c>
      <c r="K407" s="44"/>
      <c r="L407" s="35"/>
      <c r="M407" s="35">
        <f t="shared" si="32"/>
        <v>0</v>
      </c>
      <c r="N407" s="35">
        <v>7.2</v>
      </c>
      <c r="O407" s="36">
        <f t="shared" si="33"/>
        <v>10.8</v>
      </c>
      <c r="P407" s="29">
        <f>LOOKUP(O407,{0,7.8,8,8.2,8.4,8.6,8.8,9,9.2,9.4,9.6,9.8,10,10.2,10.4,10.6,10.8,10.9,11,11.1,11.2},{0,10,20,30,40,50,60,62,64,66,68,70,72,74,76,78,80,85,90,95,100})</f>
        <v>80</v>
      </c>
      <c r="Q407" s="5">
        <v>5.57</v>
      </c>
      <c r="R407" s="36">
        <f t="shared" si="34"/>
        <v>4.43</v>
      </c>
      <c r="S407" s="29">
        <f>LOOKUP(R407,{0,3.85,4.45,4.65,4.85,5.45,5.65,5.7,5.75,5.8,5.85,5.9,5.95,6,6.45,6.5,6.55,6.63,6.7,6.75,6.8},{0,10,20,30,40,50,60,62,64,66,68,70,72,74,76,78,80,85,90,95,100})</f>
        <v>10</v>
      </c>
      <c r="T407" s="27"/>
      <c r="U407" s="27"/>
      <c r="V407" s="27">
        <f t="shared" si="35"/>
        <v>10</v>
      </c>
      <c r="W407" s="27"/>
      <c r="X407" s="19">
        <f t="shared" si="36"/>
        <v>30.2</v>
      </c>
      <c r="Y407" s="13">
        <f t="shared" si="37"/>
        <v>43.1428571428571</v>
      </c>
      <c r="Z407" s="19"/>
    </row>
    <row r="408" ht="15.6" spans="1:26">
      <c r="A408" s="27">
        <v>309</v>
      </c>
      <c r="B408" s="27">
        <v>29</v>
      </c>
      <c r="C408" s="28" t="s">
        <v>435</v>
      </c>
      <c r="D408" s="28" t="s">
        <v>12</v>
      </c>
      <c r="E408" s="27">
        <v>0.4</v>
      </c>
      <c r="F408" s="29">
        <f>LOOKUP(E408,{0,-1.8,-0.8,0.2,1.2,2.2,3.2,4.6,6,7.4,8.8,10.2,11.6,13,14.4,15.8,17.2,19.1,21,22.8,24.6},{0,10,20,30,40,50,60,62,64,66,68,70,72,74,76,78,80,85,90,95,100})</f>
        <v>30</v>
      </c>
      <c r="G408" s="27">
        <v>249</v>
      </c>
      <c r="H408" s="29">
        <f>LOOKUP(G408,{0,180,185,190,195,200,205,209,213,217,221,225,229,233,237,241,245,253,260,265,270},{0,10,20,30,40,50,60,62,64,66,68,70,72,74,76,78,80,85,90,95,100})</f>
        <v>80</v>
      </c>
      <c r="I408" s="27">
        <v>4</v>
      </c>
      <c r="J408" s="29">
        <f>LOOKUP(I408,{0,4,5,6,7,8,9,10,11,12,13,14,15,16,17,18},{0,10,20,30,40,50,60,64,68,72,76,80,85,90,95,100})</f>
        <v>10</v>
      </c>
      <c r="K408" s="44"/>
      <c r="L408" s="35"/>
      <c r="M408" s="35">
        <f t="shared" si="32"/>
        <v>10</v>
      </c>
      <c r="N408" s="35">
        <v>7</v>
      </c>
      <c r="O408" s="36">
        <f t="shared" si="33"/>
        <v>11</v>
      </c>
      <c r="P408" s="29">
        <f>LOOKUP(O408,{0,7.8,8,8.2,8.4,8.6,8.8,9,9.2,9.4,9.6,9.8,10,10.2,10.4,10.6,10.8,10.9,11,11.1,11.2},{0,10,20,30,40,50,60,62,64,66,68,70,72,74,76,78,80,85,90,95,100})</f>
        <v>90</v>
      </c>
      <c r="Q408" s="5">
        <v>9.16</v>
      </c>
      <c r="R408" s="36">
        <f t="shared" si="34"/>
        <v>0.84</v>
      </c>
      <c r="S408" s="29">
        <f>LOOKUP(R408,{0,3.85,4.45,4.65,4.85,5.45,5.65,5.7,5.75,5.8,5.85,5.9,5.95,6,6.45,6.5,6.55,6.63,6.7,6.75,6.8},{0,10,20,30,40,50,60,62,64,66,68,70,72,74,76,78,80,85,90,95,100})</f>
        <v>0</v>
      </c>
      <c r="T408" s="27"/>
      <c r="U408" s="27"/>
      <c r="V408" s="27">
        <f t="shared" si="35"/>
        <v>0</v>
      </c>
      <c r="W408" s="27"/>
      <c r="X408" s="19">
        <f t="shared" si="36"/>
        <v>30</v>
      </c>
      <c r="Y408" s="13">
        <f t="shared" si="37"/>
        <v>42.8571428571429</v>
      </c>
      <c r="Z408" s="19"/>
    </row>
    <row r="409" ht="15.6" spans="1:26">
      <c r="A409" s="27">
        <v>306</v>
      </c>
      <c r="B409" s="27">
        <v>25</v>
      </c>
      <c r="C409" s="28" t="s">
        <v>268</v>
      </c>
      <c r="D409" s="28" t="s">
        <v>12</v>
      </c>
      <c r="E409" s="27">
        <v>12</v>
      </c>
      <c r="F409" s="29">
        <f>LOOKUP(E409,{0,-1.8,-0.8,0.2,1.2,2.2,3.2,4.6,6,7.4,8.8,10.2,11.6,13,14.4,15.8,17.2,19.1,21,22.8,24.6},{0,10,20,30,40,50,60,62,64,66,68,70,72,74,76,78,80,85,90,95,100})</f>
        <v>72</v>
      </c>
      <c r="G409" s="27">
        <v>244</v>
      </c>
      <c r="H409" s="29">
        <f>LOOKUP(G409,{0,180,185,190,195,200,205,209,213,217,221,225,229,233,237,241,245,253,260,265,270},{0,10,20,30,40,50,60,62,64,66,68,70,72,74,76,78,80,85,90,95,100})</f>
        <v>78</v>
      </c>
      <c r="I409" s="27">
        <v>5</v>
      </c>
      <c r="J409" s="29">
        <f>LOOKUP(I409,{0,4,5,6,7,8,9,10,11,12,13,14,15,16,17,18},{0,10,20,30,40,50,60,64,68,72,76,80,85,90,95,100})</f>
        <v>20</v>
      </c>
      <c r="K409" s="44"/>
      <c r="L409" s="35"/>
      <c r="M409" s="35">
        <f t="shared" si="32"/>
        <v>20</v>
      </c>
      <c r="N409" s="35">
        <v>8.7</v>
      </c>
      <c r="O409" s="36">
        <f t="shared" si="33"/>
        <v>9.3</v>
      </c>
      <c r="P409" s="29">
        <f>LOOKUP(O409,{0,7.8,8,8.2,8.4,8.6,8.8,9,9.2,9.4,9.6,9.8,10,10.2,10.4,10.6,10.8,10.9,11,11.1,11.2},{0,10,20,30,40,50,60,62,64,66,68,70,72,74,76,78,80,85,90,95,100})</f>
        <v>64</v>
      </c>
      <c r="Q409" s="5">
        <v>6.58</v>
      </c>
      <c r="R409" s="36">
        <f t="shared" si="34"/>
        <v>3.42</v>
      </c>
      <c r="S409" s="29">
        <f>LOOKUP(R409,{0,3.85,4.45,4.65,4.85,5.45,5.65,5.7,5.75,5.8,5.85,5.9,5.95,6,6.45,6.5,6.55,6.63,6.7,6.75,6.8},{0,10,20,30,40,50,60,62,64,66,68,70,72,74,76,78,80,85,90,95,100})</f>
        <v>0</v>
      </c>
      <c r="T409" s="27"/>
      <c r="U409" s="27"/>
      <c r="V409" s="27">
        <f t="shared" si="35"/>
        <v>0</v>
      </c>
      <c r="W409" s="27"/>
      <c r="X409" s="19">
        <f t="shared" si="36"/>
        <v>29.8</v>
      </c>
      <c r="Y409" s="13">
        <f t="shared" si="37"/>
        <v>42.5714285714286</v>
      </c>
      <c r="Z409" s="20"/>
    </row>
    <row r="410" ht="15.6" spans="1:26">
      <c r="A410" s="27">
        <v>310</v>
      </c>
      <c r="B410" s="27">
        <v>12</v>
      </c>
      <c r="C410" s="28" t="s">
        <v>470</v>
      </c>
      <c r="D410" s="28" t="s">
        <v>12</v>
      </c>
      <c r="E410" s="27">
        <v>14.4</v>
      </c>
      <c r="F410" s="29">
        <f>LOOKUP(E410,{0,-1.8,-0.8,0.2,1.2,2.2,3.2,4.6,6,7.4,8.8,10.2,11.6,13,14.4,15.8,17.2,19.1,21,22.8,24.6},{0,10,20,30,40,50,60,62,64,66,68,70,72,74,76,78,80,85,90,95,100})</f>
        <v>76</v>
      </c>
      <c r="G410" s="27">
        <v>232</v>
      </c>
      <c r="H410" s="29">
        <f>LOOKUP(G410,{0,180,185,190,195,200,205,209,213,217,221,225,229,233,237,241,245,253,260,265,270},{0,10,20,30,40,50,60,62,64,66,68,70,72,74,76,78,80,85,90,95,100})</f>
        <v>72</v>
      </c>
      <c r="I410" s="27">
        <v>2</v>
      </c>
      <c r="J410" s="29">
        <f>LOOKUP(I410,{0,4,5,6,7,8,9,10,11,12,13,14,15,16,17,18},{0,10,20,30,40,50,60,64,68,72,76,80,85,90,95,100})</f>
        <v>0</v>
      </c>
      <c r="K410" s="44"/>
      <c r="L410" s="35"/>
      <c r="M410" s="35">
        <f t="shared" si="32"/>
        <v>0</v>
      </c>
      <c r="N410" s="35">
        <v>7.8</v>
      </c>
      <c r="O410" s="36">
        <f t="shared" si="33"/>
        <v>10.2</v>
      </c>
      <c r="P410" s="29">
        <f>LOOKUP(O410,{0,7.8,8,8.2,8.4,8.6,8.8,9,9.2,9.4,9.6,9.8,10,10.2,10.4,10.6,10.8,10.9,11,11.1,11.2},{0,10,20,30,40,50,60,62,64,66,68,70,72,74,76,78,80,85,90,95,100})</f>
        <v>74</v>
      </c>
      <c r="Q410" s="5">
        <v>6.33</v>
      </c>
      <c r="R410" s="36">
        <f t="shared" si="34"/>
        <v>3.67</v>
      </c>
      <c r="S410" s="29">
        <f>LOOKUP(R410,{0,3.85,4.45,4.65,4.85,5.45,5.65,5.7,5.75,5.8,5.85,5.9,5.95,6,6.45,6.5,6.55,6.63,6.7,6.75,6.8},{0,10,20,30,40,50,60,62,64,66,68,70,72,74,76,78,80,85,90,95,100})</f>
        <v>0</v>
      </c>
      <c r="T410" s="27"/>
      <c r="U410" s="27"/>
      <c r="V410" s="27">
        <f t="shared" si="35"/>
        <v>0</v>
      </c>
      <c r="W410" s="27"/>
      <c r="X410" s="19">
        <f t="shared" si="36"/>
        <v>29.6</v>
      </c>
      <c r="Y410" s="13">
        <f t="shared" si="37"/>
        <v>42.2857142857143</v>
      </c>
      <c r="Z410" s="19"/>
    </row>
    <row r="411" ht="15.6" spans="1:26">
      <c r="A411" s="27">
        <v>312</v>
      </c>
      <c r="B411" s="27">
        <v>1</v>
      </c>
      <c r="C411" s="30" t="s">
        <v>574</v>
      </c>
      <c r="D411" s="28" t="s">
        <v>12</v>
      </c>
      <c r="E411" s="27">
        <v>12.5</v>
      </c>
      <c r="F411" s="29">
        <f>LOOKUP(E411,{0,-1.8,-0.8,0.2,1.2,2.2,3.2,4.6,6,7.4,8.8,10.2,11.6,13,14.4,15.8,17.2,19.1,21,22.8,24.6},{0,10,20,30,40,50,60,62,64,66,68,70,72,74,76,78,80,85,90,95,100})</f>
        <v>72</v>
      </c>
      <c r="G411" s="27">
        <v>195</v>
      </c>
      <c r="H411" s="29">
        <f>LOOKUP(G411,{0,180,185,190,195,200,205,209,213,217,221,225,229,233,237,241,245,253,260,265,270},{0,10,20,30,40,50,60,62,64,66,68,70,72,74,76,78,80,85,90,95,100})</f>
        <v>40</v>
      </c>
      <c r="I411" s="27">
        <v>0</v>
      </c>
      <c r="J411" s="29">
        <f>LOOKUP(I411,{0,4,5,6,7,8,9,10,11,12,13,14,15,16,17,18},{0,10,20,30,40,50,60,64,68,72,76,80,85,90,95,100})</f>
        <v>0</v>
      </c>
      <c r="K411" s="44"/>
      <c r="L411" s="35"/>
      <c r="M411" s="35">
        <f t="shared" si="32"/>
        <v>0</v>
      </c>
      <c r="N411" s="35">
        <v>7.9</v>
      </c>
      <c r="O411" s="36">
        <f t="shared" si="33"/>
        <v>10.1</v>
      </c>
      <c r="P411" s="29">
        <f>LOOKUP(O411,{0,7.8,8,8.2,8.4,8.6,8.8,9,9.2,9.4,9.6,9.8,10,10.2,10.4,10.6,10.8,10.9,11,11.1,11.2},{0,10,20,30,40,50,60,62,64,66,68,70,72,74,76,78,80,85,90,95,100})</f>
        <v>72</v>
      </c>
      <c r="Q411" s="5">
        <v>5.5</v>
      </c>
      <c r="R411" s="36">
        <f t="shared" si="34"/>
        <v>4.5</v>
      </c>
      <c r="S411" s="29">
        <f>LOOKUP(R411,{0,3.85,4.45,4.65,4.85,5.45,5.65,5.7,5.75,5.8,5.85,5.9,5.95,6,6.45,6.5,6.55,6.63,6.7,6.75,6.8},{0,10,20,30,40,50,60,62,64,66,68,70,72,74,76,78,80,85,90,95,100})</f>
        <v>20</v>
      </c>
      <c r="T411" s="27"/>
      <c r="U411" s="27"/>
      <c r="V411" s="27">
        <f t="shared" si="35"/>
        <v>20</v>
      </c>
      <c r="W411" s="27"/>
      <c r="X411" s="19">
        <f t="shared" si="36"/>
        <v>29.6</v>
      </c>
      <c r="Y411" s="13">
        <f t="shared" si="37"/>
        <v>42.2857142857143</v>
      </c>
      <c r="Z411" s="19"/>
    </row>
    <row r="412" ht="15.6" spans="1:26">
      <c r="A412" s="27">
        <v>305</v>
      </c>
      <c r="B412" s="27">
        <v>28</v>
      </c>
      <c r="C412" s="28" t="s">
        <v>214</v>
      </c>
      <c r="D412" s="28" t="s">
        <v>12</v>
      </c>
      <c r="E412" s="27">
        <v>7</v>
      </c>
      <c r="F412" s="29">
        <f>LOOKUP(E412,{0,-1.8,-0.8,0.2,1.2,2.2,3.2,4.6,6,7.4,8.8,10.2,11.6,13,14.4,15.8,17.2,19.1,21,22.8,24.6},{0,10,20,30,40,50,60,62,64,66,68,70,72,74,76,78,80,85,90,95,100})</f>
        <v>64</v>
      </c>
      <c r="G412" s="27">
        <v>215</v>
      </c>
      <c r="H412" s="29">
        <f>LOOKUP(G412,{0,180,185,190,195,200,205,209,213,217,221,225,229,233,237,241,245,253,260,265,270},{0,10,20,30,40,50,60,62,64,66,68,70,72,74,76,78,80,85,90,95,100})</f>
        <v>64</v>
      </c>
      <c r="I412" s="27">
        <v>0</v>
      </c>
      <c r="J412" s="29">
        <f>LOOKUP(I412,{0,4,5,6,7,8,9,10,11,12,13,14,15,16,17,18},{0,10,20,30,40,50,60,64,68,72,76,80,85,90,95,100})</f>
        <v>0</v>
      </c>
      <c r="K412" s="44"/>
      <c r="L412" s="35"/>
      <c r="M412" s="35">
        <f t="shared" si="32"/>
        <v>0</v>
      </c>
      <c r="N412" s="35">
        <v>8</v>
      </c>
      <c r="O412" s="36">
        <f t="shared" si="33"/>
        <v>10</v>
      </c>
      <c r="P412" s="29">
        <f>LOOKUP(O412,{0,7.8,8,8.2,8.4,8.6,8.8,9,9.2,9.4,9.6,9.8,10,10.2,10.4,10.6,10.8,10.9,11,11.1,11.2},{0,10,20,30,40,50,60,62,64,66,68,70,72,74,76,78,80,85,90,95,100})</f>
        <v>72</v>
      </c>
      <c r="Q412" s="5">
        <v>6.09</v>
      </c>
      <c r="R412" s="36">
        <f t="shared" si="34"/>
        <v>3.91</v>
      </c>
      <c r="S412" s="29">
        <f>LOOKUP(R412,{0,3.85,4.45,4.65,4.85,5.45,5.65,5.7,5.75,5.8,5.85,5.9,5.95,6,6.45,6.5,6.55,6.63,6.7,6.75,6.8},{0,10,20,30,40,50,60,62,64,66,68,70,72,74,76,78,80,85,90,95,100})</f>
        <v>10</v>
      </c>
      <c r="T412" s="27"/>
      <c r="U412" s="27"/>
      <c r="V412" s="27">
        <f t="shared" si="35"/>
        <v>10</v>
      </c>
      <c r="W412" s="27"/>
      <c r="X412" s="19">
        <f t="shared" si="36"/>
        <v>29.2</v>
      </c>
      <c r="Y412" s="13">
        <f t="shared" si="37"/>
        <v>41.7142857142857</v>
      </c>
      <c r="Z412" s="19"/>
    </row>
    <row r="413" ht="15.6" spans="1:26">
      <c r="A413" s="27">
        <v>301</v>
      </c>
      <c r="B413" s="27">
        <v>2</v>
      </c>
      <c r="C413" s="27" t="s">
        <v>13</v>
      </c>
      <c r="D413" s="27" t="s">
        <v>12</v>
      </c>
      <c r="E413" s="27">
        <v>-5</v>
      </c>
      <c r="F413" s="29">
        <v>0</v>
      </c>
      <c r="G413" s="27">
        <v>200</v>
      </c>
      <c r="H413" s="29">
        <f>LOOKUP(G413,{0,180,185,190,195,200,205,209,213,217,221,225,229,233,237,241,245,253,260,265,270},{0,10,20,30,40,50,60,62,64,66,68,70,72,74,76,78,80,85,90,95,100})</f>
        <v>50</v>
      </c>
      <c r="I413" s="27">
        <v>0</v>
      </c>
      <c r="J413" s="29">
        <f>LOOKUP(I413,{0,4,5,6,7,8,9,10,11,12,13,14,15,16,17,18},{0,10,20,30,40,50,60,64,68,72,76,80,85,90,95,100})</f>
        <v>0</v>
      </c>
      <c r="K413" s="44"/>
      <c r="L413" s="35"/>
      <c r="M413" s="35">
        <f t="shared" si="32"/>
        <v>0</v>
      </c>
      <c r="N413" s="35">
        <v>7.2</v>
      </c>
      <c r="O413" s="36">
        <f t="shared" si="33"/>
        <v>10.8</v>
      </c>
      <c r="P413" s="29">
        <f>LOOKUP(O413,{0,7.8,8,8.2,8.4,8.6,8.8,9,9.2,9.4,9.6,9.8,10,10.2,10.4,10.6,10.8,10.9,11,11.1,11.2},{0,10,20,30,40,50,60,62,64,66,68,70,72,74,76,78,80,85,90,95,100})</f>
        <v>80</v>
      </c>
      <c r="Q413" s="5">
        <v>5.08</v>
      </c>
      <c r="R413" s="36">
        <f t="shared" si="34"/>
        <v>4.92</v>
      </c>
      <c r="S413" s="29">
        <f>LOOKUP(R413,{0,3.85,4.45,4.65,4.85,5.45,5.65,5.7,5.75,5.8,5.85,5.9,5.95,6,6.45,6.5,6.55,6.63,6.7,6.75,6.8},{0,10,20,30,40,50,60,62,64,66,68,70,72,74,76,78,80,85,90,95,100})</f>
        <v>40</v>
      </c>
      <c r="T413" s="27"/>
      <c r="U413" s="27"/>
      <c r="V413" s="27">
        <f t="shared" si="35"/>
        <v>40</v>
      </c>
      <c r="W413" s="27"/>
      <c r="X413" s="19">
        <f t="shared" si="36"/>
        <v>29</v>
      </c>
      <c r="Y413" s="13">
        <f t="shared" si="37"/>
        <v>41.4285714285714</v>
      </c>
      <c r="Z413" s="19"/>
    </row>
    <row r="414" ht="15.6" spans="1:26">
      <c r="A414" s="27">
        <v>309</v>
      </c>
      <c r="B414" s="27">
        <v>37</v>
      </c>
      <c r="C414" s="28" t="s">
        <v>444</v>
      </c>
      <c r="D414" s="28" t="s">
        <v>12</v>
      </c>
      <c r="E414" s="27">
        <v>1</v>
      </c>
      <c r="F414" s="29">
        <f>LOOKUP(E414,{0,-1.8,-0.8,0.2,1.2,2.2,3.2,4.6,6,7.4,8.8,10.2,11.6,13,14.4,15.8,17.2,19.1,21,22.8,24.6},{0,10,20,30,40,50,60,62,64,66,68,70,72,74,76,78,80,85,90,95,100})</f>
        <v>30</v>
      </c>
      <c r="G414" s="27">
        <v>225</v>
      </c>
      <c r="H414" s="29">
        <f>LOOKUP(G414,{0,180,185,190,195,200,205,209,213,217,221,225,229,233,237,241,245,253,260,265,270},{0,10,20,30,40,50,60,62,64,66,68,70,72,74,76,78,80,85,90,95,100})</f>
        <v>70</v>
      </c>
      <c r="I414" s="27">
        <v>8</v>
      </c>
      <c r="J414" s="29">
        <f>LOOKUP(I414,{0,4,5,6,7,8,9,10,11,12,13,14,15,16,17,18},{0,10,20,30,40,50,60,64,68,72,76,80,85,90,95,100})</f>
        <v>50</v>
      </c>
      <c r="K414" s="44"/>
      <c r="L414" s="35"/>
      <c r="M414" s="35">
        <f t="shared" si="32"/>
        <v>50</v>
      </c>
      <c r="N414" s="35">
        <v>9.4</v>
      </c>
      <c r="O414" s="36">
        <f t="shared" si="33"/>
        <v>8.6</v>
      </c>
      <c r="P414" s="29">
        <f>LOOKUP(O414,{0,7.8,8,8.2,8.4,8.6,8.8,9,9.2,9.4,9.6,9.8,10,10.2,10.4,10.6,10.8,10.9,11,11.1,11.2},{0,10,20,30,40,50,60,62,64,66,68,70,72,74,76,78,80,85,90,95,100})</f>
        <v>50</v>
      </c>
      <c r="Q414" s="5">
        <v>5.39</v>
      </c>
      <c r="R414" s="36">
        <f t="shared" si="34"/>
        <v>4.61</v>
      </c>
      <c r="S414" s="29">
        <f>LOOKUP(R414,{0,3.85,4.45,4.65,4.85,5.45,5.65,5.7,5.75,5.8,5.85,5.9,5.95,6,6.45,6.5,6.55,6.63,6.7,6.75,6.8},{0,10,20,30,40,50,60,62,64,66,68,70,72,74,76,78,80,85,90,95,100})</f>
        <v>20</v>
      </c>
      <c r="T414" s="27"/>
      <c r="U414" s="27"/>
      <c r="V414" s="27">
        <f t="shared" si="35"/>
        <v>20</v>
      </c>
      <c r="W414" s="27"/>
      <c r="X414" s="19">
        <f t="shared" si="36"/>
        <v>29</v>
      </c>
      <c r="Y414" s="13">
        <f t="shared" si="37"/>
        <v>41.4285714285714</v>
      </c>
      <c r="Z414" s="19"/>
    </row>
    <row r="415" ht="15.6" spans="1:26">
      <c r="A415" s="27">
        <v>311</v>
      </c>
      <c r="B415" s="27">
        <v>40</v>
      </c>
      <c r="C415" s="28" t="s">
        <v>556</v>
      </c>
      <c r="D415" s="28" t="s">
        <v>12</v>
      </c>
      <c r="E415" s="27">
        <v>-12</v>
      </c>
      <c r="F415" s="29">
        <v>0</v>
      </c>
      <c r="G415" s="27">
        <v>204</v>
      </c>
      <c r="H415" s="29">
        <f>LOOKUP(G415,{0,180,185,190,195,200,205,209,213,217,221,225,229,233,237,241,245,253,260,265,270},{0,10,20,30,40,50,60,62,64,66,68,70,72,74,76,78,80,85,90,95,100})</f>
        <v>50</v>
      </c>
      <c r="I415" s="27">
        <v>0</v>
      </c>
      <c r="J415" s="29">
        <f>LOOKUP(I415,{0,4,5,6,7,8,9,10,11,12,13,14,15,16,17,18},{0,10,20,30,40,50,60,64,68,72,76,80,85,90,95,100})</f>
        <v>0</v>
      </c>
      <c r="K415" s="44"/>
      <c r="L415" s="39"/>
      <c r="M415" s="35">
        <f t="shared" si="32"/>
        <v>0</v>
      </c>
      <c r="N415" s="35">
        <v>8.1</v>
      </c>
      <c r="O415" s="36">
        <f t="shared" si="33"/>
        <v>9.9</v>
      </c>
      <c r="P415" s="29">
        <f>LOOKUP(O415,{0,7.8,8,8.2,8.4,8.6,8.8,9,9.2,9.4,9.6,9.8,10,10.2,10.4,10.6,10.8,10.9,11,11.1,11.2},{0,10,20,30,40,50,60,62,64,66,68,70,72,74,76,78,80,85,90,95,100})</f>
        <v>70</v>
      </c>
      <c r="Q415" s="5">
        <v>4.48</v>
      </c>
      <c r="R415" s="36">
        <f t="shared" si="34"/>
        <v>5.52</v>
      </c>
      <c r="S415" s="29">
        <f>LOOKUP(R415,{0,3.85,4.45,4.65,4.85,5.45,5.65,5.7,5.75,5.8,5.85,5.9,5.95,6,6.45,6.5,6.55,6.63,6.7,6.75,6.8},{0,10,20,30,40,50,60,62,64,66,68,70,72,74,76,78,80,85,90,95,100})</f>
        <v>50</v>
      </c>
      <c r="T415" s="27"/>
      <c r="U415" s="27"/>
      <c r="V415" s="27">
        <f t="shared" si="35"/>
        <v>50</v>
      </c>
      <c r="W415" s="27"/>
      <c r="X415" s="19">
        <f t="shared" si="36"/>
        <v>29</v>
      </c>
      <c r="Y415" s="13">
        <f t="shared" si="37"/>
        <v>41.4285714285714</v>
      </c>
      <c r="Z415" s="19"/>
    </row>
    <row r="416" ht="15.6" spans="1:26">
      <c r="A416" s="27">
        <v>309</v>
      </c>
      <c r="B416" s="27">
        <v>35</v>
      </c>
      <c r="C416" s="28" t="s">
        <v>442</v>
      </c>
      <c r="D416" s="28" t="s">
        <v>12</v>
      </c>
      <c r="E416" s="27">
        <v>2.8</v>
      </c>
      <c r="F416" s="29">
        <f>LOOKUP(E416,{0,-1.8,-0.8,0.2,1.2,2.2,3.2,4.6,6,7.4,8.8,10.2,11.6,13,14.4,15.8,17.2,19.1,21,22.8,24.6},{0,10,20,30,40,50,60,62,64,66,68,70,72,74,76,78,80,85,90,95,100})</f>
        <v>50</v>
      </c>
      <c r="G416" s="27">
        <v>195</v>
      </c>
      <c r="H416" s="29">
        <f>LOOKUP(G416,{0,180,185,190,195,200,205,209,213,217,221,225,229,233,237,241,245,253,260,265,270},{0,10,20,30,40,50,60,62,64,66,68,70,72,74,76,78,80,85,90,95,100})</f>
        <v>40</v>
      </c>
      <c r="I416" s="27">
        <v>6</v>
      </c>
      <c r="J416" s="29">
        <f>LOOKUP(I416,{0,4,5,6,7,8,9,10,11,12,13,14,15,16,17,18},{0,10,20,30,40,50,60,64,68,72,76,80,85,90,95,100})</f>
        <v>30</v>
      </c>
      <c r="K416" s="44"/>
      <c r="L416" s="35"/>
      <c r="M416" s="35">
        <f t="shared" si="32"/>
        <v>30</v>
      </c>
      <c r="N416" s="35">
        <v>8.8</v>
      </c>
      <c r="O416" s="36">
        <f t="shared" si="33"/>
        <v>9.2</v>
      </c>
      <c r="P416" s="29">
        <f>LOOKUP(O416,{0,7.8,8,8.2,8.4,8.6,8.8,9,9.2,9.4,9.6,9.8,10,10.2,10.4,10.6,10.8,10.9,11,11.1,11.2},{0,10,20,30,40,50,60,62,64,66,68,70,72,74,76,78,80,85,90,95,100})</f>
        <v>64</v>
      </c>
      <c r="Q416" s="5">
        <v>5.39</v>
      </c>
      <c r="R416" s="36">
        <f t="shared" si="34"/>
        <v>4.61</v>
      </c>
      <c r="S416" s="29">
        <f>LOOKUP(R416,{0,3.85,4.45,4.65,4.85,5.45,5.65,5.7,5.75,5.8,5.85,5.9,5.95,6,6.45,6.5,6.55,6.63,6.7,6.75,6.8},{0,10,20,30,40,50,60,62,64,66,68,70,72,74,76,78,80,85,90,95,100})</f>
        <v>20</v>
      </c>
      <c r="T416" s="27"/>
      <c r="U416" s="27"/>
      <c r="V416" s="27">
        <f t="shared" si="35"/>
        <v>20</v>
      </c>
      <c r="W416" s="27"/>
      <c r="X416" s="19">
        <f t="shared" si="36"/>
        <v>28.8</v>
      </c>
      <c r="Y416" s="13">
        <f t="shared" si="37"/>
        <v>41.1428571428571</v>
      </c>
      <c r="Z416" s="19"/>
    </row>
    <row r="417" ht="15.6" spans="1:26">
      <c r="A417" s="27">
        <v>301</v>
      </c>
      <c r="B417" s="27">
        <v>3</v>
      </c>
      <c r="C417" s="27" t="s">
        <v>14</v>
      </c>
      <c r="D417" s="27" t="s">
        <v>12</v>
      </c>
      <c r="E417" s="27">
        <v>3.5</v>
      </c>
      <c r="F417" s="29">
        <f>LOOKUP(E417,{0,-1.8,-0.8,0.2,1.2,2.2,3.2,4.6,6,7.4,8.8,10.2,11.6,13,14.4,15.8,17.2,19.1,21,22.8,24.6},{0,10,20,30,40,50,60,62,64,66,68,70,72,74,76,78,80,85,90,95,100})</f>
        <v>60</v>
      </c>
      <c r="G417" s="27">
        <v>190</v>
      </c>
      <c r="H417" s="29">
        <f>LOOKUP(G417,{0,180,185,190,195,200,205,209,213,217,221,225,229,233,237,241,245,253,260,265,270},{0,10,20,30,40,50,60,62,64,66,68,70,72,74,76,78,80,85,90,95,100})</f>
        <v>30</v>
      </c>
      <c r="I417" s="27">
        <v>1</v>
      </c>
      <c r="J417" s="29">
        <f>LOOKUP(I417,{0,4,5,6,7,8,9,10,11,12,13,14,15,16,17,18},{0,10,20,30,40,50,60,64,68,72,76,80,85,90,95,100})</f>
        <v>0</v>
      </c>
      <c r="K417" s="44"/>
      <c r="L417" s="35"/>
      <c r="M417" s="35">
        <f t="shared" si="32"/>
        <v>0</v>
      </c>
      <c r="N417" s="35">
        <v>8.3</v>
      </c>
      <c r="O417" s="36">
        <f t="shared" si="33"/>
        <v>9.7</v>
      </c>
      <c r="P417" s="29">
        <f>LOOKUP(O417,{0,7.8,8,8.2,8.4,8.6,8.8,9,9.2,9.4,9.6,9.8,10,10.2,10.4,10.6,10.8,10.9,11,11.1,11.2},{0,10,20,30,40,50,60,62,64,66,68,70,72,74,76,78,80,85,90,95,100})</f>
        <v>68</v>
      </c>
      <c r="Q417" s="5">
        <v>5.27</v>
      </c>
      <c r="R417" s="36">
        <f t="shared" si="34"/>
        <v>4.73</v>
      </c>
      <c r="S417" s="29">
        <f>LOOKUP(R417,{0,3.85,4.45,4.65,4.85,5.45,5.65,5.7,5.75,5.8,5.85,5.9,5.95,6,6.45,6.5,6.55,6.63,6.7,6.75,6.8},{0,10,20,30,40,50,60,62,64,66,68,70,72,74,76,78,80,85,90,95,100})</f>
        <v>30</v>
      </c>
      <c r="T417" s="27"/>
      <c r="U417" s="27"/>
      <c r="V417" s="27">
        <f t="shared" si="35"/>
        <v>30</v>
      </c>
      <c r="W417" s="27"/>
      <c r="X417" s="19">
        <f t="shared" si="36"/>
        <v>28.6</v>
      </c>
      <c r="Y417" s="13">
        <f t="shared" si="37"/>
        <v>40.8571428571429</v>
      </c>
      <c r="Z417" s="19"/>
    </row>
    <row r="418" ht="15.6" spans="1:26">
      <c r="A418" s="27">
        <v>301</v>
      </c>
      <c r="B418" s="27">
        <v>13</v>
      </c>
      <c r="C418" s="27" t="s">
        <v>24</v>
      </c>
      <c r="D418" s="27" t="s">
        <v>12</v>
      </c>
      <c r="E418" s="27">
        <v>2.5</v>
      </c>
      <c r="F418" s="29">
        <f>LOOKUP(E418,{0,-1.8,-0.8,0.2,1.2,2.2,3.2,4.6,6,7.4,8.8,10.2,11.6,13,14.4,15.8,17.2,19.1,21,22.8,24.6},{0,10,20,30,40,50,60,62,64,66,68,70,72,74,76,78,80,85,90,95,100})</f>
        <v>50</v>
      </c>
      <c r="G418" s="27">
        <v>175</v>
      </c>
      <c r="H418" s="29">
        <f>LOOKUP(G418,{0,180,185,190,195,200,205,209,213,217,221,225,229,233,237,241,245,253,260,265,270},{0,10,20,30,40,50,60,62,64,66,68,70,72,74,76,78,80,85,90,95,100})</f>
        <v>0</v>
      </c>
      <c r="I418" s="27">
        <v>1</v>
      </c>
      <c r="J418" s="29">
        <f>LOOKUP(I418,{0,4,5,6,7,8,9,10,11,12,13,14,15,16,17,18},{0,10,20,30,40,50,60,64,68,72,76,80,85,90,95,100})</f>
        <v>0</v>
      </c>
      <c r="K418" s="44"/>
      <c r="L418" s="35"/>
      <c r="M418" s="35">
        <f t="shared" si="32"/>
        <v>0</v>
      </c>
      <c r="N418" s="35">
        <v>8.4</v>
      </c>
      <c r="O418" s="36">
        <f t="shared" si="33"/>
        <v>9.6</v>
      </c>
      <c r="P418" s="29">
        <f>LOOKUP(O418,{0,7.8,8,8.2,8.4,8.6,8.8,9,9.2,9.4,9.6,9.8,10,10.2,10.4,10.6,10.8,10.9,11,11.1,11.2},{0,10,20,30,40,50,60,62,64,66,68,70,72,74,76,78,80,85,90,95,100})</f>
        <v>68</v>
      </c>
      <c r="Q418" s="5">
        <v>4.49</v>
      </c>
      <c r="R418" s="36">
        <f t="shared" si="34"/>
        <v>5.51</v>
      </c>
      <c r="S418" s="29">
        <f>LOOKUP(R418,{0,3.85,4.45,4.65,4.85,5.45,5.65,5.7,5.75,5.8,5.85,5.9,5.95,6,6.45,6.5,6.55,6.63,6.7,6.75,6.8},{0,10,20,30,40,50,60,62,64,66,68,70,72,74,76,78,80,85,90,95,100})</f>
        <v>50</v>
      </c>
      <c r="T418" s="27"/>
      <c r="U418" s="27"/>
      <c r="V418" s="27">
        <f t="shared" si="35"/>
        <v>50</v>
      </c>
      <c r="W418" s="27"/>
      <c r="X418" s="19">
        <f t="shared" si="36"/>
        <v>28.6</v>
      </c>
      <c r="Y418" s="13">
        <f t="shared" si="37"/>
        <v>40.8571428571429</v>
      </c>
      <c r="Z418" s="19"/>
    </row>
    <row r="419" ht="15.6" spans="1:26">
      <c r="A419" s="27">
        <v>314</v>
      </c>
      <c r="B419" s="27">
        <v>3</v>
      </c>
      <c r="C419" s="28" t="s">
        <v>683</v>
      </c>
      <c r="D419" s="28" t="s">
        <v>12</v>
      </c>
      <c r="E419" s="27">
        <v>5.5</v>
      </c>
      <c r="F419" s="29">
        <f>LOOKUP(E419,{0,-1.8,-0.8,0.2,1.2,2.2,3.2,4.6,6,7.4,8.8,10.2,11.6,13,14.4,15.8,17.2,19.1,21,22.8,24.6},{0,10,20,30,40,50,60,62,64,66,68,70,72,74,76,78,80,85,90,95,100})</f>
        <v>62</v>
      </c>
      <c r="G419" s="27">
        <v>180</v>
      </c>
      <c r="H419" s="29">
        <f>LOOKUP(G419,{0,180,185,190,195,200,205,209,213,217,221,225,229,233,237,241,245,253,260,265,270},{0,10,20,30,40,50,60,62,64,66,68,70,72,74,76,78,80,85,90,95,100})</f>
        <v>10</v>
      </c>
      <c r="I419" s="27">
        <v>0</v>
      </c>
      <c r="J419" s="29">
        <f>LOOKUP(I419,{0,4,5,6,7,8,9,10,11,12,13,14,15,16,17,18},{0,10,20,30,40,50,60,64,68,72,76,80,85,90,95,100})</f>
        <v>0</v>
      </c>
      <c r="K419" s="44"/>
      <c r="L419" s="35"/>
      <c r="M419" s="35">
        <f t="shared" si="32"/>
        <v>0</v>
      </c>
      <c r="N419" s="35">
        <v>7.5</v>
      </c>
      <c r="O419" s="36">
        <f t="shared" si="33"/>
        <v>10.5</v>
      </c>
      <c r="P419" s="29">
        <f>LOOKUP(O419,{0,7.8,8,8.2,8.4,8.6,8.8,9,9.2,9.4,9.6,9.8,10,10.2,10.4,10.6,10.8,10.9,11,11.1,11.2},{0,10,20,30,40,50,60,62,64,66,68,70,72,74,76,78,80,85,90,95,100})</f>
        <v>76</v>
      </c>
      <c r="Q419" s="5">
        <v>5.34</v>
      </c>
      <c r="R419" s="36">
        <f t="shared" si="34"/>
        <v>4.66</v>
      </c>
      <c r="S419" s="29">
        <f>LOOKUP(R419,{0,3.85,4.45,4.65,4.85,5.45,5.65,5.7,5.75,5.8,5.85,5.9,5.95,6,6.45,6.5,6.55,6.63,6.7,6.75,6.8},{0,10,20,30,40,50,60,62,64,66,68,70,72,74,76,78,80,85,90,95,100})</f>
        <v>30</v>
      </c>
      <c r="T419" s="27"/>
      <c r="U419" s="27"/>
      <c r="V419" s="27">
        <f t="shared" si="35"/>
        <v>30</v>
      </c>
      <c r="W419" s="27"/>
      <c r="X419" s="19">
        <f t="shared" si="36"/>
        <v>28.4</v>
      </c>
      <c r="Y419" s="13">
        <f t="shared" si="37"/>
        <v>40.5714285714286</v>
      </c>
      <c r="Z419" s="19"/>
    </row>
    <row r="420" ht="15.6" spans="1:26">
      <c r="A420" s="27">
        <v>307</v>
      </c>
      <c r="B420" s="27">
        <v>8</v>
      </c>
      <c r="C420" s="28" t="s">
        <v>306</v>
      </c>
      <c r="D420" s="28" t="s">
        <v>12</v>
      </c>
      <c r="E420" s="27">
        <v>1</v>
      </c>
      <c r="F420" s="29">
        <f>LOOKUP(E420,{0,-1.8,-0.8,0.2,1.2,2.2,3.2,4.6,6,7.4,8.8,10.2,11.6,13,14.4,15.8,17.2,19.1,21,22.8,24.6},{0,10,20,30,40,50,60,62,64,66,68,70,72,74,76,78,80,85,90,95,100})</f>
        <v>30</v>
      </c>
      <c r="G420" s="27">
        <v>190</v>
      </c>
      <c r="H420" s="29">
        <f>LOOKUP(G420,{0,180,185,190,195,200,205,209,213,217,221,225,229,233,237,241,245,253,260,265,270},{0,10,20,30,40,50,60,62,64,66,68,70,72,74,76,78,80,85,90,95,100})</f>
        <v>30</v>
      </c>
      <c r="I420" s="27">
        <v>1</v>
      </c>
      <c r="J420" s="29">
        <f>LOOKUP(I420,{0,4,5,6,7,8,9,10,11,12,13,14,15,16,17,18},{0,10,20,30,40,50,60,64,68,72,76,80,85,90,95,100})</f>
        <v>0</v>
      </c>
      <c r="K420" s="44"/>
      <c r="L420" s="35"/>
      <c r="M420" s="35">
        <f t="shared" si="32"/>
        <v>0</v>
      </c>
      <c r="N420" s="35">
        <v>8</v>
      </c>
      <c r="O420" s="36">
        <f t="shared" si="33"/>
        <v>10</v>
      </c>
      <c r="P420" s="29">
        <f>LOOKUP(O420,{0,7.8,8,8.2,8.4,8.6,8.8,9,9.2,9.4,9.6,9.8,10,10.2,10.4,10.6,10.8,10.9,11,11.1,11.2},{0,10,20,30,40,50,60,62,64,66,68,70,72,74,76,78,80,85,90,95,100})</f>
        <v>72</v>
      </c>
      <c r="Q420" s="5">
        <v>5.11</v>
      </c>
      <c r="R420" s="36">
        <f t="shared" si="34"/>
        <v>4.89</v>
      </c>
      <c r="S420" s="29">
        <f>LOOKUP(R420,{0,3.85,4.45,4.65,4.85,5.45,5.65,5.7,5.75,5.8,5.85,5.9,5.95,6,6.45,6.5,6.55,6.63,6.7,6.75,6.8},{0,10,20,30,40,50,60,62,64,66,68,70,72,74,76,78,80,85,90,95,100})</f>
        <v>40</v>
      </c>
      <c r="T420" s="27"/>
      <c r="U420" s="27"/>
      <c r="V420" s="27">
        <f t="shared" si="35"/>
        <v>40</v>
      </c>
      <c r="W420" s="27"/>
      <c r="X420" s="19">
        <f t="shared" si="36"/>
        <v>28.4</v>
      </c>
      <c r="Y420" s="13">
        <f t="shared" si="37"/>
        <v>40.5714285714286</v>
      </c>
      <c r="Z420" s="19"/>
    </row>
    <row r="421" ht="15.6" spans="1:26">
      <c r="A421" s="27">
        <v>305</v>
      </c>
      <c r="B421" s="27">
        <v>33</v>
      </c>
      <c r="C421" s="28" t="s">
        <v>220</v>
      </c>
      <c r="D421" s="28" t="s">
        <v>12</v>
      </c>
      <c r="E421" s="27">
        <v>3</v>
      </c>
      <c r="F421" s="29">
        <f>LOOKUP(E421,{0,-1.8,-0.8,0.2,1.2,2.2,3.2,4.6,6,7.4,8.8,10.2,11.6,13,14.4,15.8,17.2,19.1,21,22.8,24.6},{0,10,20,30,40,50,60,62,64,66,68,70,72,74,76,78,80,85,90,95,100})</f>
        <v>50</v>
      </c>
      <c r="G421" s="27">
        <v>170</v>
      </c>
      <c r="H421" s="29">
        <f>LOOKUP(G421,{0,180,185,190,195,200,205,209,213,217,221,225,229,233,237,241,245,253,260,265,270},{0,10,20,30,40,50,60,62,64,66,68,70,72,74,76,78,80,85,90,95,100})</f>
        <v>0</v>
      </c>
      <c r="I421" s="27">
        <v>1</v>
      </c>
      <c r="J421" s="29">
        <f>LOOKUP(I421,{0,4,5,6,7,8,9,10,11,12,13,14,15,16,17,18},{0,10,20,30,40,50,60,64,68,72,76,80,85,90,95,100})</f>
        <v>0</v>
      </c>
      <c r="K421" s="44"/>
      <c r="L421" s="35"/>
      <c r="M421" s="35">
        <f t="shared" si="32"/>
        <v>0</v>
      </c>
      <c r="N421" s="35">
        <v>8.5</v>
      </c>
      <c r="O421" s="36">
        <f t="shared" si="33"/>
        <v>9.5</v>
      </c>
      <c r="P421" s="29">
        <f>LOOKUP(O421,{0,7.8,8,8.2,8.4,8.6,8.8,9,9.2,9.4,9.6,9.8,10,10.2,10.4,10.6,10.8,10.9,11,11.1,11.2},{0,10,20,30,40,50,60,62,64,66,68,70,72,74,76,78,80,85,90,95,100})</f>
        <v>66</v>
      </c>
      <c r="Q421" s="5">
        <v>4.54</v>
      </c>
      <c r="R421" s="36">
        <f t="shared" si="34"/>
        <v>5.46</v>
      </c>
      <c r="S421" s="29">
        <f>LOOKUP(R421,{0,3.85,4.45,4.65,4.85,5.45,5.65,5.7,5.75,5.8,5.85,5.9,5.95,6,6.45,6.5,6.55,6.63,6.7,6.75,6.8},{0,10,20,30,40,50,60,62,64,66,68,70,72,74,76,78,80,85,90,95,100})</f>
        <v>50</v>
      </c>
      <c r="T421" s="27"/>
      <c r="U421" s="27"/>
      <c r="V421" s="27">
        <f t="shared" si="35"/>
        <v>50</v>
      </c>
      <c r="W421" s="27"/>
      <c r="X421" s="19">
        <f t="shared" si="36"/>
        <v>28.2</v>
      </c>
      <c r="Y421" s="13">
        <f t="shared" si="37"/>
        <v>40.2857142857143</v>
      </c>
      <c r="Z421" s="19"/>
    </row>
    <row r="422" ht="15.6" spans="1:26">
      <c r="A422" s="27">
        <v>306</v>
      </c>
      <c r="B422" s="27">
        <v>23</v>
      </c>
      <c r="C422" s="28" t="s">
        <v>266</v>
      </c>
      <c r="D422" s="28" t="s">
        <v>12</v>
      </c>
      <c r="E422" s="27">
        <v>13.7</v>
      </c>
      <c r="F422" s="29">
        <f>LOOKUP(E422,{0,-1.8,-0.8,0.2,1.2,2.2,3.2,4.6,6,7.4,8.8,10.2,11.6,13,14.4,15.8,17.2,19.1,21,22.8,24.6},{0,10,20,30,40,50,60,62,64,66,68,70,72,74,76,78,80,85,90,95,100})</f>
        <v>74</v>
      </c>
      <c r="G422" s="27">
        <v>216</v>
      </c>
      <c r="H422" s="29">
        <f>LOOKUP(G422,{0,180,185,190,195,200,205,209,213,217,221,225,229,233,237,241,245,253,260,265,270},{0,10,20,30,40,50,60,62,64,66,68,70,72,74,76,78,80,85,90,95,100})</f>
        <v>64</v>
      </c>
      <c r="I422" s="27">
        <v>1</v>
      </c>
      <c r="J422" s="29">
        <f>LOOKUP(I422,{0,4,5,6,7,8,9,10,11,12,13,14,15,16,17,18},{0,10,20,30,40,50,60,64,68,72,76,80,85,90,95,100})</f>
        <v>0</v>
      </c>
      <c r="K422" s="44"/>
      <c r="L422" s="35"/>
      <c r="M422" s="35">
        <f t="shared" si="32"/>
        <v>0</v>
      </c>
      <c r="N422" s="35">
        <v>8</v>
      </c>
      <c r="O422" s="36">
        <f t="shared" si="33"/>
        <v>10</v>
      </c>
      <c r="P422" s="29">
        <f>LOOKUP(O422,{0,7.8,8,8.2,8.4,8.6,8.8,9,9.2,9.4,9.6,9.8,10,10.2,10.4,10.6,10.8,10.9,11,11.1,11.2},{0,10,20,30,40,50,60,62,64,66,68,70,72,74,76,78,80,85,90,95,100})</f>
        <v>72</v>
      </c>
      <c r="Q422" s="5">
        <v>6.52</v>
      </c>
      <c r="R422" s="36">
        <f t="shared" si="34"/>
        <v>3.48</v>
      </c>
      <c r="S422" s="29">
        <f>LOOKUP(R422,{0,3.85,4.45,4.65,4.85,5.45,5.65,5.7,5.75,5.8,5.85,5.9,5.95,6,6.45,6.5,6.55,6.63,6.7,6.75,6.8},{0,10,20,30,40,50,60,62,64,66,68,70,72,74,76,78,80,85,90,95,100})</f>
        <v>0</v>
      </c>
      <c r="T422" s="27"/>
      <c r="U422" s="27"/>
      <c r="V422" s="27">
        <f t="shared" si="35"/>
        <v>0</v>
      </c>
      <c r="W422" s="27"/>
      <c r="X422" s="19">
        <f t="shared" si="36"/>
        <v>28.2</v>
      </c>
      <c r="Y422" s="13">
        <f t="shared" si="37"/>
        <v>40.2857142857143</v>
      </c>
      <c r="Z422" s="19"/>
    </row>
    <row r="423" ht="15.6" spans="1:26">
      <c r="A423" s="27">
        <v>305</v>
      </c>
      <c r="B423" s="27">
        <v>23</v>
      </c>
      <c r="C423" s="28" t="s">
        <v>209</v>
      </c>
      <c r="D423" s="28" t="s">
        <v>12</v>
      </c>
      <c r="E423" s="27">
        <v>-2</v>
      </c>
      <c r="F423" s="29">
        <v>0</v>
      </c>
      <c r="G423" s="27">
        <v>220</v>
      </c>
      <c r="H423" s="29">
        <f>LOOKUP(G423,{0,180,185,190,195,200,205,209,213,217,221,225,229,233,237,241,245,253,260,265,270},{0,10,20,30,40,50,60,62,64,66,68,70,72,74,76,78,80,85,90,95,100})</f>
        <v>66</v>
      </c>
      <c r="I423" s="27">
        <v>2</v>
      </c>
      <c r="J423" s="29">
        <f>LOOKUP(I423,{0,4,5,6,7,8,9,10,11,12,13,14,15,16,17,18},{0,10,20,30,40,50,60,64,68,72,76,80,85,90,95,100})</f>
        <v>0</v>
      </c>
      <c r="K423" s="44"/>
      <c r="L423" s="35"/>
      <c r="M423" s="35">
        <f t="shared" si="32"/>
        <v>0</v>
      </c>
      <c r="N423" s="35">
        <v>6.9</v>
      </c>
      <c r="O423" s="36">
        <f t="shared" si="33"/>
        <v>11.1</v>
      </c>
      <c r="P423" s="29">
        <f>LOOKUP(O423,{0,7.8,8,8.2,8.4,8.6,8.8,9,9.2,9.4,9.6,9.8,10,10.2,10.4,10.6,10.8,10.9,11,11.1,11.2},{0,10,20,30,40,50,60,62,64,66,68,70,72,74,76,78,80,85,90,95,100})</f>
        <v>95</v>
      </c>
      <c r="Q423" s="5">
        <v>6</v>
      </c>
      <c r="R423" s="36">
        <f t="shared" si="34"/>
        <v>4</v>
      </c>
      <c r="S423" s="29">
        <f>LOOKUP(R423,{0,3.85,4.45,4.65,4.85,5.45,5.65,5.7,5.75,5.8,5.85,5.9,5.95,6,6.45,6.5,6.55,6.63,6.7,6.75,6.8},{0,10,20,30,40,50,60,62,64,66,68,70,72,74,76,78,80,85,90,95,100})</f>
        <v>10</v>
      </c>
      <c r="T423" s="27"/>
      <c r="U423" s="27"/>
      <c r="V423" s="27">
        <f t="shared" si="35"/>
        <v>10</v>
      </c>
      <c r="W423" s="27"/>
      <c r="X423" s="19">
        <f t="shared" si="36"/>
        <v>27.6</v>
      </c>
      <c r="Y423" s="13">
        <f t="shared" si="37"/>
        <v>39.4285714285714</v>
      </c>
      <c r="Z423" s="19"/>
    </row>
    <row r="424" ht="15.6" spans="1:26">
      <c r="A424" s="27">
        <v>309</v>
      </c>
      <c r="B424" s="27">
        <v>21</v>
      </c>
      <c r="C424" s="30" t="s">
        <v>427</v>
      </c>
      <c r="D424" s="28" t="s">
        <v>12</v>
      </c>
      <c r="E424" s="27">
        <v>1.6</v>
      </c>
      <c r="F424" s="29">
        <f>LOOKUP(E424,{0,-1.8,-0.8,0.2,1.2,2.2,3.2,4.6,6,7.4,8.8,10.2,11.6,13,14.4,15.8,17.2,19.1,21,22.8,24.6},{0,10,20,30,40,50,60,62,64,66,68,70,72,74,76,78,80,85,90,95,100})</f>
        <v>40</v>
      </c>
      <c r="G424" s="27">
        <v>160</v>
      </c>
      <c r="H424" s="29">
        <f>LOOKUP(G424,{0,180,185,190,195,200,205,209,213,217,221,225,229,233,237,241,245,253,260,265,270},{0,10,20,30,40,50,60,62,64,66,68,70,72,74,76,78,80,85,90,95,100})</f>
        <v>0</v>
      </c>
      <c r="I424" s="27">
        <v>0</v>
      </c>
      <c r="J424" s="29">
        <f>LOOKUP(I424,{0,4,5,6,7,8,9,10,11,12,13,14,15,16,17,18},{0,10,20,30,40,50,60,64,68,72,76,80,85,90,95,100})</f>
        <v>0</v>
      </c>
      <c r="K424" s="44"/>
      <c r="L424" s="35"/>
      <c r="M424" s="35">
        <f t="shared" si="32"/>
        <v>0</v>
      </c>
      <c r="N424" s="35">
        <v>7.7</v>
      </c>
      <c r="O424" s="36">
        <f t="shared" si="33"/>
        <v>10.3</v>
      </c>
      <c r="P424" s="29">
        <f>LOOKUP(O424,{0,7.8,8,8.2,8.4,8.6,8.8,9,9.2,9.4,9.6,9.8,10,10.2,10.4,10.6,10.8,10.9,11,11.1,11.2},{0,10,20,30,40,50,60,62,64,66,68,70,72,74,76,78,80,85,90,95,100})</f>
        <v>74</v>
      </c>
      <c r="Q424" s="5">
        <v>5.05</v>
      </c>
      <c r="R424" s="36">
        <f t="shared" si="34"/>
        <v>4.95</v>
      </c>
      <c r="S424" s="29">
        <f>LOOKUP(R424,{0,3.85,4.45,4.65,4.85,5.45,5.65,5.7,5.75,5.8,5.85,5.9,5.95,6,6.45,6.5,6.55,6.63,6.7,6.75,6.8},{0,10,20,30,40,50,60,62,64,66,68,70,72,74,76,78,80,85,90,95,100})</f>
        <v>40</v>
      </c>
      <c r="T424" s="27"/>
      <c r="U424" s="27"/>
      <c r="V424" s="27">
        <f t="shared" si="35"/>
        <v>40</v>
      </c>
      <c r="W424" s="27"/>
      <c r="X424" s="19">
        <f t="shared" si="36"/>
        <v>26.8</v>
      </c>
      <c r="Y424" s="13">
        <f t="shared" si="37"/>
        <v>38.2857142857143</v>
      </c>
      <c r="Z424" s="19"/>
    </row>
    <row r="425" ht="15.6" spans="1:26">
      <c r="A425" s="27">
        <v>306</v>
      </c>
      <c r="B425" s="27">
        <v>22</v>
      </c>
      <c r="C425" s="30" t="s">
        <v>265</v>
      </c>
      <c r="D425" s="28" t="s">
        <v>12</v>
      </c>
      <c r="E425" s="27">
        <v>3.7</v>
      </c>
      <c r="F425" s="29">
        <f>LOOKUP(E425,{0,-1.8,-0.8,0.2,1.2,2.2,3.2,4.6,6,7.4,8.8,10.2,11.6,13,14.4,15.8,17.2,19.1,21,22.8,24.6},{0,10,20,30,40,50,60,62,64,66,68,70,72,74,76,78,80,85,90,95,100})</f>
        <v>60</v>
      </c>
      <c r="G425" s="27">
        <v>219</v>
      </c>
      <c r="H425" s="29">
        <f>LOOKUP(G425,{0,180,185,190,195,200,205,209,213,217,221,225,229,233,237,241,245,253,260,265,270},{0,10,20,30,40,50,60,62,64,66,68,70,72,74,76,78,80,85,90,95,100})</f>
        <v>66</v>
      </c>
      <c r="I425" s="27">
        <v>0</v>
      </c>
      <c r="J425" s="29">
        <f>LOOKUP(I425,{0,4,5,6,7,8,9,10,11,12,13,14,15,16,17,18},{0,10,20,30,40,50,60,64,68,72,76,80,85,90,95,100})</f>
        <v>0</v>
      </c>
      <c r="K425" s="44"/>
      <c r="L425" s="39"/>
      <c r="M425" s="35">
        <f t="shared" si="32"/>
        <v>0</v>
      </c>
      <c r="N425" s="35">
        <v>8.2</v>
      </c>
      <c r="O425" s="36">
        <f t="shared" si="33"/>
        <v>9.8</v>
      </c>
      <c r="P425" s="29">
        <f>LOOKUP(O425,{0,7.8,8,8.2,8.4,8.6,8.8,9,9.2,9.4,9.6,9.8,10,10.2,10.4,10.6,10.8,10.9,11,11.1,11.2},{0,10,20,30,40,50,60,62,64,66,68,70,72,74,76,78,80,85,90,95,100})</f>
        <v>70</v>
      </c>
      <c r="Q425" s="5">
        <v>6.48</v>
      </c>
      <c r="R425" s="36">
        <f t="shared" si="34"/>
        <v>3.52</v>
      </c>
      <c r="S425" s="29">
        <f>LOOKUP(R425,{0,3.85,4.45,4.65,4.85,5.45,5.65,5.7,5.75,5.8,5.85,5.9,5.95,6,6.45,6.5,6.55,6.63,6.7,6.75,6.8},{0,10,20,30,40,50,60,62,64,66,68,70,72,74,76,78,80,85,90,95,100})</f>
        <v>0</v>
      </c>
      <c r="T425" s="27"/>
      <c r="U425" s="27"/>
      <c r="V425" s="27">
        <f t="shared" si="35"/>
        <v>0</v>
      </c>
      <c r="W425" s="27"/>
      <c r="X425" s="19">
        <f t="shared" si="36"/>
        <v>26.6</v>
      </c>
      <c r="Y425" s="13">
        <f t="shared" si="37"/>
        <v>38</v>
      </c>
      <c r="Z425" s="19"/>
    </row>
    <row r="426" ht="15.6" spans="1:26">
      <c r="A426" s="27">
        <v>309</v>
      </c>
      <c r="B426" s="27">
        <v>38</v>
      </c>
      <c r="C426" s="28" t="s">
        <v>445</v>
      </c>
      <c r="D426" s="28" t="s">
        <v>12</v>
      </c>
      <c r="E426" s="27">
        <v>1</v>
      </c>
      <c r="F426" s="29">
        <f>LOOKUP(E426,{0,-1.8,-0.8,0.2,1.2,2.2,3.2,4.6,6,7.4,8.8,10.2,11.6,13,14.4,15.8,17.2,19.1,21,22.8,24.6},{0,10,20,30,40,50,60,62,64,66,68,70,72,74,76,78,80,85,90,95,100})</f>
        <v>30</v>
      </c>
      <c r="G426" s="27">
        <v>215</v>
      </c>
      <c r="H426" s="29">
        <f>LOOKUP(G426,{0,180,185,190,195,200,205,209,213,217,221,225,229,233,237,241,245,253,260,265,270},{0,10,20,30,40,50,60,62,64,66,68,70,72,74,76,78,80,85,90,95,100})</f>
        <v>64</v>
      </c>
      <c r="I426" s="27">
        <v>1</v>
      </c>
      <c r="J426" s="29">
        <f>LOOKUP(I426,{0,4,5,6,7,8,9,10,11,12,13,14,15,16,17,18},{0,10,20,30,40,50,60,64,68,72,76,80,85,90,95,100})</f>
        <v>0</v>
      </c>
      <c r="K426" s="44"/>
      <c r="L426" s="35"/>
      <c r="M426" s="35">
        <f t="shared" si="32"/>
        <v>0</v>
      </c>
      <c r="N426" s="35">
        <v>8.8</v>
      </c>
      <c r="O426" s="36">
        <f t="shared" si="33"/>
        <v>9.2</v>
      </c>
      <c r="P426" s="29">
        <f>LOOKUP(O426,{0,7.8,8,8.2,8.4,8.6,8.8,9,9.2,9.4,9.6,9.8,10,10.2,10.4,10.6,10.8,10.9,11,11.1,11.2},{0,10,20,30,40,50,60,62,64,66,68,70,72,74,76,78,80,85,90,95,100})</f>
        <v>64</v>
      </c>
      <c r="Q426" s="5">
        <v>5.39</v>
      </c>
      <c r="R426" s="36">
        <f t="shared" si="34"/>
        <v>4.61</v>
      </c>
      <c r="S426" s="29">
        <f>LOOKUP(R426,{0,3.85,4.45,4.65,4.85,5.45,5.65,5.7,5.75,5.8,5.85,5.9,5.95,6,6.45,6.5,6.55,6.63,6.7,6.75,6.8},{0,10,20,30,40,50,60,62,64,66,68,70,72,74,76,78,80,85,90,95,100})</f>
        <v>20</v>
      </c>
      <c r="T426" s="27"/>
      <c r="U426" s="27"/>
      <c r="V426" s="27">
        <f t="shared" si="35"/>
        <v>20</v>
      </c>
      <c r="W426" s="27"/>
      <c r="X426" s="19">
        <f t="shared" si="36"/>
        <v>26.2</v>
      </c>
      <c r="Y426" s="13">
        <f t="shared" si="37"/>
        <v>37.4285714285714</v>
      </c>
      <c r="Z426" s="19"/>
    </row>
    <row r="427" ht="15.6" spans="1:26">
      <c r="A427" s="27">
        <v>309</v>
      </c>
      <c r="B427" s="27">
        <v>9</v>
      </c>
      <c r="C427" s="28" t="s">
        <v>413</v>
      </c>
      <c r="D427" s="28" t="s">
        <v>12</v>
      </c>
      <c r="E427" s="27">
        <v>2.5</v>
      </c>
      <c r="F427" s="29">
        <f>LOOKUP(E427,{0,-1.8,-0.8,0.2,1.2,2.2,3.2,4.6,6,7.4,8.8,10.2,11.6,13,14.4,15.8,17.2,19.1,21,22.8,24.6},{0,10,20,30,40,50,60,62,64,66,68,70,72,74,76,78,80,85,90,95,100})</f>
        <v>50</v>
      </c>
      <c r="G427" s="27">
        <v>190</v>
      </c>
      <c r="H427" s="29">
        <f>LOOKUP(G427,{0,180,185,190,195,200,205,209,213,217,221,225,229,233,237,241,245,253,260,265,270},{0,10,20,30,40,50,60,62,64,66,68,70,72,74,76,78,80,85,90,95,100})</f>
        <v>30</v>
      </c>
      <c r="I427" s="27">
        <v>1</v>
      </c>
      <c r="J427" s="29">
        <f>LOOKUP(I427,{0,4,5,6,7,8,9,10,11,12,13,14,15,16,17,18},{0,10,20,30,40,50,60,64,68,72,76,80,85,90,95,100})</f>
        <v>0</v>
      </c>
      <c r="K427" s="44"/>
      <c r="L427" s="35"/>
      <c r="M427" s="35">
        <f t="shared" si="32"/>
        <v>0</v>
      </c>
      <c r="N427" s="35">
        <v>8.3</v>
      </c>
      <c r="O427" s="36">
        <f t="shared" si="33"/>
        <v>9.7</v>
      </c>
      <c r="P427" s="29">
        <f>LOOKUP(O427,{0,7.8,8,8.2,8.4,8.6,8.8,9,9.2,9.4,9.6,9.8,10,10.2,10.4,10.6,10.8,10.9,11,11.1,11.2},{0,10,20,30,40,50,60,62,64,66,68,70,72,74,76,78,80,85,90,95,100})</f>
        <v>68</v>
      </c>
      <c r="Q427" s="5">
        <v>5.39</v>
      </c>
      <c r="R427" s="36">
        <f t="shared" si="34"/>
        <v>4.61</v>
      </c>
      <c r="S427" s="29">
        <f>LOOKUP(R427,{0,3.85,4.45,4.65,4.85,5.45,5.65,5.7,5.75,5.8,5.85,5.9,5.95,6,6.45,6.5,6.55,6.63,6.7,6.75,6.8},{0,10,20,30,40,50,60,62,64,66,68,70,72,74,76,78,80,85,90,95,100})</f>
        <v>20</v>
      </c>
      <c r="T427" s="27"/>
      <c r="U427" s="27"/>
      <c r="V427" s="27">
        <f t="shared" si="35"/>
        <v>20</v>
      </c>
      <c r="W427" s="27"/>
      <c r="X427" s="19">
        <f t="shared" si="36"/>
        <v>25.6</v>
      </c>
      <c r="Y427" s="13">
        <f t="shared" si="37"/>
        <v>36.5714285714286</v>
      </c>
      <c r="Z427" s="20"/>
    </row>
    <row r="428" ht="15.6" spans="1:26">
      <c r="A428" s="27">
        <v>304</v>
      </c>
      <c r="B428" s="27">
        <v>14</v>
      </c>
      <c r="C428" s="27" t="s">
        <v>162</v>
      </c>
      <c r="D428" s="27" t="s">
        <v>12</v>
      </c>
      <c r="E428" s="27">
        <v>-2</v>
      </c>
      <c r="F428" s="29">
        <v>0</v>
      </c>
      <c r="G428" s="27">
        <v>190</v>
      </c>
      <c r="H428" s="29">
        <f>LOOKUP(G428,{0,180,185,190,195,200,205,209,213,217,221,225,229,233,237,241,245,253,260,265,270},{0,10,20,30,40,50,60,62,64,66,68,70,72,74,76,78,80,85,90,95,100})</f>
        <v>30</v>
      </c>
      <c r="I428" s="27">
        <v>1</v>
      </c>
      <c r="J428" s="29">
        <f>LOOKUP(I428,{0,4,5,6,7,8,9,10,11,12,13,14,15,16,17,18},{0,10,20,30,40,50,60,64,68,72,76,80,85,90,95,100})</f>
        <v>0</v>
      </c>
      <c r="K428" s="44"/>
      <c r="L428" s="39"/>
      <c r="M428" s="35">
        <f t="shared" si="32"/>
        <v>0</v>
      </c>
      <c r="N428" s="35">
        <v>8.1</v>
      </c>
      <c r="O428" s="36">
        <f t="shared" si="33"/>
        <v>9.9</v>
      </c>
      <c r="P428" s="29">
        <f>LOOKUP(O428,{0,7.8,8,8.2,8.4,8.6,8.8,9,9.2,9.4,9.6,9.8,10,10.2,10.4,10.6,10.8,10.9,11,11.1,11.2},{0,10,20,30,40,50,60,62,64,66,68,70,72,74,76,78,80,85,90,95,100})</f>
        <v>70</v>
      </c>
      <c r="Q428" s="5">
        <v>5</v>
      </c>
      <c r="R428" s="36">
        <f t="shared" si="34"/>
        <v>5</v>
      </c>
      <c r="S428" s="29">
        <f>LOOKUP(R428,{0,3.85,4.45,4.65,4.85,5.45,5.65,5.7,5.75,5.8,5.85,5.9,5.95,6,6.45,6.5,6.55,6.63,6.7,6.75,6.8},{0,10,20,30,40,50,60,62,64,66,68,70,72,74,76,78,80,85,90,95,100})</f>
        <v>40</v>
      </c>
      <c r="T428" s="27"/>
      <c r="U428" s="27"/>
      <c r="V428" s="27">
        <f t="shared" si="35"/>
        <v>40</v>
      </c>
      <c r="W428" s="27"/>
      <c r="X428" s="19">
        <f t="shared" si="36"/>
        <v>25</v>
      </c>
      <c r="Y428" s="13">
        <f t="shared" si="37"/>
        <v>35.7142857142857</v>
      </c>
      <c r="Z428" s="19"/>
    </row>
    <row r="429" ht="15.6" spans="1:26">
      <c r="A429" s="27">
        <v>310</v>
      </c>
      <c r="B429" s="27">
        <v>16</v>
      </c>
      <c r="C429" s="28" t="s">
        <v>474</v>
      </c>
      <c r="D429" s="28" t="s">
        <v>12</v>
      </c>
      <c r="E429" s="27">
        <v>3.4</v>
      </c>
      <c r="F429" s="29">
        <f>LOOKUP(E429,{0,-1.8,-0.8,0.2,1.2,2.2,3.2,4.6,6,7.4,8.8,10.2,11.6,13,14.4,15.8,17.2,19.1,21,22.8,24.6},{0,10,20,30,40,50,60,62,64,66,68,70,72,74,76,78,80,85,90,95,100})</f>
        <v>60</v>
      </c>
      <c r="G429" s="27">
        <v>202</v>
      </c>
      <c r="H429" s="29">
        <f>LOOKUP(G429,{0,180,185,190,195,200,205,209,213,217,221,225,229,233,237,241,245,253,260,265,270},{0,10,20,30,40,50,60,62,64,66,68,70,72,74,76,78,80,85,90,95,100})</f>
        <v>50</v>
      </c>
      <c r="I429" s="27">
        <v>0</v>
      </c>
      <c r="J429" s="29">
        <f>LOOKUP(I429,{0,4,5,6,7,8,9,10,11,12,13,14,15,16,17,18},{0,10,20,30,40,50,60,64,68,72,76,80,85,90,95,100})</f>
        <v>0</v>
      </c>
      <c r="K429" s="44"/>
      <c r="L429" s="35"/>
      <c r="M429" s="35">
        <f t="shared" si="32"/>
        <v>0</v>
      </c>
      <c r="N429" s="35">
        <v>8.1</v>
      </c>
      <c r="O429" s="36">
        <f t="shared" si="33"/>
        <v>9.9</v>
      </c>
      <c r="P429" s="29">
        <f>LOOKUP(O429,{0,7.8,8,8.2,8.4,8.6,8.8,9,9.2,9.4,9.6,9.8,10,10.2,10.4,10.6,10.8,10.9,11,11.1,11.2},{0,10,20,30,40,50,60,62,64,66,68,70,72,74,76,78,80,85,90,95,100})</f>
        <v>70</v>
      </c>
      <c r="Q429" s="5">
        <v>6.3</v>
      </c>
      <c r="R429" s="36">
        <f t="shared" si="34"/>
        <v>3.7</v>
      </c>
      <c r="S429" s="29">
        <f>LOOKUP(R429,{0,3.85,4.45,4.65,4.85,5.45,5.65,5.7,5.75,5.8,5.85,5.9,5.95,6,6.45,6.5,6.55,6.63,6.7,6.75,6.8},{0,10,20,30,40,50,60,62,64,66,68,70,72,74,76,78,80,85,90,95,100})</f>
        <v>0</v>
      </c>
      <c r="T429" s="27"/>
      <c r="U429" s="27"/>
      <c r="V429" s="27">
        <f t="shared" si="35"/>
        <v>0</v>
      </c>
      <c r="W429" s="27"/>
      <c r="X429" s="19">
        <f t="shared" si="36"/>
        <v>25</v>
      </c>
      <c r="Y429" s="13">
        <f t="shared" si="37"/>
        <v>35.7142857142857</v>
      </c>
      <c r="Z429" s="19"/>
    </row>
    <row r="430" ht="15.6" spans="1:26">
      <c r="A430" s="27">
        <v>302</v>
      </c>
      <c r="B430" s="27">
        <v>3</v>
      </c>
      <c r="C430" s="27" t="s">
        <v>60</v>
      </c>
      <c r="D430" s="27" t="s">
        <v>12</v>
      </c>
      <c r="E430" s="27">
        <v>-4.5</v>
      </c>
      <c r="F430" s="29">
        <v>0</v>
      </c>
      <c r="G430" s="27">
        <v>185</v>
      </c>
      <c r="H430" s="29">
        <f>LOOKUP(G430,{0,180,185,190,195,200,205,209,213,217,221,225,229,233,237,241,245,253,260,265,270},{0,10,20,30,40,50,60,62,64,66,68,70,72,74,76,78,80,85,90,95,100})</f>
        <v>20</v>
      </c>
      <c r="I430" s="27">
        <v>0</v>
      </c>
      <c r="J430" s="29">
        <f>LOOKUP(I430,{0,4,5,6,7,8,9,10,11,12,13,14,15,16,17,18},{0,10,20,30,40,50,60,64,68,72,76,80,85,90,95,100})</f>
        <v>0</v>
      </c>
      <c r="K430" s="44"/>
      <c r="L430" s="35"/>
      <c r="M430" s="35">
        <f t="shared" si="32"/>
        <v>0</v>
      </c>
      <c r="N430" s="35">
        <v>8.8</v>
      </c>
      <c r="O430" s="36">
        <f t="shared" si="33"/>
        <v>9.2</v>
      </c>
      <c r="P430" s="29">
        <f>LOOKUP(O430,{0,7.8,8,8.2,8.4,8.6,8.8,9,9.2,9.4,9.6,9.8,10,10.2,10.4,10.6,10.8,10.9,11,11.1,11.2},{0,10,20,30,40,50,60,62,64,66,68,70,72,74,76,78,80,85,90,95,100})</f>
        <v>64</v>
      </c>
      <c r="Q430" s="5">
        <v>4.54</v>
      </c>
      <c r="R430" s="36">
        <f t="shared" si="34"/>
        <v>5.46</v>
      </c>
      <c r="S430" s="29">
        <f>LOOKUP(R430,{0,3.85,4.45,4.65,4.85,5.45,5.65,5.7,5.75,5.8,5.85,5.9,5.95,6,6.45,6.5,6.55,6.63,6.7,6.75,6.8},{0,10,20,30,40,50,60,62,64,66,68,70,72,74,76,78,80,85,90,95,100})</f>
        <v>50</v>
      </c>
      <c r="T430" s="27"/>
      <c r="U430" s="27"/>
      <c r="V430" s="27">
        <f t="shared" si="35"/>
        <v>50</v>
      </c>
      <c r="W430" s="27"/>
      <c r="X430" s="19">
        <f t="shared" si="36"/>
        <v>24.8</v>
      </c>
      <c r="Y430" s="13">
        <f t="shared" si="37"/>
        <v>35.4285714285714</v>
      </c>
      <c r="Z430" s="19"/>
    </row>
    <row r="431" ht="15.6" spans="1:26">
      <c r="A431" s="27">
        <v>314</v>
      </c>
      <c r="B431" s="27">
        <v>6</v>
      </c>
      <c r="C431" s="28" t="s">
        <v>686</v>
      </c>
      <c r="D431" s="28" t="s">
        <v>12</v>
      </c>
      <c r="E431" s="27">
        <v>-2</v>
      </c>
      <c r="F431" s="29">
        <v>0</v>
      </c>
      <c r="G431" s="27">
        <v>200</v>
      </c>
      <c r="H431" s="29">
        <f>LOOKUP(G431,{0,180,185,190,195,200,205,209,213,217,221,225,229,233,237,241,245,253,260,265,270},{0,10,20,30,40,50,60,62,64,66,68,70,72,74,76,78,80,85,90,95,100})</f>
        <v>50</v>
      </c>
      <c r="I431" s="27">
        <v>0</v>
      </c>
      <c r="J431" s="29">
        <f>LOOKUP(I431,{0,4,5,6,7,8,9,10,11,12,13,14,15,16,17,18},{0,10,20,30,40,50,60,64,68,72,76,80,85,90,95,100})</f>
        <v>0</v>
      </c>
      <c r="K431" s="44"/>
      <c r="L431" s="35"/>
      <c r="M431" s="35">
        <f t="shared" si="32"/>
        <v>0</v>
      </c>
      <c r="N431" s="35">
        <v>8.4</v>
      </c>
      <c r="O431" s="36">
        <f t="shared" si="33"/>
        <v>9.6</v>
      </c>
      <c r="P431" s="29">
        <f>LOOKUP(O431,{0,7.8,8,8.2,8.4,8.6,8.8,9,9.2,9.4,9.6,9.8,10,10.2,10.4,10.6,10.8,10.9,11,11.1,11.2},{0,10,20,30,40,50,60,62,64,66,68,70,72,74,76,78,80,85,90,95,100})</f>
        <v>68</v>
      </c>
      <c r="Q431" s="5">
        <v>5.28</v>
      </c>
      <c r="R431" s="36">
        <f t="shared" si="34"/>
        <v>4.72</v>
      </c>
      <c r="S431" s="29">
        <f>LOOKUP(R431,{0,3.85,4.45,4.65,4.85,5.45,5.65,5.7,5.75,5.8,5.85,5.9,5.95,6,6.45,6.5,6.55,6.63,6.7,6.75,6.8},{0,10,20,30,40,50,60,62,64,66,68,70,72,74,76,78,80,85,90,95,100})</f>
        <v>30</v>
      </c>
      <c r="T431" s="27"/>
      <c r="U431" s="27"/>
      <c r="V431" s="27">
        <f t="shared" si="35"/>
        <v>30</v>
      </c>
      <c r="W431" s="27"/>
      <c r="X431" s="19">
        <f t="shared" si="36"/>
        <v>24.6</v>
      </c>
      <c r="Y431" s="13">
        <f t="shared" si="37"/>
        <v>35.1428571428571</v>
      </c>
      <c r="Z431" s="19"/>
    </row>
    <row r="432" ht="15.6" spans="1:26">
      <c r="A432" s="27">
        <v>301</v>
      </c>
      <c r="B432" s="27">
        <v>4</v>
      </c>
      <c r="C432" s="27" t="s">
        <v>15</v>
      </c>
      <c r="D432" s="27" t="s">
        <v>12</v>
      </c>
      <c r="E432" s="27">
        <v>5</v>
      </c>
      <c r="F432" s="29">
        <f>LOOKUP(E432,{0,-1.8,-0.8,0.2,1.2,2.2,3.2,4.6,6,7.4,8.8,10.2,11.6,13,14.4,15.8,17.2,19.1,21,22.8,24.6},{0,10,20,30,40,50,60,62,64,66,68,70,72,74,76,78,80,85,90,95,100})</f>
        <v>62</v>
      </c>
      <c r="G432" s="27">
        <v>200</v>
      </c>
      <c r="H432" s="29">
        <f>LOOKUP(G432,{0,180,185,190,195,200,205,209,213,217,221,225,229,233,237,241,245,253,260,265,270},{0,10,20,30,40,50,60,62,64,66,68,70,72,74,76,78,80,85,90,95,100})</f>
        <v>50</v>
      </c>
      <c r="I432" s="27">
        <v>1</v>
      </c>
      <c r="J432" s="29">
        <f>LOOKUP(I432,{0,4,5,6,7,8,9,10,11,12,13,14,15,16,17,18},{0,10,20,30,40,50,60,64,68,72,76,80,85,90,95,100})</f>
        <v>0</v>
      </c>
      <c r="K432" s="44"/>
      <c r="L432" s="35"/>
      <c r="M432" s="35">
        <f t="shared" si="32"/>
        <v>0</v>
      </c>
      <c r="N432" s="35">
        <v>10</v>
      </c>
      <c r="O432" s="36">
        <f t="shared" si="33"/>
        <v>8</v>
      </c>
      <c r="P432" s="29">
        <f>LOOKUP(O432,{0,7.8,8,8.2,8.4,8.6,8.8,9,9.2,9.4,9.6,9.8,10,10.2,10.4,10.6,10.8,10.9,11,11.1,11.2},{0,10,20,30,40,50,60,62,64,66,68,70,72,74,76,78,80,85,90,95,100})</f>
        <v>20</v>
      </c>
      <c r="Q432" s="5">
        <v>5.03</v>
      </c>
      <c r="R432" s="36">
        <f t="shared" si="34"/>
        <v>4.97</v>
      </c>
      <c r="S432" s="29">
        <f>LOOKUP(R432,{0,3.85,4.45,4.65,4.85,5.45,5.65,5.7,5.75,5.8,5.85,5.9,5.95,6,6.45,6.5,6.55,6.63,6.7,6.75,6.8},{0,10,20,30,40,50,60,62,64,66,68,70,72,74,76,78,80,85,90,95,100})</f>
        <v>40</v>
      </c>
      <c r="T432" s="27"/>
      <c r="U432" s="27"/>
      <c r="V432" s="27">
        <f t="shared" si="35"/>
        <v>40</v>
      </c>
      <c r="W432" s="27"/>
      <c r="X432" s="19">
        <f t="shared" si="36"/>
        <v>23.2</v>
      </c>
      <c r="Y432" s="13">
        <f t="shared" si="37"/>
        <v>33.1428571428571</v>
      </c>
      <c r="Z432" s="19"/>
    </row>
    <row r="433" ht="15.6" spans="1:26">
      <c r="A433" s="27">
        <v>310</v>
      </c>
      <c r="B433" s="27">
        <v>18</v>
      </c>
      <c r="C433" s="28" t="s">
        <v>476</v>
      </c>
      <c r="D433" s="28" t="s">
        <v>12</v>
      </c>
      <c r="E433" s="27">
        <v>0.8</v>
      </c>
      <c r="F433" s="29">
        <f>LOOKUP(E433,{0,-1.8,-0.8,0.2,1.2,2.2,3.2,4.6,6,7.4,8.8,10.2,11.6,13,14.4,15.8,17.2,19.1,21,22.8,24.6},{0,10,20,30,40,50,60,62,64,66,68,70,72,74,76,78,80,85,90,95,100})</f>
        <v>30</v>
      </c>
      <c r="G433" s="27">
        <v>210</v>
      </c>
      <c r="H433" s="29">
        <f>LOOKUP(G433,{0,180,185,190,195,200,205,209,213,217,221,225,229,233,237,241,245,253,260,265,270},{0,10,20,30,40,50,60,62,64,66,68,70,72,74,76,78,80,85,90,95,100})</f>
        <v>62</v>
      </c>
      <c r="I433" s="27">
        <v>0</v>
      </c>
      <c r="J433" s="29">
        <f>LOOKUP(I433,{0,4,5,6,7,8,9,10,11,12,13,14,15,16,17,18},{0,10,20,30,40,50,60,64,68,72,76,80,85,90,95,100})</f>
        <v>0</v>
      </c>
      <c r="K433" s="44"/>
      <c r="L433" s="35"/>
      <c r="M433" s="35">
        <f t="shared" si="32"/>
        <v>0</v>
      </c>
      <c r="N433" s="35">
        <v>8.2</v>
      </c>
      <c r="O433" s="36">
        <f t="shared" si="33"/>
        <v>9.8</v>
      </c>
      <c r="P433" s="29">
        <f>LOOKUP(O433,{0,7.8,8,8.2,8.4,8.6,8.8,9,9.2,9.4,9.6,9.8,10,10.2,10.4,10.6,10.8,10.9,11,11.1,11.2},{0,10,20,30,40,50,60,62,64,66,68,70,72,74,76,78,80,85,90,95,100})</f>
        <v>70</v>
      </c>
      <c r="Q433" s="5">
        <v>6.33</v>
      </c>
      <c r="R433" s="36">
        <f t="shared" si="34"/>
        <v>3.67</v>
      </c>
      <c r="S433" s="29">
        <f>LOOKUP(R433,{0,3.85,4.45,4.65,4.85,5.45,5.65,5.7,5.75,5.8,5.85,5.9,5.95,6,6.45,6.5,6.55,6.63,6.7,6.75,6.8},{0,10,20,30,40,50,60,62,64,66,68,70,72,74,76,78,80,85,90,95,100})</f>
        <v>0</v>
      </c>
      <c r="T433" s="27"/>
      <c r="U433" s="27"/>
      <c r="V433" s="27">
        <f t="shared" si="35"/>
        <v>0</v>
      </c>
      <c r="W433" s="27"/>
      <c r="X433" s="19">
        <f t="shared" si="36"/>
        <v>23.2</v>
      </c>
      <c r="Y433" s="13">
        <f t="shared" si="37"/>
        <v>33.1428571428571</v>
      </c>
      <c r="Z433" s="19"/>
    </row>
    <row r="434" ht="15.6" spans="1:26">
      <c r="A434" s="27">
        <v>310</v>
      </c>
      <c r="B434" s="27">
        <v>27</v>
      </c>
      <c r="C434" s="28" t="s">
        <v>486</v>
      </c>
      <c r="D434" s="28" t="s">
        <v>12</v>
      </c>
      <c r="E434" s="27">
        <v>-8</v>
      </c>
      <c r="F434" s="29">
        <v>0</v>
      </c>
      <c r="G434" s="27">
        <v>210</v>
      </c>
      <c r="H434" s="29">
        <f>LOOKUP(G434,{0,180,185,190,195,200,205,209,213,217,221,225,229,233,237,241,245,253,260,265,270},{0,10,20,30,40,50,60,62,64,66,68,70,72,74,76,78,80,85,90,95,100})</f>
        <v>62</v>
      </c>
      <c r="I434" s="27">
        <v>0</v>
      </c>
      <c r="J434" s="29">
        <f>LOOKUP(I434,{0,4,5,6,7,8,9,10,11,12,13,14,15,16,17,18},{0,10,20,30,40,50,60,64,68,72,76,80,85,90,95,100})</f>
        <v>0</v>
      </c>
      <c r="K434" s="44"/>
      <c r="L434" s="35"/>
      <c r="M434" s="35">
        <f t="shared" si="32"/>
        <v>0</v>
      </c>
      <c r="N434" s="35">
        <v>7.7</v>
      </c>
      <c r="O434" s="36">
        <f t="shared" si="33"/>
        <v>10.3</v>
      </c>
      <c r="P434" s="29">
        <f>LOOKUP(O434,{0,7.8,8,8.2,8.4,8.6,8.8,9,9.2,9.4,9.6,9.8,10,10.2,10.4,10.6,10.8,10.9,11,11.1,11.2},{0,10,20,30,40,50,60,62,64,66,68,70,72,74,76,78,80,85,90,95,100})</f>
        <v>74</v>
      </c>
      <c r="Q434" s="5">
        <v>6.12</v>
      </c>
      <c r="R434" s="36">
        <f t="shared" si="34"/>
        <v>3.88</v>
      </c>
      <c r="S434" s="29">
        <f>LOOKUP(R434,{0,3.85,4.45,4.65,4.85,5.45,5.65,5.7,5.75,5.8,5.85,5.9,5.95,6,6.45,6.5,6.55,6.63,6.7,6.75,6.8},{0,10,20,30,40,50,60,62,64,66,68,70,72,74,76,78,80,85,90,95,100})</f>
        <v>10</v>
      </c>
      <c r="T434" s="27"/>
      <c r="U434" s="27"/>
      <c r="V434" s="27">
        <f t="shared" si="35"/>
        <v>10</v>
      </c>
      <c r="W434" s="27"/>
      <c r="X434" s="19">
        <f t="shared" si="36"/>
        <v>23</v>
      </c>
      <c r="Y434" s="13">
        <f t="shared" si="37"/>
        <v>32.8571428571429</v>
      </c>
      <c r="Z434" s="19"/>
    </row>
    <row r="435" ht="15.6" spans="1:26">
      <c r="A435" s="27">
        <v>310</v>
      </c>
      <c r="B435" s="27">
        <v>11</v>
      </c>
      <c r="C435" s="30" t="s">
        <v>469</v>
      </c>
      <c r="D435" s="28" t="s">
        <v>12</v>
      </c>
      <c r="E435" s="27">
        <v>0</v>
      </c>
      <c r="F435" s="29">
        <f>LOOKUP(E435,{0,-1.8,-0.8,0.2,1.2,2.2,3.2,4.6,6,7.4,8.8,10.2,11.6,13,14.4,15.8,17.2,19.1,21,22.8,24.6},{0,10,20,30,40,50,60,62,64,66,68,70,72,74,76,78,80,85,90,95,100})</f>
        <v>20</v>
      </c>
      <c r="G435" s="27">
        <v>185</v>
      </c>
      <c r="H435" s="29">
        <f>LOOKUP(G435,{0,180,185,190,195,200,205,209,213,217,221,225,229,233,237,241,245,253,260,265,270},{0,10,20,30,40,50,60,62,64,66,68,70,72,74,76,78,80,85,90,95,100})</f>
        <v>20</v>
      </c>
      <c r="I435" s="27">
        <v>1</v>
      </c>
      <c r="J435" s="29">
        <f>LOOKUP(I435,{0,4,5,6,7,8,9,10,11,12,13,14,15,16,17,18},{0,10,20,30,40,50,60,64,68,72,76,80,85,90,95,100})</f>
        <v>0</v>
      </c>
      <c r="K435" s="44"/>
      <c r="L435" s="35"/>
      <c r="M435" s="35">
        <f t="shared" si="32"/>
        <v>0</v>
      </c>
      <c r="N435" s="35">
        <v>8</v>
      </c>
      <c r="O435" s="36">
        <f t="shared" si="33"/>
        <v>10</v>
      </c>
      <c r="P435" s="29">
        <f>LOOKUP(O435,{0,7.8,8,8.2,8.4,8.6,8.8,9,9.2,9.4,9.6,9.8,10,10.2,10.4,10.6,10.8,10.9,11,11.1,11.2},{0,10,20,30,40,50,60,62,64,66,68,70,72,74,76,78,80,85,90,95,100})</f>
        <v>72</v>
      </c>
      <c r="Q435" s="5">
        <v>5.41</v>
      </c>
      <c r="R435" s="36">
        <f t="shared" si="34"/>
        <v>4.59</v>
      </c>
      <c r="S435" s="29">
        <f>LOOKUP(R435,{0,3.85,4.45,4.65,4.85,5.45,5.65,5.7,5.75,5.8,5.85,5.9,5.95,6,6.45,6.5,6.55,6.63,6.7,6.75,6.8},{0,10,20,30,40,50,60,62,64,66,68,70,72,74,76,78,80,85,90,95,100})</f>
        <v>20</v>
      </c>
      <c r="T435" s="27"/>
      <c r="U435" s="27"/>
      <c r="V435" s="27">
        <f t="shared" si="35"/>
        <v>20</v>
      </c>
      <c r="W435" s="27"/>
      <c r="X435" s="19">
        <f t="shared" si="36"/>
        <v>22.4</v>
      </c>
      <c r="Y435" s="13">
        <f t="shared" si="37"/>
        <v>32</v>
      </c>
      <c r="Z435" s="19"/>
    </row>
    <row r="436" ht="15.6" spans="1:26">
      <c r="A436" s="27">
        <v>301</v>
      </c>
      <c r="B436" s="27">
        <v>5</v>
      </c>
      <c r="C436" s="27" t="s">
        <v>16</v>
      </c>
      <c r="D436" s="27" t="s">
        <v>12</v>
      </c>
      <c r="E436" s="27">
        <v>1</v>
      </c>
      <c r="F436" s="29">
        <f>LOOKUP(E436,{0,-1.8,-0.8,0.2,1.2,2.2,3.2,4.6,6,7.4,8.8,10.2,11.6,13,14.4,15.8,17.2,19.1,21,22.8,24.6},{0,10,20,30,40,50,60,62,64,66,68,70,72,74,76,78,80,85,90,95,100})</f>
        <v>30</v>
      </c>
      <c r="G436" s="27">
        <v>170</v>
      </c>
      <c r="H436" s="29">
        <f>LOOKUP(G436,{0,180,185,190,195,200,205,209,213,217,221,225,229,233,237,241,245,253,260,265,270},{0,10,20,30,40,50,60,62,64,66,68,70,72,74,76,78,80,85,90,95,100})</f>
        <v>0</v>
      </c>
      <c r="I436" s="27">
        <v>0</v>
      </c>
      <c r="J436" s="29">
        <f>LOOKUP(I436,{0,4,5,6,7,8,9,10,11,12,13,14,15,16,17,18},{0,10,20,30,40,50,60,64,68,72,76,80,85,90,95,100})</f>
        <v>0</v>
      </c>
      <c r="K436" s="44"/>
      <c r="L436" s="35"/>
      <c r="M436" s="35">
        <f t="shared" si="32"/>
        <v>0</v>
      </c>
      <c r="N436" s="35">
        <v>9.2</v>
      </c>
      <c r="O436" s="36">
        <f t="shared" si="33"/>
        <v>8.8</v>
      </c>
      <c r="P436" s="29">
        <f>LOOKUP(O436,{0,7.8,8,8.2,8.4,8.6,8.8,9,9.2,9.4,9.6,9.8,10,10.2,10.4,10.6,10.8,10.9,11,11.1,11.2},{0,10,20,30,40,50,60,62,64,66,68,70,72,74,76,78,80,85,90,95,100})</f>
        <v>60</v>
      </c>
      <c r="Q436" s="5">
        <v>5.27</v>
      </c>
      <c r="R436" s="36">
        <f t="shared" si="34"/>
        <v>4.73</v>
      </c>
      <c r="S436" s="29">
        <f>LOOKUP(R436,{0,3.85,4.45,4.65,4.85,5.45,5.65,5.7,5.75,5.8,5.85,5.9,5.95,6,6.45,6.5,6.55,6.63,6.7,6.75,6.8},{0,10,20,30,40,50,60,62,64,66,68,70,72,74,76,78,80,85,90,95,100})</f>
        <v>30</v>
      </c>
      <c r="T436" s="27"/>
      <c r="U436" s="27"/>
      <c r="V436" s="27">
        <f t="shared" si="35"/>
        <v>30</v>
      </c>
      <c r="W436" s="27"/>
      <c r="X436" s="19">
        <f t="shared" si="36"/>
        <v>21</v>
      </c>
      <c r="Y436" s="13">
        <f t="shared" si="37"/>
        <v>30</v>
      </c>
      <c r="Z436" s="19"/>
    </row>
    <row r="437" ht="15.6" spans="1:26">
      <c r="A437" s="27">
        <v>310</v>
      </c>
      <c r="B437" s="27">
        <v>15</v>
      </c>
      <c r="C437" s="28" t="s">
        <v>473</v>
      </c>
      <c r="D437" s="28" t="s">
        <v>12</v>
      </c>
      <c r="E437" s="27">
        <v>11.6</v>
      </c>
      <c r="F437" s="29">
        <f>LOOKUP(E437,{0,-1.8,-0.8,0.2,1.2,2.2,3.2,4.6,6,7.4,8.8,10.2,11.6,13,14.4,15.8,17.2,19.1,21,22.8,24.6},{0,10,20,30,40,50,60,62,64,66,68,70,72,74,76,78,80,85,90,95,100})</f>
        <v>72</v>
      </c>
      <c r="G437" s="27">
        <v>200</v>
      </c>
      <c r="H437" s="29">
        <f>LOOKUP(G437,{0,180,185,190,195,200,205,209,213,217,221,225,229,233,237,241,245,253,260,265,270},{0,10,20,30,40,50,60,62,64,66,68,70,72,74,76,78,80,85,90,95,100})</f>
        <v>50</v>
      </c>
      <c r="I437" s="27">
        <v>0</v>
      </c>
      <c r="J437" s="29">
        <f>LOOKUP(I437,{0,4,5,6,7,8,9,10,11,12,13,14,15,16,17,18},{0,10,20,30,40,50,60,64,68,72,76,80,85,90,95,100})</f>
        <v>0</v>
      </c>
      <c r="K437" s="44"/>
      <c r="L437" s="35"/>
      <c r="M437" s="35">
        <f t="shared" si="32"/>
        <v>0</v>
      </c>
      <c r="N437" s="35">
        <v>9.5</v>
      </c>
      <c r="O437" s="36">
        <f t="shared" si="33"/>
        <v>8.5</v>
      </c>
      <c r="P437" s="29">
        <f>LOOKUP(O437,{0,7.8,8,8.2,8.4,8.6,8.8,9,9.2,9.4,9.6,9.8,10,10.2,10.4,10.6,10.8,10.9,11,11.1,11.2},{0,10,20,30,40,50,60,62,64,66,68,70,72,74,76,78,80,85,90,95,100})</f>
        <v>40</v>
      </c>
      <c r="Q437" s="5">
        <v>6.33</v>
      </c>
      <c r="R437" s="36">
        <f t="shared" si="34"/>
        <v>3.67</v>
      </c>
      <c r="S437" s="29">
        <f>LOOKUP(R437,{0,3.85,4.45,4.65,4.85,5.45,5.65,5.7,5.75,5.8,5.85,5.9,5.95,6,6.45,6.5,6.55,6.63,6.7,6.75,6.8},{0,10,20,30,40,50,60,62,64,66,68,70,72,74,76,78,80,85,90,95,100})</f>
        <v>0</v>
      </c>
      <c r="T437" s="27"/>
      <c r="U437" s="27"/>
      <c r="V437" s="27">
        <f t="shared" si="35"/>
        <v>0</v>
      </c>
      <c r="W437" s="27"/>
      <c r="X437" s="19">
        <f t="shared" si="36"/>
        <v>20.2</v>
      </c>
      <c r="Y437" s="13">
        <f t="shared" si="37"/>
        <v>28.8571428571429</v>
      </c>
      <c r="Z437" s="19"/>
    </row>
    <row r="438" ht="15.6" spans="1:26">
      <c r="A438" s="27">
        <v>306</v>
      </c>
      <c r="B438" s="27">
        <v>26</v>
      </c>
      <c r="C438" s="28" t="s">
        <v>269</v>
      </c>
      <c r="D438" s="28" t="s">
        <v>12</v>
      </c>
      <c r="E438" s="27">
        <v>9.2</v>
      </c>
      <c r="F438" s="29">
        <f>LOOKUP(E438,{0,-1.8,-0.8,0.2,1.2,2.2,3.2,4.6,6,7.4,8.8,10.2,11.6,13,14.4,15.8,17.2,19.1,21,22.8,24.6},{0,10,20,30,40,50,60,62,64,66,68,70,72,74,76,78,80,85,90,95,100})</f>
        <v>68</v>
      </c>
      <c r="G438" s="27">
        <v>229</v>
      </c>
      <c r="H438" s="29">
        <f>LOOKUP(G438,{0,180,185,190,195,200,205,209,213,217,221,225,229,233,237,241,245,253,260,265,270},{0,10,20,30,40,50,60,62,64,66,68,70,72,74,76,78,80,85,90,95,100})</f>
        <v>72</v>
      </c>
      <c r="I438" s="27">
        <v>1</v>
      </c>
      <c r="J438" s="29">
        <f>LOOKUP(I438,{0,4,5,6,7,8,9,10,11,12,13,14,15,16,17,18},{0,10,20,30,40,50,60,64,68,72,76,80,85,90,95,100})</f>
        <v>0</v>
      </c>
      <c r="K438" s="44"/>
      <c r="L438" s="35"/>
      <c r="M438" s="35">
        <f t="shared" si="32"/>
        <v>0</v>
      </c>
      <c r="N438" s="35">
        <v>15</v>
      </c>
      <c r="O438" s="36">
        <f t="shared" si="33"/>
        <v>3</v>
      </c>
      <c r="P438" s="29">
        <f>LOOKUP(O438,{0,7.8,8,8.2,8.4,8.6,8.8,9,9.2,9.4,9.6,9.8,10,10.2,10.4,10.6,10.8,10.9,11,11.1,11.2},{0,10,20,30,40,50,60,62,64,66,68,70,72,74,76,78,80,85,90,95,100})</f>
        <v>0</v>
      </c>
      <c r="Q438" s="5">
        <v>12.4</v>
      </c>
      <c r="R438" s="36">
        <f t="shared" si="34"/>
        <v>-2.4</v>
      </c>
      <c r="S438" s="29">
        <v>0</v>
      </c>
      <c r="T438" s="27"/>
      <c r="U438" s="27"/>
      <c r="V438" s="27">
        <f t="shared" si="35"/>
        <v>0</v>
      </c>
      <c r="W438" s="27"/>
      <c r="X438" s="19">
        <f t="shared" si="36"/>
        <v>14</v>
      </c>
      <c r="Y438" s="13">
        <f t="shared" si="37"/>
        <v>20</v>
      </c>
      <c r="Z438" s="19"/>
    </row>
  </sheetData>
  <autoFilter ref="A1:Z438">
    <extLst/>
  </autoFilter>
  <sortState ref="A2:Y438">
    <sortCondition ref="Y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5"/>
  <sheetViews>
    <sheetView workbookViewId="0">
      <selection activeCell="A1" sqref="A1:Y455"/>
    </sheetView>
  </sheetViews>
  <sheetFormatPr defaultColWidth="9" defaultRowHeight="14.4"/>
  <cols>
    <col min="6" max="6" width="12.6296296296296"/>
    <col min="8" max="8" width="12.6296296296296"/>
    <col min="10" max="10" width="12.6296296296296"/>
    <col min="16" max="16" width="12.6296296296296"/>
    <col min="19" max="19" width="12.6296296296296"/>
    <col min="22" max="22" width="12.6296296296296"/>
    <col min="24" max="25" width="12.6296296296296"/>
  </cols>
  <sheetData>
    <row r="1" spans="1:25">
      <c r="A1" s="2" t="s">
        <v>1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840</v>
      </c>
      <c r="G1" s="4" t="s">
        <v>6</v>
      </c>
      <c r="H1" s="4" t="s">
        <v>841</v>
      </c>
      <c r="I1" s="4" t="s">
        <v>7</v>
      </c>
      <c r="J1" s="4" t="s">
        <v>842</v>
      </c>
      <c r="K1" s="4" t="s">
        <v>843</v>
      </c>
      <c r="L1" s="4" t="s">
        <v>844</v>
      </c>
      <c r="M1" s="4" t="s">
        <v>845</v>
      </c>
      <c r="N1" s="4" t="s">
        <v>8</v>
      </c>
      <c r="O1" s="4" t="s">
        <v>846</v>
      </c>
      <c r="P1" s="4" t="s">
        <v>847</v>
      </c>
      <c r="Q1" s="4" t="s">
        <v>9</v>
      </c>
      <c r="R1" s="2" t="s">
        <v>846</v>
      </c>
      <c r="S1" s="2" t="s">
        <v>848</v>
      </c>
      <c r="T1" s="4" t="s">
        <v>843</v>
      </c>
      <c r="U1" s="4" t="s">
        <v>844</v>
      </c>
      <c r="V1" s="2" t="s">
        <v>849</v>
      </c>
      <c r="W1" s="2" t="s">
        <v>10</v>
      </c>
      <c r="X1" s="12" t="s">
        <v>850</v>
      </c>
      <c r="Y1" s="15" t="s">
        <v>851</v>
      </c>
    </row>
    <row r="2" ht="15.6" hidden="1" outlineLevel="2" spans="1:25">
      <c r="A2" s="5">
        <v>301</v>
      </c>
      <c r="B2" s="5">
        <v>1</v>
      </c>
      <c r="C2" s="6" t="s">
        <v>11</v>
      </c>
      <c r="D2" s="5" t="s">
        <v>12</v>
      </c>
      <c r="E2" s="5">
        <v>-2</v>
      </c>
      <c r="F2" s="7">
        <v>0</v>
      </c>
      <c r="G2" s="5">
        <v>250</v>
      </c>
      <c r="H2" s="7">
        <f>LOOKUP(G2,{0,180,185,190,195,200,205,209,213,217,221,225,229,233,237,241,245,253,260,265,270},{0,10,20,30,40,50,60,62,64,66,68,70,72,74,76,78,80,85,90,95,100})</f>
        <v>80</v>
      </c>
      <c r="I2" s="5">
        <v>6</v>
      </c>
      <c r="J2" s="7">
        <f>LOOKUP(I2,{0,4,5,6,7,8,9,10,11,12,13,14,15,16,17,18},{0,10,20,30,40,50,60,64,68,72,76,80,85,90,95,100})</f>
        <v>30</v>
      </c>
      <c r="K2" s="5"/>
      <c r="L2" s="5"/>
      <c r="M2" s="5">
        <f t="shared" ref="M2:M28" si="0">J2+L2</f>
        <v>30</v>
      </c>
      <c r="N2" s="5">
        <v>7.2</v>
      </c>
      <c r="O2" s="10">
        <f t="shared" ref="O2:O28" si="1">18-N2</f>
        <v>10.8</v>
      </c>
      <c r="P2" s="7">
        <f>LOOKUP(O2,{0,7.8,8,8.2,8.4,8.6,8.8,9,9.2,9.4,9.6,9.8,10,10.2,10.4,10.6,10.8,10.9,11,11.1,11.2},{0,10,20,30,40,50,60,62,64,66,68,70,72,74,76,78,80,85,90,95,100})</f>
        <v>80</v>
      </c>
      <c r="Q2" s="5">
        <v>3.39</v>
      </c>
      <c r="R2" s="10">
        <f t="shared" ref="R2:R28" si="2">10-Q2</f>
        <v>6.61</v>
      </c>
      <c r="S2" s="7">
        <f>LOOKUP(R2,{0,3.85,4.45,4.65,4.85,5.45,5.65,5.7,5.75,5.8,5.85,5.9,5.95,6,6.45,6.5,6.55,6.63,6.7,6.75,6.8},{0,10,20,30,40,50,60,62,64,66,68,70,72,74,76,78,80,85,90,95,100})</f>
        <v>80</v>
      </c>
      <c r="T2" s="5"/>
      <c r="U2" s="5"/>
      <c r="V2" s="5">
        <f t="shared" ref="V2:V28" si="3">S2+U2</f>
        <v>80</v>
      </c>
      <c r="W2" s="5"/>
      <c r="X2" s="13">
        <f t="shared" ref="X2:X28" si="4">F2*0.1+H2*0.1+J2*0.1+P2*0.2+S2*0.2</f>
        <v>43</v>
      </c>
      <c r="Y2" s="13">
        <f t="shared" ref="Y2:Y28" si="5">X2/0.7+L2+U2</f>
        <v>61.4285714285714</v>
      </c>
    </row>
    <row r="3" ht="15.6" hidden="1" outlineLevel="2" spans="1:25">
      <c r="A3" s="5">
        <v>301</v>
      </c>
      <c r="B3" s="5">
        <v>2</v>
      </c>
      <c r="C3" s="5" t="s">
        <v>13</v>
      </c>
      <c r="D3" s="5" t="s">
        <v>12</v>
      </c>
      <c r="E3" s="5">
        <v>-5</v>
      </c>
      <c r="F3" s="7">
        <v>0</v>
      </c>
      <c r="G3" s="5">
        <v>200</v>
      </c>
      <c r="H3" s="7">
        <f>LOOKUP(G3,{0,180,185,190,195,200,205,209,213,217,221,225,229,233,237,241,245,253,260,265,270},{0,10,20,30,40,50,60,62,64,66,68,70,72,74,76,78,80,85,90,95,100})</f>
        <v>50</v>
      </c>
      <c r="I3" s="5">
        <v>0</v>
      </c>
      <c r="J3" s="7">
        <f>LOOKUP(I3,{0,4,5,6,7,8,9,10,11,12,13,14,15,16,17,18},{0,10,20,30,40,50,60,64,68,72,76,80,85,90,95,100})</f>
        <v>0</v>
      </c>
      <c r="K3" s="5"/>
      <c r="L3" s="5"/>
      <c r="M3" s="5">
        <f t="shared" si="0"/>
        <v>0</v>
      </c>
      <c r="N3" s="5">
        <v>7.2</v>
      </c>
      <c r="O3" s="10">
        <f t="shared" si="1"/>
        <v>10.8</v>
      </c>
      <c r="P3" s="7">
        <f>LOOKUP(O3,{0,7.8,8,8.2,8.4,8.6,8.8,9,9.2,9.4,9.6,9.8,10,10.2,10.4,10.6,10.8,10.9,11,11.1,11.2},{0,10,20,30,40,50,60,62,64,66,68,70,72,74,76,78,80,85,90,95,100})</f>
        <v>80</v>
      </c>
      <c r="Q3" s="5">
        <v>5.08</v>
      </c>
      <c r="R3" s="10">
        <f t="shared" si="2"/>
        <v>4.92</v>
      </c>
      <c r="S3" s="7">
        <f>LOOKUP(R3,{0,3.85,4.45,4.65,4.85,5.45,5.65,5.7,5.75,5.8,5.85,5.9,5.95,6,6.45,6.5,6.55,6.63,6.7,6.75,6.8},{0,10,20,30,40,50,60,62,64,66,68,70,72,74,76,78,80,85,90,95,100})</f>
        <v>40</v>
      </c>
      <c r="T3" s="5"/>
      <c r="U3" s="5"/>
      <c r="V3" s="5">
        <f t="shared" si="3"/>
        <v>40</v>
      </c>
      <c r="W3" s="5"/>
      <c r="X3" s="13">
        <f t="shared" si="4"/>
        <v>29</v>
      </c>
      <c r="Y3" s="13">
        <f t="shared" si="5"/>
        <v>41.4285714285714</v>
      </c>
    </row>
    <row r="4" ht="15.6" hidden="1" outlineLevel="2" spans="1:25">
      <c r="A4" s="5">
        <v>301</v>
      </c>
      <c r="B4" s="5">
        <v>3</v>
      </c>
      <c r="C4" s="5" t="s">
        <v>14</v>
      </c>
      <c r="D4" s="5" t="s">
        <v>12</v>
      </c>
      <c r="E4" s="5">
        <v>3.5</v>
      </c>
      <c r="F4" s="7">
        <f>LOOKUP(E4,{0,-1.8,-0.8,0.2,1.2,2.2,3.2,4.6,6,7.4,8.8,10.2,11.6,13,14.4,15.8,17.2,19.1,21,22.8,24.6},{0,10,20,30,40,50,60,62,64,66,68,70,72,74,76,78,80,85,90,95,100})</f>
        <v>60</v>
      </c>
      <c r="G4" s="5">
        <v>190</v>
      </c>
      <c r="H4" s="7">
        <f>LOOKUP(G4,{0,180,185,190,195,200,205,209,213,217,221,225,229,233,237,241,245,253,260,265,270},{0,10,20,30,40,50,60,62,64,66,68,70,72,74,76,78,80,85,90,95,100})</f>
        <v>30</v>
      </c>
      <c r="I4" s="5">
        <v>1</v>
      </c>
      <c r="J4" s="7">
        <f>LOOKUP(I4,{0,4,5,6,7,8,9,10,11,12,13,14,15,16,17,18},{0,10,20,30,40,50,60,64,68,72,76,80,85,90,95,100})</f>
        <v>0</v>
      </c>
      <c r="K4" s="5"/>
      <c r="L4" s="5"/>
      <c r="M4" s="5">
        <f t="shared" si="0"/>
        <v>0</v>
      </c>
      <c r="N4" s="5">
        <v>8.3</v>
      </c>
      <c r="O4" s="10">
        <f t="shared" si="1"/>
        <v>9.7</v>
      </c>
      <c r="P4" s="7">
        <f>LOOKUP(O4,{0,7.8,8,8.2,8.4,8.6,8.8,9,9.2,9.4,9.6,9.8,10,10.2,10.4,10.6,10.8,10.9,11,11.1,11.2},{0,10,20,30,40,50,60,62,64,66,68,70,72,74,76,78,80,85,90,95,100})</f>
        <v>68</v>
      </c>
      <c r="Q4" s="5">
        <v>5.27</v>
      </c>
      <c r="R4" s="10">
        <f t="shared" si="2"/>
        <v>4.73</v>
      </c>
      <c r="S4" s="7">
        <f>LOOKUP(R4,{0,3.85,4.45,4.65,4.85,5.45,5.65,5.7,5.75,5.8,5.85,5.9,5.95,6,6.45,6.5,6.55,6.63,6.7,6.75,6.8},{0,10,20,30,40,50,60,62,64,66,68,70,72,74,76,78,80,85,90,95,100})</f>
        <v>30</v>
      </c>
      <c r="T4" s="5"/>
      <c r="U4" s="5"/>
      <c r="V4" s="5">
        <f t="shared" si="3"/>
        <v>30</v>
      </c>
      <c r="W4" s="5"/>
      <c r="X4" s="13">
        <f t="shared" si="4"/>
        <v>28.6</v>
      </c>
      <c r="Y4" s="13">
        <f t="shared" si="5"/>
        <v>40.8571428571429</v>
      </c>
    </row>
    <row r="5" ht="15.6" hidden="1" outlineLevel="2" spans="1:25">
      <c r="A5" s="5">
        <v>301</v>
      </c>
      <c r="B5" s="5">
        <v>4</v>
      </c>
      <c r="C5" s="5" t="s">
        <v>15</v>
      </c>
      <c r="D5" s="5" t="s">
        <v>12</v>
      </c>
      <c r="E5" s="5">
        <v>5</v>
      </c>
      <c r="F5" s="7">
        <f>LOOKUP(E5,{0,-1.8,-0.8,0.2,1.2,2.2,3.2,4.6,6,7.4,8.8,10.2,11.6,13,14.4,15.8,17.2,19.1,21,22.8,24.6},{0,10,20,30,40,50,60,62,64,66,68,70,72,74,76,78,80,85,90,95,100})</f>
        <v>62</v>
      </c>
      <c r="G5" s="5">
        <v>200</v>
      </c>
      <c r="H5" s="7">
        <f>LOOKUP(G5,{0,180,185,190,195,200,205,209,213,217,221,225,229,233,237,241,245,253,260,265,270},{0,10,20,30,40,50,60,62,64,66,68,70,72,74,76,78,80,85,90,95,100})</f>
        <v>50</v>
      </c>
      <c r="I5" s="5">
        <v>1</v>
      </c>
      <c r="J5" s="7">
        <f>LOOKUP(I5,{0,4,5,6,7,8,9,10,11,12,13,14,15,16,17,18},{0,10,20,30,40,50,60,64,68,72,76,80,85,90,95,100})</f>
        <v>0</v>
      </c>
      <c r="K5" s="5"/>
      <c r="L5" s="5"/>
      <c r="M5" s="5">
        <f t="shared" si="0"/>
        <v>0</v>
      </c>
      <c r="N5" s="5">
        <v>10</v>
      </c>
      <c r="O5" s="10">
        <f t="shared" si="1"/>
        <v>8</v>
      </c>
      <c r="P5" s="7">
        <f>LOOKUP(O5,{0,7.8,8,8.2,8.4,8.6,8.8,9,9.2,9.4,9.6,9.8,10,10.2,10.4,10.6,10.8,10.9,11,11.1,11.2},{0,10,20,30,40,50,60,62,64,66,68,70,72,74,76,78,80,85,90,95,100})</f>
        <v>20</v>
      </c>
      <c r="Q5" s="5">
        <v>5.03</v>
      </c>
      <c r="R5" s="10">
        <f t="shared" si="2"/>
        <v>4.97</v>
      </c>
      <c r="S5" s="7">
        <f>LOOKUP(R5,{0,3.85,4.45,4.65,4.85,5.45,5.65,5.7,5.75,5.8,5.85,5.9,5.95,6,6.45,6.5,6.55,6.63,6.7,6.75,6.8},{0,10,20,30,40,50,60,62,64,66,68,70,72,74,76,78,80,85,90,95,100})</f>
        <v>40</v>
      </c>
      <c r="T5" s="5"/>
      <c r="U5" s="5"/>
      <c r="V5" s="5">
        <f t="shared" si="3"/>
        <v>40</v>
      </c>
      <c r="W5" s="5"/>
      <c r="X5" s="13">
        <f t="shared" si="4"/>
        <v>23.2</v>
      </c>
      <c r="Y5" s="13">
        <f t="shared" si="5"/>
        <v>33.1428571428571</v>
      </c>
    </row>
    <row r="6" ht="15.6" hidden="1" outlineLevel="2" spans="1:25">
      <c r="A6" s="5">
        <v>301</v>
      </c>
      <c r="B6" s="5">
        <v>5</v>
      </c>
      <c r="C6" s="5" t="s">
        <v>16</v>
      </c>
      <c r="D6" s="5" t="s">
        <v>12</v>
      </c>
      <c r="E6" s="5">
        <v>1</v>
      </c>
      <c r="F6" s="7">
        <f>LOOKUP(E6,{0,-1.8,-0.8,0.2,1.2,2.2,3.2,4.6,6,7.4,8.8,10.2,11.6,13,14.4,15.8,17.2,19.1,21,22.8,24.6},{0,10,20,30,40,50,60,62,64,66,68,70,72,74,76,78,80,85,90,95,100})</f>
        <v>30</v>
      </c>
      <c r="G6" s="5">
        <v>170</v>
      </c>
      <c r="H6" s="7">
        <f>LOOKUP(G6,{0,180,185,190,195,200,205,209,213,217,221,225,229,233,237,241,245,253,260,265,270},{0,10,20,30,40,50,60,62,64,66,68,70,72,74,76,78,80,85,90,95,100})</f>
        <v>0</v>
      </c>
      <c r="I6" s="5">
        <v>0</v>
      </c>
      <c r="J6" s="7">
        <f>LOOKUP(I6,{0,4,5,6,7,8,9,10,11,12,13,14,15,16,17,18},{0,10,20,30,40,50,60,64,68,72,76,80,85,90,95,100})</f>
        <v>0</v>
      </c>
      <c r="K6" s="5"/>
      <c r="L6" s="5"/>
      <c r="M6" s="5">
        <f t="shared" si="0"/>
        <v>0</v>
      </c>
      <c r="N6" s="5">
        <v>9.2</v>
      </c>
      <c r="O6" s="10">
        <f t="shared" si="1"/>
        <v>8.8</v>
      </c>
      <c r="P6" s="7">
        <f>LOOKUP(O6,{0,7.8,8,8.2,8.4,8.6,8.8,9,9.2,9.4,9.6,9.8,10,10.2,10.4,10.6,10.8,10.9,11,11.1,11.2},{0,10,20,30,40,50,60,62,64,66,68,70,72,74,76,78,80,85,90,95,100})</f>
        <v>60</v>
      </c>
      <c r="Q6" s="5">
        <v>5.27</v>
      </c>
      <c r="R6" s="10">
        <f t="shared" si="2"/>
        <v>4.73</v>
      </c>
      <c r="S6" s="7">
        <f>LOOKUP(R6,{0,3.85,4.45,4.65,4.85,5.45,5.65,5.7,5.75,5.8,5.85,5.9,5.95,6,6.45,6.5,6.55,6.63,6.7,6.75,6.8},{0,10,20,30,40,50,60,62,64,66,68,70,72,74,76,78,80,85,90,95,100})</f>
        <v>30</v>
      </c>
      <c r="T6" s="5"/>
      <c r="U6" s="5"/>
      <c r="V6" s="5">
        <f t="shared" si="3"/>
        <v>30</v>
      </c>
      <c r="W6" s="5"/>
      <c r="X6" s="13">
        <f t="shared" si="4"/>
        <v>21</v>
      </c>
      <c r="Y6" s="13">
        <f t="shared" si="5"/>
        <v>30</v>
      </c>
    </row>
    <row r="7" ht="15.6" hidden="1" outlineLevel="2" spans="1:25">
      <c r="A7" s="5">
        <v>301</v>
      </c>
      <c r="B7" s="5">
        <v>6</v>
      </c>
      <c r="C7" s="5" t="s">
        <v>17</v>
      </c>
      <c r="D7" s="5" t="s">
        <v>12</v>
      </c>
      <c r="E7" s="5">
        <v>11</v>
      </c>
      <c r="F7" s="7">
        <f>LOOKUP(E7,{0,-1.8,-0.8,0.2,1.2,2.2,3.2,4.6,6,7.4,8.8,10.2,11.6,13,14.4,15.8,17.2,19.1,21,22.8,24.6},{0,10,20,30,40,50,60,62,64,66,68,70,72,74,76,78,80,85,90,95,100})</f>
        <v>70</v>
      </c>
      <c r="G7" s="5">
        <v>219</v>
      </c>
      <c r="H7" s="7">
        <f>LOOKUP(G7,{0,180,185,190,195,200,205,209,213,217,221,225,229,233,237,241,245,253,260,265,270},{0,10,20,30,40,50,60,62,64,66,68,70,72,74,76,78,80,85,90,95,100})</f>
        <v>66</v>
      </c>
      <c r="I7" s="5">
        <v>5</v>
      </c>
      <c r="J7" s="7">
        <f>LOOKUP(I7,{0,4,5,6,7,8,9,10,11,12,13,14,15,16,17,18},{0,10,20,30,40,50,60,64,68,72,76,80,85,90,95,100})</f>
        <v>20</v>
      </c>
      <c r="K7" s="5"/>
      <c r="L7" s="5"/>
      <c r="M7" s="5">
        <f t="shared" si="0"/>
        <v>20</v>
      </c>
      <c r="N7" s="5">
        <v>7.6</v>
      </c>
      <c r="O7" s="10">
        <f t="shared" si="1"/>
        <v>10.4</v>
      </c>
      <c r="P7" s="7">
        <f>LOOKUP(O7,{0,7.8,8,8.2,8.4,8.6,8.8,9,9.2,9.4,9.6,9.8,10,10.2,10.4,10.6,10.8,10.9,11,11.1,11.2},{0,10,20,30,40,50,60,62,64,66,68,70,72,74,76,78,80,85,90,95,100})</f>
        <v>76</v>
      </c>
      <c r="Q7" s="5">
        <v>3.53</v>
      </c>
      <c r="R7" s="10">
        <f t="shared" si="2"/>
        <v>6.47</v>
      </c>
      <c r="S7" s="7">
        <f>LOOKUP(R7,{0,3.85,4.45,4.65,4.85,5.45,5.65,5.7,5.75,5.8,5.85,5.9,5.95,6,6.45,6.5,6.55,6.63,6.7,6.75,6.8},{0,10,20,30,40,50,60,62,64,66,68,70,72,74,76,78,80,85,90,95,100})</f>
        <v>76</v>
      </c>
      <c r="T7" s="5"/>
      <c r="U7" s="5"/>
      <c r="V7" s="5">
        <f t="shared" si="3"/>
        <v>76</v>
      </c>
      <c r="W7" s="5"/>
      <c r="X7" s="13">
        <f t="shared" si="4"/>
        <v>46</v>
      </c>
      <c r="Y7" s="13">
        <f t="shared" si="5"/>
        <v>65.7142857142857</v>
      </c>
    </row>
    <row r="8" ht="15.6" hidden="1" outlineLevel="2" spans="1:25">
      <c r="A8" s="5">
        <v>301</v>
      </c>
      <c r="B8" s="5">
        <v>8</v>
      </c>
      <c r="C8" s="5" t="s">
        <v>18</v>
      </c>
      <c r="D8" s="5" t="s">
        <v>12</v>
      </c>
      <c r="E8" s="5">
        <v>3</v>
      </c>
      <c r="F8" s="7">
        <f>LOOKUP(E8,{0,-1.8,-0.8,0.2,1.2,2.2,3.2,4.6,6,7.4,8.8,10.2,11.6,13,14.4,15.8,17.2,19.1,21,22.8,24.6},{0,10,20,30,40,50,60,62,64,66,68,70,72,74,76,78,80,85,90,95,100})</f>
        <v>50</v>
      </c>
      <c r="G8" s="5">
        <v>220</v>
      </c>
      <c r="H8" s="7">
        <f>LOOKUP(G8,{0,180,185,190,195,200,205,209,213,217,221,225,229,233,237,241,245,253,260,265,270},{0,10,20,30,40,50,60,62,64,66,68,70,72,74,76,78,80,85,90,95,100})</f>
        <v>66</v>
      </c>
      <c r="I8" s="5">
        <v>5</v>
      </c>
      <c r="J8" s="7">
        <f>LOOKUP(I8,{0,4,5,6,7,8,9,10,11,12,13,14,15,16,17,18},{0,10,20,30,40,50,60,64,68,72,76,80,85,90,95,100})</f>
        <v>20</v>
      </c>
      <c r="K8" s="5"/>
      <c r="L8" s="5"/>
      <c r="M8" s="5">
        <f t="shared" si="0"/>
        <v>20</v>
      </c>
      <c r="N8" s="5">
        <v>7.1</v>
      </c>
      <c r="O8" s="10">
        <f t="shared" si="1"/>
        <v>10.9</v>
      </c>
      <c r="P8" s="7">
        <f>LOOKUP(O8,{0,7.8,8,8.2,8.4,8.6,8.8,9,9.2,9.4,9.6,9.8,10,10.2,10.4,10.6,10.8,10.9,11,11.1,11.2},{0,10,20,30,40,50,60,62,64,66,68,70,72,74,76,78,80,85,90,95,100})</f>
        <v>85</v>
      </c>
      <c r="Q8" s="5">
        <v>4.29</v>
      </c>
      <c r="R8" s="10">
        <f t="shared" si="2"/>
        <v>5.71</v>
      </c>
      <c r="S8" s="7">
        <f>LOOKUP(R8,{0,3.85,4.45,4.65,4.85,5.45,5.65,5.7,5.75,5.8,5.85,5.9,5.95,6,6.45,6.5,6.55,6.63,6.7,6.75,6.8},{0,10,20,30,40,50,60,62,64,66,68,70,72,74,76,78,80,85,90,95,100})</f>
        <v>62</v>
      </c>
      <c r="T8" s="5"/>
      <c r="U8" s="5"/>
      <c r="V8" s="5">
        <f t="shared" si="3"/>
        <v>62</v>
      </c>
      <c r="W8" s="5"/>
      <c r="X8" s="13">
        <f t="shared" si="4"/>
        <v>43</v>
      </c>
      <c r="Y8" s="13">
        <f t="shared" si="5"/>
        <v>61.4285714285714</v>
      </c>
    </row>
    <row r="9" ht="15.6" hidden="1" outlineLevel="2" spans="1:25">
      <c r="A9" s="5">
        <v>301</v>
      </c>
      <c r="B9" s="5">
        <v>9</v>
      </c>
      <c r="C9" s="5" t="s">
        <v>19</v>
      </c>
      <c r="D9" s="5" t="s">
        <v>12</v>
      </c>
      <c r="E9" s="5">
        <v>6.5</v>
      </c>
      <c r="F9" s="7">
        <f>LOOKUP(E9,{0,-1.8,-0.8,0.2,1.2,2.2,3.2,4.6,6,7.4,8.8,10.2,11.6,13,14.4,15.8,17.2,19.1,21,22.8,24.6},{0,10,20,30,40,50,60,62,64,66,68,70,72,74,76,78,80,85,90,95,100})</f>
        <v>64</v>
      </c>
      <c r="G9" s="5">
        <v>210</v>
      </c>
      <c r="H9" s="7">
        <f>LOOKUP(G9,{0,180,185,190,195,200,205,209,213,217,221,225,229,233,237,241,245,253,260,265,270},{0,10,20,30,40,50,60,62,64,66,68,70,72,74,76,78,80,85,90,95,100})</f>
        <v>62</v>
      </c>
      <c r="I9" s="5">
        <v>1</v>
      </c>
      <c r="J9" s="7">
        <f>LOOKUP(I9,{0,4,5,6,7,8,9,10,11,12,13,14,15,16,17,18},{0,10,20,30,40,50,60,64,68,72,76,80,85,90,95,100})</f>
        <v>0</v>
      </c>
      <c r="K9" s="5"/>
      <c r="L9" s="5"/>
      <c r="M9" s="5">
        <f t="shared" si="0"/>
        <v>0</v>
      </c>
      <c r="N9" s="5">
        <v>7.8</v>
      </c>
      <c r="O9" s="10">
        <f t="shared" si="1"/>
        <v>10.2</v>
      </c>
      <c r="P9" s="7">
        <f>LOOKUP(O9,{0,7.8,8,8.2,8.4,8.6,8.8,9,9.2,9.4,9.6,9.8,10,10.2,10.4,10.6,10.8,10.9,11,11.1,11.2},{0,10,20,30,40,50,60,62,64,66,68,70,72,74,76,78,80,85,90,95,100})</f>
        <v>74</v>
      </c>
      <c r="Q9" s="5">
        <v>5.27</v>
      </c>
      <c r="R9" s="10">
        <f t="shared" si="2"/>
        <v>4.73</v>
      </c>
      <c r="S9" s="7">
        <f>LOOKUP(R9,{0,3.85,4.45,4.65,4.85,5.45,5.65,5.7,5.75,5.8,5.85,5.9,5.95,6,6.45,6.5,6.55,6.63,6.7,6.75,6.8},{0,10,20,30,40,50,60,62,64,66,68,70,72,74,76,78,80,85,90,95,100})</f>
        <v>30</v>
      </c>
      <c r="T9" s="5"/>
      <c r="U9" s="5"/>
      <c r="V9" s="5">
        <f t="shared" si="3"/>
        <v>30</v>
      </c>
      <c r="W9" s="5"/>
      <c r="X9" s="13">
        <f t="shared" si="4"/>
        <v>33.4</v>
      </c>
      <c r="Y9" s="13">
        <f t="shared" si="5"/>
        <v>47.7142857142857</v>
      </c>
    </row>
    <row r="10" ht="15.6" hidden="1" outlineLevel="2" spans="1:25">
      <c r="A10" s="5">
        <v>301</v>
      </c>
      <c r="B10" s="5">
        <v>10</v>
      </c>
      <c r="C10" s="5" t="s">
        <v>20</v>
      </c>
      <c r="D10" s="5" t="s">
        <v>12</v>
      </c>
      <c r="E10" s="5">
        <v>13</v>
      </c>
      <c r="F10" s="7">
        <f>LOOKUP(E10,{0,-1.8,-0.8,0.2,1.2,2.2,3.2,4.6,6,7.4,8.8,10.2,11.6,13,14.4,15.8,17.2,19.1,21,22.8,24.6},{0,10,20,30,40,50,60,62,64,66,68,70,72,74,76,78,80,85,90,95,100})</f>
        <v>74</v>
      </c>
      <c r="G10" s="5">
        <v>265</v>
      </c>
      <c r="H10" s="7">
        <f>LOOKUP(G10,{0,180,185,190,195,200,205,209,213,217,221,225,229,233,237,241,245,253,260,265,270},{0,10,20,30,40,50,60,62,64,66,68,70,72,74,76,78,80,85,90,95,100})</f>
        <v>95</v>
      </c>
      <c r="I10" s="5">
        <v>1</v>
      </c>
      <c r="J10" s="7">
        <f>LOOKUP(I10,{0,4,5,6,7,8,9,10,11,12,13,14,15,16,17,18},{0,10,20,30,40,50,60,64,68,72,76,80,85,90,95,100})</f>
        <v>0</v>
      </c>
      <c r="K10" s="5"/>
      <c r="L10" s="5"/>
      <c r="M10" s="5">
        <f t="shared" si="0"/>
        <v>0</v>
      </c>
      <c r="N10" s="5">
        <v>7.6</v>
      </c>
      <c r="O10" s="10">
        <f t="shared" si="1"/>
        <v>10.4</v>
      </c>
      <c r="P10" s="7">
        <f>LOOKUP(O10,{0,7.8,8,8.2,8.4,8.6,8.8,9,9.2,9.4,9.6,9.8,10,10.2,10.4,10.6,10.8,10.9,11,11.1,11.2},{0,10,20,30,40,50,60,62,64,66,68,70,72,74,76,78,80,85,90,95,100})</f>
        <v>76</v>
      </c>
      <c r="Q10" s="5">
        <v>5.09</v>
      </c>
      <c r="R10" s="10">
        <f t="shared" si="2"/>
        <v>4.91</v>
      </c>
      <c r="S10" s="7">
        <f>LOOKUP(R10,{0,3.85,4.45,4.65,4.85,5.45,5.65,5.7,5.75,5.8,5.85,5.9,5.95,6,6.45,6.5,6.55,6.63,6.7,6.75,6.8},{0,10,20,30,40,50,60,62,64,66,68,70,72,74,76,78,80,85,90,95,100})</f>
        <v>40</v>
      </c>
      <c r="T10" s="5"/>
      <c r="U10" s="5"/>
      <c r="V10" s="5">
        <f t="shared" si="3"/>
        <v>40</v>
      </c>
      <c r="W10" s="5"/>
      <c r="X10" s="13">
        <f t="shared" si="4"/>
        <v>40.1</v>
      </c>
      <c r="Y10" s="13">
        <f t="shared" si="5"/>
        <v>57.2857142857143</v>
      </c>
    </row>
    <row r="11" ht="15.6" hidden="1" outlineLevel="2" spans="1:25">
      <c r="A11" s="5">
        <v>301</v>
      </c>
      <c r="B11" s="5">
        <v>11</v>
      </c>
      <c r="C11" s="6" t="s">
        <v>22</v>
      </c>
      <c r="D11" s="5" t="s">
        <v>12</v>
      </c>
      <c r="E11" s="5">
        <v>8</v>
      </c>
      <c r="F11" s="7">
        <f>LOOKUP(E11,{0,-1.8,-0.8,0.2,1.2,2.2,3.2,4.6,6,7.4,8.8,10.2,11.6,13,14.4,15.8,17.2,19.1,21,22.8,24.6},{0,10,20,30,40,50,60,62,64,66,68,70,72,74,76,78,80,85,90,95,100})</f>
        <v>66</v>
      </c>
      <c r="G11" s="5">
        <v>222</v>
      </c>
      <c r="H11" s="7">
        <f>LOOKUP(G11,{0,180,185,190,195,200,205,209,213,217,221,225,229,233,237,241,245,253,260,265,270},{0,10,20,30,40,50,60,62,64,66,68,70,72,74,76,78,80,85,90,95,100})</f>
        <v>68</v>
      </c>
      <c r="I11" s="5">
        <v>8</v>
      </c>
      <c r="J11" s="7">
        <f>LOOKUP(I11,{0,4,5,6,7,8,9,10,11,12,13,14,15,16,17,18},{0,10,20,30,40,50,60,64,68,72,76,80,85,90,95,100})</f>
        <v>50</v>
      </c>
      <c r="K11" s="5"/>
      <c r="L11" s="5"/>
      <c r="M11" s="5">
        <f t="shared" si="0"/>
        <v>50</v>
      </c>
      <c r="N11" s="5">
        <v>8.4</v>
      </c>
      <c r="O11" s="10">
        <f t="shared" si="1"/>
        <v>9.6</v>
      </c>
      <c r="P11" s="7">
        <f>LOOKUP(O11,{0,7.8,8,8.2,8.4,8.6,8.8,9,9.2,9.4,9.6,9.8,10,10.2,10.4,10.6,10.8,10.9,11,11.1,11.2},{0,10,20,30,40,50,60,62,64,66,68,70,72,74,76,78,80,85,90,95,100})</f>
        <v>68</v>
      </c>
      <c r="Q11" s="5">
        <v>4.06</v>
      </c>
      <c r="R11" s="10">
        <f t="shared" si="2"/>
        <v>5.94</v>
      </c>
      <c r="S11" s="7">
        <f>LOOKUP(R11,{0,3.85,4.45,4.65,4.85,5.45,5.65,5.7,5.75,5.8,5.85,5.9,5.95,6,6.45,6.5,6.55,6.63,6.7,6.75,6.8},{0,10,20,30,40,50,60,62,64,66,68,70,72,74,76,78,80,85,90,95,100})</f>
        <v>70</v>
      </c>
      <c r="T11" s="5"/>
      <c r="U11" s="5"/>
      <c r="V11" s="5">
        <f t="shared" si="3"/>
        <v>70</v>
      </c>
      <c r="W11" s="5"/>
      <c r="X11" s="13">
        <f t="shared" si="4"/>
        <v>46</v>
      </c>
      <c r="Y11" s="13">
        <f t="shared" si="5"/>
        <v>65.7142857142857</v>
      </c>
    </row>
    <row r="12" ht="15.6" hidden="1" outlineLevel="2" spans="1:25">
      <c r="A12" s="5">
        <v>301</v>
      </c>
      <c r="B12" s="5">
        <v>12</v>
      </c>
      <c r="C12" s="5" t="s">
        <v>23</v>
      </c>
      <c r="D12" s="5" t="s">
        <v>12</v>
      </c>
      <c r="E12" s="5">
        <v>17.5</v>
      </c>
      <c r="F12" s="7">
        <f>LOOKUP(E12,{0,-1.8,-0.8,0.2,1.2,2.2,3.2,4.6,6,7.4,8.8,10.2,11.6,13,14.4,15.8,17.2,19.1,21,22.8,24.6},{0,10,20,30,40,50,60,62,64,66,68,70,72,74,76,78,80,85,90,95,100})</f>
        <v>80</v>
      </c>
      <c r="G12" s="5">
        <v>195</v>
      </c>
      <c r="H12" s="7">
        <f>LOOKUP(G12,{0,180,185,190,195,200,205,209,213,217,221,225,229,233,237,241,245,253,260,265,270},{0,10,20,30,40,50,60,62,64,66,68,70,72,74,76,78,80,85,90,95,100})</f>
        <v>40</v>
      </c>
      <c r="I12" s="5">
        <v>4</v>
      </c>
      <c r="J12" s="7">
        <f>LOOKUP(I12,{0,4,5,6,7,8,9,10,11,12,13,14,15,16,17,18},{0,10,20,30,40,50,60,64,68,72,76,80,85,90,95,100})</f>
        <v>10</v>
      </c>
      <c r="K12" s="5"/>
      <c r="L12" s="5"/>
      <c r="M12" s="5">
        <f t="shared" si="0"/>
        <v>10</v>
      </c>
      <c r="N12" s="5">
        <v>8.7</v>
      </c>
      <c r="O12" s="10">
        <f t="shared" si="1"/>
        <v>9.3</v>
      </c>
      <c r="P12" s="7">
        <f>LOOKUP(O12,{0,7.8,8,8.2,8.4,8.6,8.8,9,9.2,9.4,9.6,9.8,10,10.2,10.4,10.6,10.8,10.9,11,11.1,11.2},{0,10,20,30,40,50,60,62,64,66,68,70,72,74,76,78,80,85,90,95,100})</f>
        <v>64</v>
      </c>
      <c r="Q12" s="5">
        <v>4.14</v>
      </c>
      <c r="R12" s="10">
        <f t="shared" si="2"/>
        <v>5.86</v>
      </c>
      <c r="S12" s="7">
        <f>LOOKUP(R12,{0,3.85,4.45,4.65,4.85,5.45,5.65,5.7,5.75,5.8,5.85,5.9,5.95,6,6.45,6.5,6.55,6.63,6.7,6.75,6.8},{0,10,20,30,40,50,60,62,64,66,68,70,72,74,76,78,80,85,90,95,100})</f>
        <v>68</v>
      </c>
      <c r="T12" s="5"/>
      <c r="U12" s="5"/>
      <c r="V12" s="5">
        <f t="shared" si="3"/>
        <v>68</v>
      </c>
      <c r="W12" s="5"/>
      <c r="X12" s="13">
        <f t="shared" si="4"/>
        <v>39.4</v>
      </c>
      <c r="Y12" s="13">
        <f t="shared" si="5"/>
        <v>56.2857142857143</v>
      </c>
    </row>
    <row r="13" ht="15.6" hidden="1" outlineLevel="2" spans="1:25">
      <c r="A13" s="5">
        <v>301</v>
      </c>
      <c r="B13" s="5">
        <v>13</v>
      </c>
      <c r="C13" s="5" t="s">
        <v>24</v>
      </c>
      <c r="D13" s="5" t="s">
        <v>12</v>
      </c>
      <c r="E13" s="5">
        <v>2.5</v>
      </c>
      <c r="F13" s="7">
        <f>LOOKUP(E13,{0,-1.8,-0.8,0.2,1.2,2.2,3.2,4.6,6,7.4,8.8,10.2,11.6,13,14.4,15.8,17.2,19.1,21,22.8,24.6},{0,10,20,30,40,50,60,62,64,66,68,70,72,74,76,78,80,85,90,95,100})</f>
        <v>50</v>
      </c>
      <c r="G13" s="5">
        <v>175</v>
      </c>
      <c r="H13" s="7">
        <f>LOOKUP(G13,{0,180,185,190,195,200,205,209,213,217,221,225,229,233,237,241,245,253,260,265,270},{0,10,20,30,40,50,60,62,64,66,68,70,72,74,76,78,80,85,90,95,100})</f>
        <v>0</v>
      </c>
      <c r="I13" s="5">
        <v>1</v>
      </c>
      <c r="J13" s="7">
        <f>LOOKUP(I13,{0,4,5,6,7,8,9,10,11,12,13,14,15,16,17,18},{0,10,20,30,40,50,60,64,68,72,76,80,85,90,95,100})</f>
        <v>0</v>
      </c>
      <c r="K13" s="5"/>
      <c r="L13" s="5"/>
      <c r="M13" s="5">
        <f t="shared" si="0"/>
        <v>0</v>
      </c>
      <c r="N13" s="5">
        <v>8.4</v>
      </c>
      <c r="O13" s="10">
        <f t="shared" si="1"/>
        <v>9.6</v>
      </c>
      <c r="P13" s="7">
        <f>LOOKUP(O13,{0,7.8,8,8.2,8.4,8.6,8.8,9,9.2,9.4,9.6,9.8,10,10.2,10.4,10.6,10.8,10.9,11,11.1,11.2},{0,10,20,30,40,50,60,62,64,66,68,70,72,74,76,78,80,85,90,95,100})</f>
        <v>68</v>
      </c>
      <c r="Q13" s="5">
        <v>4.49</v>
      </c>
      <c r="R13" s="10">
        <f t="shared" si="2"/>
        <v>5.51</v>
      </c>
      <c r="S13" s="7">
        <f>LOOKUP(R13,{0,3.85,4.45,4.65,4.85,5.45,5.65,5.7,5.75,5.8,5.85,5.9,5.95,6,6.45,6.5,6.55,6.63,6.7,6.75,6.8},{0,10,20,30,40,50,60,62,64,66,68,70,72,74,76,78,80,85,90,95,100})</f>
        <v>50</v>
      </c>
      <c r="T13" s="5"/>
      <c r="U13" s="5"/>
      <c r="V13" s="5">
        <f t="shared" si="3"/>
        <v>50</v>
      </c>
      <c r="W13" s="5"/>
      <c r="X13" s="13">
        <f t="shared" si="4"/>
        <v>28.6</v>
      </c>
      <c r="Y13" s="13">
        <f t="shared" si="5"/>
        <v>40.8571428571429</v>
      </c>
    </row>
    <row r="14" ht="15.6" hidden="1" outlineLevel="2" spans="1:25">
      <c r="A14" s="5">
        <v>301</v>
      </c>
      <c r="B14" s="5">
        <v>14</v>
      </c>
      <c r="C14" s="5" t="s">
        <v>25</v>
      </c>
      <c r="D14" s="5" t="s">
        <v>12</v>
      </c>
      <c r="E14" s="5">
        <v>0</v>
      </c>
      <c r="F14" s="7">
        <f>LOOKUP(E14,{0,-1.8,-0.8,0.2,1.2,2.2,3.2,4.6,6,7.4,8.8,10.2,11.6,13,14.4,15.8,17.2,19.1,21,22.8,24.6},{0,10,20,30,40,50,60,62,64,66,68,70,72,74,76,78,80,85,90,95,100})</f>
        <v>20</v>
      </c>
      <c r="G14" s="5">
        <v>200</v>
      </c>
      <c r="H14" s="7">
        <f>LOOKUP(G14,{0,180,185,190,195,200,205,209,213,217,221,225,229,233,237,241,245,253,260,265,270},{0,10,20,30,40,50,60,62,64,66,68,70,72,74,76,78,80,85,90,95,100})</f>
        <v>50</v>
      </c>
      <c r="I14" s="5">
        <v>10</v>
      </c>
      <c r="J14" s="7">
        <f>LOOKUP(I14,{0,4,5,6,7,8,9,10,11,12,13,14,15,16,17,18},{0,10,20,30,40,50,60,64,68,72,76,80,85,90,95,100})</f>
        <v>64</v>
      </c>
      <c r="K14" s="5"/>
      <c r="L14" s="5"/>
      <c r="M14" s="5">
        <f t="shared" si="0"/>
        <v>64</v>
      </c>
      <c r="N14" s="5">
        <v>8.4</v>
      </c>
      <c r="O14" s="10">
        <f t="shared" si="1"/>
        <v>9.6</v>
      </c>
      <c r="P14" s="7">
        <f>LOOKUP(O14,{0,7.8,8,8.2,8.4,8.6,8.8,9,9.2,9.4,9.6,9.8,10,10.2,10.4,10.6,10.8,10.9,11,11.1,11.2},{0,10,20,30,40,50,60,62,64,66,68,70,72,74,76,78,80,85,90,95,100})</f>
        <v>68</v>
      </c>
      <c r="Q14" s="5">
        <v>4.14</v>
      </c>
      <c r="R14" s="10">
        <f t="shared" si="2"/>
        <v>5.86</v>
      </c>
      <c r="S14" s="7">
        <f>LOOKUP(R14,{0,3.85,4.45,4.65,4.85,5.45,5.65,5.7,5.75,5.8,5.85,5.9,5.95,6,6.45,6.5,6.55,6.63,6.7,6.75,6.8},{0,10,20,30,40,50,60,62,64,66,68,70,72,74,76,78,80,85,90,95,100})</f>
        <v>68</v>
      </c>
      <c r="T14" s="5"/>
      <c r="U14" s="5"/>
      <c r="V14" s="5">
        <f t="shared" si="3"/>
        <v>68</v>
      </c>
      <c r="W14" s="5"/>
      <c r="X14" s="13">
        <f t="shared" si="4"/>
        <v>40.6</v>
      </c>
      <c r="Y14" s="13">
        <f t="shared" si="5"/>
        <v>58</v>
      </c>
    </row>
    <row r="15" ht="15.6" hidden="1" outlineLevel="2" spans="1:25">
      <c r="A15" s="5">
        <v>301</v>
      </c>
      <c r="B15" s="5">
        <v>15</v>
      </c>
      <c r="C15" s="5" t="s">
        <v>26</v>
      </c>
      <c r="D15" s="5" t="s">
        <v>12</v>
      </c>
      <c r="E15" s="5">
        <v>20</v>
      </c>
      <c r="F15" s="7">
        <f>LOOKUP(E15,{0,-1.8,-0.8,0.2,1.2,2.2,3.2,4.6,6,7.4,8.8,10.2,11.6,13,14.4,15.8,17.2,19.1,21,22.8,24.6},{0,10,20,30,40,50,60,62,64,66,68,70,72,74,76,78,80,85,90,95,100})</f>
        <v>85</v>
      </c>
      <c r="G15" s="5">
        <v>250</v>
      </c>
      <c r="H15" s="7">
        <f>LOOKUP(G15,{0,180,185,190,195,200,205,209,213,217,221,225,229,233,237,241,245,253,260,265,270},{0,10,20,30,40,50,60,62,64,66,68,70,72,74,76,78,80,85,90,95,100})</f>
        <v>80</v>
      </c>
      <c r="I15" s="5">
        <v>0</v>
      </c>
      <c r="J15" s="7">
        <f>LOOKUP(I15,{0,4,5,6,7,8,9,10,11,12,13,14,15,16,17,18},{0,10,20,30,40,50,60,64,68,72,76,80,85,90,95,100})</f>
        <v>0</v>
      </c>
      <c r="K15" s="5"/>
      <c r="L15" s="5"/>
      <c r="M15" s="5">
        <f t="shared" si="0"/>
        <v>0</v>
      </c>
      <c r="N15" s="5">
        <v>7.1</v>
      </c>
      <c r="O15" s="10">
        <f t="shared" si="1"/>
        <v>10.9</v>
      </c>
      <c r="P15" s="7">
        <f>LOOKUP(O15,{0,7.8,8,8.2,8.4,8.6,8.8,9,9.2,9.4,9.6,9.8,10,10.2,10.4,10.6,10.8,10.9,11,11.1,11.2},{0,10,20,30,40,50,60,62,64,66,68,70,72,74,76,78,80,85,90,95,100})</f>
        <v>85</v>
      </c>
      <c r="Q15" s="5">
        <v>4.32</v>
      </c>
      <c r="R15" s="10">
        <f t="shared" si="2"/>
        <v>5.68</v>
      </c>
      <c r="S15" s="7">
        <f>LOOKUP(R15,{0,3.85,4.45,4.65,4.85,5.45,5.65,5.7,5.75,5.8,5.85,5.9,5.95,6,6.45,6.5,6.55,6.63,6.7,6.75,6.8},{0,10,20,30,40,50,60,62,64,66,68,70,72,74,76,78,80,85,90,95,100})</f>
        <v>60</v>
      </c>
      <c r="T15" s="5"/>
      <c r="U15" s="5"/>
      <c r="V15" s="5">
        <f t="shared" si="3"/>
        <v>60</v>
      </c>
      <c r="W15" s="5"/>
      <c r="X15" s="13">
        <f t="shared" si="4"/>
        <v>45.5</v>
      </c>
      <c r="Y15" s="13">
        <f t="shared" si="5"/>
        <v>65</v>
      </c>
    </row>
    <row r="16" ht="15.6" hidden="1" outlineLevel="2" spans="1:25">
      <c r="A16" s="5">
        <v>301</v>
      </c>
      <c r="B16" s="5">
        <v>16</v>
      </c>
      <c r="C16" s="5" t="s">
        <v>27</v>
      </c>
      <c r="D16" s="5" t="s">
        <v>12</v>
      </c>
      <c r="E16" s="5">
        <v>7.5</v>
      </c>
      <c r="F16" s="7">
        <f>LOOKUP(E16,{0,-1.8,-0.8,0.2,1.2,2.2,3.2,4.6,6,7.4,8.8,10.2,11.6,13,14.4,15.8,17.2,19.1,21,22.8,24.6},{0,10,20,30,40,50,60,62,64,66,68,70,72,74,76,78,80,85,90,95,100})</f>
        <v>66</v>
      </c>
      <c r="G16" s="5">
        <v>218</v>
      </c>
      <c r="H16" s="7">
        <f>LOOKUP(G16,{0,180,185,190,195,200,205,209,213,217,221,225,229,233,237,241,245,253,260,265,270},{0,10,20,30,40,50,60,62,64,66,68,70,72,74,76,78,80,85,90,95,100})</f>
        <v>66</v>
      </c>
      <c r="I16" s="5">
        <v>13</v>
      </c>
      <c r="J16" s="7">
        <f>LOOKUP(I16,{0,4,5,6,7,8,9,10,11,12,13,14,15,16,17,18},{0,10,20,30,40,50,60,64,68,72,76,80,85,90,95,100})</f>
        <v>76</v>
      </c>
      <c r="K16" s="5"/>
      <c r="L16" s="5"/>
      <c r="M16" s="5">
        <f t="shared" si="0"/>
        <v>76</v>
      </c>
      <c r="N16" s="5">
        <v>7.4</v>
      </c>
      <c r="O16" s="10">
        <f t="shared" si="1"/>
        <v>10.6</v>
      </c>
      <c r="P16" s="7">
        <f>LOOKUP(O16,{0,7.8,8,8.2,8.4,8.6,8.8,9,9.2,9.4,9.6,9.8,10,10.2,10.4,10.6,10.8,10.9,11,11.1,11.2},{0,10,20,30,40,50,60,62,64,66,68,70,72,74,76,78,80,85,90,95,100})</f>
        <v>78</v>
      </c>
      <c r="Q16" s="5">
        <v>3.47</v>
      </c>
      <c r="R16" s="10">
        <f t="shared" si="2"/>
        <v>6.53</v>
      </c>
      <c r="S16" s="7">
        <f>LOOKUP(R16,{0,3.85,4.45,4.65,4.85,5.45,5.65,5.7,5.75,5.8,5.85,5.9,5.95,6,6.45,6.5,6.55,6.63,6.7,6.75,6.8},{0,10,20,30,40,50,60,62,64,66,68,70,72,74,76,78,80,85,90,95,100})</f>
        <v>78</v>
      </c>
      <c r="T16" s="5"/>
      <c r="U16" s="5"/>
      <c r="V16" s="5">
        <f t="shared" si="3"/>
        <v>78</v>
      </c>
      <c r="W16" s="5"/>
      <c r="X16" s="13">
        <f t="shared" si="4"/>
        <v>52</v>
      </c>
      <c r="Y16" s="13">
        <f t="shared" si="5"/>
        <v>74.2857142857143</v>
      </c>
    </row>
    <row r="17" ht="15.6" hidden="1" outlineLevel="2" spans="1:25">
      <c r="A17" s="5">
        <v>301</v>
      </c>
      <c r="B17" s="5">
        <v>17</v>
      </c>
      <c r="C17" s="5" t="s">
        <v>28</v>
      </c>
      <c r="D17" s="5" t="s">
        <v>12</v>
      </c>
      <c r="E17" s="5">
        <v>3.5</v>
      </c>
      <c r="F17" s="7">
        <f>LOOKUP(E17,{0,-1.8,-0.8,0.2,1.2,2.2,3.2,4.6,6,7.4,8.8,10.2,11.6,13,14.4,15.8,17.2,19.1,21,22.8,24.6},{0,10,20,30,40,50,60,62,64,66,68,70,72,74,76,78,80,85,90,95,100})</f>
        <v>60</v>
      </c>
      <c r="G17" s="5">
        <v>212</v>
      </c>
      <c r="H17" s="7">
        <f>LOOKUP(G17,{0,180,185,190,195,200,205,209,213,217,221,225,229,233,237,241,245,253,260,265,270},{0,10,20,30,40,50,60,62,64,66,68,70,72,74,76,78,80,85,90,95,100})</f>
        <v>62</v>
      </c>
      <c r="I17" s="5">
        <v>4</v>
      </c>
      <c r="J17" s="7">
        <f>LOOKUP(I17,{0,4,5,6,7,8,9,10,11,12,13,14,15,16,17,18},{0,10,20,30,40,50,60,64,68,72,76,80,85,90,95,100})</f>
        <v>10</v>
      </c>
      <c r="K17" s="5"/>
      <c r="L17" s="5"/>
      <c r="M17" s="5">
        <f t="shared" si="0"/>
        <v>10</v>
      </c>
      <c r="N17" s="5">
        <v>7.8</v>
      </c>
      <c r="O17" s="10">
        <f t="shared" si="1"/>
        <v>10.2</v>
      </c>
      <c r="P17" s="7">
        <f>LOOKUP(O17,{0,7.8,8,8.2,8.4,8.6,8.8,9,9.2,9.4,9.6,9.8,10,10.2,10.4,10.6,10.8,10.9,11,11.1,11.2},{0,10,20,30,40,50,60,62,64,66,68,70,72,74,76,78,80,85,90,95,100})</f>
        <v>74</v>
      </c>
      <c r="Q17" s="5">
        <v>3.44</v>
      </c>
      <c r="R17" s="10">
        <f t="shared" si="2"/>
        <v>6.56</v>
      </c>
      <c r="S17" s="7">
        <f>LOOKUP(R17,{0,3.85,4.45,4.65,4.85,5.45,5.65,5.7,5.75,5.8,5.85,5.9,5.95,6,6.45,6.5,6.55,6.63,6.7,6.75,6.8},{0,10,20,30,40,50,60,62,64,66,68,70,72,74,76,78,80,85,90,95,100})</f>
        <v>80</v>
      </c>
      <c r="T17" s="5"/>
      <c r="U17" s="5"/>
      <c r="V17" s="5">
        <f t="shared" si="3"/>
        <v>80</v>
      </c>
      <c r="W17" s="5"/>
      <c r="X17" s="13">
        <f t="shared" si="4"/>
        <v>44</v>
      </c>
      <c r="Y17" s="13">
        <f t="shared" si="5"/>
        <v>62.8571428571429</v>
      </c>
    </row>
    <row r="18" ht="15.6" hidden="1" outlineLevel="2" spans="1:25">
      <c r="A18" s="5">
        <v>301</v>
      </c>
      <c r="B18" s="5">
        <v>18</v>
      </c>
      <c r="C18" s="5" t="s">
        <v>29</v>
      </c>
      <c r="D18" s="5" t="s">
        <v>12</v>
      </c>
      <c r="E18" s="5">
        <v>18</v>
      </c>
      <c r="F18" s="7">
        <f>LOOKUP(E18,{0,-1.8,-0.8,0.2,1.2,2.2,3.2,4.6,6,7.4,8.8,10.2,11.6,13,14.4,15.8,17.2,19.1,21,22.8,24.6},{0,10,20,30,40,50,60,62,64,66,68,70,72,74,76,78,80,85,90,95,100})</f>
        <v>80</v>
      </c>
      <c r="G18" s="5">
        <v>265</v>
      </c>
      <c r="H18" s="7">
        <f>LOOKUP(G18,{0,180,185,190,195,200,205,209,213,217,221,225,229,233,237,241,245,253,260,265,270},{0,10,20,30,40,50,60,62,64,66,68,70,72,74,76,78,80,85,90,95,100})</f>
        <v>95</v>
      </c>
      <c r="I18" s="5">
        <v>10</v>
      </c>
      <c r="J18" s="7">
        <f>LOOKUP(I18,{0,4,5,6,7,8,9,10,11,12,13,14,15,16,17,18},{0,10,20,30,40,50,60,64,68,72,76,80,85,90,95,100})</f>
        <v>64</v>
      </c>
      <c r="K18" s="5"/>
      <c r="L18" s="5"/>
      <c r="M18" s="5">
        <f t="shared" si="0"/>
        <v>64</v>
      </c>
      <c r="N18" s="5">
        <v>7.8</v>
      </c>
      <c r="O18" s="10">
        <f t="shared" si="1"/>
        <v>10.2</v>
      </c>
      <c r="P18" s="7">
        <f>LOOKUP(O18,{0,7.8,8,8.2,8.4,8.6,8.8,9,9.2,9.4,9.6,9.8,10,10.2,10.4,10.6,10.8,10.9,11,11.1,11.2},{0,10,20,30,40,50,60,62,64,66,68,70,72,74,76,78,80,85,90,95,100})</f>
        <v>74</v>
      </c>
      <c r="Q18" s="5">
        <v>4.2</v>
      </c>
      <c r="R18" s="10">
        <f t="shared" si="2"/>
        <v>5.8</v>
      </c>
      <c r="S18" s="7">
        <f>LOOKUP(R18,{0,3.85,4.45,4.65,4.85,5.45,5.65,5.7,5.75,5.8,5.85,5.9,5.95,6,6.45,6.5,6.55,6.63,6.7,6.75,6.8},{0,10,20,30,40,50,60,62,64,66,68,70,72,74,76,78,80,85,90,95,100})</f>
        <v>66</v>
      </c>
      <c r="T18" s="5"/>
      <c r="U18" s="5"/>
      <c r="V18" s="5">
        <f t="shared" si="3"/>
        <v>66</v>
      </c>
      <c r="W18" s="5"/>
      <c r="X18" s="13">
        <f t="shared" si="4"/>
        <v>51.9</v>
      </c>
      <c r="Y18" s="13">
        <f t="shared" si="5"/>
        <v>74.1428571428572</v>
      </c>
    </row>
    <row r="19" ht="15.6" hidden="1" outlineLevel="2" spans="1:25">
      <c r="A19" s="5">
        <v>301</v>
      </c>
      <c r="B19" s="5">
        <v>19</v>
      </c>
      <c r="C19" s="5" t="s">
        <v>30</v>
      </c>
      <c r="D19" s="5" t="s">
        <v>12</v>
      </c>
      <c r="E19" s="5">
        <v>3.5</v>
      </c>
      <c r="F19" s="7">
        <f>LOOKUP(E19,{0,-1.8,-0.8,0.2,1.2,2.2,3.2,4.6,6,7.4,8.8,10.2,11.6,13,14.4,15.8,17.2,19.1,21,22.8,24.6},{0,10,20,30,40,50,60,62,64,66,68,70,72,74,76,78,80,85,90,95,100})</f>
        <v>60</v>
      </c>
      <c r="G19" s="5">
        <v>210</v>
      </c>
      <c r="H19" s="7">
        <f>LOOKUP(G19,{0,180,185,190,195,200,205,209,213,217,221,225,229,233,237,241,245,253,260,265,270},{0,10,20,30,40,50,60,62,64,66,68,70,72,74,76,78,80,85,90,95,100})</f>
        <v>62</v>
      </c>
      <c r="I19" s="5">
        <v>1</v>
      </c>
      <c r="J19" s="7">
        <f>LOOKUP(I19,{0,4,5,6,7,8,9,10,11,12,13,14,15,16,17,18},{0,10,20,30,40,50,60,64,68,72,76,80,85,90,95,100})</f>
        <v>0</v>
      </c>
      <c r="K19" s="5"/>
      <c r="L19" s="5"/>
      <c r="M19" s="5">
        <f t="shared" si="0"/>
        <v>0</v>
      </c>
      <c r="N19" s="5">
        <v>8.4</v>
      </c>
      <c r="O19" s="10">
        <f t="shared" si="1"/>
        <v>9.6</v>
      </c>
      <c r="P19" s="7">
        <f>LOOKUP(O19,{0,7.8,8,8.2,8.4,8.6,8.8,9,9.2,9.4,9.6,9.8,10,10.2,10.4,10.6,10.8,10.9,11,11.1,11.2},{0,10,20,30,40,50,60,62,64,66,68,70,72,74,76,78,80,85,90,95,100})</f>
        <v>68</v>
      </c>
      <c r="Q19" s="5">
        <v>3.55</v>
      </c>
      <c r="R19" s="10">
        <f t="shared" si="2"/>
        <v>6.45</v>
      </c>
      <c r="S19" s="7">
        <f>LOOKUP(R19,{0,3.85,4.45,4.65,4.85,5.45,5.65,5.7,5.75,5.8,5.85,5.9,5.95,6,6.45,6.5,6.55,6.63,6.7,6.75,6.8},{0,10,20,30,40,50,60,62,64,66,68,70,72,74,76,78,80,85,90,95,100})</f>
        <v>76</v>
      </c>
      <c r="T19" s="5"/>
      <c r="U19" s="5"/>
      <c r="V19" s="5">
        <f t="shared" si="3"/>
        <v>76</v>
      </c>
      <c r="W19" s="5"/>
      <c r="X19" s="13">
        <f t="shared" si="4"/>
        <v>41</v>
      </c>
      <c r="Y19" s="13">
        <f t="shared" si="5"/>
        <v>58.5714285714286</v>
      </c>
    </row>
    <row r="20" ht="15.6" hidden="1" outlineLevel="2" spans="1:25">
      <c r="A20" s="5">
        <v>301</v>
      </c>
      <c r="B20" s="5">
        <v>20</v>
      </c>
      <c r="C20" s="5" t="s">
        <v>31</v>
      </c>
      <c r="D20" s="5" t="s">
        <v>12</v>
      </c>
      <c r="E20" s="5">
        <v>14.5</v>
      </c>
      <c r="F20" s="7">
        <f>LOOKUP(E20,{0,-1.8,-0.8,0.2,1.2,2.2,3.2,4.6,6,7.4,8.8,10.2,11.6,13,14.4,15.8,17.2,19.1,21,22.8,24.6},{0,10,20,30,40,50,60,62,64,66,68,70,72,74,76,78,80,85,90,95,100})</f>
        <v>76</v>
      </c>
      <c r="G20" s="5">
        <v>242</v>
      </c>
      <c r="H20" s="7">
        <f>LOOKUP(G20,{0,180,185,190,195,200,205,209,213,217,221,225,229,233,237,241,245,253,260,265,270},{0,10,20,30,40,50,60,62,64,66,68,70,72,74,76,78,80,85,90,95,100})</f>
        <v>78</v>
      </c>
      <c r="I20" s="5">
        <v>13</v>
      </c>
      <c r="J20" s="7">
        <f>LOOKUP(I20,{0,4,5,6,7,8,9,10,11,12,13,14,15,16,17,18},{0,10,20,30,40,50,60,64,68,72,76,80,85,90,95,100})</f>
        <v>76</v>
      </c>
      <c r="K20" s="5"/>
      <c r="L20" s="5"/>
      <c r="M20" s="5">
        <f t="shared" si="0"/>
        <v>76</v>
      </c>
      <c r="N20" s="5">
        <v>7.8</v>
      </c>
      <c r="O20" s="10">
        <f t="shared" si="1"/>
        <v>10.2</v>
      </c>
      <c r="P20" s="7">
        <f>LOOKUP(O20,{0,7.8,8,8.2,8.4,8.6,8.8,9,9.2,9.4,9.6,9.8,10,10.2,10.4,10.6,10.8,10.9,11,11.1,11.2},{0,10,20,30,40,50,60,62,64,66,68,70,72,74,76,78,80,85,90,95,100})</f>
        <v>74</v>
      </c>
      <c r="Q20" s="5">
        <v>3.47</v>
      </c>
      <c r="R20" s="10">
        <f t="shared" si="2"/>
        <v>6.53</v>
      </c>
      <c r="S20" s="7">
        <f>LOOKUP(R20,{0,3.85,4.45,4.65,4.85,5.45,5.65,5.7,5.75,5.8,5.85,5.9,5.95,6,6.45,6.5,6.55,6.63,6.7,6.75,6.8},{0,10,20,30,40,50,60,62,64,66,68,70,72,74,76,78,80,85,90,95,100})</f>
        <v>78</v>
      </c>
      <c r="T20" s="5"/>
      <c r="U20" s="5"/>
      <c r="V20" s="5">
        <f t="shared" si="3"/>
        <v>78</v>
      </c>
      <c r="W20" s="5"/>
      <c r="X20" s="13">
        <f t="shared" si="4"/>
        <v>53.4</v>
      </c>
      <c r="Y20" s="13">
        <f t="shared" si="5"/>
        <v>76.2857142857143</v>
      </c>
    </row>
    <row r="21" ht="15.6" hidden="1" outlineLevel="2" spans="1:25">
      <c r="A21" s="5">
        <v>301</v>
      </c>
      <c r="B21" s="5">
        <v>21</v>
      </c>
      <c r="C21" s="6" t="s">
        <v>33</v>
      </c>
      <c r="D21" s="5" t="s">
        <v>12</v>
      </c>
      <c r="E21" s="5">
        <v>10.7</v>
      </c>
      <c r="F21" s="7">
        <f>LOOKUP(E21,{0,-1.8,-0.8,0.2,1.2,2.2,3.2,4.6,6,7.4,8.8,10.2,11.6,13,14.4,15.8,17.2,19.1,21,22.8,24.6},{0,10,20,30,40,50,60,62,64,66,68,70,72,74,76,78,80,85,90,95,100})</f>
        <v>70</v>
      </c>
      <c r="G21" s="5">
        <v>235</v>
      </c>
      <c r="H21" s="7">
        <f>LOOKUP(G21,{0,180,185,190,195,200,205,209,213,217,221,225,229,233,237,241,245,253,260,265,270},{0,10,20,30,40,50,60,62,64,66,68,70,72,74,76,78,80,85,90,95,100})</f>
        <v>74</v>
      </c>
      <c r="I21" s="5">
        <v>16</v>
      </c>
      <c r="J21" s="7">
        <f>LOOKUP(I21,{0,4,5,6,7,8,9,10,11,12,13,14,15,16,17,18},{0,10,20,30,40,50,60,64,68,72,76,80,85,90,95,100})</f>
        <v>90</v>
      </c>
      <c r="K21" s="5"/>
      <c r="L21" s="5"/>
      <c r="M21" s="5">
        <f t="shared" si="0"/>
        <v>90</v>
      </c>
      <c r="N21" s="5">
        <v>6.8</v>
      </c>
      <c r="O21" s="10">
        <f t="shared" si="1"/>
        <v>11.2</v>
      </c>
      <c r="P21" s="7">
        <f>LOOKUP(O21,{0,7.8,8,8.2,8.4,8.6,8.8,9,9.2,9.4,9.6,9.8,10,10.2,10.4,10.6,10.8,10.9,11,11.1,11.2},{0,10,20,30,40,50,60,62,64,66,68,70,72,74,76,78,80,85,90,95,100})</f>
        <v>100</v>
      </c>
      <c r="Q21" s="5">
        <v>3.35</v>
      </c>
      <c r="R21" s="10">
        <f t="shared" si="2"/>
        <v>6.65</v>
      </c>
      <c r="S21" s="7">
        <f>LOOKUP(R21,{0,3.85,4.45,4.65,4.85,5.45,5.65,5.7,5.75,5.8,5.85,5.9,5.95,6,6.45,6.5,6.55,6.63,6.7,6.75,6.8},{0,10,20,30,40,50,60,62,64,66,68,70,72,74,76,78,80,85,90,95,100})</f>
        <v>85</v>
      </c>
      <c r="T21" s="5"/>
      <c r="U21" s="5"/>
      <c r="V21" s="5">
        <f t="shared" si="3"/>
        <v>85</v>
      </c>
      <c r="W21" s="5"/>
      <c r="X21" s="13">
        <f t="shared" si="4"/>
        <v>60.4</v>
      </c>
      <c r="Y21" s="13">
        <f t="shared" si="5"/>
        <v>86.2857142857143</v>
      </c>
    </row>
    <row r="22" ht="15.6" hidden="1" outlineLevel="2" spans="1:25">
      <c r="A22" s="5">
        <v>301</v>
      </c>
      <c r="B22" s="5">
        <v>22</v>
      </c>
      <c r="C22" s="5" t="s">
        <v>34</v>
      </c>
      <c r="D22" s="5" t="s">
        <v>12</v>
      </c>
      <c r="E22" s="5">
        <v>21</v>
      </c>
      <c r="F22" s="7">
        <f>LOOKUP(E22,{0,-1.8,-0.8,0.2,1.2,2.2,3.2,4.6,6,7.4,8.8,10.2,11.6,13,14.4,15.8,17.2,19.1,21,22.8,24.6},{0,10,20,30,40,50,60,62,64,66,68,70,72,74,76,78,80,85,90,95,100})</f>
        <v>90</v>
      </c>
      <c r="G22" s="5">
        <v>220</v>
      </c>
      <c r="H22" s="7">
        <f>LOOKUP(G22,{0,180,185,190,195,200,205,209,213,217,221,225,229,233,237,241,245,253,260,265,270},{0,10,20,30,40,50,60,62,64,66,68,70,72,74,76,78,80,85,90,95,100})</f>
        <v>66</v>
      </c>
      <c r="I22" s="5">
        <v>5</v>
      </c>
      <c r="J22" s="7">
        <f>LOOKUP(I22,{0,4,5,6,7,8,9,10,11,12,13,14,15,16,17,18},{0,10,20,30,40,50,60,64,68,72,76,80,85,90,95,100})</f>
        <v>20</v>
      </c>
      <c r="K22" s="5"/>
      <c r="L22" s="5"/>
      <c r="M22" s="5">
        <f t="shared" si="0"/>
        <v>20</v>
      </c>
      <c r="N22" s="5">
        <v>7.7</v>
      </c>
      <c r="O22" s="10">
        <f t="shared" si="1"/>
        <v>10.3</v>
      </c>
      <c r="P22" s="7">
        <f>LOOKUP(O22,{0,7.8,8,8.2,8.4,8.6,8.8,9,9.2,9.4,9.6,9.8,10,10.2,10.4,10.6,10.8,10.9,11,11.1,11.2},{0,10,20,30,40,50,60,62,64,66,68,70,72,74,76,78,80,85,90,95,100})</f>
        <v>74</v>
      </c>
      <c r="Q22" s="5">
        <v>4.09</v>
      </c>
      <c r="R22" s="10">
        <f t="shared" si="2"/>
        <v>5.91</v>
      </c>
      <c r="S22" s="7">
        <f>LOOKUP(R22,{0,3.85,4.45,4.65,4.85,5.45,5.65,5.7,5.75,5.8,5.85,5.9,5.95,6,6.45,6.5,6.55,6.63,6.7,6.75,6.8},{0,10,20,30,40,50,60,62,64,66,68,70,72,74,76,78,80,85,90,95,100})</f>
        <v>70</v>
      </c>
      <c r="T22" s="5"/>
      <c r="U22" s="5"/>
      <c r="V22" s="5">
        <f t="shared" si="3"/>
        <v>70</v>
      </c>
      <c r="W22" s="5"/>
      <c r="X22" s="13">
        <f t="shared" si="4"/>
        <v>46.4</v>
      </c>
      <c r="Y22" s="13">
        <f t="shared" si="5"/>
        <v>66.2857142857143</v>
      </c>
    </row>
    <row r="23" ht="15.6" hidden="1" outlineLevel="2" spans="1:25">
      <c r="A23" s="5">
        <v>301</v>
      </c>
      <c r="B23" s="5">
        <v>23</v>
      </c>
      <c r="C23" s="5" t="s">
        <v>35</v>
      </c>
      <c r="D23" s="5" t="s">
        <v>12</v>
      </c>
      <c r="E23" s="5">
        <v>17</v>
      </c>
      <c r="F23" s="7">
        <f>LOOKUP(E23,{0,-1.8,-0.8,0.2,1.2,2.2,3.2,4.6,6,7.4,8.8,10.2,11.6,13,14.4,15.8,17.2,19.1,21,22.8,24.6},{0,10,20,30,40,50,60,62,64,66,68,70,72,74,76,78,80,85,90,95,100})</f>
        <v>78</v>
      </c>
      <c r="G23" s="5">
        <v>248</v>
      </c>
      <c r="H23" s="7">
        <f>LOOKUP(G23,{0,180,185,190,195,200,205,209,213,217,221,225,229,233,237,241,245,253,260,265,270},{0,10,20,30,40,50,60,62,64,66,68,70,72,74,76,78,80,85,90,95,100})</f>
        <v>80</v>
      </c>
      <c r="I23" s="5">
        <v>20</v>
      </c>
      <c r="J23" s="7">
        <f>LOOKUP(I23,{0,4,5,6,7,8,9,10,11,12,13,14,15,16,17,18},{0,10,20,30,40,50,60,64,68,72,76,80,85,90,95,100})</f>
        <v>100</v>
      </c>
      <c r="K23" s="5">
        <f>I23-18</f>
        <v>2</v>
      </c>
      <c r="L23" s="7">
        <f>LOOKUP(K23,{0,1,2,3,4,5,6,7,8,9,10},{0,1,2,3,4,5,6,7,8,9,10})</f>
        <v>2</v>
      </c>
      <c r="M23" s="5">
        <f t="shared" si="0"/>
        <v>102</v>
      </c>
      <c r="N23" s="5">
        <v>6.7</v>
      </c>
      <c r="O23" s="10">
        <f t="shared" si="1"/>
        <v>11.3</v>
      </c>
      <c r="P23" s="7">
        <f>LOOKUP(O23,{0,7.8,8,8.2,8.4,8.6,8.8,9,9.2,9.4,9.6,9.8,10,10.2,10.4,10.6,10.8,10.9,11,11.1,11.2},{0,10,20,30,40,50,60,62,64,66,68,70,72,74,76,78,80,85,90,95,100})</f>
        <v>100</v>
      </c>
      <c r="Q23" s="5">
        <v>4.01</v>
      </c>
      <c r="R23" s="10">
        <f t="shared" si="2"/>
        <v>5.99</v>
      </c>
      <c r="S23" s="7">
        <f>LOOKUP(R23,{0,3.85,4.45,4.65,4.85,5.45,5.65,5.7,5.75,5.8,5.85,5.9,5.95,6,6.45,6.5,6.55,6.63,6.7,6.75,6.8},{0,10,20,30,40,50,60,62,64,66,68,70,72,74,76,78,80,85,90,95,100})</f>
        <v>72</v>
      </c>
      <c r="T23" s="5"/>
      <c r="U23" s="5"/>
      <c r="V23" s="5">
        <f t="shared" si="3"/>
        <v>72</v>
      </c>
      <c r="W23" s="5"/>
      <c r="X23" s="13">
        <f t="shared" si="4"/>
        <v>60.2</v>
      </c>
      <c r="Y23" s="13">
        <f t="shared" si="5"/>
        <v>88</v>
      </c>
    </row>
    <row r="24" ht="15.6" hidden="1" outlineLevel="2" spans="1:25">
      <c r="A24" s="5">
        <v>301</v>
      </c>
      <c r="B24" s="5">
        <v>24</v>
      </c>
      <c r="C24" s="5" t="s">
        <v>36</v>
      </c>
      <c r="D24" s="5" t="s">
        <v>12</v>
      </c>
      <c r="E24" s="5">
        <v>11</v>
      </c>
      <c r="F24" s="7">
        <f>LOOKUP(E24,{0,-1.8,-0.8,0.2,1.2,2.2,3.2,4.6,6,7.4,8.8,10.2,11.6,13,14.4,15.8,17.2,19.1,21,22.8,24.6},{0,10,20,30,40,50,60,62,64,66,68,70,72,74,76,78,80,85,90,95,100})</f>
        <v>70</v>
      </c>
      <c r="G24" s="5">
        <v>186</v>
      </c>
      <c r="H24" s="7">
        <f>LOOKUP(G24,{0,180,185,190,195,200,205,209,213,217,221,225,229,233,237,241,245,253,260,265,270},{0,10,20,30,40,50,60,62,64,66,68,70,72,74,76,78,80,85,90,95,100})</f>
        <v>20</v>
      </c>
      <c r="I24" s="5">
        <v>0</v>
      </c>
      <c r="J24" s="7">
        <f>LOOKUP(I24,{0,4,5,6,7,8,9,10,11,12,13,14,15,16,17,18},{0,10,20,30,40,50,60,64,68,72,76,80,85,90,95,100})</f>
        <v>0</v>
      </c>
      <c r="K24" s="5"/>
      <c r="L24" s="5"/>
      <c r="M24" s="5">
        <f t="shared" si="0"/>
        <v>0</v>
      </c>
      <c r="N24" s="5">
        <v>7.6</v>
      </c>
      <c r="O24" s="10">
        <f t="shared" si="1"/>
        <v>10.4</v>
      </c>
      <c r="P24" s="7">
        <f>LOOKUP(O24,{0,7.8,8,8.2,8.4,8.6,8.8,9,9.2,9.4,9.6,9.8,10,10.2,10.4,10.6,10.8,10.9,11,11.1,11.2},{0,10,20,30,40,50,60,62,64,66,68,70,72,74,76,78,80,85,90,95,100})</f>
        <v>76</v>
      </c>
      <c r="Q24" s="5">
        <v>4.15</v>
      </c>
      <c r="R24" s="10">
        <f t="shared" si="2"/>
        <v>5.85</v>
      </c>
      <c r="S24" s="7">
        <f>LOOKUP(R24,{0,3.85,4.45,4.65,4.85,5.45,5.65,5.7,5.75,5.8,5.85,5.9,5.95,6,6.45,6.5,6.55,6.63,6.7,6.75,6.8},{0,10,20,30,40,50,60,62,64,66,68,70,72,74,76,78,80,85,90,95,100})</f>
        <v>68</v>
      </c>
      <c r="T24" s="5"/>
      <c r="U24" s="5"/>
      <c r="V24" s="5">
        <f t="shared" si="3"/>
        <v>68</v>
      </c>
      <c r="W24" s="5"/>
      <c r="X24" s="13">
        <f t="shared" si="4"/>
        <v>37.8</v>
      </c>
      <c r="Y24" s="13">
        <f t="shared" si="5"/>
        <v>54</v>
      </c>
    </row>
    <row r="25" ht="15.6" hidden="1" outlineLevel="2" spans="1:25">
      <c r="A25" s="5">
        <v>301</v>
      </c>
      <c r="B25" s="5">
        <v>25</v>
      </c>
      <c r="C25" s="5" t="s">
        <v>37</v>
      </c>
      <c r="D25" s="5" t="s">
        <v>12</v>
      </c>
      <c r="E25" s="5">
        <v>12</v>
      </c>
      <c r="F25" s="7">
        <f>LOOKUP(E25,{0,-1.8,-0.8,0.2,1.2,2.2,3.2,4.6,6,7.4,8.8,10.2,11.6,13,14.4,15.8,17.2,19.1,21,22.8,24.6},{0,10,20,30,40,50,60,62,64,66,68,70,72,74,76,78,80,85,90,95,100})</f>
        <v>72</v>
      </c>
      <c r="G25" s="5">
        <v>172</v>
      </c>
      <c r="H25" s="7">
        <f>LOOKUP(G25,{0,180,185,190,195,200,205,209,213,217,221,225,229,233,237,241,245,253,260,265,270},{0,10,20,30,40,50,60,62,64,66,68,70,72,74,76,78,80,85,90,95,100})</f>
        <v>0</v>
      </c>
      <c r="I25" s="5">
        <v>1</v>
      </c>
      <c r="J25" s="7">
        <f>LOOKUP(I25,{0,4,5,6,7,8,9,10,11,12,13,14,15,16,17,18},{0,10,20,30,40,50,60,64,68,72,76,80,85,90,95,100})</f>
        <v>0</v>
      </c>
      <c r="K25" s="5"/>
      <c r="L25" s="5"/>
      <c r="M25" s="5">
        <f t="shared" si="0"/>
        <v>0</v>
      </c>
      <c r="N25" s="5">
        <v>8.5</v>
      </c>
      <c r="O25" s="10">
        <f t="shared" si="1"/>
        <v>9.5</v>
      </c>
      <c r="P25" s="7">
        <f>LOOKUP(O25,{0,7.8,8,8.2,8.4,8.6,8.8,9,9.2,9.4,9.6,9.8,10,10.2,10.4,10.6,10.8,10.9,11,11.1,11.2},{0,10,20,30,40,50,60,62,64,66,68,70,72,74,76,78,80,85,90,95,100})</f>
        <v>66</v>
      </c>
      <c r="Q25" s="5">
        <v>4.11</v>
      </c>
      <c r="R25" s="10">
        <f t="shared" si="2"/>
        <v>5.89</v>
      </c>
      <c r="S25" s="7">
        <f>LOOKUP(R25,{0,3.85,4.45,4.65,4.85,5.45,5.65,5.7,5.75,5.8,5.85,5.9,5.95,6,6.45,6.5,6.55,6.63,6.7,6.75,6.8},{0,10,20,30,40,50,60,62,64,66,68,70,72,74,76,78,80,85,90,95,100})</f>
        <v>68</v>
      </c>
      <c r="T25" s="5"/>
      <c r="U25" s="5"/>
      <c r="V25" s="5">
        <f t="shared" si="3"/>
        <v>68</v>
      </c>
      <c r="W25" s="5"/>
      <c r="X25" s="13">
        <f t="shared" si="4"/>
        <v>34</v>
      </c>
      <c r="Y25" s="13">
        <f t="shared" si="5"/>
        <v>48.5714285714286</v>
      </c>
    </row>
    <row r="26" ht="15.6" hidden="1" outlineLevel="2" spans="1:25">
      <c r="A26" s="5">
        <v>301</v>
      </c>
      <c r="B26" s="5">
        <v>26</v>
      </c>
      <c r="C26" s="5" t="s">
        <v>38</v>
      </c>
      <c r="D26" s="5" t="s">
        <v>12</v>
      </c>
      <c r="E26" s="5">
        <v>19</v>
      </c>
      <c r="F26" s="7">
        <f>LOOKUP(E26,{0,-1.8,-0.8,0.2,1.2,2.2,3.2,4.6,6,7.4,8.8,10.2,11.6,13,14.4,15.8,17.2,19.1,21,22.8,24.6},{0,10,20,30,40,50,60,62,64,66,68,70,72,74,76,78,80,85,90,95,100})</f>
        <v>80</v>
      </c>
      <c r="G26" s="5">
        <v>255</v>
      </c>
      <c r="H26" s="7">
        <f>LOOKUP(G26,{0,180,185,190,195,200,205,209,213,217,221,225,229,233,237,241,245,253,260,265,270},{0,10,20,30,40,50,60,62,64,66,68,70,72,74,76,78,80,85,90,95,100})</f>
        <v>85</v>
      </c>
      <c r="I26" s="5">
        <v>10</v>
      </c>
      <c r="J26" s="7">
        <f>LOOKUP(I26,{0,4,5,6,7,8,9,10,11,12,13,14,15,16,17,18},{0,10,20,30,40,50,60,64,68,72,76,80,85,90,95,100})</f>
        <v>64</v>
      </c>
      <c r="K26" s="5"/>
      <c r="L26" s="5"/>
      <c r="M26" s="5">
        <f t="shared" si="0"/>
        <v>64</v>
      </c>
      <c r="N26" s="5">
        <v>7.1</v>
      </c>
      <c r="O26" s="10">
        <f t="shared" si="1"/>
        <v>10.9</v>
      </c>
      <c r="P26" s="7">
        <f>LOOKUP(O26,{0,7.8,8,8.2,8.4,8.6,8.8,9,9.2,9.4,9.6,9.8,10,10.2,10.4,10.6,10.8,10.9,11,11.1,11.2},{0,10,20,30,40,50,60,62,64,66,68,70,72,74,76,78,80,85,90,95,100})</f>
        <v>85</v>
      </c>
      <c r="Q26" s="5">
        <v>4.02</v>
      </c>
      <c r="R26" s="10">
        <f t="shared" si="2"/>
        <v>5.98</v>
      </c>
      <c r="S26" s="7">
        <f>LOOKUP(R26,{0,3.85,4.45,4.65,4.85,5.45,5.65,5.7,5.75,5.8,5.85,5.9,5.95,6,6.45,6.5,6.55,6.63,6.7,6.75,6.8},{0,10,20,30,40,50,60,62,64,66,68,70,72,74,76,78,80,85,90,95,100})</f>
        <v>72</v>
      </c>
      <c r="T26" s="5"/>
      <c r="U26" s="5"/>
      <c r="V26" s="5">
        <f t="shared" si="3"/>
        <v>72</v>
      </c>
      <c r="W26" s="5"/>
      <c r="X26" s="13">
        <f t="shared" si="4"/>
        <v>54.3</v>
      </c>
      <c r="Y26" s="13">
        <f t="shared" si="5"/>
        <v>77.5714285714286</v>
      </c>
    </row>
    <row r="27" ht="15.6" hidden="1" outlineLevel="2" spans="1:25">
      <c r="A27" s="5">
        <v>301</v>
      </c>
      <c r="B27" s="5">
        <v>27</v>
      </c>
      <c r="C27" s="5" t="s">
        <v>39</v>
      </c>
      <c r="D27" s="5" t="s">
        <v>12</v>
      </c>
      <c r="E27" s="5">
        <v>5</v>
      </c>
      <c r="F27" s="7">
        <f>LOOKUP(E27,{0,-1.8,-0.8,0.2,1.2,2.2,3.2,4.6,6,7.4,8.8,10.2,11.6,13,14.4,15.8,17.2,19.1,21,22.8,24.6},{0,10,20,30,40,50,60,62,64,66,68,70,72,74,76,78,80,85,90,95,100})</f>
        <v>62</v>
      </c>
      <c r="G27" s="5">
        <v>212</v>
      </c>
      <c r="H27" s="7">
        <f>LOOKUP(G27,{0,180,185,190,195,200,205,209,213,217,221,225,229,233,237,241,245,253,260,265,270},{0,10,20,30,40,50,60,62,64,66,68,70,72,74,76,78,80,85,90,95,100})</f>
        <v>62</v>
      </c>
      <c r="I27" s="5">
        <v>3</v>
      </c>
      <c r="J27" s="7">
        <f>LOOKUP(I27,{0,4,5,6,7,8,9,10,11,12,13,14,15,16,17,18},{0,10,20,30,40,50,60,64,68,72,76,80,85,90,95,100})</f>
        <v>0</v>
      </c>
      <c r="K27" s="5"/>
      <c r="L27" s="5"/>
      <c r="M27" s="5">
        <f t="shared" si="0"/>
        <v>0</v>
      </c>
      <c r="N27" s="5">
        <v>7.2</v>
      </c>
      <c r="O27" s="10">
        <f t="shared" si="1"/>
        <v>10.8</v>
      </c>
      <c r="P27" s="7">
        <f>LOOKUP(O27,{0,7.8,8,8.2,8.4,8.6,8.8,9,9.2,9.4,9.6,9.8,10,10.2,10.4,10.6,10.8,10.9,11,11.1,11.2},{0,10,20,30,40,50,60,62,64,66,68,70,72,74,76,78,80,85,90,95,100})</f>
        <v>80</v>
      </c>
      <c r="Q27" s="5">
        <v>4.57</v>
      </c>
      <c r="R27" s="10">
        <f t="shared" si="2"/>
        <v>5.43</v>
      </c>
      <c r="S27" s="7">
        <f>LOOKUP(R27,{0,3.85,4.45,4.65,4.85,5.45,5.65,5.7,5.75,5.8,5.85,5.9,5.95,6,6.45,6.5,6.55,6.63,6.7,6.75,6.8},{0,10,20,30,40,50,60,62,64,66,68,70,72,74,76,78,80,85,90,95,100})</f>
        <v>40</v>
      </c>
      <c r="T27" s="5"/>
      <c r="U27" s="5"/>
      <c r="V27" s="5">
        <f t="shared" si="3"/>
        <v>40</v>
      </c>
      <c r="W27" s="5"/>
      <c r="X27" s="13">
        <f t="shared" si="4"/>
        <v>36.4</v>
      </c>
      <c r="Y27" s="13">
        <f t="shared" si="5"/>
        <v>52</v>
      </c>
    </row>
    <row r="28" ht="15.6" hidden="1" outlineLevel="2" spans="1:25">
      <c r="A28" s="5">
        <v>301</v>
      </c>
      <c r="B28" s="5">
        <v>28</v>
      </c>
      <c r="C28" s="5" t="s">
        <v>40</v>
      </c>
      <c r="D28" s="5" t="s">
        <v>12</v>
      </c>
      <c r="E28" s="5">
        <v>18</v>
      </c>
      <c r="F28" s="7">
        <f>LOOKUP(E28,{0,-1.8,-0.8,0.2,1.2,2.2,3.2,4.6,6,7.4,8.8,10.2,11.6,13,14.4,15.8,17.2,19.1,21,22.8,24.6},{0,10,20,30,40,50,60,62,64,66,68,70,72,74,76,78,80,85,90,95,100})</f>
        <v>80</v>
      </c>
      <c r="G28" s="5">
        <v>225</v>
      </c>
      <c r="H28" s="7">
        <f>LOOKUP(G28,{0,180,185,190,195,200,205,209,213,217,221,225,229,233,237,241,245,253,260,265,270},{0,10,20,30,40,50,60,62,64,66,68,70,72,74,76,78,80,85,90,95,100})</f>
        <v>70</v>
      </c>
      <c r="I28" s="5">
        <v>3</v>
      </c>
      <c r="J28" s="7">
        <f>LOOKUP(I28,{0,4,5,6,7,8,9,10,11,12,13,14,15,16,17,18},{0,10,20,30,40,50,60,64,68,72,76,80,85,90,95,100})</f>
        <v>0</v>
      </c>
      <c r="K28" s="5"/>
      <c r="L28" s="5"/>
      <c r="M28" s="5">
        <f t="shared" si="0"/>
        <v>0</v>
      </c>
      <c r="N28" s="5">
        <v>7.6</v>
      </c>
      <c r="O28" s="10">
        <f t="shared" si="1"/>
        <v>10.4</v>
      </c>
      <c r="P28" s="7">
        <f>LOOKUP(O28,{0,7.8,8,8.2,8.4,8.6,8.8,9,9.2,9.4,9.6,9.8,10,10.2,10.4,10.6,10.8,10.9,11,11.1,11.2},{0,10,20,30,40,50,60,62,64,66,68,70,72,74,76,78,80,85,90,95,100})</f>
        <v>76</v>
      </c>
      <c r="Q28" s="5">
        <v>4.07</v>
      </c>
      <c r="R28" s="10">
        <f t="shared" si="2"/>
        <v>5.93</v>
      </c>
      <c r="S28" s="7">
        <f>LOOKUP(R28,{0,3.85,4.45,4.65,4.85,5.45,5.65,5.7,5.75,5.8,5.85,5.9,5.95,6,6.45,6.5,6.55,6.63,6.7,6.75,6.8},{0,10,20,30,40,50,60,62,64,66,68,70,72,74,76,78,80,85,90,95,100})</f>
        <v>70</v>
      </c>
      <c r="T28" s="5"/>
      <c r="U28" s="5"/>
      <c r="V28" s="5">
        <f t="shared" si="3"/>
        <v>70</v>
      </c>
      <c r="W28" s="5"/>
      <c r="X28" s="13">
        <f t="shared" si="4"/>
        <v>44.2</v>
      </c>
      <c r="Y28" s="13">
        <f t="shared" si="5"/>
        <v>63.1428571428572</v>
      </c>
    </row>
    <row r="29" ht="15.6" hidden="1" outlineLevel="2" spans="1:25">
      <c r="A29" s="5">
        <v>301</v>
      </c>
      <c r="B29" s="5">
        <v>29</v>
      </c>
      <c r="C29" s="5" t="s">
        <v>41</v>
      </c>
      <c r="D29" s="5" t="s">
        <v>12</v>
      </c>
      <c r="E29" s="5"/>
      <c r="F29" s="7"/>
      <c r="G29" s="5"/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50</v>
      </c>
      <c r="X29" s="13"/>
      <c r="Y29" s="13">
        <v>50</v>
      </c>
    </row>
    <row r="30" ht="15.6" hidden="1" outlineLevel="2" spans="1:25">
      <c r="A30" s="5">
        <v>301</v>
      </c>
      <c r="B30" s="5">
        <v>30</v>
      </c>
      <c r="C30" s="5" t="s">
        <v>42</v>
      </c>
      <c r="D30" s="5" t="s">
        <v>12</v>
      </c>
      <c r="E30" s="5">
        <v>10</v>
      </c>
      <c r="F30" s="7">
        <f>LOOKUP(E30,{0,-1.8,-0.8,0.2,1.2,2.2,3.2,4.6,6,7.4,8.8,10.2,11.6,13,14.4,15.8,17.2,19.1,21,22.8,24.6},{0,10,20,30,40,50,60,62,64,66,68,70,72,74,76,78,80,85,90,95,100})</f>
        <v>68</v>
      </c>
      <c r="G30" s="5">
        <v>225</v>
      </c>
      <c r="H30" s="7">
        <f>LOOKUP(G30,{0,180,185,190,195,200,205,209,213,217,221,225,229,233,237,241,245,253,260,265,270},{0,10,20,30,40,50,60,62,64,66,68,70,72,74,76,78,80,85,90,95,100})</f>
        <v>70</v>
      </c>
      <c r="I30" s="5">
        <v>1</v>
      </c>
      <c r="J30" s="7">
        <f>LOOKUP(I30,{0,4,5,6,7,8,9,10,11,12,13,14,15,16,17,18},{0,10,20,30,40,50,60,64,68,72,76,80,85,90,95,100})</f>
        <v>0</v>
      </c>
      <c r="K30" s="5"/>
      <c r="L30" s="5"/>
      <c r="M30" s="5">
        <f>J30+L30</f>
        <v>0</v>
      </c>
      <c r="N30" s="5">
        <v>7.7</v>
      </c>
      <c r="O30" s="10">
        <f>18-N30</f>
        <v>10.3</v>
      </c>
      <c r="P30" s="7">
        <f>LOOKUP(O30,{0,7.8,8,8.2,8.4,8.6,8.8,9,9.2,9.4,9.6,9.8,10,10.2,10.4,10.6,10.8,10.9,11,11.1,11.2},{0,10,20,30,40,50,60,62,64,66,68,70,72,74,76,78,80,85,90,95,100})</f>
        <v>74</v>
      </c>
      <c r="Q30" s="5">
        <v>4.26</v>
      </c>
      <c r="R30" s="10">
        <f>10-Q30</f>
        <v>5.74</v>
      </c>
      <c r="S30" s="7">
        <f>LOOKUP(R30,{0,3.85,4.45,4.65,4.85,5.45,5.65,5.7,5.75,5.8,5.85,5.9,5.95,6,6.45,6.5,6.55,6.63,6.7,6.75,6.8},{0,10,20,30,40,50,60,62,64,66,68,70,72,74,76,78,80,85,90,95,100})</f>
        <v>62</v>
      </c>
      <c r="T30" s="5"/>
      <c r="U30" s="5"/>
      <c r="V30" s="5">
        <f>S30+U30</f>
        <v>62</v>
      </c>
      <c r="W30" s="5"/>
      <c r="X30" s="13">
        <f>F30*0.1+H30*0.1+J30*0.1+P30*0.2+S30*0.2</f>
        <v>41</v>
      </c>
      <c r="Y30" s="13">
        <f>X30/0.7+L30+U30</f>
        <v>58.5714285714286</v>
      </c>
    </row>
    <row r="31" ht="15.6" hidden="1" outlineLevel="2" spans="1:25">
      <c r="A31" s="5">
        <v>301</v>
      </c>
      <c r="B31" s="5">
        <v>31</v>
      </c>
      <c r="C31" s="5" t="s">
        <v>43</v>
      </c>
      <c r="D31" s="5" t="s">
        <v>12</v>
      </c>
      <c r="E31" s="5">
        <v>13</v>
      </c>
      <c r="F31" s="7">
        <f>LOOKUP(E31,{0,-1.8,-0.8,0.2,1.2,2.2,3.2,4.6,6,7.4,8.8,10.2,11.6,13,14.4,15.8,17.2,19.1,21,22.8,24.6},{0,10,20,30,40,50,60,62,64,66,68,70,72,74,76,78,80,85,90,95,100})</f>
        <v>74</v>
      </c>
      <c r="G31" s="5">
        <v>200</v>
      </c>
      <c r="H31" s="7">
        <f>LOOKUP(G31,{0,180,185,190,195,200,205,209,213,217,221,225,229,233,237,241,245,253,260,265,270},{0,10,20,30,40,50,60,62,64,66,68,70,72,74,76,78,80,85,90,95,100})</f>
        <v>50</v>
      </c>
      <c r="I31" s="5">
        <v>0</v>
      </c>
      <c r="J31" s="7">
        <f>LOOKUP(I31,{0,4,5,6,7,8,9,10,11,12,13,14,15,16,17,18},{0,10,20,30,40,50,60,64,68,72,76,80,85,90,95,100})</f>
        <v>0</v>
      </c>
      <c r="K31" s="5"/>
      <c r="L31" s="5"/>
      <c r="M31" s="5">
        <f>J31+L31</f>
        <v>0</v>
      </c>
      <c r="N31" s="5">
        <v>7.7</v>
      </c>
      <c r="O31" s="10">
        <f>18-N31</f>
        <v>10.3</v>
      </c>
      <c r="P31" s="7">
        <f>LOOKUP(O31,{0,7.8,8,8.2,8.4,8.6,8.8,9,9.2,9.4,9.6,9.8,10,10.2,10.4,10.6,10.8,10.9,11,11.1,11.2},{0,10,20,30,40,50,60,62,64,66,68,70,72,74,76,78,80,85,90,95,100})</f>
        <v>74</v>
      </c>
      <c r="Q31" s="5">
        <v>4.26</v>
      </c>
      <c r="R31" s="10">
        <f>10-Q31</f>
        <v>5.74</v>
      </c>
      <c r="S31" s="7">
        <f>LOOKUP(R31,{0,3.85,4.45,4.65,4.85,5.45,5.65,5.7,5.75,5.8,5.85,5.9,5.95,6,6.45,6.5,6.55,6.63,6.7,6.75,6.8},{0,10,20,30,40,50,60,62,64,66,68,70,72,74,76,78,80,85,90,95,100})</f>
        <v>62</v>
      </c>
      <c r="T31" s="5"/>
      <c r="U31" s="5"/>
      <c r="V31" s="5">
        <f>S31+U31</f>
        <v>62</v>
      </c>
      <c r="W31" s="5"/>
      <c r="X31" s="13">
        <f>F31*0.1+H31*0.1+J31*0.1+P31*0.2+S31*0.2</f>
        <v>39.6</v>
      </c>
      <c r="Y31" s="13">
        <f>X31/0.7+L31+U31</f>
        <v>56.5714285714286</v>
      </c>
    </row>
    <row r="32" ht="15.6" outlineLevel="1" collapsed="1" spans="1:25">
      <c r="A32" s="6" t="s">
        <v>852</v>
      </c>
      <c r="B32" s="5"/>
      <c r="C32" s="5"/>
      <c r="D32" s="5"/>
      <c r="E32" s="5"/>
      <c r="F32" s="7">
        <f>SUBTOTAL(1,F2:F31)</f>
        <v>61.9655172413793</v>
      </c>
      <c r="G32" s="5"/>
      <c r="H32" s="7">
        <f>SUBTOTAL(1,H2:H31)</f>
        <v>57.8275862068966</v>
      </c>
      <c r="I32" s="5"/>
      <c r="J32" s="7">
        <f>SUBTOTAL(1,J2:J31)</f>
        <v>23.9310344827586</v>
      </c>
      <c r="K32" s="5"/>
      <c r="L32" s="5"/>
      <c r="M32" s="5">
        <f>SUBTOTAL(1,M2:M31)</f>
        <v>24</v>
      </c>
      <c r="N32" s="5"/>
      <c r="O32" s="10"/>
      <c r="P32" s="7">
        <f>SUBTOTAL(1,P2:P31)</f>
        <v>73.9655172413793</v>
      </c>
      <c r="Q32" s="5"/>
      <c r="R32" s="10"/>
      <c r="S32" s="7">
        <f>SUBTOTAL(1,S2:S31)</f>
        <v>61.7586206896552</v>
      </c>
      <c r="T32" s="5"/>
      <c r="U32" s="5"/>
      <c r="V32" s="5">
        <f>SUBTOTAL(1,V2:V31)</f>
        <v>61.7586206896552</v>
      </c>
      <c r="W32" s="5"/>
      <c r="X32" s="13">
        <f>SUBTOTAL(1,X2:X31)</f>
        <v>41.5172413793103</v>
      </c>
      <c r="Y32" s="13">
        <f>SUBTOTAL(1,Y2:Y31)</f>
        <v>59.0666666666667</v>
      </c>
    </row>
    <row r="33" ht="15.6" hidden="1" outlineLevel="2" spans="1:25">
      <c r="A33" s="5">
        <v>302</v>
      </c>
      <c r="B33" s="5">
        <v>1</v>
      </c>
      <c r="C33" s="6" t="s">
        <v>58</v>
      </c>
      <c r="D33" s="5" t="s">
        <v>12</v>
      </c>
      <c r="E33" s="5">
        <v>-5</v>
      </c>
      <c r="F33" s="7">
        <v>0</v>
      </c>
      <c r="G33" s="5">
        <v>260</v>
      </c>
      <c r="H33" s="7">
        <f>LOOKUP(G33,{0,180,185,190,195,200,205,209,213,217,221,225,229,233,237,241,245,253,260,265,270},{0,10,20,30,40,50,60,62,64,66,68,70,72,74,76,78,80,85,90,95,100})</f>
        <v>90</v>
      </c>
      <c r="I33" s="5">
        <v>4</v>
      </c>
      <c r="J33" s="7">
        <f>LOOKUP(I33,{0,4,5,6,7,8,9,10,11,12,13,14,15,16,17,18},{0,10,20,30,40,50,60,64,68,72,76,80,85,90,95,100})</f>
        <v>10</v>
      </c>
      <c r="K33" s="5"/>
      <c r="L33" s="5"/>
      <c r="M33" s="5">
        <f>J33+L33</f>
        <v>10</v>
      </c>
      <c r="N33" s="5">
        <v>7.4</v>
      </c>
      <c r="O33" s="10">
        <f>18-N33</f>
        <v>10.6</v>
      </c>
      <c r="P33" s="7">
        <f>LOOKUP(O33,{0,7.8,8,8.2,8.4,8.6,8.8,9,9.2,9.4,9.6,9.8,10,10.2,10.4,10.6,10.8,10.9,11,11.1,11.2},{0,10,20,30,40,50,60,62,64,66,68,70,72,74,76,78,80,85,90,95,100})</f>
        <v>78</v>
      </c>
      <c r="Q33" s="5">
        <v>4.38</v>
      </c>
      <c r="R33" s="10">
        <f>10-Q33</f>
        <v>5.62</v>
      </c>
      <c r="S33" s="7">
        <f>LOOKUP(R33,{0,3.85,4.45,4.65,4.85,5.45,5.65,5.7,5.75,5.8,5.85,5.9,5.95,6,6.45,6.5,6.55,6.63,6.7,6.75,6.8},{0,10,20,30,40,50,60,62,64,66,68,70,72,74,76,78,80,85,90,95,100})</f>
        <v>50</v>
      </c>
      <c r="T33" s="5"/>
      <c r="U33" s="5"/>
      <c r="V33" s="5">
        <f>S33+U33</f>
        <v>50</v>
      </c>
      <c r="W33" s="5"/>
      <c r="X33" s="13">
        <f>F33*0.1+H33*0.1+J33*0.1+P33*0.2+S33*0.2</f>
        <v>35.6</v>
      </c>
      <c r="Y33" s="13">
        <f>X33/0.7+L33+U33</f>
        <v>50.8571428571429</v>
      </c>
    </row>
    <row r="34" ht="15.6" hidden="1" outlineLevel="2" spans="1:25">
      <c r="A34" s="5">
        <v>302</v>
      </c>
      <c r="B34" s="5">
        <v>2</v>
      </c>
      <c r="C34" s="5" t="s">
        <v>59</v>
      </c>
      <c r="D34" s="5" t="s">
        <v>12</v>
      </c>
      <c r="E34" s="5"/>
      <c r="F34" s="7"/>
      <c r="G34" s="5"/>
      <c r="H34" s="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50</v>
      </c>
      <c r="X34" s="13"/>
      <c r="Y34" s="13">
        <v>50</v>
      </c>
    </row>
    <row r="35" ht="15.6" hidden="1" outlineLevel="2" spans="1:25">
      <c r="A35" s="5">
        <v>302</v>
      </c>
      <c r="B35" s="5">
        <v>3</v>
      </c>
      <c r="C35" s="5" t="s">
        <v>60</v>
      </c>
      <c r="D35" s="5" t="s">
        <v>12</v>
      </c>
      <c r="E35" s="5">
        <v>-4.5</v>
      </c>
      <c r="F35" s="7">
        <v>0</v>
      </c>
      <c r="G35" s="5">
        <v>185</v>
      </c>
      <c r="H35" s="7">
        <f>LOOKUP(G35,{0,180,185,190,195,200,205,209,213,217,221,225,229,233,237,241,245,253,260,265,270},{0,10,20,30,40,50,60,62,64,66,68,70,72,74,76,78,80,85,90,95,100})</f>
        <v>20</v>
      </c>
      <c r="I35" s="5">
        <v>0</v>
      </c>
      <c r="J35" s="7">
        <f>LOOKUP(I35,{0,4,5,6,7,8,9,10,11,12,13,14,15,16,17,18},{0,10,20,30,40,50,60,64,68,72,76,80,85,90,95,100})</f>
        <v>0</v>
      </c>
      <c r="K35" s="5"/>
      <c r="L35" s="5"/>
      <c r="M35" s="5">
        <f t="shared" ref="M35:M71" si="6">J35+L35</f>
        <v>0</v>
      </c>
      <c r="N35" s="5">
        <v>8.8</v>
      </c>
      <c r="O35" s="10">
        <f t="shared" ref="O35:O71" si="7">18-N35</f>
        <v>9.2</v>
      </c>
      <c r="P35" s="7">
        <f>LOOKUP(O35,{0,7.8,8,8.2,8.4,8.6,8.8,9,9.2,9.4,9.6,9.8,10,10.2,10.4,10.6,10.8,10.9,11,11.1,11.2},{0,10,20,30,40,50,60,62,64,66,68,70,72,74,76,78,80,85,90,95,100})</f>
        <v>64</v>
      </c>
      <c r="Q35" s="5">
        <v>4.54</v>
      </c>
      <c r="R35" s="10">
        <f t="shared" ref="R35:R71" si="8">10-Q35</f>
        <v>5.46</v>
      </c>
      <c r="S35" s="7">
        <f>LOOKUP(R35,{0,3.85,4.45,4.65,4.85,5.45,5.65,5.7,5.75,5.8,5.85,5.9,5.95,6,6.45,6.5,6.55,6.63,6.7,6.75,6.8},{0,10,20,30,40,50,60,62,64,66,68,70,72,74,76,78,80,85,90,95,100})</f>
        <v>50</v>
      </c>
      <c r="T35" s="5"/>
      <c r="U35" s="5"/>
      <c r="V35" s="5">
        <f t="shared" ref="V35:V49" si="9">S35+U35</f>
        <v>50</v>
      </c>
      <c r="W35" s="5"/>
      <c r="X35" s="13">
        <f t="shared" ref="X35:X71" si="10">F35*0.1+H35*0.1+J35*0.1+P35*0.2+S35*0.2</f>
        <v>24.8</v>
      </c>
      <c r="Y35" s="13">
        <f t="shared" ref="Y35:Y49" si="11">X35/0.7+L35+U35</f>
        <v>35.4285714285714</v>
      </c>
    </row>
    <row r="36" ht="15.6" hidden="1" outlineLevel="2" spans="1:25">
      <c r="A36" s="5">
        <v>302</v>
      </c>
      <c r="B36" s="5">
        <v>4</v>
      </c>
      <c r="C36" s="5" t="s">
        <v>61</v>
      </c>
      <c r="D36" s="5" t="s">
        <v>12</v>
      </c>
      <c r="E36" s="5">
        <v>6.5</v>
      </c>
      <c r="F36" s="7">
        <f>LOOKUP(E36,{0,-1.8,-0.8,0.2,1.2,2.2,3.2,4.6,6,7.4,8.8,10.2,11.6,13,14.4,15.8,17.2,19.1,21,22.8,24.6},{0,10,20,30,40,50,60,62,64,66,68,70,72,74,76,78,80,85,90,95,100})</f>
        <v>64</v>
      </c>
      <c r="G36" s="5">
        <v>260</v>
      </c>
      <c r="H36" s="7">
        <f>LOOKUP(G36,{0,180,185,190,195,200,205,209,213,217,221,225,229,233,237,241,245,253,260,265,270},{0,10,20,30,40,50,60,62,64,66,68,70,72,74,76,78,80,85,90,95,100})</f>
        <v>90</v>
      </c>
      <c r="I36" s="5">
        <v>5</v>
      </c>
      <c r="J36" s="7">
        <f>LOOKUP(I36,{0,4,5,6,7,8,9,10,11,12,13,14,15,16,17,18},{0,10,20,30,40,50,60,64,68,72,76,80,85,90,95,100})</f>
        <v>20</v>
      </c>
      <c r="K36" s="5"/>
      <c r="L36" s="5"/>
      <c r="M36" s="5">
        <f t="shared" si="6"/>
        <v>20</v>
      </c>
      <c r="N36" s="5">
        <v>7.2</v>
      </c>
      <c r="O36" s="10">
        <f t="shared" si="7"/>
        <v>10.8</v>
      </c>
      <c r="P36" s="7">
        <f>LOOKUP(O36,{0,7.8,8,8.2,8.4,8.6,8.8,9,9.2,9.4,9.6,9.8,10,10.2,10.4,10.6,10.8,10.9,11,11.1,11.2},{0,10,20,30,40,50,60,62,64,66,68,70,72,74,76,78,80,85,90,95,100})</f>
        <v>80</v>
      </c>
      <c r="Q36" s="5">
        <v>4.21</v>
      </c>
      <c r="R36" s="10">
        <f t="shared" si="8"/>
        <v>5.79</v>
      </c>
      <c r="S36" s="7">
        <f>LOOKUP(R36,{0,3.85,4.45,4.65,4.85,5.45,5.65,5.7,5.75,5.8,5.85,5.9,5.95,6,6.45,6.5,6.55,6.63,6.7,6.75,6.8},{0,10,20,30,40,50,60,62,64,66,68,70,72,74,76,78,80,85,90,95,100})</f>
        <v>64</v>
      </c>
      <c r="T36" s="5"/>
      <c r="U36" s="5"/>
      <c r="V36" s="5">
        <f t="shared" si="9"/>
        <v>64</v>
      </c>
      <c r="W36" s="5"/>
      <c r="X36" s="13">
        <f t="shared" si="10"/>
        <v>46.2</v>
      </c>
      <c r="Y36" s="13">
        <f t="shared" si="11"/>
        <v>66</v>
      </c>
    </row>
    <row r="37" ht="15.6" hidden="1" outlineLevel="2" spans="1:25">
      <c r="A37" s="5">
        <v>302</v>
      </c>
      <c r="B37" s="5">
        <v>5</v>
      </c>
      <c r="C37" s="5" t="s">
        <v>62</v>
      </c>
      <c r="D37" s="5" t="s">
        <v>12</v>
      </c>
      <c r="E37" s="5">
        <v>4</v>
      </c>
      <c r="F37" s="7">
        <f>LOOKUP(E37,{0,-1.8,-0.8,0.2,1.2,2.2,3.2,4.6,6,7.4,8.8,10.2,11.6,13,14.4,15.8,17.2,19.1,21,22.8,24.6},{0,10,20,30,40,50,60,62,64,66,68,70,72,74,76,78,80,85,90,95,100})</f>
        <v>60</v>
      </c>
      <c r="G37" s="5">
        <v>222</v>
      </c>
      <c r="H37" s="7">
        <f>LOOKUP(G37,{0,180,185,190,195,200,205,209,213,217,221,225,229,233,237,241,245,253,260,265,270},{0,10,20,30,40,50,60,62,64,66,68,70,72,74,76,78,80,85,90,95,100})</f>
        <v>68</v>
      </c>
      <c r="I37" s="5">
        <v>7</v>
      </c>
      <c r="J37" s="7">
        <f>LOOKUP(I37,{0,4,5,6,7,8,9,10,11,12,13,14,15,16,17,18},{0,10,20,30,40,50,60,64,68,72,76,80,85,90,95,100})</f>
        <v>40</v>
      </c>
      <c r="K37" s="5"/>
      <c r="L37" s="5"/>
      <c r="M37" s="5">
        <f t="shared" si="6"/>
        <v>40</v>
      </c>
      <c r="N37" s="5">
        <v>7.5</v>
      </c>
      <c r="O37" s="10">
        <f t="shared" si="7"/>
        <v>10.5</v>
      </c>
      <c r="P37" s="7">
        <f>LOOKUP(O37,{0,7.8,8,8.2,8.4,8.6,8.8,9,9.2,9.4,9.6,9.8,10,10.2,10.4,10.6,10.8,10.9,11,11.1,11.2},{0,10,20,30,40,50,60,62,64,66,68,70,72,74,76,78,80,85,90,95,100})</f>
        <v>76</v>
      </c>
      <c r="Q37" s="5">
        <v>4.07</v>
      </c>
      <c r="R37" s="10">
        <f t="shared" si="8"/>
        <v>5.93</v>
      </c>
      <c r="S37" s="7">
        <f>LOOKUP(R37,{0,3.85,4.45,4.65,4.85,5.45,5.65,5.7,5.75,5.8,5.85,5.9,5.95,6,6.45,6.5,6.55,6.63,6.7,6.75,6.8},{0,10,20,30,40,50,60,62,64,66,68,70,72,74,76,78,80,85,90,95,100})</f>
        <v>70</v>
      </c>
      <c r="T37" s="5"/>
      <c r="U37" s="5"/>
      <c r="V37" s="5">
        <f t="shared" si="9"/>
        <v>70</v>
      </c>
      <c r="W37" s="5"/>
      <c r="X37" s="13">
        <f t="shared" si="10"/>
        <v>46</v>
      </c>
      <c r="Y37" s="13">
        <f t="shared" si="11"/>
        <v>65.7142857142857</v>
      </c>
    </row>
    <row r="38" ht="15.6" hidden="1" outlineLevel="2" spans="1:25">
      <c r="A38" s="5">
        <v>302</v>
      </c>
      <c r="B38" s="5">
        <v>6</v>
      </c>
      <c r="C38" s="5" t="s">
        <v>63</v>
      </c>
      <c r="D38" s="5" t="s">
        <v>12</v>
      </c>
      <c r="E38" s="5">
        <v>12.5</v>
      </c>
      <c r="F38" s="7">
        <f>LOOKUP(E38,{0,-1.8,-0.8,0.2,1.2,2.2,3.2,4.6,6,7.4,8.8,10.2,11.6,13,14.4,15.8,17.2,19.1,21,22.8,24.6},{0,10,20,30,40,50,60,62,64,66,68,70,72,74,76,78,80,85,90,95,100})</f>
        <v>72</v>
      </c>
      <c r="G38" s="5">
        <v>235</v>
      </c>
      <c r="H38" s="7">
        <f>LOOKUP(G38,{0,180,185,190,195,200,205,209,213,217,221,225,229,233,237,241,245,253,260,265,270},{0,10,20,30,40,50,60,62,64,66,68,70,72,74,76,78,80,85,90,95,100})</f>
        <v>74</v>
      </c>
      <c r="I38" s="5">
        <v>10</v>
      </c>
      <c r="J38" s="7">
        <f>LOOKUP(I38,{0,4,5,6,7,8,9,10,11,12,13,14,15,16,17,18},{0,10,20,30,40,50,60,64,68,72,76,80,85,90,95,100})</f>
        <v>64</v>
      </c>
      <c r="K38" s="5"/>
      <c r="L38" s="5"/>
      <c r="M38" s="5">
        <f t="shared" si="6"/>
        <v>64</v>
      </c>
      <c r="N38" s="5">
        <v>7.6</v>
      </c>
      <c r="O38" s="10">
        <f t="shared" si="7"/>
        <v>10.4</v>
      </c>
      <c r="P38" s="7">
        <f>LOOKUP(O38,{0,7.8,8,8.2,8.4,8.6,8.8,9,9.2,9.4,9.6,9.8,10,10.2,10.4,10.6,10.8,10.9,11,11.1,11.2},{0,10,20,30,40,50,60,62,64,66,68,70,72,74,76,78,80,85,90,95,100})</f>
        <v>76</v>
      </c>
      <c r="Q38" s="5">
        <v>4.21</v>
      </c>
      <c r="R38" s="10">
        <f t="shared" si="8"/>
        <v>5.79</v>
      </c>
      <c r="S38" s="7">
        <f>LOOKUP(R38,{0,3.85,4.45,4.65,4.85,5.45,5.65,5.7,5.75,5.8,5.85,5.9,5.95,6,6.45,6.5,6.55,6.63,6.7,6.75,6.8},{0,10,20,30,40,50,60,62,64,66,68,70,72,74,76,78,80,85,90,95,100})</f>
        <v>64</v>
      </c>
      <c r="T38" s="5"/>
      <c r="U38" s="5"/>
      <c r="V38" s="5">
        <f t="shared" si="9"/>
        <v>64</v>
      </c>
      <c r="W38" s="5"/>
      <c r="X38" s="13">
        <f t="shared" si="10"/>
        <v>49</v>
      </c>
      <c r="Y38" s="13">
        <f t="shared" si="11"/>
        <v>70</v>
      </c>
    </row>
    <row r="39" ht="15.6" hidden="1" outlineLevel="2" spans="1:25">
      <c r="A39" s="5">
        <v>302</v>
      </c>
      <c r="B39" s="5">
        <v>7</v>
      </c>
      <c r="C39" s="5" t="s">
        <v>64</v>
      </c>
      <c r="D39" s="5" t="s">
        <v>12</v>
      </c>
      <c r="E39" s="5">
        <v>-10</v>
      </c>
      <c r="F39" s="7">
        <v>0</v>
      </c>
      <c r="G39" s="5">
        <v>200</v>
      </c>
      <c r="H39" s="7">
        <f>LOOKUP(G39,{0,180,185,190,195,200,205,209,213,217,221,225,229,233,237,241,245,253,260,265,270},{0,10,20,30,40,50,60,62,64,66,68,70,72,74,76,78,80,85,90,95,100})</f>
        <v>50</v>
      </c>
      <c r="I39" s="5">
        <v>4</v>
      </c>
      <c r="J39" s="7">
        <f>LOOKUP(I39,{0,4,5,6,7,8,9,10,11,12,13,14,15,16,17,18},{0,10,20,30,40,50,60,64,68,72,76,80,85,90,95,100})</f>
        <v>10</v>
      </c>
      <c r="K39" s="5"/>
      <c r="L39" s="5"/>
      <c r="M39" s="5">
        <f t="shared" si="6"/>
        <v>10</v>
      </c>
      <c r="N39" s="5">
        <v>7.3</v>
      </c>
      <c r="O39" s="10">
        <f t="shared" si="7"/>
        <v>10.7</v>
      </c>
      <c r="P39" s="7">
        <f>LOOKUP(O39,{0,7.8,8,8.2,8.4,8.6,8.8,9,9.2,9.4,9.6,9.8,10,10.2,10.4,10.6,10.8,10.9,11,11.1,11.2},{0,10,20,30,40,50,60,62,64,66,68,70,72,74,76,78,80,85,90,95,100})</f>
        <v>78</v>
      </c>
      <c r="Q39" s="5">
        <v>4.2</v>
      </c>
      <c r="R39" s="10">
        <f t="shared" si="8"/>
        <v>5.8</v>
      </c>
      <c r="S39" s="7">
        <f>LOOKUP(R39,{0,3.85,4.45,4.65,4.85,5.45,5.65,5.7,5.75,5.8,5.85,5.9,5.95,6,6.45,6.5,6.55,6.63,6.7,6.75,6.8},{0,10,20,30,40,50,60,62,64,66,68,70,72,74,76,78,80,85,90,95,100})</f>
        <v>66</v>
      </c>
      <c r="T39" s="5"/>
      <c r="U39" s="5"/>
      <c r="V39" s="5">
        <f t="shared" si="9"/>
        <v>66</v>
      </c>
      <c r="W39" s="5"/>
      <c r="X39" s="13">
        <f t="shared" si="10"/>
        <v>34.8</v>
      </c>
      <c r="Y39" s="13">
        <f t="shared" si="11"/>
        <v>49.7142857142857</v>
      </c>
    </row>
    <row r="40" ht="15.6" hidden="1" outlineLevel="2" spans="1:25">
      <c r="A40" s="5">
        <v>302</v>
      </c>
      <c r="B40" s="5">
        <v>8</v>
      </c>
      <c r="C40" s="5" t="s">
        <v>65</v>
      </c>
      <c r="D40" s="5" t="s">
        <v>12</v>
      </c>
      <c r="E40" s="5">
        <v>10.5</v>
      </c>
      <c r="F40" s="7">
        <f>LOOKUP(E40,{0,-1.8,-0.8,0.2,1.2,2.2,3.2,4.6,6,7.4,8.8,10.2,11.6,13,14.4,15.8,17.2,19.1,21,22.8,24.6},{0,10,20,30,40,50,60,62,64,66,68,70,72,74,76,78,80,85,90,95,100})</f>
        <v>70</v>
      </c>
      <c r="G40" s="5">
        <v>238</v>
      </c>
      <c r="H40" s="7">
        <f>LOOKUP(G40,{0,180,185,190,195,200,205,209,213,217,221,225,229,233,237,241,245,253,260,265,270},{0,10,20,30,40,50,60,62,64,66,68,70,72,74,76,78,80,85,90,95,100})</f>
        <v>76</v>
      </c>
      <c r="I40" s="5">
        <v>4</v>
      </c>
      <c r="J40" s="7">
        <f>LOOKUP(I40,{0,4,5,6,7,8,9,10,11,12,13,14,15,16,17,18},{0,10,20,30,40,50,60,64,68,72,76,80,85,90,95,100})</f>
        <v>10</v>
      </c>
      <c r="K40" s="5"/>
      <c r="L40" s="5"/>
      <c r="M40" s="5">
        <f t="shared" si="6"/>
        <v>10</v>
      </c>
      <c r="N40" s="5">
        <v>7.9</v>
      </c>
      <c r="O40" s="10">
        <f t="shared" si="7"/>
        <v>10.1</v>
      </c>
      <c r="P40" s="7">
        <f>LOOKUP(O40,{0,7.8,8,8.2,8.4,8.6,8.8,9,9.2,9.4,9.6,9.8,10,10.2,10.4,10.6,10.8,10.9,11,11.1,11.2},{0,10,20,30,40,50,60,62,64,66,68,70,72,74,76,78,80,85,90,95,100})</f>
        <v>72</v>
      </c>
      <c r="Q40" s="5">
        <v>4.36</v>
      </c>
      <c r="R40" s="10">
        <f t="shared" si="8"/>
        <v>5.64</v>
      </c>
      <c r="S40" s="7">
        <f>LOOKUP(R40,{0,3.85,4.45,4.65,4.85,5.45,5.65,5.7,5.75,5.8,5.85,5.9,5.95,6,6.45,6.5,6.55,6.63,6.7,6.75,6.8},{0,10,20,30,40,50,60,62,64,66,68,70,72,74,76,78,80,85,90,95,100})</f>
        <v>50</v>
      </c>
      <c r="T40" s="5"/>
      <c r="U40" s="5"/>
      <c r="V40" s="5">
        <f t="shared" si="9"/>
        <v>50</v>
      </c>
      <c r="W40" s="5"/>
      <c r="X40" s="13">
        <f t="shared" si="10"/>
        <v>40</v>
      </c>
      <c r="Y40" s="13">
        <f t="shared" si="11"/>
        <v>57.1428571428571</v>
      </c>
    </row>
    <row r="41" ht="15.6" hidden="1" outlineLevel="2" spans="1:25">
      <c r="A41" s="5">
        <v>302</v>
      </c>
      <c r="B41" s="5">
        <v>9</v>
      </c>
      <c r="C41" s="5" t="s">
        <v>66</v>
      </c>
      <c r="D41" s="5" t="s">
        <v>12</v>
      </c>
      <c r="E41" s="5">
        <v>12</v>
      </c>
      <c r="F41" s="7">
        <f>LOOKUP(E41,{0,-1.8,-0.8,0.2,1.2,2.2,3.2,4.6,6,7.4,8.8,10.2,11.6,13,14.4,15.8,17.2,19.1,21,22.8,24.6},{0,10,20,30,40,50,60,62,64,66,68,70,72,74,76,78,80,85,90,95,100})</f>
        <v>72</v>
      </c>
      <c r="G41" s="5">
        <v>241</v>
      </c>
      <c r="H41" s="7">
        <f>LOOKUP(G41,{0,180,185,190,195,200,205,209,213,217,221,225,229,233,237,241,245,253,260,265,270},{0,10,20,30,40,50,60,62,64,66,68,70,72,74,76,78,80,85,90,95,100})</f>
        <v>78</v>
      </c>
      <c r="I41" s="5">
        <v>5</v>
      </c>
      <c r="J41" s="7">
        <f>LOOKUP(I41,{0,4,5,6,7,8,9,10,11,12,13,14,15,16,17,18},{0,10,20,30,40,50,60,64,68,72,76,80,85,90,95,100})</f>
        <v>20</v>
      </c>
      <c r="K41" s="5"/>
      <c r="L41" s="5"/>
      <c r="M41" s="5">
        <f t="shared" si="6"/>
        <v>20</v>
      </c>
      <c r="N41" s="5">
        <v>7.7</v>
      </c>
      <c r="O41" s="10">
        <f t="shared" si="7"/>
        <v>10.3</v>
      </c>
      <c r="P41" s="7">
        <f>LOOKUP(O41,{0,7.8,8,8.2,8.4,8.6,8.8,9,9.2,9.4,9.6,9.8,10,10.2,10.4,10.6,10.8,10.9,11,11.1,11.2},{0,10,20,30,40,50,60,62,64,66,68,70,72,74,76,78,80,85,90,95,100})</f>
        <v>74</v>
      </c>
      <c r="Q41" s="5">
        <v>4.11</v>
      </c>
      <c r="R41" s="10">
        <f t="shared" si="8"/>
        <v>5.89</v>
      </c>
      <c r="S41" s="7">
        <f>LOOKUP(R41,{0,3.85,4.45,4.65,4.85,5.45,5.65,5.7,5.75,5.8,5.85,5.9,5.95,6,6.45,6.5,6.55,6.63,6.7,6.75,6.8},{0,10,20,30,40,50,60,62,64,66,68,70,72,74,76,78,80,85,90,95,100})</f>
        <v>68</v>
      </c>
      <c r="T41" s="5"/>
      <c r="U41" s="5"/>
      <c r="V41" s="5">
        <f t="shared" si="9"/>
        <v>68</v>
      </c>
      <c r="W41" s="5"/>
      <c r="X41" s="13">
        <f t="shared" si="10"/>
        <v>45.4</v>
      </c>
      <c r="Y41" s="13">
        <f t="shared" si="11"/>
        <v>64.8571428571429</v>
      </c>
    </row>
    <row r="42" ht="15.6" hidden="1" outlineLevel="2" spans="1:25">
      <c r="A42" s="5">
        <v>302</v>
      </c>
      <c r="B42" s="5">
        <v>10</v>
      </c>
      <c r="C42" s="5" t="s">
        <v>67</v>
      </c>
      <c r="D42" s="5" t="s">
        <v>12</v>
      </c>
      <c r="E42" s="5">
        <v>2</v>
      </c>
      <c r="F42" s="7">
        <f>LOOKUP(E42,{0,-1.8,-0.8,0.2,1.2,2.2,3.2,4.6,6,7.4,8.8,10.2,11.6,13,14.4,15.8,17.2,19.1,21,22.8,24.6},{0,10,20,30,40,50,60,62,64,66,68,70,72,74,76,78,80,85,90,95,100})</f>
        <v>40</v>
      </c>
      <c r="G42" s="5">
        <v>229</v>
      </c>
      <c r="H42" s="7">
        <f>LOOKUP(G42,{0,180,185,190,195,200,205,209,213,217,221,225,229,233,237,241,245,253,260,265,270},{0,10,20,30,40,50,60,62,64,66,68,70,72,74,76,78,80,85,90,95,100})</f>
        <v>72</v>
      </c>
      <c r="I42" s="5">
        <v>2</v>
      </c>
      <c r="J42" s="7">
        <f>LOOKUP(I42,{0,4,5,6,7,8,9,10,11,12,13,14,15,16,17,18},{0,10,20,30,40,50,60,64,68,72,76,80,85,90,95,100})</f>
        <v>0</v>
      </c>
      <c r="K42" s="5"/>
      <c r="L42" s="5"/>
      <c r="M42" s="5">
        <f t="shared" si="6"/>
        <v>0</v>
      </c>
      <c r="N42" s="5">
        <v>8</v>
      </c>
      <c r="O42" s="10">
        <f t="shared" si="7"/>
        <v>10</v>
      </c>
      <c r="P42" s="7">
        <f>LOOKUP(O42,{0,7.8,8,8.2,8.4,8.6,8.8,9,9.2,9.4,9.6,9.8,10,10.2,10.4,10.6,10.8,10.9,11,11.1,11.2},{0,10,20,30,40,50,60,62,64,66,68,70,72,74,76,78,80,85,90,95,100})</f>
        <v>72</v>
      </c>
      <c r="Q42" s="5">
        <v>4.15</v>
      </c>
      <c r="R42" s="10">
        <f t="shared" si="8"/>
        <v>5.85</v>
      </c>
      <c r="S42" s="7">
        <f>LOOKUP(R42,{0,3.85,4.45,4.65,4.85,5.45,5.65,5.7,5.75,5.8,5.85,5.9,5.95,6,6.45,6.5,6.55,6.63,6.7,6.75,6.8},{0,10,20,30,40,50,60,62,64,66,68,70,72,74,76,78,80,85,90,95,100})</f>
        <v>68</v>
      </c>
      <c r="T42" s="5"/>
      <c r="U42" s="5"/>
      <c r="V42" s="5">
        <f t="shared" si="9"/>
        <v>68</v>
      </c>
      <c r="W42" s="5"/>
      <c r="X42" s="13">
        <f t="shared" si="10"/>
        <v>39.2</v>
      </c>
      <c r="Y42" s="13">
        <f t="shared" si="11"/>
        <v>56</v>
      </c>
    </row>
    <row r="43" ht="15.6" hidden="1" outlineLevel="2" spans="1:25">
      <c r="A43" s="5">
        <v>302</v>
      </c>
      <c r="B43" s="5">
        <v>11</v>
      </c>
      <c r="C43" s="6" t="s">
        <v>69</v>
      </c>
      <c r="D43" s="5" t="s">
        <v>12</v>
      </c>
      <c r="E43" s="5">
        <v>19</v>
      </c>
      <c r="F43" s="7">
        <f>LOOKUP(E43,{0,-1.8,-0.8,0.2,1.2,2.2,3.2,4.6,6,7.4,8.8,10.2,11.6,13,14.4,15.8,17.2,19.1,21,22.8,24.6},{0,10,20,30,40,50,60,62,64,66,68,70,72,74,76,78,80,85,90,95,100})</f>
        <v>80</v>
      </c>
      <c r="G43" s="5">
        <v>215</v>
      </c>
      <c r="H43" s="7">
        <f>LOOKUP(G43,{0,180,185,190,195,200,205,209,213,217,221,225,229,233,237,241,245,253,260,265,270},{0,10,20,30,40,50,60,62,64,66,68,70,72,74,76,78,80,85,90,95,100})</f>
        <v>64</v>
      </c>
      <c r="I43" s="5">
        <v>3</v>
      </c>
      <c r="J43" s="7">
        <f>LOOKUP(I43,{0,4,5,6,7,8,9,10,11,12,13,14,15,16,17,18},{0,10,20,30,40,50,60,64,68,72,76,80,85,90,95,100})</f>
        <v>0</v>
      </c>
      <c r="K43" s="5"/>
      <c r="L43" s="5"/>
      <c r="M43" s="5">
        <f t="shared" si="6"/>
        <v>0</v>
      </c>
      <c r="N43" s="5">
        <v>7.5</v>
      </c>
      <c r="O43" s="10">
        <f t="shared" si="7"/>
        <v>10.5</v>
      </c>
      <c r="P43" s="7">
        <f>LOOKUP(O43,{0,7.8,8,8.2,8.4,8.6,8.8,9,9.2,9.4,9.6,9.8,10,10.2,10.4,10.6,10.8,10.9,11,11.1,11.2},{0,10,20,30,40,50,60,62,64,66,68,70,72,74,76,78,80,85,90,95,100})</f>
        <v>76</v>
      </c>
      <c r="Q43" s="5">
        <v>4.15</v>
      </c>
      <c r="R43" s="10">
        <f t="shared" si="8"/>
        <v>5.85</v>
      </c>
      <c r="S43" s="7">
        <f>LOOKUP(R43,{0,3.85,4.45,4.65,4.85,5.45,5.65,5.7,5.75,5.8,5.85,5.9,5.95,6,6.45,6.5,6.55,6.63,6.7,6.75,6.8},{0,10,20,30,40,50,60,62,64,66,68,70,72,74,76,78,80,85,90,95,100})</f>
        <v>68</v>
      </c>
      <c r="T43" s="5"/>
      <c r="U43" s="5"/>
      <c r="V43" s="5">
        <f t="shared" si="9"/>
        <v>68</v>
      </c>
      <c r="W43" s="5"/>
      <c r="X43" s="13">
        <f t="shared" si="10"/>
        <v>43.2</v>
      </c>
      <c r="Y43" s="13">
        <f t="shared" si="11"/>
        <v>61.7142857142857</v>
      </c>
    </row>
    <row r="44" ht="15.6" hidden="1" outlineLevel="2" spans="1:25">
      <c r="A44" s="5">
        <v>302</v>
      </c>
      <c r="B44" s="5">
        <v>12</v>
      </c>
      <c r="C44" s="5" t="s">
        <v>70</v>
      </c>
      <c r="D44" s="5" t="s">
        <v>12</v>
      </c>
      <c r="E44" s="5">
        <v>9</v>
      </c>
      <c r="F44" s="7">
        <f>LOOKUP(E44,{0,-1.8,-0.8,0.2,1.2,2.2,3.2,4.6,6,7.4,8.8,10.2,11.6,13,14.4,15.8,17.2,19.1,21,22.8,24.6},{0,10,20,30,40,50,60,62,64,66,68,70,72,74,76,78,80,85,90,95,100})</f>
        <v>68</v>
      </c>
      <c r="G44" s="5">
        <v>220</v>
      </c>
      <c r="H44" s="7">
        <f>LOOKUP(G44,{0,180,185,190,195,200,205,209,213,217,221,225,229,233,237,241,245,253,260,265,270},{0,10,20,30,40,50,60,62,64,66,68,70,72,74,76,78,80,85,90,95,100})</f>
        <v>66</v>
      </c>
      <c r="I44" s="5">
        <v>5</v>
      </c>
      <c r="J44" s="7">
        <f>LOOKUP(I44,{0,4,5,6,7,8,9,10,11,12,13,14,15,16,17,18},{0,10,20,30,40,50,60,64,68,72,76,80,85,90,95,100})</f>
        <v>20</v>
      </c>
      <c r="K44" s="5"/>
      <c r="L44" s="5"/>
      <c r="M44" s="5">
        <f t="shared" si="6"/>
        <v>20</v>
      </c>
      <c r="N44" s="5">
        <v>10.2</v>
      </c>
      <c r="O44" s="10">
        <f t="shared" si="7"/>
        <v>7.8</v>
      </c>
      <c r="P44" s="7">
        <f>LOOKUP(O44,{0,7.8,8,8.2,8.4,8.6,8.8,9,9.2,9.4,9.6,9.8,10,10.2,10.4,10.6,10.8,10.9,11,11.1,11.2},{0,10,20,30,40,50,60,62,64,66,68,70,72,74,76,78,80,85,90,95,100})</f>
        <v>10</v>
      </c>
      <c r="Q44" s="5">
        <v>4.16</v>
      </c>
      <c r="R44" s="10">
        <f t="shared" si="8"/>
        <v>5.84</v>
      </c>
      <c r="S44" s="7">
        <f>LOOKUP(R44,{0,3.85,4.45,4.65,4.85,5.45,5.65,5.7,5.75,5.8,5.85,5.9,5.95,6,6.45,6.5,6.55,6.63,6.7,6.75,6.8},{0,10,20,30,40,50,60,62,64,66,68,70,72,74,76,78,80,85,90,95,100})</f>
        <v>66</v>
      </c>
      <c r="T44" s="5"/>
      <c r="U44" s="5"/>
      <c r="V44" s="5">
        <f t="shared" si="9"/>
        <v>66</v>
      </c>
      <c r="W44" s="5"/>
      <c r="X44" s="13">
        <f t="shared" si="10"/>
        <v>30.6</v>
      </c>
      <c r="Y44" s="13">
        <f t="shared" si="11"/>
        <v>43.7142857142857</v>
      </c>
    </row>
    <row r="45" ht="15.6" hidden="1" outlineLevel="2" spans="1:25">
      <c r="A45" s="5">
        <v>302</v>
      </c>
      <c r="B45" s="5">
        <v>13</v>
      </c>
      <c r="C45" s="5" t="s">
        <v>71</v>
      </c>
      <c r="D45" s="5" t="s">
        <v>12</v>
      </c>
      <c r="E45" s="5">
        <v>14.2</v>
      </c>
      <c r="F45" s="7">
        <f>LOOKUP(E45,{0,-1.8,-0.8,0.2,1.2,2.2,3.2,4.6,6,7.4,8.8,10.2,11.6,13,14.4,15.8,17.2,19.1,21,22.8,24.6},{0,10,20,30,40,50,60,62,64,66,68,70,72,74,76,78,80,85,90,95,100})</f>
        <v>74</v>
      </c>
      <c r="G45" s="5">
        <v>235</v>
      </c>
      <c r="H45" s="7">
        <f>LOOKUP(G45,{0,180,185,190,195,200,205,209,213,217,221,225,229,233,237,241,245,253,260,265,270},{0,10,20,30,40,50,60,62,64,66,68,70,72,74,76,78,80,85,90,95,100})</f>
        <v>74</v>
      </c>
      <c r="I45" s="5">
        <v>0</v>
      </c>
      <c r="J45" s="7">
        <f>LOOKUP(I45,{0,4,5,6,7,8,9,10,11,12,13,14,15,16,17,18},{0,10,20,30,40,50,60,64,68,72,76,80,85,90,95,100})</f>
        <v>0</v>
      </c>
      <c r="K45" s="5"/>
      <c r="L45" s="5"/>
      <c r="M45" s="5">
        <f t="shared" si="6"/>
        <v>0</v>
      </c>
      <c r="N45" s="5">
        <v>7.4</v>
      </c>
      <c r="O45" s="10">
        <f t="shared" si="7"/>
        <v>10.6</v>
      </c>
      <c r="P45" s="7">
        <f>LOOKUP(O45,{0,7.8,8,8.2,8.4,8.6,8.8,9,9.2,9.4,9.6,9.8,10,10.2,10.4,10.6,10.8,10.9,11,11.1,11.2},{0,10,20,30,40,50,60,62,64,66,68,70,72,74,76,78,80,85,90,95,100})</f>
        <v>78</v>
      </c>
      <c r="Q45" s="5">
        <v>5.27</v>
      </c>
      <c r="R45" s="10">
        <f t="shared" si="8"/>
        <v>4.73</v>
      </c>
      <c r="S45" s="7">
        <f>LOOKUP(R45,{0,3.85,4.45,4.65,4.85,5.45,5.65,5.7,5.75,5.8,5.85,5.9,5.95,6,6.45,6.5,6.55,6.63,6.7,6.75,6.8},{0,10,20,30,40,50,60,62,64,66,68,70,72,74,76,78,80,85,90,95,100})</f>
        <v>30</v>
      </c>
      <c r="T45" s="5"/>
      <c r="U45" s="5"/>
      <c r="V45" s="5">
        <f t="shared" si="9"/>
        <v>30</v>
      </c>
      <c r="W45" s="5"/>
      <c r="X45" s="13">
        <f t="shared" si="10"/>
        <v>36.4</v>
      </c>
      <c r="Y45" s="13">
        <f t="shared" si="11"/>
        <v>52</v>
      </c>
    </row>
    <row r="46" ht="15.6" hidden="1" outlineLevel="2" spans="1:25">
      <c r="A46" s="5">
        <v>302</v>
      </c>
      <c r="B46" s="5">
        <v>14</v>
      </c>
      <c r="C46" s="5" t="s">
        <v>72</v>
      </c>
      <c r="D46" s="5" t="s">
        <v>12</v>
      </c>
      <c r="E46" s="5">
        <v>7.5</v>
      </c>
      <c r="F46" s="7">
        <f>LOOKUP(E46,{0,-1.8,-0.8,0.2,1.2,2.2,3.2,4.6,6,7.4,8.8,10.2,11.6,13,14.4,15.8,17.2,19.1,21,22.8,24.6},{0,10,20,30,40,50,60,62,64,66,68,70,72,74,76,78,80,85,90,95,100})</f>
        <v>66</v>
      </c>
      <c r="G46" s="5">
        <v>210</v>
      </c>
      <c r="H46" s="7">
        <f>LOOKUP(G46,{0,180,185,190,195,200,205,209,213,217,221,225,229,233,237,241,245,253,260,265,270},{0,10,20,30,40,50,60,62,64,66,68,70,72,74,76,78,80,85,90,95,100})</f>
        <v>62</v>
      </c>
      <c r="I46" s="5">
        <v>11</v>
      </c>
      <c r="J46" s="7">
        <f>LOOKUP(I46,{0,4,5,6,7,8,9,10,11,12,13,14,15,16,17,18},{0,10,20,30,40,50,60,64,68,72,76,80,85,90,95,100})</f>
        <v>68</v>
      </c>
      <c r="K46" s="5"/>
      <c r="L46" s="5"/>
      <c r="M46" s="5">
        <f t="shared" si="6"/>
        <v>68</v>
      </c>
      <c r="N46" s="5">
        <v>7.6</v>
      </c>
      <c r="O46" s="10">
        <f t="shared" si="7"/>
        <v>10.4</v>
      </c>
      <c r="P46" s="7">
        <f>LOOKUP(O46,{0,7.8,8,8.2,8.4,8.6,8.8,9,9.2,9.4,9.6,9.8,10,10.2,10.4,10.6,10.8,10.9,11,11.1,11.2},{0,10,20,30,40,50,60,62,64,66,68,70,72,74,76,78,80,85,90,95,100})</f>
        <v>76</v>
      </c>
      <c r="Q46" s="5">
        <v>4.26</v>
      </c>
      <c r="R46" s="10">
        <f t="shared" si="8"/>
        <v>5.74</v>
      </c>
      <c r="S46" s="7">
        <f>LOOKUP(R46,{0,3.85,4.45,4.65,4.85,5.45,5.65,5.7,5.75,5.8,5.85,5.9,5.95,6,6.45,6.5,6.55,6.63,6.7,6.75,6.8},{0,10,20,30,40,50,60,62,64,66,68,70,72,74,76,78,80,85,90,95,100})</f>
        <v>62</v>
      </c>
      <c r="T46" s="5"/>
      <c r="U46" s="5"/>
      <c r="V46" s="5">
        <f t="shared" si="9"/>
        <v>62</v>
      </c>
      <c r="W46" s="5"/>
      <c r="X46" s="13">
        <f t="shared" si="10"/>
        <v>47.2</v>
      </c>
      <c r="Y46" s="13">
        <f t="shared" si="11"/>
        <v>67.4285714285714</v>
      </c>
    </row>
    <row r="47" ht="15.6" hidden="1" outlineLevel="2" spans="1:25">
      <c r="A47" s="5">
        <v>302</v>
      </c>
      <c r="B47" s="5">
        <v>15</v>
      </c>
      <c r="C47" s="5" t="s">
        <v>73</v>
      </c>
      <c r="D47" s="5" t="s">
        <v>12</v>
      </c>
      <c r="E47" s="5">
        <v>12.3</v>
      </c>
      <c r="F47" s="7">
        <f>LOOKUP(E47,{0,-1.8,-0.8,0.2,1.2,2.2,3.2,4.6,6,7.4,8.8,10.2,11.6,13,14.4,15.8,17.2,19.1,21,22.8,24.6},{0,10,20,30,40,50,60,62,64,66,68,70,72,74,76,78,80,85,90,95,100})</f>
        <v>72</v>
      </c>
      <c r="G47" s="5">
        <v>227</v>
      </c>
      <c r="H47" s="7">
        <f>LOOKUP(G47,{0,180,185,190,195,200,205,209,213,217,221,225,229,233,237,241,245,253,260,265,270},{0,10,20,30,40,50,60,62,64,66,68,70,72,74,76,78,80,85,90,95,100})</f>
        <v>70</v>
      </c>
      <c r="I47" s="5">
        <v>2</v>
      </c>
      <c r="J47" s="7">
        <f>LOOKUP(I47,{0,4,5,6,7,8,9,10,11,12,13,14,15,16,17,18},{0,10,20,30,40,50,60,64,68,72,76,80,85,90,95,100})</f>
        <v>0</v>
      </c>
      <c r="K47" s="5"/>
      <c r="L47" s="5"/>
      <c r="M47" s="5">
        <f t="shared" si="6"/>
        <v>0</v>
      </c>
      <c r="N47" s="5">
        <v>7.3</v>
      </c>
      <c r="O47" s="10">
        <f t="shared" si="7"/>
        <v>10.7</v>
      </c>
      <c r="P47" s="7">
        <f>LOOKUP(O47,{0,7.8,8,8.2,8.4,8.6,8.8,9,9.2,9.4,9.6,9.8,10,10.2,10.4,10.6,10.8,10.9,11,11.1,11.2},{0,10,20,30,40,50,60,62,64,66,68,70,72,74,76,78,80,85,90,95,100})</f>
        <v>78</v>
      </c>
      <c r="Q47" s="5">
        <v>4.37</v>
      </c>
      <c r="R47" s="10">
        <f t="shared" si="8"/>
        <v>5.63</v>
      </c>
      <c r="S47" s="7">
        <f>LOOKUP(R47,{0,3.85,4.45,4.65,4.85,5.45,5.65,5.7,5.75,5.8,5.85,5.9,5.95,6,6.45,6.5,6.55,6.63,6.7,6.75,6.8},{0,10,20,30,40,50,60,62,64,66,68,70,72,74,76,78,80,85,90,95,100})</f>
        <v>50</v>
      </c>
      <c r="T47" s="5"/>
      <c r="U47" s="5"/>
      <c r="V47" s="5">
        <f t="shared" si="9"/>
        <v>50</v>
      </c>
      <c r="W47" s="5"/>
      <c r="X47" s="13">
        <f t="shared" si="10"/>
        <v>39.8</v>
      </c>
      <c r="Y47" s="13">
        <f t="shared" si="11"/>
        <v>56.8571428571429</v>
      </c>
    </row>
    <row r="48" ht="15.6" hidden="1" outlineLevel="2" spans="1:25">
      <c r="A48" s="5">
        <v>302</v>
      </c>
      <c r="B48" s="5">
        <v>16</v>
      </c>
      <c r="C48" s="5" t="s">
        <v>74</v>
      </c>
      <c r="D48" s="5" t="s">
        <v>12</v>
      </c>
      <c r="E48" s="5">
        <v>16</v>
      </c>
      <c r="F48" s="7">
        <f>LOOKUP(E48,{0,-1.8,-0.8,0.2,1.2,2.2,3.2,4.6,6,7.4,8.8,10.2,11.6,13,14.4,15.8,17.2,19.1,21,22.8,24.6},{0,10,20,30,40,50,60,62,64,66,68,70,72,74,76,78,80,85,90,95,100})</f>
        <v>78</v>
      </c>
      <c r="G48" s="5">
        <v>260</v>
      </c>
      <c r="H48" s="7">
        <f>LOOKUP(G48,{0,180,185,190,195,200,205,209,213,217,221,225,229,233,237,241,245,253,260,265,270},{0,10,20,30,40,50,60,62,64,66,68,70,72,74,76,78,80,85,90,95,100})</f>
        <v>90</v>
      </c>
      <c r="I48" s="5">
        <v>10</v>
      </c>
      <c r="J48" s="7">
        <f>LOOKUP(I48,{0,4,5,6,7,8,9,10,11,12,13,14,15,16,17,18},{0,10,20,30,40,50,60,64,68,72,76,80,85,90,95,100})</f>
        <v>64</v>
      </c>
      <c r="K48" s="5"/>
      <c r="L48" s="5"/>
      <c r="M48" s="5">
        <f t="shared" si="6"/>
        <v>64</v>
      </c>
      <c r="N48" s="5">
        <v>6.8</v>
      </c>
      <c r="O48" s="10">
        <f t="shared" si="7"/>
        <v>11.2</v>
      </c>
      <c r="P48" s="7">
        <f>LOOKUP(O48,{0,7.8,8,8.2,8.4,8.6,8.8,9,9.2,9.4,9.6,9.8,10,10.2,10.4,10.6,10.8,10.9,11,11.1,11.2},{0,10,20,30,40,50,60,62,64,66,68,70,72,74,76,78,80,85,90,95,100})</f>
        <v>100</v>
      </c>
      <c r="Q48" s="5">
        <v>3.47</v>
      </c>
      <c r="R48" s="10">
        <f t="shared" si="8"/>
        <v>6.53</v>
      </c>
      <c r="S48" s="7">
        <f>LOOKUP(R48,{0,3.85,4.45,4.65,4.85,5.45,5.65,5.7,5.75,5.8,5.85,5.9,5.95,6,6.45,6.5,6.55,6.63,6.7,6.75,6.8},{0,10,20,30,40,50,60,62,64,66,68,70,72,74,76,78,80,85,90,95,100})</f>
        <v>78</v>
      </c>
      <c r="T48" s="5"/>
      <c r="U48" s="5"/>
      <c r="V48" s="5">
        <f t="shared" si="9"/>
        <v>78</v>
      </c>
      <c r="W48" s="5"/>
      <c r="X48" s="13">
        <f t="shared" si="10"/>
        <v>58.8</v>
      </c>
      <c r="Y48" s="13">
        <f t="shared" si="11"/>
        <v>84</v>
      </c>
    </row>
    <row r="49" ht="15.6" hidden="1" outlineLevel="2" spans="1:25">
      <c r="A49" s="5">
        <v>302</v>
      </c>
      <c r="B49" s="5">
        <v>17</v>
      </c>
      <c r="C49" s="5" t="s">
        <v>75</v>
      </c>
      <c r="D49" s="5" t="s">
        <v>12</v>
      </c>
      <c r="E49" s="5">
        <v>-5</v>
      </c>
      <c r="F49" s="7">
        <v>0</v>
      </c>
      <c r="G49" s="5">
        <v>260</v>
      </c>
      <c r="H49" s="7">
        <f>LOOKUP(G49,{0,180,185,190,195,200,205,209,213,217,221,225,229,233,237,241,245,253,260,265,270},{0,10,20,30,40,50,60,62,64,66,68,70,72,74,76,78,80,85,90,95,100})</f>
        <v>90</v>
      </c>
      <c r="I49" s="5">
        <v>14</v>
      </c>
      <c r="J49" s="7">
        <f>LOOKUP(I49,{0,4,5,6,7,8,9,10,11,12,13,14,15,16,17,18},{0,10,20,30,40,50,60,64,68,72,76,80,85,90,95,100})</f>
        <v>80</v>
      </c>
      <c r="K49" s="5"/>
      <c r="L49" s="5"/>
      <c r="M49" s="5">
        <f t="shared" si="6"/>
        <v>80</v>
      </c>
      <c r="N49" s="5">
        <v>7.5</v>
      </c>
      <c r="O49" s="10">
        <f t="shared" si="7"/>
        <v>10.5</v>
      </c>
      <c r="P49" s="7">
        <f>LOOKUP(O49,{0,7.8,8,8.2,8.4,8.6,8.8,9,9.2,9.4,9.6,9.8,10,10.2,10.4,10.6,10.8,10.9,11,11.1,11.2},{0,10,20,30,40,50,60,62,64,66,68,70,72,74,76,78,80,85,90,95,100})</f>
        <v>76</v>
      </c>
      <c r="Q49" s="5">
        <v>3.38</v>
      </c>
      <c r="R49" s="10">
        <f t="shared" si="8"/>
        <v>6.62</v>
      </c>
      <c r="S49" s="7">
        <f>LOOKUP(R49,{0,3.85,4.45,4.65,4.85,5.45,5.65,5.7,5.75,5.8,5.85,5.9,5.95,6,6.45,6.5,6.55,6.63,6.7,6.75,6.8},{0,10,20,30,40,50,60,62,64,66,68,70,72,74,76,78,80,85,90,95,100})</f>
        <v>80</v>
      </c>
      <c r="T49" s="5"/>
      <c r="U49" s="5"/>
      <c r="V49" s="5">
        <f t="shared" si="9"/>
        <v>80</v>
      </c>
      <c r="W49" s="5"/>
      <c r="X49" s="13">
        <f t="shared" si="10"/>
        <v>48.2</v>
      </c>
      <c r="Y49" s="13">
        <f t="shared" si="11"/>
        <v>68.8571428571429</v>
      </c>
    </row>
    <row r="50" ht="15.6" hidden="1" outlineLevel="2" spans="1:25">
      <c r="A50" s="5">
        <v>302</v>
      </c>
      <c r="B50" s="5">
        <v>18</v>
      </c>
      <c r="C50" s="5" t="s">
        <v>76</v>
      </c>
      <c r="D50" s="5" t="s">
        <v>12</v>
      </c>
      <c r="E50" s="5">
        <v>4.5</v>
      </c>
      <c r="F50" s="7">
        <f>LOOKUP(E50,{0,-1.8,-0.8,0.2,1.2,2.2,3.2,4.6,6,7.4,8.8,10.2,11.6,13,14.4,15.8,17.2,19.1,21,22.8,24.6},{0,10,20,30,40,50,60,62,64,66,68,70,72,74,76,78,80,85,90,95,100})</f>
        <v>60</v>
      </c>
      <c r="G50" s="5">
        <v>210</v>
      </c>
      <c r="H50" s="7">
        <f>LOOKUP(G50,{0,180,185,190,195,200,205,209,213,217,221,225,229,233,237,241,245,253,260,265,270},{0,10,20,30,40,50,60,62,64,66,68,70,72,74,76,78,80,85,90,95,100})</f>
        <v>62</v>
      </c>
      <c r="I50" s="5">
        <v>0</v>
      </c>
      <c r="J50" s="7">
        <f>LOOKUP(I50,{0,4,5,6,7,8,9,10,11,12,13,14,15,16,17,18},{0,10,20,30,40,50,60,64,68,72,76,80,85,90,95,100})</f>
        <v>0</v>
      </c>
      <c r="K50" s="5"/>
      <c r="L50" s="5"/>
      <c r="M50" s="5">
        <f t="shared" si="6"/>
        <v>0</v>
      </c>
      <c r="N50" s="5">
        <v>7.7</v>
      </c>
      <c r="O50" s="10">
        <f t="shared" si="7"/>
        <v>10.3</v>
      </c>
      <c r="P50" s="7">
        <f>LOOKUP(O50,{0,7.8,8,8.2,8.4,8.6,8.8,9,9.2,9.4,9.6,9.8,10,10.2,10.4,10.6,10.8,10.9,11,11.1,11.2},{0,10,20,30,40,50,60,62,64,66,68,70,72,74,76,78,80,85,90,95,100})</f>
        <v>74</v>
      </c>
      <c r="Q50" s="5" t="s">
        <v>77</v>
      </c>
      <c r="R50" s="10" t="e">
        <f t="shared" si="8"/>
        <v>#VALUE!</v>
      </c>
      <c r="S50" s="7"/>
      <c r="T50" s="5"/>
      <c r="U50" s="5"/>
      <c r="V50" s="5"/>
      <c r="W50" s="14">
        <v>50</v>
      </c>
      <c r="X50" s="13">
        <f t="shared" si="10"/>
        <v>27</v>
      </c>
      <c r="Y50" s="13">
        <v>50</v>
      </c>
    </row>
    <row r="51" ht="15.6" hidden="1" outlineLevel="2" spans="1:25">
      <c r="A51" s="5">
        <v>302</v>
      </c>
      <c r="B51" s="5">
        <v>19</v>
      </c>
      <c r="C51" s="5" t="s">
        <v>78</v>
      </c>
      <c r="D51" s="5" t="s">
        <v>12</v>
      </c>
      <c r="E51" s="5">
        <v>4</v>
      </c>
      <c r="F51" s="7">
        <f>LOOKUP(E51,{0,-1.8,-0.8,0.2,1.2,2.2,3.2,4.6,6,7.4,8.8,10.2,11.6,13,14.4,15.8,17.2,19.1,21,22.8,24.6},{0,10,20,30,40,50,60,62,64,66,68,70,72,74,76,78,80,85,90,95,100})</f>
        <v>60</v>
      </c>
      <c r="G51" s="5">
        <v>230</v>
      </c>
      <c r="H51" s="7">
        <f>LOOKUP(G51,{0,180,185,190,195,200,205,209,213,217,221,225,229,233,237,241,245,253,260,265,270},{0,10,20,30,40,50,60,62,64,66,68,70,72,74,76,78,80,85,90,95,100})</f>
        <v>72</v>
      </c>
      <c r="I51" s="5">
        <v>3</v>
      </c>
      <c r="J51" s="7">
        <f>LOOKUP(I51,{0,4,5,6,7,8,9,10,11,12,13,14,15,16,17,18},{0,10,20,30,40,50,60,64,68,72,76,80,85,90,95,100})</f>
        <v>0</v>
      </c>
      <c r="K51" s="5"/>
      <c r="L51" s="5"/>
      <c r="M51" s="5">
        <f t="shared" si="6"/>
        <v>0</v>
      </c>
      <c r="N51" s="5">
        <v>7.1</v>
      </c>
      <c r="O51" s="10">
        <f t="shared" si="7"/>
        <v>10.9</v>
      </c>
      <c r="P51" s="7">
        <f>LOOKUP(O51,{0,7.8,8,8.2,8.4,8.6,8.8,9,9.2,9.4,9.6,9.8,10,10.2,10.4,10.6,10.8,10.9,11,11.1,11.2},{0,10,20,30,40,50,60,62,64,66,68,70,72,74,76,78,80,85,90,95,100})</f>
        <v>85</v>
      </c>
      <c r="Q51" s="5">
        <v>5.11</v>
      </c>
      <c r="R51" s="10">
        <f t="shared" si="8"/>
        <v>4.89</v>
      </c>
      <c r="S51" s="7">
        <f>LOOKUP(R51,{0,3.85,4.45,4.65,4.85,5.45,5.65,5.7,5.75,5.8,5.85,5.9,5.95,6,6.45,6.5,6.55,6.63,6.7,6.75,6.8},{0,10,20,30,40,50,60,62,64,66,68,70,72,74,76,78,80,85,90,95,100})</f>
        <v>40</v>
      </c>
      <c r="T51" s="5"/>
      <c r="U51" s="5"/>
      <c r="V51" s="5">
        <f t="shared" ref="V51:V54" si="12">S51+U51</f>
        <v>40</v>
      </c>
      <c r="W51" s="5"/>
      <c r="X51" s="13">
        <f t="shared" si="10"/>
        <v>38.2</v>
      </c>
      <c r="Y51" s="13">
        <f t="shared" ref="Y51:Y54" si="13">X51/0.7+L51+U51</f>
        <v>54.5714285714286</v>
      </c>
    </row>
    <row r="52" ht="15.6" hidden="1" outlineLevel="2" spans="1:25">
      <c r="A52" s="5">
        <v>302</v>
      </c>
      <c r="B52" s="5">
        <v>20</v>
      </c>
      <c r="C52" s="5" t="s">
        <v>79</v>
      </c>
      <c r="D52" s="5" t="s">
        <v>12</v>
      </c>
      <c r="E52" s="5">
        <v>14.5</v>
      </c>
      <c r="F52" s="7">
        <f>LOOKUP(E52,{0,-1.8,-0.8,0.2,1.2,2.2,3.2,4.6,6,7.4,8.8,10.2,11.6,13,14.4,15.8,17.2,19.1,21,22.8,24.6},{0,10,20,30,40,50,60,62,64,66,68,70,72,74,76,78,80,85,90,95,100})</f>
        <v>76</v>
      </c>
      <c r="G52" s="5">
        <v>240</v>
      </c>
      <c r="H52" s="7">
        <f>LOOKUP(G52,{0,180,185,190,195,200,205,209,213,217,221,225,229,233,237,241,245,253,260,265,270},{0,10,20,30,40,50,60,62,64,66,68,70,72,74,76,78,80,85,90,95,100})</f>
        <v>76</v>
      </c>
      <c r="I52" s="5">
        <v>13</v>
      </c>
      <c r="J52" s="7">
        <f>LOOKUP(I52,{0,4,5,6,7,8,9,10,11,12,13,14,15,16,17,18},{0,10,20,30,40,50,60,64,68,72,76,80,85,90,95,100})</f>
        <v>76</v>
      </c>
      <c r="K52" s="5"/>
      <c r="L52" s="5"/>
      <c r="M52" s="5">
        <f t="shared" si="6"/>
        <v>76</v>
      </c>
      <c r="N52" s="5">
        <v>7.3</v>
      </c>
      <c r="O52" s="10">
        <f t="shared" si="7"/>
        <v>10.7</v>
      </c>
      <c r="P52" s="7">
        <f>LOOKUP(O52,{0,7.8,8,8.2,8.4,8.6,8.8,9,9.2,9.4,9.6,9.8,10,10.2,10.4,10.6,10.8,10.9,11,11.1,11.2},{0,10,20,30,40,50,60,62,64,66,68,70,72,74,76,78,80,85,90,95,100})</f>
        <v>78</v>
      </c>
      <c r="Q52" s="5" t="s">
        <v>77</v>
      </c>
      <c r="R52" s="10" t="e">
        <f t="shared" si="8"/>
        <v>#VALUE!</v>
      </c>
      <c r="S52" s="7"/>
      <c r="T52" s="5"/>
      <c r="U52" s="5"/>
      <c r="V52" s="5"/>
      <c r="W52" s="5"/>
      <c r="X52" s="13">
        <f t="shared" si="10"/>
        <v>38.4</v>
      </c>
      <c r="Y52" s="13">
        <f t="shared" si="13"/>
        <v>54.8571428571429</v>
      </c>
    </row>
    <row r="53" ht="15.6" hidden="1" outlineLevel="2" spans="1:25">
      <c r="A53" s="5">
        <v>302</v>
      </c>
      <c r="B53" s="5">
        <v>21</v>
      </c>
      <c r="C53" s="6" t="s">
        <v>81</v>
      </c>
      <c r="D53" s="5" t="s">
        <v>12</v>
      </c>
      <c r="E53" s="5">
        <v>24</v>
      </c>
      <c r="F53" s="7">
        <f>LOOKUP(E53,{0,-1.8,-0.8,0.2,1.2,2.2,3.2,4.6,6,7.4,8.8,10.2,11.6,13,14.4,15.8,17.2,19.1,21,22.8,24.6},{0,10,20,30,40,50,60,62,64,66,68,70,72,74,76,78,80,85,90,95,100})</f>
        <v>95</v>
      </c>
      <c r="G53" s="5">
        <v>265</v>
      </c>
      <c r="H53" s="7">
        <f>LOOKUP(G53,{0,180,185,190,195,200,205,209,213,217,221,225,229,233,237,241,245,253,260,265,270},{0,10,20,30,40,50,60,62,64,66,68,70,72,74,76,78,80,85,90,95,100})</f>
        <v>95</v>
      </c>
      <c r="I53" s="5">
        <v>7</v>
      </c>
      <c r="J53" s="7">
        <f>LOOKUP(I53,{0,4,5,6,7,8,9,10,11,12,13,14,15,16,17,18},{0,10,20,30,40,50,60,64,68,72,76,80,85,90,95,100})</f>
        <v>40</v>
      </c>
      <c r="K53" s="5"/>
      <c r="L53" s="5"/>
      <c r="M53" s="5">
        <f t="shared" si="6"/>
        <v>40</v>
      </c>
      <c r="N53" s="5">
        <v>6.7</v>
      </c>
      <c r="O53" s="10">
        <f t="shared" si="7"/>
        <v>11.3</v>
      </c>
      <c r="P53" s="7">
        <f>LOOKUP(O53,{0,7.8,8,8.2,8.4,8.6,8.8,9,9.2,9.4,9.6,9.8,10,10.2,10.4,10.6,10.8,10.9,11,11.1,11.2},{0,10,20,30,40,50,60,62,64,66,68,70,72,74,76,78,80,85,90,95,100})</f>
        <v>100</v>
      </c>
      <c r="Q53" s="5">
        <v>3.41</v>
      </c>
      <c r="R53" s="10">
        <f t="shared" si="8"/>
        <v>6.59</v>
      </c>
      <c r="S53" s="7">
        <f>LOOKUP(R53,{0,3.85,4.45,4.65,4.85,5.45,5.65,5.7,5.75,5.8,5.85,5.9,5.95,6,6.45,6.5,6.55,6.63,6.7,6.75,6.8},{0,10,20,30,40,50,60,62,64,66,68,70,72,74,76,78,80,85,90,95,100})</f>
        <v>80</v>
      </c>
      <c r="T53" s="5"/>
      <c r="U53" s="5"/>
      <c r="V53" s="5">
        <f t="shared" si="12"/>
        <v>80</v>
      </c>
      <c r="W53" s="5"/>
      <c r="X53" s="13">
        <f t="shared" si="10"/>
        <v>59</v>
      </c>
      <c r="Y53" s="13">
        <f t="shared" si="13"/>
        <v>84.2857142857143</v>
      </c>
    </row>
    <row r="54" ht="15.6" hidden="1" outlineLevel="2" spans="1:25">
      <c r="A54" s="5">
        <v>302</v>
      </c>
      <c r="B54" s="5">
        <v>22</v>
      </c>
      <c r="C54" s="5" t="s">
        <v>82</v>
      </c>
      <c r="D54" s="5" t="s">
        <v>12</v>
      </c>
      <c r="E54" s="5">
        <v>15</v>
      </c>
      <c r="F54" s="7">
        <f>LOOKUP(E54,{0,-1.8,-0.8,0.2,1.2,2.2,3.2,4.6,6,7.4,8.8,10.2,11.6,13,14.4,15.8,17.2,19.1,21,22.8,24.6},{0,10,20,30,40,50,60,62,64,66,68,70,72,74,76,78,80,85,90,95,100})</f>
        <v>76</v>
      </c>
      <c r="G54" s="5">
        <v>215</v>
      </c>
      <c r="H54" s="7">
        <f>LOOKUP(G54,{0,180,185,190,195,200,205,209,213,217,221,225,229,233,237,241,245,253,260,265,270},{0,10,20,30,40,50,60,62,64,66,68,70,72,74,76,78,80,85,90,95,100})</f>
        <v>64</v>
      </c>
      <c r="I54" s="5">
        <v>8</v>
      </c>
      <c r="J54" s="7">
        <f>LOOKUP(I54,{0,4,5,6,7,8,9,10,11,12,13,14,15,16,17,18},{0,10,20,30,40,50,60,64,68,72,76,80,85,90,95,100})</f>
        <v>50</v>
      </c>
      <c r="K54" s="5"/>
      <c r="L54" s="5"/>
      <c r="M54" s="5">
        <f t="shared" si="6"/>
        <v>50</v>
      </c>
      <c r="N54" s="5">
        <v>7.6</v>
      </c>
      <c r="O54" s="10">
        <f t="shared" si="7"/>
        <v>10.4</v>
      </c>
      <c r="P54" s="7">
        <f>LOOKUP(O54,{0,7.8,8,8.2,8.4,8.6,8.8,9,9.2,9.4,9.6,9.8,10,10.2,10.4,10.6,10.8,10.9,11,11.1,11.2},{0,10,20,30,40,50,60,62,64,66,68,70,72,74,76,78,80,85,90,95,100})</f>
        <v>76</v>
      </c>
      <c r="Q54" s="5">
        <v>4.42</v>
      </c>
      <c r="R54" s="10">
        <f t="shared" si="8"/>
        <v>5.58</v>
      </c>
      <c r="S54" s="7">
        <f>LOOKUP(R54,{0,3.85,4.45,4.65,4.85,5.45,5.65,5.7,5.75,5.8,5.85,5.9,5.95,6,6.45,6.5,6.55,6.63,6.7,6.75,6.8},{0,10,20,30,40,50,60,62,64,66,68,70,72,74,76,78,80,85,90,95,100})</f>
        <v>50</v>
      </c>
      <c r="T54" s="5"/>
      <c r="U54" s="5"/>
      <c r="V54" s="5">
        <f t="shared" si="12"/>
        <v>50</v>
      </c>
      <c r="W54" s="5"/>
      <c r="X54" s="13">
        <f t="shared" si="10"/>
        <v>44.2</v>
      </c>
      <c r="Y54" s="13">
        <f t="shared" si="13"/>
        <v>63.1428571428572</v>
      </c>
    </row>
    <row r="55" ht="15.6" hidden="1" outlineLevel="2" spans="1:25">
      <c r="A55" s="5">
        <v>302</v>
      </c>
      <c r="B55" s="5">
        <v>23</v>
      </c>
      <c r="C55" s="5" t="s">
        <v>83</v>
      </c>
      <c r="D55" s="5" t="s">
        <v>12</v>
      </c>
      <c r="E55" s="5">
        <v>2.5</v>
      </c>
      <c r="F55" s="7">
        <f>LOOKUP(E55,{0,-1.8,-0.8,0.2,1.2,2.2,3.2,4.6,6,7.4,8.8,10.2,11.6,13,14.4,15.8,17.2,19.1,21,22.8,24.6},{0,10,20,30,40,50,60,62,64,66,68,70,72,74,76,78,80,85,90,95,100})</f>
        <v>50</v>
      </c>
      <c r="G55" s="5">
        <v>225</v>
      </c>
      <c r="H55" s="7">
        <f>LOOKUP(G55,{0,180,185,190,195,200,205,209,213,217,221,225,229,233,237,241,245,253,260,265,270},{0,10,20,30,40,50,60,62,64,66,68,70,72,74,76,78,80,85,90,95,100})</f>
        <v>70</v>
      </c>
      <c r="I55" s="5">
        <v>1</v>
      </c>
      <c r="J55" s="7">
        <f>LOOKUP(I55,{0,4,5,6,7,8,9,10,11,12,13,14,15,16,17,18},{0,10,20,30,40,50,60,64,68,72,76,80,85,90,95,100})</f>
        <v>0</v>
      </c>
      <c r="K55" s="5"/>
      <c r="L55" s="5"/>
      <c r="M55" s="5">
        <f t="shared" si="6"/>
        <v>0</v>
      </c>
      <c r="N55" s="5">
        <v>7.3</v>
      </c>
      <c r="O55" s="10">
        <f t="shared" si="7"/>
        <v>10.7</v>
      </c>
      <c r="P55" s="7">
        <f>LOOKUP(O55,{0,7.8,8,8.2,8.4,8.6,8.8,9,9.2,9.4,9.6,9.8,10,10.2,10.4,10.6,10.8,10.9,11,11.1,11.2},{0,10,20,30,40,50,60,62,64,66,68,70,72,74,76,78,80,85,90,95,100})</f>
        <v>78</v>
      </c>
      <c r="Q55" s="5" t="s">
        <v>77</v>
      </c>
      <c r="R55" s="10" t="e">
        <f t="shared" si="8"/>
        <v>#VALUE!</v>
      </c>
      <c r="S55" s="7"/>
      <c r="T55" s="5"/>
      <c r="U55" s="5"/>
      <c r="V55" s="5"/>
      <c r="W55" s="14">
        <v>50</v>
      </c>
      <c r="X55" s="13">
        <f t="shared" si="10"/>
        <v>27.6</v>
      </c>
      <c r="Y55" s="13">
        <v>50</v>
      </c>
    </row>
    <row r="56" ht="15.6" hidden="1" outlineLevel="2" spans="1:25">
      <c r="A56" s="5">
        <v>302</v>
      </c>
      <c r="B56" s="5">
        <v>24</v>
      </c>
      <c r="C56" s="5" t="s">
        <v>84</v>
      </c>
      <c r="D56" s="5" t="s">
        <v>12</v>
      </c>
      <c r="E56" s="5">
        <v>7</v>
      </c>
      <c r="F56" s="7">
        <f>LOOKUP(E56,{0,-1.8,-0.8,0.2,1.2,2.2,3.2,4.6,6,7.4,8.8,10.2,11.6,13,14.4,15.8,17.2,19.1,21,22.8,24.6},{0,10,20,30,40,50,60,62,64,66,68,70,72,74,76,78,80,85,90,95,100})</f>
        <v>64</v>
      </c>
      <c r="G56" s="5">
        <v>217</v>
      </c>
      <c r="H56" s="7">
        <f>LOOKUP(G56,{0,180,185,190,195,200,205,209,213,217,221,225,229,233,237,241,245,253,260,265,270},{0,10,20,30,40,50,60,62,64,66,68,70,72,74,76,78,80,85,90,95,100})</f>
        <v>66</v>
      </c>
      <c r="I56" s="5">
        <v>9</v>
      </c>
      <c r="J56" s="7">
        <f>LOOKUP(I56,{0,4,5,6,7,8,9,10,11,12,13,14,15,16,17,18},{0,10,20,30,40,50,60,64,68,72,76,80,85,90,95,100})</f>
        <v>60</v>
      </c>
      <c r="K56" s="5"/>
      <c r="L56" s="5"/>
      <c r="M56" s="5">
        <f t="shared" si="6"/>
        <v>60</v>
      </c>
      <c r="N56" s="5">
        <v>7.4</v>
      </c>
      <c r="O56" s="10">
        <f t="shared" si="7"/>
        <v>10.6</v>
      </c>
      <c r="P56" s="7">
        <f>LOOKUP(O56,{0,7.8,8,8.2,8.4,8.6,8.8,9,9.2,9.4,9.6,9.8,10,10.2,10.4,10.6,10.8,10.9,11,11.1,11.2},{0,10,20,30,40,50,60,62,64,66,68,70,72,74,76,78,80,85,90,95,100})</f>
        <v>78</v>
      </c>
      <c r="Q56" s="5">
        <v>4.35</v>
      </c>
      <c r="R56" s="10">
        <f t="shared" si="8"/>
        <v>5.65</v>
      </c>
      <c r="S56" s="7">
        <f>LOOKUP(R56,{0,3.85,4.45,4.65,4.85,5.45,5.65,5.7,5.75,5.8,5.85,5.9,5.95,6,6.45,6.5,6.55,6.63,6.7,6.75,6.8},{0,10,20,30,40,50,60,62,64,66,68,70,72,74,76,78,80,85,90,95,100})</f>
        <v>60</v>
      </c>
      <c r="T56" s="5"/>
      <c r="U56" s="5"/>
      <c r="V56" s="5">
        <f t="shared" ref="V56:V59" si="14">S56+U56</f>
        <v>60</v>
      </c>
      <c r="W56" s="5"/>
      <c r="X56" s="13">
        <f t="shared" si="10"/>
        <v>46.6</v>
      </c>
      <c r="Y56" s="13">
        <f t="shared" ref="Y56:Y59" si="15">X56/0.7+L56+U56</f>
        <v>66.5714285714286</v>
      </c>
    </row>
    <row r="57" ht="15.6" hidden="1" outlineLevel="2" spans="1:25">
      <c r="A57" s="5">
        <v>302</v>
      </c>
      <c r="B57" s="5">
        <v>25</v>
      </c>
      <c r="C57" s="5" t="s">
        <v>85</v>
      </c>
      <c r="D57" s="5" t="s">
        <v>12</v>
      </c>
      <c r="E57" s="5">
        <v>-6.5</v>
      </c>
      <c r="F57" s="7">
        <v>0</v>
      </c>
      <c r="G57" s="5">
        <v>200</v>
      </c>
      <c r="H57" s="7">
        <f>LOOKUP(G57,{0,180,185,190,195,200,205,209,213,217,221,225,229,233,237,241,245,253,260,265,270},{0,10,20,30,40,50,60,62,64,66,68,70,72,74,76,78,80,85,90,95,100})</f>
        <v>50</v>
      </c>
      <c r="I57" s="5">
        <v>11</v>
      </c>
      <c r="J57" s="7">
        <f>LOOKUP(I57,{0,4,5,6,7,8,9,10,11,12,13,14,15,16,17,18},{0,10,20,30,40,50,60,64,68,72,76,80,85,90,95,100})</f>
        <v>68</v>
      </c>
      <c r="K57" s="5"/>
      <c r="L57" s="5"/>
      <c r="M57" s="5">
        <f t="shared" si="6"/>
        <v>68</v>
      </c>
      <c r="N57" s="5">
        <v>8.1</v>
      </c>
      <c r="O57" s="10">
        <f t="shared" si="7"/>
        <v>9.9</v>
      </c>
      <c r="P57" s="7">
        <f>LOOKUP(O57,{0,7.8,8,8.2,8.4,8.6,8.8,9,9.2,9.4,9.6,9.8,10,10.2,10.4,10.6,10.8,10.9,11,11.1,11.2},{0,10,20,30,40,50,60,62,64,66,68,70,72,74,76,78,80,85,90,95,100})</f>
        <v>70</v>
      </c>
      <c r="Q57" s="5">
        <v>4.21</v>
      </c>
      <c r="R57" s="10">
        <f t="shared" si="8"/>
        <v>5.79</v>
      </c>
      <c r="S57" s="7">
        <f>LOOKUP(R57,{0,3.85,4.45,4.65,4.85,5.45,5.65,5.7,5.75,5.8,5.85,5.9,5.95,6,6.45,6.5,6.55,6.63,6.7,6.75,6.8},{0,10,20,30,40,50,60,62,64,66,68,70,72,74,76,78,80,85,90,95,100})</f>
        <v>64</v>
      </c>
      <c r="T57" s="5"/>
      <c r="U57" s="5"/>
      <c r="V57" s="5">
        <f t="shared" si="14"/>
        <v>64</v>
      </c>
      <c r="W57" s="5"/>
      <c r="X57" s="13">
        <f t="shared" si="10"/>
        <v>38.6</v>
      </c>
      <c r="Y57" s="13">
        <f t="shared" si="15"/>
        <v>55.1428571428571</v>
      </c>
    </row>
    <row r="58" ht="15.6" hidden="1" outlineLevel="2" spans="1:25">
      <c r="A58" s="5">
        <v>302</v>
      </c>
      <c r="B58" s="5">
        <v>26</v>
      </c>
      <c r="C58" s="5" t="s">
        <v>86</v>
      </c>
      <c r="D58" s="5" t="s">
        <v>12</v>
      </c>
      <c r="E58" s="5">
        <v>1</v>
      </c>
      <c r="F58" s="7">
        <f>LOOKUP(E58,{0,-1.8,-0.8,0.2,1.2,2.2,3.2,4.6,6,7.4,8.8,10.2,11.6,13,14.4,15.8,17.2,19.1,21,22.8,24.6},{0,10,20,30,40,50,60,62,64,66,68,70,72,74,76,78,80,85,90,95,100})</f>
        <v>30</v>
      </c>
      <c r="G58" s="5">
        <v>210</v>
      </c>
      <c r="H58" s="7">
        <f>LOOKUP(G58,{0,180,185,190,195,200,205,209,213,217,221,225,229,233,237,241,245,253,260,265,270},{0,10,20,30,40,50,60,62,64,66,68,70,72,74,76,78,80,85,90,95,100})</f>
        <v>62</v>
      </c>
      <c r="I58" s="5">
        <v>1</v>
      </c>
      <c r="J58" s="7">
        <f>LOOKUP(I58,{0,4,5,6,7,8,9,10,11,12,13,14,15,16,17,18},{0,10,20,30,40,50,60,64,68,72,76,80,85,90,95,100})</f>
        <v>0</v>
      </c>
      <c r="K58" s="5"/>
      <c r="L58" s="5"/>
      <c r="M58" s="5">
        <f t="shared" si="6"/>
        <v>0</v>
      </c>
      <c r="N58" s="5">
        <v>8.1</v>
      </c>
      <c r="O58" s="10">
        <f t="shared" si="7"/>
        <v>9.9</v>
      </c>
      <c r="P58" s="7">
        <f>LOOKUP(O58,{0,7.8,8,8.2,8.4,8.6,8.8,9,9.2,9.4,9.6,9.8,10,10.2,10.4,10.6,10.8,10.9,11,11.1,11.2},{0,10,20,30,40,50,60,62,64,66,68,70,72,74,76,78,80,85,90,95,100})</f>
        <v>70</v>
      </c>
      <c r="Q58" s="5">
        <v>4.16</v>
      </c>
      <c r="R58" s="10">
        <f t="shared" si="8"/>
        <v>5.84</v>
      </c>
      <c r="S58" s="7">
        <f>LOOKUP(R58,{0,3.85,4.45,4.65,4.85,5.45,5.65,5.7,5.75,5.8,5.85,5.9,5.95,6,6.45,6.5,6.55,6.63,6.7,6.75,6.8},{0,10,20,30,40,50,60,62,64,66,68,70,72,74,76,78,80,85,90,95,100})</f>
        <v>66</v>
      </c>
      <c r="T58" s="5"/>
      <c r="U58" s="5"/>
      <c r="V58" s="5">
        <f t="shared" si="14"/>
        <v>66</v>
      </c>
      <c r="W58" s="5"/>
      <c r="X58" s="13">
        <f t="shared" si="10"/>
        <v>36.4</v>
      </c>
      <c r="Y58" s="13">
        <f t="shared" si="15"/>
        <v>52</v>
      </c>
    </row>
    <row r="59" ht="15.6" hidden="1" outlineLevel="2" spans="1:25">
      <c r="A59" s="5">
        <v>302</v>
      </c>
      <c r="B59" s="5">
        <v>27</v>
      </c>
      <c r="C59" s="5" t="s">
        <v>87</v>
      </c>
      <c r="D59" s="5" t="s">
        <v>12</v>
      </c>
      <c r="E59" s="5">
        <v>23</v>
      </c>
      <c r="F59" s="7">
        <f>LOOKUP(E59,{0,-1.8,-0.8,0.2,1.2,2.2,3.2,4.6,6,7.4,8.8,10.2,11.6,13,14.4,15.8,17.2,19.1,21,22.8,24.6},{0,10,20,30,40,50,60,62,64,66,68,70,72,74,76,78,80,85,90,95,100})</f>
        <v>95</v>
      </c>
      <c r="G59" s="5">
        <v>223</v>
      </c>
      <c r="H59" s="7">
        <f>LOOKUP(G59,{0,180,185,190,195,200,205,209,213,217,221,225,229,233,237,241,245,253,260,265,270},{0,10,20,30,40,50,60,62,64,66,68,70,72,74,76,78,80,85,90,95,100})</f>
        <v>68</v>
      </c>
      <c r="I59" s="5">
        <v>6</v>
      </c>
      <c r="J59" s="7">
        <f>LOOKUP(I59,{0,4,5,6,7,8,9,10,11,12,13,14,15,16,17,18},{0,10,20,30,40,50,60,64,68,72,76,80,85,90,95,100})</f>
        <v>30</v>
      </c>
      <c r="K59" s="5"/>
      <c r="L59" s="5"/>
      <c r="M59" s="5">
        <f t="shared" si="6"/>
        <v>30</v>
      </c>
      <c r="N59" s="5">
        <v>7.5</v>
      </c>
      <c r="O59" s="10">
        <f t="shared" si="7"/>
        <v>10.5</v>
      </c>
      <c r="P59" s="7">
        <f>LOOKUP(O59,{0,7.8,8,8.2,8.4,8.6,8.8,9,9.2,9.4,9.6,9.8,10,10.2,10.4,10.6,10.8,10.9,11,11.1,11.2},{0,10,20,30,40,50,60,62,64,66,68,70,72,74,76,78,80,85,90,95,100})</f>
        <v>76</v>
      </c>
      <c r="Q59" s="5">
        <v>4.22</v>
      </c>
      <c r="R59" s="10">
        <f t="shared" si="8"/>
        <v>5.78</v>
      </c>
      <c r="S59" s="7">
        <f>LOOKUP(R59,{0,3.85,4.45,4.65,4.85,5.45,5.65,5.7,5.75,5.8,5.85,5.9,5.95,6,6.45,6.5,6.55,6.63,6.7,6.75,6.8},{0,10,20,30,40,50,60,62,64,66,68,70,72,74,76,78,80,85,90,95,100})</f>
        <v>64</v>
      </c>
      <c r="T59" s="5"/>
      <c r="U59" s="5"/>
      <c r="V59" s="5">
        <f t="shared" si="14"/>
        <v>64</v>
      </c>
      <c r="W59" s="5"/>
      <c r="X59" s="13">
        <f t="shared" si="10"/>
        <v>47.3</v>
      </c>
      <c r="Y59" s="13">
        <f t="shared" si="15"/>
        <v>67.5714285714286</v>
      </c>
    </row>
    <row r="60" ht="15.6" hidden="1" outlineLevel="2" spans="1:25">
      <c r="A60" s="5">
        <v>302</v>
      </c>
      <c r="B60" s="5">
        <v>28</v>
      </c>
      <c r="C60" s="5" t="s">
        <v>88</v>
      </c>
      <c r="D60" s="5" t="s">
        <v>12</v>
      </c>
      <c r="E60" s="5">
        <v>15</v>
      </c>
      <c r="F60" s="7">
        <f>LOOKUP(E60,{0,-1.8,-0.8,0.2,1.2,2.2,3.2,4.6,6,7.4,8.8,10.2,11.6,13,14.4,15.8,17.2,19.1,21,22.8,24.6},{0,10,20,30,40,50,60,62,64,66,68,70,72,74,76,78,80,85,90,95,100})</f>
        <v>76</v>
      </c>
      <c r="G60" s="5">
        <v>200</v>
      </c>
      <c r="H60" s="7">
        <f>LOOKUP(G60,{0,180,185,190,195,200,205,209,213,217,221,225,229,233,237,241,245,253,260,265,270},{0,10,20,30,40,50,60,62,64,66,68,70,72,74,76,78,80,85,90,95,100})</f>
        <v>50</v>
      </c>
      <c r="I60" s="5">
        <v>1</v>
      </c>
      <c r="J60" s="7">
        <f>LOOKUP(I60,{0,4,5,6,7,8,9,10,11,12,13,14,15,16,17,18},{0,10,20,30,40,50,60,64,68,72,76,80,85,90,95,100})</f>
        <v>0</v>
      </c>
      <c r="K60" s="5"/>
      <c r="L60" s="5"/>
      <c r="M60" s="5">
        <f t="shared" si="6"/>
        <v>0</v>
      </c>
      <c r="N60" s="5">
        <v>8.5</v>
      </c>
      <c r="O60" s="10">
        <f t="shared" si="7"/>
        <v>9.5</v>
      </c>
      <c r="P60" s="7">
        <f>LOOKUP(O60,{0,7.8,8,8.2,8.4,8.6,8.8,9,9.2,9.4,9.6,9.8,10,10.2,10.4,10.6,10.8,10.9,11,11.1,11.2},{0,10,20,30,40,50,60,62,64,66,68,70,72,74,76,78,80,85,90,95,100})</f>
        <v>66</v>
      </c>
      <c r="Q60" s="5" t="s">
        <v>77</v>
      </c>
      <c r="R60" s="10" t="e">
        <f t="shared" si="8"/>
        <v>#VALUE!</v>
      </c>
      <c r="S60" s="7"/>
      <c r="T60" s="5"/>
      <c r="U60" s="5"/>
      <c r="V60" s="5"/>
      <c r="W60" s="14">
        <v>50</v>
      </c>
      <c r="X60" s="13">
        <f t="shared" si="10"/>
        <v>25.8</v>
      </c>
      <c r="Y60" s="13">
        <v>50</v>
      </c>
    </row>
    <row r="61" ht="15.6" hidden="1" outlineLevel="2" spans="1:25">
      <c r="A61" s="5">
        <v>302</v>
      </c>
      <c r="B61" s="5">
        <v>29</v>
      </c>
      <c r="C61" s="5" t="s">
        <v>89</v>
      </c>
      <c r="D61" s="5" t="s">
        <v>12</v>
      </c>
      <c r="E61" s="5">
        <v>14.5</v>
      </c>
      <c r="F61" s="7">
        <f>LOOKUP(E61,{0,-1.8,-0.8,0.2,1.2,2.2,3.2,4.6,6,7.4,8.8,10.2,11.6,13,14.4,15.8,17.2,19.1,21,22.8,24.6},{0,10,20,30,40,50,60,62,64,66,68,70,72,74,76,78,80,85,90,95,100})</f>
        <v>76</v>
      </c>
      <c r="G61" s="5">
        <v>230</v>
      </c>
      <c r="H61" s="7">
        <f>LOOKUP(G61,{0,180,185,190,195,200,205,209,213,217,221,225,229,233,237,241,245,253,260,265,270},{0,10,20,30,40,50,60,62,64,66,68,70,72,74,76,78,80,85,90,95,100})</f>
        <v>72</v>
      </c>
      <c r="I61" s="5">
        <v>4</v>
      </c>
      <c r="J61" s="7">
        <f>LOOKUP(I61,{0,4,5,6,7,8,9,10,11,12,13,14,15,16,17,18},{0,10,20,30,40,50,60,64,68,72,76,80,85,90,95,100})</f>
        <v>10</v>
      </c>
      <c r="K61" s="5"/>
      <c r="L61" s="5"/>
      <c r="M61" s="5">
        <f t="shared" si="6"/>
        <v>10</v>
      </c>
      <c r="N61" s="5">
        <v>9.3</v>
      </c>
      <c r="O61" s="10">
        <f t="shared" si="7"/>
        <v>8.7</v>
      </c>
      <c r="P61" s="7">
        <f>LOOKUP(O61,{0,7.8,8,8.2,8.4,8.6,8.8,9,9.2,9.4,9.6,9.8,10,10.2,10.4,10.6,10.8,10.9,11,11.1,11.2},{0,10,20,30,40,50,60,62,64,66,68,70,72,74,76,78,80,85,90,95,100})</f>
        <v>50</v>
      </c>
      <c r="Q61" s="5">
        <v>4.38</v>
      </c>
      <c r="R61" s="10">
        <f t="shared" si="8"/>
        <v>5.62</v>
      </c>
      <c r="S61" s="7">
        <f>LOOKUP(R61,{0,3.85,4.45,4.65,4.85,5.45,5.65,5.7,5.75,5.8,5.85,5.9,5.95,6,6.45,6.5,6.55,6.63,6.7,6.75,6.8},{0,10,20,30,40,50,60,62,64,66,68,70,72,74,76,78,80,85,90,95,100})</f>
        <v>50</v>
      </c>
      <c r="T61" s="5"/>
      <c r="U61" s="5"/>
      <c r="V61" s="5">
        <f>S61+U61</f>
        <v>50</v>
      </c>
      <c r="W61" s="5"/>
      <c r="X61" s="13">
        <f t="shared" si="10"/>
        <v>35.8</v>
      </c>
      <c r="Y61" s="13">
        <f>X61/0.7+L61+U61</f>
        <v>51.1428571428571</v>
      </c>
    </row>
    <row r="62" ht="15.6" hidden="1" outlineLevel="2" spans="1:25">
      <c r="A62" s="5">
        <v>302</v>
      </c>
      <c r="B62" s="5">
        <v>30</v>
      </c>
      <c r="C62" s="5" t="s">
        <v>90</v>
      </c>
      <c r="D62" s="5" t="s">
        <v>12</v>
      </c>
      <c r="E62" s="5">
        <v>2</v>
      </c>
      <c r="F62" s="7">
        <f>LOOKUP(E62,{0,-1.8,-0.8,0.2,1.2,2.2,3.2,4.6,6,7.4,8.8,10.2,11.6,13,14.4,15.8,17.2,19.1,21,22.8,24.6},{0,10,20,30,40,50,60,62,64,66,68,70,72,74,76,78,80,85,90,95,100})</f>
        <v>40</v>
      </c>
      <c r="G62" s="5">
        <v>195</v>
      </c>
      <c r="H62" s="7">
        <f>LOOKUP(G62,{0,180,185,190,195,200,205,209,213,217,221,225,229,233,237,241,245,253,260,265,270},{0,10,20,30,40,50,60,62,64,66,68,70,72,74,76,78,80,85,90,95,100})</f>
        <v>40</v>
      </c>
      <c r="I62" s="5">
        <v>0</v>
      </c>
      <c r="J62" s="7">
        <f>LOOKUP(I62,{0,4,5,6,7,8,9,10,11,12,13,14,15,16,17,18},{0,10,20,30,40,50,60,64,68,72,76,80,85,90,95,100})</f>
        <v>0</v>
      </c>
      <c r="K62" s="5"/>
      <c r="L62" s="5"/>
      <c r="M62" s="5">
        <f t="shared" si="6"/>
        <v>0</v>
      </c>
      <c r="N62" s="5">
        <v>14.8</v>
      </c>
      <c r="O62" s="10">
        <f t="shared" si="7"/>
        <v>3.2</v>
      </c>
      <c r="P62" s="7">
        <f>LOOKUP(O62,{0,7.8,8,8.2,8.4,8.6,8.8,9,9.2,9.4,9.6,9.8,10,10.2,10.4,10.6,10.8,10.9,11,11.1,11.2},{0,10,20,30,40,50,60,62,64,66,68,70,72,74,76,78,80,85,90,95,100})</f>
        <v>0</v>
      </c>
      <c r="Q62" s="5" t="s">
        <v>77</v>
      </c>
      <c r="R62" s="10" t="e">
        <f t="shared" si="8"/>
        <v>#VALUE!</v>
      </c>
      <c r="S62" s="7"/>
      <c r="T62" s="5"/>
      <c r="U62" s="5"/>
      <c r="V62" s="5"/>
      <c r="W62" s="14">
        <v>50</v>
      </c>
      <c r="X62" s="13">
        <f t="shared" si="10"/>
        <v>8</v>
      </c>
      <c r="Y62" s="13">
        <v>50</v>
      </c>
    </row>
    <row r="63" ht="15.6" outlineLevel="1" collapsed="1" spans="1:25">
      <c r="A63" s="6" t="s">
        <v>853</v>
      </c>
      <c r="B63" s="5"/>
      <c r="C63" s="5"/>
      <c r="D63" s="5"/>
      <c r="E63" s="5"/>
      <c r="F63" s="7">
        <f>SUBTOTAL(1,F33:F62)</f>
        <v>55.6551724137931</v>
      </c>
      <c r="G63" s="5"/>
      <c r="H63" s="7">
        <f>SUBTOTAL(1,H33:H62)</f>
        <v>68.3103448275862</v>
      </c>
      <c r="I63" s="5"/>
      <c r="J63" s="7">
        <f>SUBTOTAL(1,J33:J62)</f>
        <v>25.5172413793103</v>
      </c>
      <c r="K63" s="5"/>
      <c r="L63" s="5"/>
      <c r="M63" s="5">
        <f>SUBTOTAL(1,M33:M62)</f>
        <v>25.5172413793103</v>
      </c>
      <c r="N63" s="5"/>
      <c r="O63" s="10"/>
      <c r="P63" s="7">
        <f>SUBTOTAL(1,P33:P62)</f>
        <v>71.2068965517241</v>
      </c>
      <c r="Q63" s="5"/>
      <c r="R63" s="10"/>
      <c r="S63" s="7">
        <f>SUBTOTAL(1,S33:S62)</f>
        <v>60.75</v>
      </c>
      <c r="T63" s="5"/>
      <c r="U63" s="5"/>
      <c r="V63" s="5">
        <f>SUBTOTAL(1,V33:V62)</f>
        <v>60.75</v>
      </c>
      <c r="W63" s="14"/>
      <c r="X63" s="13">
        <f>SUBTOTAL(1,X33:X62)</f>
        <v>39.2448275862069</v>
      </c>
      <c r="Y63" s="13">
        <f>SUBTOTAL(1,Y33:Y62)</f>
        <v>58.3190476190476</v>
      </c>
    </row>
    <row r="64" ht="15.6" hidden="1" outlineLevel="2" spans="1:25">
      <c r="A64" s="5">
        <v>303</v>
      </c>
      <c r="B64" s="5">
        <v>1</v>
      </c>
      <c r="C64" s="6" t="s">
        <v>103</v>
      </c>
      <c r="D64" s="5" t="s">
        <v>12</v>
      </c>
      <c r="E64" s="5">
        <v>-19</v>
      </c>
      <c r="F64" s="7">
        <v>0</v>
      </c>
      <c r="G64" s="5">
        <v>201</v>
      </c>
      <c r="H64" s="7">
        <f>LOOKUP(G64,{0,180,185,190,195,200,205,209,213,217,221,225,229,233,237,241,245,253,260,265,270},{0,10,20,30,40,50,60,62,64,66,68,70,72,74,76,78,80,85,90,95,100})</f>
        <v>50</v>
      </c>
      <c r="I64" s="5">
        <v>1</v>
      </c>
      <c r="J64" s="7">
        <f>LOOKUP(I64,{0,4,5,6,7,8,9,10,11,12,13,14,15,16,17,18},{0,10,20,30,40,50,60,64,68,72,76,80,85,90,95,100})</f>
        <v>0</v>
      </c>
      <c r="K64" s="5"/>
      <c r="L64" s="5"/>
      <c r="M64" s="5">
        <f t="shared" ref="M64:M72" si="16">J64+L64</f>
        <v>0</v>
      </c>
      <c r="N64" s="5">
        <v>7.5</v>
      </c>
      <c r="O64" s="10">
        <f t="shared" ref="O64:O72" si="17">18-N64</f>
        <v>10.5</v>
      </c>
      <c r="P64" s="7">
        <f>LOOKUP(O64,{0,7.8,8,8.2,8.4,8.6,8.8,9,9.2,9.4,9.6,9.8,10,10.2,10.4,10.6,10.8,10.9,11,11.1,11.2},{0,10,20,30,40,50,60,62,64,66,68,70,72,74,76,78,80,85,90,95,100})</f>
        <v>76</v>
      </c>
      <c r="Q64" s="5">
        <v>4.26</v>
      </c>
      <c r="R64" s="10">
        <f t="shared" ref="R64:R72" si="18">10-Q64</f>
        <v>5.74</v>
      </c>
      <c r="S64" s="7">
        <f>LOOKUP(R64,{0,3.85,4.45,4.65,4.85,5.45,5.65,5.7,5.75,5.8,5.85,5.9,5.95,6,6.45,6.5,6.55,6.63,6.7,6.75,6.8},{0,10,20,30,40,50,60,62,64,66,68,70,72,74,76,78,80,85,90,95,100})</f>
        <v>62</v>
      </c>
      <c r="T64" s="5"/>
      <c r="U64" s="5"/>
      <c r="V64" s="5">
        <f t="shared" ref="V64:V72" si="19">S64+U64</f>
        <v>62</v>
      </c>
      <c r="W64" s="5"/>
      <c r="X64" s="13">
        <f t="shared" ref="X64:X72" si="20">F64*0.1+H64*0.1+J64*0.1+P64*0.2+S64*0.2</f>
        <v>32.6</v>
      </c>
      <c r="Y64" s="13">
        <f t="shared" ref="Y64:Y72" si="21">X64/0.7+L64+U64</f>
        <v>46.5714285714286</v>
      </c>
    </row>
    <row r="65" ht="15.6" hidden="1" outlineLevel="2" spans="1:25">
      <c r="A65" s="5">
        <v>303</v>
      </c>
      <c r="B65" s="5">
        <v>2</v>
      </c>
      <c r="C65" s="5" t="s">
        <v>104</v>
      </c>
      <c r="D65" s="5" t="s">
        <v>12</v>
      </c>
      <c r="E65" s="5">
        <v>-10.5</v>
      </c>
      <c r="F65" s="7">
        <v>0</v>
      </c>
      <c r="G65" s="5">
        <v>215</v>
      </c>
      <c r="H65" s="7">
        <f>LOOKUP(G65,{0,180,185,190,195,200,205,209,213,217,221,225,229,233,237,241,245,253,260,265,270},{0,10,20,30,40,50,60,62,64,66,68,70,72,74,76,78,80,85,90,95,100})</f>
        <v>64</v>
      </c>
      <c r="I65" s="5">
        <v>4</v>
      </c>
      <c r="J65" s="7">
        <f>LOOKUP(I65,{0,4,5,6,7,8,9,10,11,12,13,14,15,16,17,18},{0,10,20,30,40,50,60,64,68,72,76,80,85,90,95,100})</f>
        <v>10</v>
      </c>
      <c r="K65" s="5"/>
      <c r="L65" s="5"/>
      <c r="M65" s="5">
        <f t="shared" si="16"/>
        <v>10</v>
      </c>
      <c r="N65" s="5">
        <v>7.6</v>
      </c>
      <c r="O65" s="10">
        <f t="shared" si="17"/>
        <v>10.4</v>
      </c>
      <c r="P65" s="7">
        <f>LOOKUP(O65,{0,7.8,8,8.2,8.4,8.6,8.8,9,9.2,9.4,9.6,9.8,10,10.2,10.4,10.6,10.8,10.9,11,11.1,11.2},{0,10,20,30,40,50,60,62,64,66,68,70,72,74,76,78,80,85,90,95,100})</f>
        <v>76</v>
      </c>
      <c r="Q65" s="5">
        <v>4.16</v>
      </c>
      <c r="R65" s="10">
        <f t="shared" si="18"/>
        <v>5.84</v>
      </c>
      <c r="S65" s="7">
        <f>LOOKUP(R65,{0,3.85,4.45,4.65,4.85,5.45,5.65,5.7,5.75,5.8,5.85,5.9,5.95,6,6.45,6.5,6.55,6.63,6.7,6.75,6.8},{0,10,20,30,40,50,60,62,64,66,68,70,72,74,76,78,80,85,90,95,100})</f>
        <v>66</v>
      </c>
      <c r="T65" s="5"/>
      <c r="U65" s="5"/>
      <c r="V65" s="5">
        <f t="shared" si="19"/>
        <v>66</v>
      </c>
      <c r="W65" s="5"/>
      <c r="X65" s="13">
        <f t="shared" si="20"/>
        <v>35.8</v>
      </c>
      <c r="Y65" s="13">
        <f t="shared" si="21"/>
        <v>51.1428571428572</v>
      </c>
    </row>
    <row r="66" ht="15.6" hidden="1" outlineLevel="2" spans="1:25">
      <c r="A66" s="5">
        <v>303</v>
      </c>
      <c r="B66" s="5">
        <v>3</v>
      </c>
      <c r="C66" s="5" t="s">
        <v>105</v>
      </c>
      <c r="D66" s="5" t="s">
        <v>12</v>
      </c>
      <c r="E66" s="5">
        <v>5.5</v>
      </c>
      <c r="F66" s="7">
        <f>LOOKUP(E66,{0,-1.8,-0.8,0.2,1.2,2.2,3.2,4.6,6,7.4,8.8,10.2,11.6,13,14.4,15.8,17.2,19.1,21,22.8,24.6},{0,10,20,30,40,50,60,62,64,66,68,70,72,74,76,78,80,85,90,95,100})</f>
        <v>62</v>
      </c>
      <c r="G66" s="5">
        <v>200</v>
      </c>
      <c r="H66" s="7">
        <f>LOOKUP(G66,{0,180,185,190,195,200,205,209,213,217,221,225,229,233,237,241,245,253,260,265,270},{0,10,20,30,40,50,60,62,64,66,68,70,72,74,76,78,80,85,90,95,100})</f>
        <v>50</v>
      </c>
      <c r="I66" s="5">
        <v>1</v>
      </c>
      <c r="J66" s="7">
        <f>LOOKUP(I66,{0,4,5,6,7,8,9,10,11,12,13,14,15,16,17,18},{0,10,20,30,40,50,60,64,68,72,76,80,85,90,95,100})</f>
        <v>0</v>
      </c>
      <c r="K66" s="5"/>
      <c r="L66" s="5"/>
      <c r="M66" s="5">
        <f t="shared" si="16"/>
        <v>0</v>
      </c>
      <c r="N66" s="5">
        <v>7.7</v>
      </c>
      <c r="O66" s="10">
        <f t="shared" si="17"/>
        <v>10.3</v>
      </c>
      <c r="P66" s="7">
        <f>LOOKUP(O66,{0,7.8,8,8.2,8.4,8.6,8.8,9,9.2,9.4,9.6,9.8,10,10.2,10.4,10.6,10.8,10.9,11,11.1,11.2},{0,10,20,30,40,50,60,62,64,66,68,70,72,74,76,78,80,85,90,95,100})</f>
        <v>74</v>
      </c>
      <c r="Q66" s="5">
        <v>4.12</v>
      </c>
      <c r="R66" s="10">
        <f t="shared" si="18"/>
        <v>5.88</v>
      </c>
      <c r="S66" s="7">
        <f>LOOKUP(R66,{0,3.85,4.45,4.65,4.85,5.45,5.65,5.7,5.75,5.8,5.85,5.9,5.95,6,6.45,6.5,6.55,6.63,6.7,6.75,6.8},{0,10,20,30,40,50,60,62,64,66,68,70,72,74,76,78,80,85,90,95,100})</f>
        <v>68</v>
      </c>
      <c r="T66" s="5"/>
      <c r="U66" s="5"/>
      <c r="V66" s="5">
        <f t="shared" si="19"/>
        <v>68</v>
      </c>
      <c r="W66" s="5"/>
      <c r="X66" s="13">
        <f t="shared" si="20"/>
        <v>39.6</v>
      </c>
      <c r="Y66" s="13">
        <f t="shared" si="21"/>
        <v>56.5714285714286</v>
      </c>
    </row>
    <row r="67" ht="15.6" hidden="1" outlineLevel="2" spans="1:25">
      <c r="A67" s="5">
        <v>303</v>
      </c>
      <c r="B67" s="5">
        <v>4</v>
      </c>
      <c r="C67" s="5" t="s">
        <v>106</v>
      </c>
      <c r="D67" s="5" t="s">
        <v>12</v>
      </c>
      <c r="E67" s="5">
        <v>10.3</v>
      </c>
      <c r="F67" s="7">
        <f>LOOKUP(E67,{0,-1.8,-0.8,0.2,1.2,2.2,3.2,4.6,6,7.4,8.8,10.2,11.6,13,14.4,15.8,17.2,19.1,21,22.8,24.6},{0,10,20,30,40,50,60,62,64,66,68,70,72,74,76,78,80,85,90,95,100})</f>
        <v>70</v>
      </c>
      <c r="G67" s="5">
        <v>227</v>
      </c>
      <c r="H67" s="7">
        <f>LOOKUP(G67,{0,180,185,190,195,200,205,209,213,217,221,225,229,233,237,241,245,253,260,265,270},{0,10,20,30,40,50,60,62,64,66,68,70,72,74,76,78,80,85,90,95,100})</f>
        <v>70</v>
      </c>
      <c r="I67" s="5">
        <v>0</v>
      </c>
      <c r="J67" s="7">
        <f>LOOKUP(I67,{0,4,5,6,7,8,9,10,11,12,13,14,15,16,17,18},{0,10,20,30,40,50,60,64,68,72,76,80,85,90,95,100})</f>
        <v>0</v>
      </c>
      <c r="K67" s="5"/>
      <c r="L67" s="5"/>
      <c r="M67" s="5">
        <f t="shared" si="16"/>
        <v>0</v>
      </c>
      <c r="N67" s="5">
        <v>7.4</v>
      </c>
      <c r="O67" s="10">
        <f t="shared" si="17"/>
        <v>10.6</v>
      </c>
      <c r="P67" s="7">
        <f>LOOKUP(O67,{0,7.8,8,8.2,8.4,8.6,8.8,9,9.2,9.4,9.6,9.8,10,10.2,10.4,10.6,10.8,10.9,11,11.1,11.2},{0,10,20,30,40,50,60,62,64,66,68,70,72,74,76,78,80,85,90,95,100})</f>
        <v>78</v>
      </c>
      <c r="Q67" s="5">
        <v>4.24</v>
      </c>
      <c r="R67" s="10">
        <f t="shared" si="18"/>
        <v>5.76</v>
      </c>
      <c r="S67" s="7">
        <f>LOOKUP(R67,{0,3.85,4.45,4.65,4.85,5.45,5.65,5.7,5.75,5.8,5.85,5.9,5.95,6,6.45,6.5,6.55,6.63,6.7,6.75,6.8},{0,10,20,30,40,50,60,62,64,66,68,70,72,74,76,78,80,85,90,95,100})</f>
        <v>64</v>
      </c>
      <c r="T67" s="5"/>
      <c r="U67" s="5"/>
      <c r="V67" s="5">
        <f t="shared" si="19"/>
        <v>64</v>
      </c>
      <c r="W67" s="5"/>
      <c r="X67" s="13">
        <f t="shared" si="20"/>
        <v>42.4</v>
      </c>
      <c r="Y67" s="13">
        <f t="shared" si="21"/>
        <v>60.5714285714286</v>
      </c>
    </row>
    <row r="68" ht="15.6" hidden="1" outlineLevel="2" spans="1:25">
      <c r="A68" s="5">
        <v>303</v>
      </c>
      <c r="B68" s="5">
        <v>5</v>
      </c>
      <c r="C68" s="5" t="s">
        <v>107</v>
      </c>
      <c r="D68" s="5" t="s">
        <v>12</v>
      </c>
      <c r="E68" s="5">
        <v>12</v>
      </c>
      <c r="F68" s="7">
        <f>LOOKUP(E68,{0,-1.8,-0.8,0.2,1.2,2.2,3.2,4.6,6,7.4,8.8,10.2,11.6,13,14.4,15.8,17.2,19.1,21,22.8,24.6},{0,10,20,30,40,50,60,62,64,66,68,70,72,74,76,78,80,85,90,95,100})</f>
        <v>72</v>
      </c>
      <c r="G68" s="5">
        <v>220</v>
      </c>
      <c r="H68" s="7">
        <f>LOOKUP(G68,{0,180,185,190,195,200,205,209,213,217,221,225,229,233,237,241,245,253,260,265,270},{0,10,20,30,40,50,60,62,64,66,68,70,72,74,76,78,80,85,90,95,100})</f>
        <v>66</v>
      </c>
      <c r="I68" s="5">
        <v>5</v>
      </c>
      <c r="J68" s="7">
        <f>LOOKUP(I68,{0,4,5,6,7,8,9,10,11,12,13,14,15,16,17,18},{0,10,20,30,40,50,60,64,68,72,76,80,85,90,95,100})</f>
        <v>20</v>
      </c>
      <c r="K68" s="5"/>
      <c r="L68" s="5"/>
      <c r="M68" s="5">
        <f t="shared" si="16"/>
        <v>20</v>
      </c>
      <c r="N68" s="5">
        <v>7.4</v>
      </c>
      <c r="O68" s="10">
        <f t="shared" si="17"/>
        <v>10.6</v>
      </c>
      <c r="P68" s="7">
        <f>LOOKUP(O68,{0,7.8,8,8.2,8.4,8.6,8.8,9,9.2,9.4,9.6,9.8,10,10.2,10.4,10.6,10.8,10.9,11,11.1,11.2},{0,10,20,30,40,50,60,62,64,66,68,70,72,74,76,78,80,85,90,95,100})</f>
        <v>78</v>
      </c>
      <c r="Q68" s="5">
        <v>4.08</v>
      </c>
      <c r="R68" s="10">
        <f t="shared" si="18"/>
        <v>5.92</v>
      </c>
      <c r="S68" s="7">
        <f>LOOKUP(R68,{0,3.85,4.45,4.65,4.85,5.45,5.65,5.7,5.75,5.8,5.85,5.9,5.95,6,6.45,6.5,6.55,6.63,6.7,6.75,6.8},{0,10,20,30,40,50,60,62,64,66,68,70,72,74,76,78,80,85,90,95,100})</f>
        <v>70</v>
      </c>
      <c r="T68" s="5"/>
      <c r="U68" s="5"/>
      <c r="V68" s="5">
        <f t="shared" si="19"/>
        <v>70</v>
      </c>
      <c r="W68" s="5"/>
      <c r="X68" s="13">
        <f t="shared" si="20"/>
        <v>45.4</v>
      </c>
      <c r="Y68" s="13">
        <f t="shared" si="21"/>
        <v>64.8571428571429</v>
      </c>
    </row>
    <row r="69" ht="15.6" hidden="1" outlineLevel="2" spans="1:25">
      <c r="A69" s="5">
        <v>303</v>
      </c>
      <c r="B69" s="5">
        <v>6</v>
      </c>
      <c r="C69" s="5" t="s">
        <v>108</v>
      </c>
      <c r="D69" s="5" t="s">
        <v>12</v>
      </c>
      <c r="E69" s="5">
        <v>16</v>
      </c>
      <c r="F69" s="7">
        <f>LOOKUP(E69,{0,-1.8,-0.8,0.2,1.2,2.2,3.2,4.6,6,7.4,8.8,10.2,11.6,13,14.4,15.8,17.2,19.1,21,22.8,24.6},{0,10,20,30,40,50,60,62,64,66,68,70,72,74,76,78,80,85,90,95,100})</f>
        <v>78</v>
      </c>
      <c r="G69" s="5">
        <v>235</v>
      </c>
      <c r="H69" s="7">
        <f>LOOKUP(G69,{0,180,185,190,195,200,205,209,213,217,221,225,229,233,237,241,245,253,260,265,270},{0,10,20,30,40,50,60,62,64,66,68,70,72,74,76,78,80,85,90,95,100})</f>
        <v>74</v>
      </c>
      <c r="I69" s="5">
        <v>12</v>
      </c>
      <c r="J69" s="7">
        <f>LOOKUP(I69,{0,4,5,6,7,8,9,10,11,12,13,14,15,16,17,18},{0,10,20,30,40,50,60,64,68,72,76,80,85,90,95,100})</f>
        <v>72</v>
      </c>
      <c r="K69" s="5"/>
      <c r="L69" s="5"/>
      <c r="M69" s="5">
        <f t="shared" si="16"/>
        <v>72</v>
      </c>
      <c r="N69" s="5">
        <v>7.1</v>
      </c>
      <c r="O69" s="10">
        <f t="shared" si="17"/>
        <v>10.9</v>
      </c>
      <c r="P69" s="7">
        <f>LOOKUP(O69,{0,7.8,8,8.2,8.4,8.6,8.8,9,9.2,9.4,9.6,9.8,10,10.2,10.4,10.6,10.8,10.9,11,11.1,11.2},{0,10,20,30,40,50,60,62,64,66,68,70,72,74,76,78,80,85,90,95,100})</f>
        <v>85</v>
      </c>
      <c r="Q69" s="5">
        <v>4.25</v>
      </c>
      <c r="R69" s="10">
        <f t="shared" si="18"/>
        <v>5.75</v>
      </c>
      <c r="S69" s="7">
        <f>LOOKUP(R69,{0,3.85,4.45,4.65,4.85,5.45,5.65,5.7,5.75,5.8,5.85,5.9,5.95,6,6.45,6.5,6.55,6.63,6.7,6.75,6.8},{0,10,20,30,40,50,60,62,64,66,68,70,72,74,76,78,80,85,90,95,100})</f>
        <v>64</v>
      </c>
      <c r="T69" s="5"/>
      <c r="U69" s="5"/>
      <c r="V69" s="5">
        <f t="shared" si="19"/>
        <v>64</v>
      </c>
      <c r="W69" s="5"/>
      <c r="X69" s="13">
        <f t="shared" si="20"/>
        <v>52.2</v>
      </c>
      <c r="Y69" s="13">
        <f t="shared" si="21"/>
        <v>74.5714285714286</v>
      </c>
    </row>
    <row r="70" ht="15.6" hidden="1" outlineLevel="2" spans="1:25">
      <c r="A70" s="5">
        <v>303</v>
      </c>
      <c r="B70" s="5">
        <v>7</v>
      </c>
      <c r="C70" s="5" t="s">
        <v>109</v>
      </c>
      <c r="D70" s="5" t="s">
        <v>12</v>
      </c>
      <c r="E70" s="5">
        <v>17</v>
      </c>
      <c r="F70" s="7">
        <f>LOOKUP(E70,{0,-1.8,-0.8,0.2,1.2,2.2,3.2,4.6,6,7.4,8.8,10.2,11.6,13,14.4,15.8,17.2,19.1,21,22.8,24.6},{0,10,20,30,40,50,60,62,64,66,68,70,72,74,76,78,80,85,90,95,100})</f>
        <v>78</v>
      </c>
      <c r="G70" s="5">
        <v>265</v>
      </c>
      <c r="H70" s="7">
        <f>LOOKUP(G70,{0,180,185,190,195,200,205,209,213,217,221,225,229,233,237,241,245,253,260,265,270},{0,10,20,30,40,50,60,62,64,66,68,70,72,74,76,78,80,85,90,95,100})</f>
        <v>95</v>
      </c>
      <c r="I70" s="5">
        <v>15</v>
      </c>
      <c r="J70" s="7">
        <f>LOOKUP(I70,{0,4,5,6,7,8,9,10,11,12,13,14,15,16,17,18},{0,10,20,30,40,50,60,64,68,72,76,80,85,90,95,100})</f>
        <v>85</v>
      </c>
      <c r="K70" s="5"/>
      <c r="L70" s="5"/>
      <c r="M70" s="5">
        <f t="shared" si="16"/>
        <v>85</v>
      </c>
      <c r="N70" s="5">
        <v>6.8</v>
      </c>
      <c r="O70" s="10">
        <f t="shared" si="17"/>
        <v>11.2</v>
      </c>
      <c r="P70" s="7">
        <f>LOOKUP(O70,{0,7.8,8,8.2,8.4,8.6,8.8,9,9.2,9.4,9.6,9.8,10,10.2,10.4,10.6,10.8,10.9,11,11.1,11.2},{0,10,20,30,40,50,60,62,64,66,68,70,72,74,76,78,80,85,90,95,100})</f>
        <v>100</v>
      </c>
      <c r="Q70" s="5">
        <v>4</v>
      </c>
      <c r="R70" s="10">
        <f t="shared" si="18"/>
        <v>6</v>
      </c>
      <c r="S70" s="7">
        <f>LOOKUP(R70,{0,3.85,4.45,4.65,4.85,5.45,5.65,5.7,5.75,5.8,5.85,5.9,5.95,6,6.45,6.5,6.55,6.63,6.7,6.75,6.8},{0,10,20,30,40,50,60,62,64,66,68,70,72,74,76,78,80,85,90,95,100})</f>
        <v>74</v>
      </c>
      <c r="T70" s="5"/>
      <c r="U70" s="5"/>
      <c r="V70" s="5">
        <f t="shared" si="19"/>
        <v>74</v>
      </c>
      <c r="W70" s="5"/>
      <c r="X70" s="13">
        <f t="shared" si="20"/>
        <v>60.6</v>
      </c>
      <c r="Y70" s="13">
        <f t="shared" si="21"/>
        <v>86.5714285714286</v>
      </c>
    </row>
    <row r="71" ht="15.6" hidden="1" outlineLevel="2" spans="1:25">
      <c r="A71" s="5">
        <v>303</v>
      </c>
      <c r="B71" s="5">
        <v>8</v>
      </c>
      <c r="C71" s="5" t="s">
        <v>110</v>
      </c>
      <c r="D71" s="5" t="s">
        <v>12</v>
      </c>
      <c r="E71" s="5">
        <v>6</v>
      </c>
      <c r="F71" s="7">
        <f>LOOKUP(E71,{0,-1.8,-0.8,0.2,1.2,2.2,3.2,4.6,6,7.4,8.8,10.2,11.6,13,14.4,15.8,17.2,19.1,21,22.8,24.6},{0,10,20,30,40,50,60,62,64,66,68,70,72,74,76,78,80,85,90,95,100})</f>
        <v>64</v>
      </c>
      <c r="G71" s="5">
        <v>230</v>
      </c>
      <c r="H71" s="7">
        <f>LOOKUP(G71,{0,180,185,190,195,200,205,209,213,217,221,225,229,233,237,241,245,253,260,265,270},{0,10,20,30,40,50,60,62,64,66,68,70,72,74,76,78,80,85,90,95,100})</f>
        <v>72</v>
      </c>
      <c r="I71" s="5">
        <v>2</v>
      </c>
      <c r="J71" s="7">
        <f>LOOKUP(I71,{0,4,5,6,7,8,9,10,11,12,13,14,15,16,17,18},{0,10,20,30,40,50,60,64,68,72,76,80,85,90,95,100})</f>
        <v>0</v>
      </c>
      <c r="K71" s="5"/>
      <c r="L71" s="5"/>
      <c r="M71" s="5">
        <f t="shared" si="16"/>
        <v>0</v>
      </c>
      <c r="N71" s="5">
        <v>7.9</v>
      </c>
      <c r="O71" s="10">
        <f t="shared" si="17"/>
        <v>10.1</v>
      </c>
      <c r="P71" s="7">
        <f>LOOKUP(O71,{0,7.8,8,8.2,8.4,8.6,8.8,9,9.2,9.4,9.6,9.8,10,10.2,10.4,10.6,10.8,10.9,11,11.1,11.2},{0,10,20,30,40,50,60,62,64,66,68,70,72,74,76,78,80,85,90,95,100})</f>
        <v>72</v>
      </c>
      <c r="Q71" s="5">
        <v>4.19</v>
      </c>
      <c r="R71" s="10">
        <f t="shared" si="18"/>
        <v>5.81</v>
      </c>
      <c r="S71" s="7">
        <f>LOOKUP(R71,{0,3.85,4.45,4.65,4.85,5.45,5.65,5.7,5.75,5.8,5.85,5.9,5.95,6,6.45,6.5,6.55,6.63,6.7,6.75,6.8},{0,10,20,30,40,50,60,62,64,66,68,70,72,74,76,78,80,85,90,95,100})</f>
        <v>66</v>
      </c>
      <c r="T71" s="5"/>
      <c r="U71" s="5"/>
      <c r="V71" s="5">
        <f t="shared" si="19"/>
        <v>66</v>
      </c>
      <c r="W71" s="5"/>
      <c r="X71" s="13">
        <f t="shared" si="20"/>
        <v>41.2</v>
      </c>
      <c r="Y71" s="13">
        <f t="shared" si="21"/>
        <v>58.8571428571429</v>
      </c>
    </row>
    <row r="72" ht="15.6" hidden="1" outlineLevel="2" spans="1:25">
      <c r="A72" s="5">
        <v>303</v>
      </c>
      <c r="B72" s="5">
        <v>9</v>
      </c>
      <c r="C72" s="5" t="s">
        <v>111</v>
      </c>
      <c r="D72" s="5" t="s">
        <v>12</v>
      </c>
      <c r="E72" s="5">
        <v>11.3</v>
      </c>
      <c r="F72" s="7">
        <f>LOOKUP(E72,{0,-1.8,-0.8,0.2,1.2,2.2,3.2,4.6,6,7.4,8.8,10.2,11.6,13,14.4,15.8,17.2,19.1,21,22.8,24.6},{0,10,20,30,40,50,60,62,64,66,68,70,72,74,76,78,80,85,90,95,100})</f>
        <v>70</v>
      </c>
      <c r="G72" s="5">
        <v>230</v>
      </c>
      <c r="H72" s="7">
        <f>LOOKUP(G72,{0,180,185,190,195,200,205,209,213,217,221,225,229,233,237,241,245,253,260,265,270},{0,10,20,30,40,50,60,62,64,66,68,70,72,74,76,78,80,85,90,95,100})</f>
        <v>72</v>
      </c>
      <c r="I72" s="5">
        <v>1</v>
      </c>
      <c r="J72" s="7">
        <f>LOOKUP(I72,{0,4,5,6,7,8,9,10,11,12,13,14,15,16,17,18},{0,10,20,30,40,50,60,64,68,72,76,80,85,90,95,100})</f>
        <v>0</v>
      </c>
      <c r="K72" s="5"/>
      <c r="L72" s="5"/>
      <c r="M72" s="5">
        <f t="shared" si="16"/>
        <v>0</v>
      </c>
      <c r="N72" s="5">
        <v>7.4</v>
      </c>
      <c r="O72" s="10">
        <f t="shared" si="17"/>
        <v>10.6</v>
      </c>
      <c r="P72" s="7">
        <f>LOOKUP(O72,{0,7.8,8,8.2,8.4,8.6,8.8,9,9.2,9.4,9.6,9.8,10,10.2,10.4,10.6,10.8,10.9,11,11.1,11.2},{0,10,20,30,40,50,60,62,64,66,68,70,72,74,76,78,80,85,90,95,100})</f>
        <v>78</v>
      </c>
      <c r="Q72" s="5">
        <v>4.22</v>
      </c>
      <c r="R72" s="10">
        <f t="shared" si="18"/>
        <v>5.78</v>
      </c>
      <c r="S72" s="7">
        <f>LOOKUP(R72,{0,3.85,4.45,4.65,4.85,5.45,5.65,5.7,5.75,5.8,5.85,5.9,5.95,6,6.45,6.5,6.55,6.63,6.7,6.75,6.8},{0,10,20,30,40,50,60,62,64,66,68,70,72,74,76,78,80,85,90,95,100})</f>
        <v>64</v>
      </c>
      <c r="T72" s="5"/>
      <c r="U72" s="5"/>
      <c r="V72" s="5">
        <f t="shared" si="19"/>
        <v>64</v>
      </c>
      <c r="W72" s="5"/>
      <c r="X72" s="13">
        <f t="shared" si="20"/>
        <v>42.6</v>
      </c>
      <c r="Y72" s="13">
        <f t="shared" si="21"/>
        <v>60.8571428571429</v>
      </c>
    </row>
    <row r="73" ht="15.6" hidden="1" outlineLevel="2" spans="1:25">
      <c r="A73" s="5">
        <v>303</v>
      </c>
      <c r="B73" s="5">
        <v>10</v>
      </c>
      <c r="C73" s="5" t="s">
        <v>112</v>
      </c>
      <c r="D73" s="5" t="s">
        <v>12</v>
      </c>
      <c r="E73" s="5"/>
      <c r="F73" s="7"/>
      <c r="G73" s="5"/>
      <c r="H73" s="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50</v>
      </c>
      <c r="X73" s="13"/>
      <c r="Y73" s="13">
        <v>50</v>
      </c>
    </row>
    <row r="74" ht="15.6" hidden="1" outlineLevel="2" spans="1:25">
      <c r="A74" s="5">
        <v>303</v>
      </c>
      <c r="B74" s="5">
        <v>11</v>
      </c>
      <c r="C74" s="5" t="s">
        <v>113</v>
      </c>
      <c r="D74" s="5" t="s">
        <v>12</v>
      </c>
      <c r="E74" s="5">
        <v>12.5</v>
      </c>
      <c r="F74" s="7">
        <f>LOOKUP(E74,{0,-1.8,-0.8,0.2,1.2,2.2,3.2,4.6,6,7.4,8.8,10.2,11.6,13,14.4,15.8,17.2,19.1,21,22.8,24.6},{0,10,20,30,40,50,60,62,64,66,68,70,72,74,76,78,80,85,90,95,100})</f>
        <v>72</v>
      </c>
      <c r="G74" s="5">
        <v>270</v>
      </c>
      <c r="H74" s="7">
        <f>LOOKUP(G74,{0,180,185,190,195,200,205,209,213,217,221,225,229,233,237,241,245,253,260,265,270},{0,10,20,30,40,50,60,62,64,66,68,70,72,74,76,78,80,85,90,95,100})</f>
        <v>100</v>
      </c>
      <c r="I74" s="5">
        <v>5</v>
      </c>
      <c r="J74" s="7">
        <f>LOOKUP(I74,{0,4,5,6,7,8,9,10,11,12,13,14,15,16,17,18},{0,10,20,30,40,50,60,64,68,72,76,80,85,90,95,100})</f>
        <v>20</v>
      </c>
      <c r="K74" s="5"/>
      <c r="L74" s="5"/>
      <c r="M74" s="5">
        <f t="shared" ref="M74:M79" si="22">J74+L74</f>
        <v>20</v>
      </c>
      <c r="N74" s="5">
        <v>7.2</v>
      </c>
      <c r="O74" s="10">
        <f t="shared" ref="O74:O79" si="23">18-N74</f>
        <v>10.8</v>
      </c>
      <c r="P74" s="7">
        <f>LOOKUP(O74,{0,7.8,8,8.2,8.4,8.6,8.8,9,9.2,9.4,9.6,9.8,10,10.2,10.4,10.6,10.8,10.9,11,11.1,11.2},{0,10,20,30,40,50,60,62,64,66,68,70,72,74,76,78,80,85,90,95,100})</f>
        <v>80</v>
      </c>
      <c r="Q74" s="5">
        <v>4.1</v>
      </c>
      <c r="R74" s="10">
        <f t="shared" ref="R74:R79" si="24">10-Q74</f>
        <v>5.9</v>
      </c>
      <c r="S74" s="7">
        <f>LOOKUP(R74,{0,3.85,4.45,4.65,4.85,5.45,5.65,5.7,5.75,5.8,5.85,5.9,5.95,6,6.45,6.5,6.55,6.63,6.7,6.75,6.8},{0,10,20,30,40,50,60,62,64,66,68,70,72,74,76,78,80,85,90,95,100})</f>
        <v>70</v>
      </c>
      <c r="T74" s="5"/>
      <c r="U74" s="5"/>
      <c r="V74" s="5">
        <f t="shared" ref="V74:V79" si="25">S74+U74</f>
        <v>70</v>
      </c>
      <c r="W74" s="5"/>
      <c r="X74" s="13">
        <f t="shared" ref="X74:X79" si="26">F74*0.1+H74*0.1+J74*0.1+P74*0.2+S74*0.2</f>
        <v>49.2</v>
      </c>
      <c r="Y74" s="13">
        <f t="shared" ref="Y74:Y79" si="27">X74/0.7+L74+U74</f>
        <v>70.2857142857143</v>
      </c>
    </row>
    <row r="75" ht="15.6" hidden="1" outlineLevel="2" spans="1:25">
      <c r="A75" s="5">
        <v>303</v>
      </c>
      <c r="B75" s="5">
        <v>12</v>
      </c>
      <c r="C75" s="6" t="s">
        <v>115</v>
      </c>
      <c r="D75" s="5" t="s">
        <v>12</v>
      </c>
      <c r="E75" s="5">
        <v>9.5</v>
      </c>
      <c r="F75" s="7">
        <f>LOOKUP(E75,{0,-1.8,-0.8,0.2,1.2,2.2,3.2,4.6,6,7.4,8.8,10.2,11.6,13,14.4,15.8,17.2,19.1,21,22.8,24.6},{0,10,20,30,40,50,60,62,64,66,68,70,72,74,76,78,80,85,90,95,100})</f>
        <v>68</v>
      </c>
      <c r="G75" s="5">
        <v>200</v>
      </c>
      <c r="H75" s="7">
        <f>LOOKUP(G75,{0,180,185,190,195,200,205,209,213,217,221,225,229,233,237,241,245,253,260,265,270},{0,10,20,30,40,50,60,62,64,66,68,70,72,74,76,78,80,85,90,95,100})</f>
        <v>50</v>
      </c>
      <c r="I75" s="5">
        <v>10</v>
      </c>
      <c r="J75" s="7">
        <f>LOOKUP(I75,{0,4,5,6,7,8,9,10,11,12,13,14,15,16,17,18},{0,10,20,30,40,50,60,64,68,72,76,80,85,90,95,100})</f>
        <v>64</v>
      </c>
      <c r="K75" s="5"/>
      <c r="L75" s="5"/>
      <c r="M75" s="5">
        <f t="shared" si="22"/>
        <v>64</v>
      </c>
      <c r="N75" s="5">
        <v>7.5</v>
      </c>
      <c r="O75" s="10">
        <f t="shared" si="23"/>
        <v>10.5</v>
      </c>
      <c r="P75" s="7">
        <f>LOOKUP(O75,{0,7.8,8,8.2,8.4,8.6,8.8,9,9.2,9.4,9.6,9.8,10,10.2,10.4,10.6,10.8,10.9,11,11.1,11.2},{0,10,20,30,40,50,60,62,64,66,68,70,72,74,76,78,80,85,90,95,100})</f>
        <v>76</v>
      </c>
      <c r="Q75" s="5">
        <v>4.13</v>
      </c>
      <c r="R75" s="10">
        <f t="shared" si="24"/>
        <v>5.87</v>
      </c>
      <c r="S75" s="7">
        <f>LOOKUP(R75,{0,3.85,4.45,4.65,4.85,5.45,5.65,5.7,5.75,5.8,5.85,5.9,5.95,6,6.45,6.5,6.55,6.63,6.7,6.75,6.8},{0,10,20,30,40,50,60,62,64,66,68,70,72,74,76,78,80,85,90,95,100})</f>
        <v>68</v>
      </c>
      <c r="T75" s="5"/>
      <c r="U75" s="5"/>
      <c r="V75" s="5">
        <f t="shared" si="25"/>
        <v>68</v>
      </c>
      <c r="W75" s="5"/>
      <c r="X75" s="13">
        <f t="shared" si="26"/>
        <v>47</v>
      </c>
      <c r="Y75" s="13">
        <f t="shared" si="27"/>
        <v>67.1428571428572</v>
      </c>
    </row>
    <row r="76" ht="15.6" hidden="1" outlineLevel="2" spans="1:25">
      <c r="A76" s="5">
        <v>303</v>
      </c>
      <c r="B76" s="5">
        <v>13</v>
      </c>
      <c r="C76" s="5" t="s">
        <v>116</v>
      </c>
      <c r="D76" s="5" t="s">
        <v>12</v>
      </c>
      <c r="E76" s="5">
        <v>7</v>
      </c>
      <c r="F76" s="7">
        <f>LOOKUP(E76,{0,-1.8,-0.8,0.2,1.2,2.2,3.2,4.6,6,7.4,8.8,10.2,11.6,13,14.4,15.8,17.2,19.1,21,22.8,24.6},{0,10,20,30,40,50,60,62,64,66,68,70,72,74,76,78,80,85,90,95,100})</f>
        <v>64</v>
      </c>
      <c r="G76" s="5">
        <v>190</v>
      </c>
      <c r="H76" s="7">
        <f>LOOKUP(G76,{0,180,185,190,195,200,205,209,213,217,221,225,229,233,237,241,245,253,260,265,270},{0,10,20,30,40,50,60,62,64,66,68,70,72,74,76,78,80,85,90,95,100})</f>
        <v>30</v>
      </c>
      <c r="I76" s="5">
        <v>18</v>
      </c>
      <c r="J76" s="7">
        <f>LOOKUP(I76,{0,4,5,6,7,8,9,10,11,12,13,14,15,16,17,18},{0,10,20,30,40,50,60,64,68,72,76,80,85,90,95,100})</f>
        <v>100</v>
      </c>
      <c r="K76" s="5"/>
      <c r="L76" s="5"/>
      <c r="M76" s="5">
        <f t="shared" si="22"/>
        <v>100</v>
      </c>
      <c r="N76" s="5">
        <v>7.3</v>
      </c>
      <c r="O76" s="10">
        <f t="shared" si="23"/>
        <v>10.7</v>
      </c>
      <c r="P76" s="7">
        <f>LOOKUP(O76,{0,7.8,8,8.2,8.4,8.6,8.8,9,9.2,9.4,9.6,9.8,10,10.2,10.4,10.6,10.8,10.9,11,11.1,11.2},{0,10,20,30,40,50,60,62,64,66,68,70,72,74,76,78,80,85,90,95,100})</f>
        <v>78</v>
      </c>
      <c r="Q76" s="5">
        <v>3.58</v>
      </c>
      <c r="R76" s="10">
        <f t="shared" si="24"/>
        <v>6.42</v>
      </c>
      <c r="S76" s="7">
        <f>LOOKUP(R76,{0,3.85,4.45,4.65,4.85,5.45,5.65,5.7,5.75,5.8,5.85,5.9,5.95,6,6.45,6.5,6.55,6.63,6.7,6.75,6.8},{0,10,20,30,40,50,60,62,64,66,68,70,72,74,76,78,80,85,90,95,100})</f>
        <v>74</v>
      </c>
      <c r="T76" s="5"/>
      <c r="U76" s="5"/>
      <c r="V76" s="5">
        <f t="shared" si="25"/>
        <v>74</v>
      </c>
      <c r="W76" s="5"/>
      <c r="X76" s="13">
        <f t="shared" si="26"/>
        <v>49.8</v>
      </c>
      <c r="Y76" s="13">
        <f t="shared" si="27"/>
        <v>71.1428571428571</v>
      </c>
    </row>
    <row r="77" ht="15.6" hidden="1" outlineLevel="2" spans="1:25">
      <c r="A77" s="5">
        <v>303</v>
      </c>
      <c r="B77" s="5">
        <v>14</v>
      </c>
      <c r="C77" s="5" t="s">
        <v>117</v>
      </c>
      <c r="D77" s="5" t="s">
        <v>12</v>
      </c>
      <c r="E77" s="5">
        <v>5</v>
      </c>
      <c r="F77" s="7">
        <f>LOOKUP(E77,{0,-1.8,-0.8,0.2,1.2,2.2,3.2,4.6,6,7.4,8.8,10.2,11.6,13,14.4,15.8,17.2,19.1,21,22.8,24.6},{0,10,20,30,40,50,60,62,64,66,68,70,72,74,76,78,80,85,90,95,100})</f>
        <v>62</v>
      </c>
      <c r="G77" s="5">
        <v>185</v>
      </c>
      <c r="H77" s="7">
        <f>LOOKUP(G77,{0,180,185,190,195,200,205,209,213,217,221,225,229,233,237,241,245,253,260,265,270},{0,10,20,30,40,50,60,62,64,66,68,70,72,74,76,78,80,85,90,95,100})</f>
        <v>20</v>
      </c>
      <c r="I77" s="5">
        <v>3</v>
      </c>
      <c r="J77" s="7">
        <f>LOOKUP(I77,{0,4,5,6,7,8,9,10,11,12,13,14,15,16,17,18},{0,10,20,30,40,50,60,64,68,72,76,80,85,90,95,100})</f>
        <v>0</v>
      </c>
      <c r="K77" s="5"/>
      <c r="L77" s="5"/>
      <c r="M77" s="5">
        <f t="shared" si="22"/>
        <v>0</v>
      </c>
      <c r="N77" s="5">
        <v>7.9</v>
      </c>
      <c r="O77" s="10">
        <f t="shared" si="23"/>
        <v>10.1</v>
      </c>
      <c r="P77" s="7">
        <f>LOOKUP(O77,{0,7.8,8,8.2,8.4,8.6,8.8,9,9.2,9.4,9.6,9.8,10,10.2,10.4,10.6,10.8,10.9,11,11.1,11.2},{0,10,20,30,40,50,60,62,64,66,68,70,72,74,76,78,80,85,90,95,100})</f>
        <v>72</v>
      </c>
      <c r="Q77" s="5">
        <v>4.17</v>
      </c>
      <c r="R77" s="10">
        <f t="shared" si="24"/>
        <v>5.83</v>
      </c>
      <c r="S77" s="7">
        <f>LOOKUP(R77,{0,3.85,4.45,4.65,4.85,5.45,5.65,5.7,5.75,5.8,5.85,5.9,5.95,6,6.45,6.5,6.55,6.63,6.7,6.75,6.8},{0,10,20,30,40,50,60,62,64,66,68,70,72,74,76,78,80,85,90,95,100})</f>
        <v>66</v>
      </c>
      <c r="T77" s="5"/>
      <c r="U77" s="5"/>
      <c r="V77" s="5">
        <f t="shared" si="25"/>
        <v>66</v>
      </c>
      <c r="W77" s="5"/>
      <c r="X77" s="13">
        <f t="shared" si="26"/>
        <v>35.8</v>
      </c>
      <c r="Y77" s="13">
        <f t="shared" si="27"/>
        <v>51.1428571428572</v>
      </c>
    </row>
    <row r="78" ht="15.6" hidden="1" outlineLevel="2" spans="1:25">
      <c r="A78" s="5">
        <v>303</v>
      </c>
      <c r="B78" s="5">
        <v>15</v>
      </c>
      <c r="C78" s="5" t="s">
        <v>118</v>
      </c>
      <c r="D78" s="5" t="s">
        <v>12</v>
      </c>
      <c r="E78" s="5">
        <v>11.5</v>
      </c>
      <c r="F78" s="7">
        <f>LOOKUP(E78,{0,-1.8,-0.8,0.2,1.2,2.2,3.2,4.6,6,7.4,8.8,10.2,11.6,13,14.4,15.8,17.2,19.1,21,22.8,24.6},{0,10,20,30,40,50,60,62,64,66,68,70,72,74,76,78,80,85,90,95,100})</f>
        <v>70</v>
      </c>
      <c r="G78" s="5">
        <v>235</v>
      </c>
      <c r="H78" s="7">
        <f>LOOKUP(G78,{0,180,185,190,195,200,205,209,213,217,221,225,229,233,237,241,245,253,260,265,270},{0,10,20,30,40,50,60,62,64,66,68,70,72,74,76,78,80,85,90,95,100})</f>
        <v>74</v>
      </c>
      <c r="I78" s="5">
        <v>1</v>
      </c>
      <c r="J78" s="7">
        <f>LOOKUP(I78,{0,4,5,6,7,8,9,10,11,12,13,14,15,16,17,18},{0,10,20,30,40,50,60,64,68,72,76,80,85,90,95,100})</f>
        <v>0</v>
      </c>
      <c r="K78" s="5"/>
      <c r="L78" s="5"/>
      <c r="M78" s="5">
        <f t="shared" si="22"/>
        <v>0</v>
      </c>
      <c r="N78" s="5">
        <v>7.9</v>
      </c>
      <c r="O78" s="10">
        <f t="shared" si="23"/>
        <v>10.1</v>
      </c>
      <c r="P78" s="7">
        <f>LOOKUP(O78,{0,7.8,8,8.2,8.4,8.6,8.8,9,9.2,9.4,9.6,9.8,10,10.2,10.4,10.6,10.8,10.9,11,11.1,11.2},{0,10,20,30,40,50,60,62,64,66,68,70,72,74,76,78,80,85,90,95,100})</f>
        <v>72</v>
      </c>
      <c r="Q78" s="5">
        <v>4.49</v>
      </c>
      <c r="R78" s="10">
        <f t="shared" si="24"/>
        <v>5.51</v>
      </c>
      <c r="S78" s="7">
        <f>LOOKUP(R78,{0,3.85,4.45,4.65,4.85,5.45,5.65,5.7,5.75,5.8,5.85,5.9,5.95,6,6.45,6.5,6.55,6.63,6.7,6.75,6.8},{0,10,20,30,40,50,60,62,64,66,68,70,72,74,76,78,80,85,90,95,100})</f>
        <v>50</v>
      </c>
      <c r="T78" s="5"/>
      <c r="U78" s="5"/>
      <c r="V78" s="5">
        <f t="shared" si="25"/>
        <v>50</v>
      </c>
      <c r="W78" s="5"/>
      <c r="X78" s="13">
        <f t="shared" si="26"/>
        <v>38.8</v>
      </c>
      <c r="Y78" s="13">
        <f t="shared" si="27"/>
        <v>55.4285714285714</v>
      </c>
    </row>
    <row r="79" ht="15.6" hidden="1" outlineLevel="2" spans="1:25">
      <c r="A79" s="5">
        <v>303</v>
      </c>
      <c r="B79" s="5">
        <v>16</v>
      </c>
      <c r="C79" s="5" t="s">
        <v>119</v>
      </c>
      <c r="D79" s="5" t="s">
        <v>12</v>
      </c>
      <c r="E79" s="5">
        <v>8.5</v>
      </c>
      <c r="F79" s="7">
        <f>LOOKUP(E79,{0,-1.8,-0.8,0.2,1.2,2.2,3.2,4.6,6,7.4,8.8,10.2,11.6,13,14.4,15.8,17.2,19.1,21,22.8,24.6},{0,10,20,30,40,50,60,62,64,66,68,70,72,74,76,78,80,85,90,95,100})</f>
        <v>66</v>
      </c>
      <c r="G79" s="5">
        <v>225</v>
      </c>
      <c r="H79" s="7">
        <f>LOOKUP(G79,{0,180,185,190,195,200,205,209,213,217,221,225,229,233,237,241,245,253,260,265,270},{0,10,20,30,40,50,60,62,64,66,68,70,72,74,76,78,80,85,90,95,100})</f>
        <v>70</v>
      </c>
      <c r="I79" s="5">
        <v>1</v>
      </c>
      <c r="J79" s="7">
        <f>LOOKUP(I79,{0,4,5,6,7,8,9,10,11,12,13,14,15,16,17,18},{0,10,20,30,40,50,60,64,68,72,76,80,85,90,95,100})</f>
        <v>0</v>
      </c>
      <c r="K79" s="5"/>
      <c r="L79" s="5"/>
      <c r="M79" s="5">
        <f t="shared" si="22"/>
        <v>0</v>
      </c>
      <c r="N79" s="5">
        <v>7.5</v>
      </c>
      <c r="O79" s="10">
        <f t="shared" si="23"/>
        <v>10.5</v>
      </c>
      <c r="P79" s="7">
        <f>LOOKUP(O79,{0,7.8,8,8.2,8.4,8.6,8.8,9,9.2,9.4,9.6,9.8,10,10.2,10.4,10.6,10.8,10.9,11,11.1,11.2},{0,10,20,30,40,50,60,62,64,66,68,70,72,74,76,78,80,85,90,95,100})</f>
        <v>76</v>
      </c>
      <c r="Q79" s="5">
        <v>4.06</v>
      </c>
      <c r="R79" s="10">
        <f t="shared" si="24"/>
        <v>5.94</v>
      </c>
      <c r="S79" s="7">
        <f>LOOKUP(R79,{0,3.85,4.45,4.65,4.85,5.45,5.65,5.7,5.75,5.8,5.85,5.9,5.95,6,6.45,6.5,6.55,6.63,6.7,6.75,6.8},{0,10,20,30,40,50,60,62,64,66,68,70,72,74,76,78,80,85,90,95,100})</f>
        <v>70</v>
      </c>
      <c r="T79" s="5"/>
      <c r="U79" s="5"/>
      <c r="V79" s="5">
        <f t="shared" si="25"/>
        <v>70</v>
      </c>
      <c r="W79" s="5"/>
      <c r="X79" s="13">
        <f t="shared" si="26"/>
        <v>42.8</v>
      </c>
      <c r="Y79" s="13">
        <f t="shared" si="27"/>
        <v>61.1428571428572</v>
      </c>
    </row>
    <row r="80" ht="15.6" hidden="1" outlineLevel="2" spans="1:25">
      <c r="A80" s="5">
        <v>303</v>
      </c>
      <c r="B80" s="5">
        <v>17</v>
      </c>
      <c r="C80" s="5" t="s">
        <v>120</v>
      </c>
      <c r="D80" s="5" t="s">
        <v>12</v>
      </c>
      <c r="E80" s="5"/>
      <c r="F80" s="7"/>
      <c r="G80" s="5"/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50</v>
      </c>
      <c r="X80" s="13"/>
      <c r="Y80" s="13">
        <v>50</v>
      </c>
    </row>
    <row r="81" ht="15.6" hidden="1" outlineLevel="2" spans="1:25">
      <c r="A81" s="5">
        <v>303</v>
      </c>
      <c r="B81" s="5">
        <v>18</v>
      </c>
      <c r="C81" s="5" t="s">
        <v>121</v>
      </c>
      <c r="D81" s="5" t="s">
        <v>12</v>
      </c>
      <c r="E81" s="5"/>
      <c r="F81" s="7"/>
      <c r="G81" s="5"/>
      <c r="H81" s="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50</v>
      </c>
      <c r="X81" s="13"/>
      <c r="Y81" s="13">
        <v>50</v>
      </c>
    </row>
    <row r="82" ht="15.6" hidden="1" outlineLevel="2" spans="1:25">
      <c r="A82" s="5">
        <v>303</v>
      </c>
      <c r="B82" s="5">
        <v>19</v>
      </c>
      <c r="C82" s="5" t="s">
        <v>122</v>
      </c>
      <c r="D82" s="5" t="s">
        <v>12</v>
      </c>
      <c r="E82" s="5"/>
      <c r="F82" s="7"/>
      <c r="G82" s="5"/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50</v>
      </c>
      <c r="X82" s="13"/>
      <c r="Y82" s="13">
        <v>50</v>
      </c>
    </row>
    <row r="83" ht="15.6" hidden="1" outlineLevel="2" spans="1:25">
      <c r="A83" s="5">
        <v>303</v>
      </c>
      <c r="B83" s="5">
        <v>20</v>
      </c>
      <c r="C83" s="5" t="s">
        <v>123</v>
      </c>
      <c r="D83" s="5" t="s">
        <v>12</v>
      </c>
      <c r="E83" s="5"/>
      <c r="F83" s="7"/>
      <c r="G83" s="5"/>
      <c r="H83" s="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50</v>
      </c>
      <c r="X83" s="13"/>
      <c r="Y83" s="13">
        <v>50</v>
      </c>
    </row>
    <row r="84" ht="15.6" hidden="1" outlineLevel="2" spans="1:25">
      <c r="A84" s="5">
        <v>303</v>
      </c>
      <c r="B84" s="5">
        <v>21</v>
      </c>
      <c r="C84" s="5" t="s">
        <v>124</v>
      </c>
      <c r="D84" s="5" t="s">
        <v>12</v>
      </c>
      <c r="E84" s="5">
        <v>2</v>
      </c>
      <c r="F84" s="7">
        <f>LOOKUP(E84,{0,-1.8,-0.8,0.2,1.2,2.2,3.2,4.6,6,7.4,8.8,10.2,11.6,13,14.4,15.8,17.2,19.1,21,22.8,24.6},{0,10,20,30,40,50,60,62,64,66,68,70,72,74,76,78,80,85,90,95,100})</f>
        <v>40</v>
      </c>
      <c r="G84" s="5">
        <v>224</v>
      </c>
      <c r="H84" s="7">
        <f>LOOKUP(G84,{0,180,185,190,195,200,205,209,213,217,221,225,229,233,237,241,245,253,260,265,270},{0,10,20,30,40,50,60,62,64,66,68,70,72,74,76,78,80,85,90,95,100})</f>
        <v>68</v>
      </c>
      <c r="I84" s="5">
        <v>5</v>
      </c>
      <c r="J84" s="7">
        <f>LOOKUP(I84,{0,4,5,6,7,8,9,10,11,12,13,14,15,16,17,18},{0,10,20,30,40,50,60,64,68,72,76,80,85,90,95,100})</f>
        <v>20</v>
      </c>
      <c r="K84" s="5"/>
      <c r="L84" s="5"/>
      <c r="M84" s="5">
        <f t="shared" ref="M84:M90" si="28">J84+L84</f>
        <v>20</v>
      </c>
      <c r="N84" s="5">
        <v>7.7</v>
      </c>
      <c r="O84" s="10">
        <f t="shared" ref="O84:O90" si="29">18-N84</f>
        <v>10.3</v>
      </c>
      <c r="P84" s="7">
        <f>LOOKUP(O84,{0,7.8,8,8.2,8.4,8.6,8.8,9,9.2,9.4,9.6,9.8,10,10.2,10.4,10.6,10.8,10.9,11,11.1,11.2},{0,10,20,30,40,50,60,62,64,66,68,70,72,74,76,78,80,85,90,95,100})</f>
        <v>74</v>
      </c>
      <c r="Q84" s="5">
        <v>3.59</v>
      </c>
      <c r="R84" s="10">
        <f t="shared" ref="R84:R90" si="30">10-Q84</f>
        <v>6.41</v>
      </c>
      <c r="S84" s="7">
        <f>LOOKUP(R84,{0,3.85,4.45,4.65,4.85,5.45,5.65,5.7,5.75,5.8,5.85,5.9,5.95,6,6.45,6.5,6.55,6.63,6.7,6.75,6.8},{0,10,20,30,40,50,60,62,64,66,68,70,72,74,76,78,80,85,90,95,100})</f>
        <v>74</v>
      </c>
      <c r="T84" s="5"/>
      <c r="U84" s="5"/>
      <c r="V84" s="5">
        <f t="shared" ref="V84:V90" si="31">S84+U84</f>
        <v>74</v>
      </c>
      <c r="W84" s="5"/>
      <c r="X84" s="13">
        <f t="shared" ref="X84:X90" si="32">F84*0.1+H84*0.1+J84*0.1+P84*0.2+S84*0.2</f>
        <v>42.4</v>
      </c>
      <c r="Y84" s="13">
        <f t="shared" ref="Y84:Y90" si="33">X84/0.7+L84+U84</f>
        <v>60.5714285714286</v>
      </c>
    </row>
    <row r="85" ht="15.6" hidden="1" outlineLevel="2" spans="1:25">
      <c r="A85" s="5">
        <v>303</v>
      </c>
      <c r="B85" s="5">
        <v>23</v>
      </c>
      <c r="C85" s="5" t="s">
        <v>125</v>
      </c>
      <c r="D85" s="5" t="s">
        <v>12</v>
      </c>
      <c r="E85" s="5">
        <v>16.5</v>
      </c>
      <c r="F85" s="7">
        <f>LOOKUP(E85,{0,-1.8,-0.8,0.2,1.2,2.2,3.2,4.6,6,7.4,8.8,10.2,11.6,13,14.4,15.8,17.2,19.1,21,22.8,24.6},{0,10,20,30,40,50,60,62,64,66,68,70,72,74,76,78,80,85,90,95,100})</f>
        <v>78</v>
      </c>
      <c r="G85" s="5">
        <v>265</v>
      </c>
      <c r="H85" s="7">
        <f>LOOKUP(G85,{0,180,185,190,195,200,205,209,213,217,221,225,229,233,237,241,245,253,260,265,270},{0,10,20,30,40,50,60,62,64,66,68,70,72,74,76,78,80,85,90,95,100})</f>
        <v>95</v>
      </c>
      <c r="I85" s="5">
        <v>18</v>
      </c>
      <c r="J85" s="7">
        <f>LOOKUP(I85,{0,4,5,6,7,8,9,10,11,12,13,14,15,16,17,18},{0,10,20,30,40,50,60,64,68,72,76,80,85,90,95,100})</f>
        <v>100</v>
      </c>
      <c r="K85" s="5"/>
      <c r="L85" s="5"/>
      <c r="M85" s="5">
        <f t="shared" si="28"/>
        <v>100</v>
      </c>
      <c r="N85" s="5">
        <v>7.1</v>
      </c>
      <c r="O85" s="10">
        <f t="shared" si="29"/>
        <v>10.9</v>
      </c>
      <c r="P85" s="7">
        <f>LOOKUP(O85,{0,7.8,8,8.2,8.4,8.6,8.8,9,9.2,9.4,9.6,9.8,10,10.2,10.4,10.6,10.8,10.9,11,11.1,11.2},{0,10,20,30,40,50,60,62,64,66,68,70,72,74,76,78,80,85,90,95,100})</f>
        <v>85</v>
      </c>
      <c r="Q85" s="5">
        <v>3.58</v>
      </c>
      <c r="R85" s="10">
        <f t="shared" si="30"/>
        <v>6.42</v>
      </c>
      <c r="S85" s="7">
        <f>LOOKUP(R85,{0,3.85,4.45,4.65,4.85,5.45,5.65,5.7,5.75,5.8,5.85,5.9,5.95,6,6.45,6.5,6.55,6.63,6.7,6.75,6.8},{0,10,20,30,40,50,60,62,64,66,68,70,72,74,76,78,80,85,90,95,100})</f>
        <v>74</v>
      </c>
      <c r="T85" s="5"/>
      <c r="U85" s="5"/>
      <c r="V85" s="5">
        <f t="shared" si="31"/>
        <v>74</v>
      </c>
      <c r="W85" s="5"/>
      <c r="X85" s="13">
        <f t="shared" si="32"/>
        <v>59.1</v>
      </c>
      <c r="Y85" s="13">
        <f t="shared" si="33"/>
        <v>84.4285714285714</v>
      </c>
    </row>
    <row r="86" ht="15.6" hidden="1" outlineLevel="2" spans="1:25">
      <c r="A86" s="5">
        <v>303</v>
      </c>
      <c r="B86" s="5">
        <v>24</v>
      </c>
      <c r="C86" s="6" t="s">
        <v>127</v>
      </c>
      <c r="D86" s="5" t="s">
        <v>12</v>
      </c>
      <c r="E86" s="5">
        <v>8</v>
      </c>
      <c r="F86" s="7">
        <f>LOOKUP(E86,{0,-1.8,-0.8,0.2,1.2,2.2,3.2,4.6,6,7.4,8.8,10.2,11.6,13,14.4,15.8,17.2,19.1,21,22.8,24.6},{0,10,20,30,40,50,60,62,64,66,68,70,72,74,76,78,80,85,90,95,100})</f>
        <v>66</v>
      </c>
      <c r="G86" s="5">
        <v>230</v>
      </c>
      <c r="H86" s="7">
        <f>LOOKUP(G86,{0,180,185,190,195,200,205,209,213,217,221,225,229,233,237,241,245,253,260,265,270},{0,10,20,30,40,50,60,62,64,66,68,70,72,74,76,78,80,85,90,95,100})</f>
        <v>72</v>
      </c>
      <c r="I86" s="5">
        <v>3</v>
      </c>
      <c r="J86" s="7">
        <f>LOOKUP(I86,{0,4,5,6,7,8,9,10,11,12,13,14,15,16,17,18},{0,10,20,30,40,50,60,64,68,72,76,80,85,90,95,100})</f>
        <v>0</v>
      </c>
      <c r="K86" s="5"/>
      <c r="L86" s="5"/>
      <c r="M86" s="5">
        <f t="shared" si="28"/>
        <v>0</v>
      </c>
      <c r="N86" s="5">
        <v>7.6</v>
      </c>
      <c r="O86" s="10">
        <f t="shared" si="29"/>
        <v>10.4</v>
      </c>
      <c r="P86" s="7">
        <f>LOOKUP(O86,{0,7.8,8,8.2,8.4,8.6,8.8,9,9.2,9.4,9.6,9.8,10,10.2,10.4,10.6,10.8,10.9,11,11.1,11.2},{0,10,20,30,40,50,60,62,64,66,68,70,72,74,76,78,80,85,90,95,100})</f>
        <v>76</v>
      </c>
      <c r="Q86" s="5">
        <v>4.27</v>
      </c>
      <c r="R86" s="10">
        <f t="shared" si="30"/>
        <v>5.73</v>
      </c>
      <c r="S86" s="7">
        <f>LOOKUP(R86,{0,3.85,4.45,4.65,4.85,5.45,5.65,5.7,5.75,5.8,5.85,5.9,5.95,6,6.45,6.5,6.55,6.63,6.7,6.75,6.8},{0,10,20,30,40,50,60,62,64,66,68,70,72,74,76,78,80,85,90,95,100})</f>
        <v>62</v>
      </c>
      <c r="T86" s="5"/>
      <c r="U86" s="5"/>
      <c r="V86" s="5">
        <f t="shared" si="31"/>
        <v>62</v>
      </c>
      <c r="W86" s="5"/>
      <c r="X86" s="13">
        <f t="shared" si="32"/>
        <v>41.4</v>
      </c>
      <c r="Y86" s="13">
        <f t="shared" si="33"/>
        <v>59.1428571428571</v>
      </c>
    </row>
    <row r="87" ht="15.6" hidden="1" outlineLevel="2" spans="1:25">
      <c r="A87" s="5">
        <v>303</v>
      </c>
      <c r="B87" s="5">
        <v>25</v>
      </c>
      <c r="C87" s="5" t="s">
        <v>128</v>
      </c>
      <c r="D87" s="5" t="s">
        <v>12</v>
      </c>
      <c r="E87" s="5">
        <v>5</v>
      </c>
      <c r="F87" s="7">
        <f>LOOKUP(E87,{0,-1.8,-0.8,0.2,1.2,2.2,3.2,4.6,6,7.4,8.8,10.2,11.6,13,14.4,15.8,17.2,19.1,21,22.8,24.6},{0,10,20,30,40,50,60,62,64,66,68,70,72,74,76,78,80,85,90,95,100})</f>
        <v>62</v>
      </c>
      <c r="G87" s="5">
        <v>220</v>
      </c>
      <c r="H87" s="7">
        <f>LOOKUP(G87,{0,180,185,190,195,200,205,209,213,217,221,225,229,233,237,241,245,253,260,265,270},{0,10,20,30,40,50,60,62,64,66,68,70,72,74,76,78,80,85,90,95,100})</f>
        <v>66</v>
      </c>
      <c r="I87" s="5">
        <v>3</v>
      </c>
      <c r="J87" s="7">
        <f>LOOKUP(I87,{0,4,5,6,7,8,9,10,11,12,13,14,15,16,17,18},{0,10,20,30,40,50,60,64,68,72,76,80,85,90,95,100})</f>
        <v>0</v>
      </c>
      <c r="K87" s="5"/>
      <c r="L87" s="5"/>
      <c r="M87" s="5">
        <f t="shared" si="28"/>
        <v>0</v>
      </c>
      <c r="N87" s="5">
        <v>8</v>
      </c>
      <c r="O87" s="10">
        <f t="shared" si="29"/>
        <v>10</v>
      </c>
      <c r="P87" s="7">
        <f>LOOKUP(O87,{0,7.8,8,8.2,8.4,8.6,8.8,9,9.2,9.4,9.6,9.8,10,10.2,10.4,10.6,10.8,10.9,11,11.1,11.2},{0,10,20,30,40,50,60,62,64,66,68,70,72,74,76,78,80,85,90,95,100})</f>
        <v>72</v>
      </c>
      <c r="Q87" s="5">
        <v>3.57</v>
      </c>
      <c r="R87" s="10">
        <f t="shared" si="30"/>
        <v>6.43</v>
      </c>
      <c r="S87" s="7">
        <f>LOOKUP(R87,{0,3.85,4.45,4.65,4.85,5.45,5.65,5.7,5.75,5.8,5.85,5.9,5.95,6,6.45,6.5,6.55,6.63,6.7,6.75,6.8},{0,10,20,30,40,50,60,62,64,66,68,70,72,74,76,78,80,85,90,95,100})</f>
        <v>74</v>
      </c>
      <c r="T87" s="5"/>
      <c r="U87" s="5"/>
      <c r="V87" s="5">
        <f t="shared" si="31"/>
        <v>74</v>
      </c>
      <c r="W87" s="5"/>
      <c r="X87" s="13">
        <f t="shared" si="32"/>
        <v>42</v>
      </c>
      <c r="Y87" s="13">
        <f t="shared" si="33"/>
        <v>60</v>
      </c>
    </row>
    <row r="88" ht="15.6" hidden="1" outlineLevel="2" spans="1:25">
      <c r="A88" s="5">
        <v>303</v>
      </c>
      <c r="B88" s="5">
        <v>27</v>
      </c>
      <c r="C88" s="5" t="s">
        <v>129</v>
      </c>
      <c r="D88" s="5" t="s">
        <v>12</v>
      </c>
      <c r="E88" s="5">
        <v>10</v>
      </c>
      <c r="F88" s="7">
        <f>LOOKUP(E88,{0,-1.8,-0.8,0.2,1.2,2.2,3.2,4.6,6,7.4,8.8,10.2,11.6,13,14.4,15.8,17.2,19.1,21,22.8,24.6},{0,10,20,30,40,50,60,62,64,66,68,70,72,74,76,78,80,85,90,95,100})</f>
        <v>68</v>
      </c>
      <c r="G88" s="5">
        <v>215</v>
      </c>
      <c r="H88" s="7">
        <f>LOOKUP(G88,{0,180,185,190,195,200,205,209,213,217,221,225,229,233,237,241,245,253,260,265,270},{0,10,20,30,40,50,60,62,64,66,68,70,72,74,76,78,80,85,90,95,100})</f>
        <v>64</v>
      </c>
      <c r="I88" s="5">
        <v>9</v>
      </c>
      <c r="J88" s="7">
        <f>LOOKUP(I88,{0,4,5,6,7,8,9,10,11,12,13,14,15,16,17,18},{0,10,20,30,40,50,60,64,68,72,76,80,85,90,95,100})</f>
        <v>60</v>
      </c>
      <c r="K88" s="5"/>
      <c r="L88" s="5"/>
      <c r="M88" s="5">
        <f t="shared" si="28"/>
        <v>60</v>
      </c>
      <c r="N88" s="5">
        <v>7.9</v>
      </c>
      <c r="O88" s="10">
        <f t="shared" si="29"/>
        <v>10.1</v>
      </c>
      <c r="P88" s="7">
        <f>LOOKUP(O88,{0,7.8,8,8.2,8.4,8.6,8.8,9,9.2,9.4,9.6,9.8,10,10.2,10.4,10.6,10.8,10.9,11,11.1,11.2},{0,10,20,30,40,50,60,62,64,66,68,70,72,74,76,78,80,85,90,95,100})</f>
        <v>72</v>
      </c>
      <c r="Q88" s="5">
        <v>4.45</v>
      </c>
      <c r="R88" s="10">
        <f t="shared" si="30"/>
        <v>5.55</v>
      </c>
      <c r="S88" s="7">
        <f>LOOKUP(R88,{0,3.85,4.45,4.65,4.85,5.45,5.65,5.7,5.75,5.8,5.85,5.9,5.95,6,6.45,6.5,6.55,6.63,6.7,6.75,6.8},{0,10,20,30,40,50,60,62,64,66,68,70,72,74,76,78,80,85,90,95,100})</f>
        <v>50</v>
      </c>
      <c r="T88" s="5"/>
      <c r="U88" s="5"/>
      <c r="V88" s="5">
        <f t="shared" si="31"/>
        <v>50</v>
      </c>
      <c r="W88" s="5"/>
      <c r="X88" s="13">
        <f t="shared" si="32"/>
        <v>43.6</v>
      </c>
      <c r="Y88" s="13">
        <f t="shared" si="33"/>
        <v>62.2857142857143</v>
      </c>
    </row>
    <row r="89" ht="15.6" hidden="1" outlineLevel="2" spans="1:25">
      <c r="A89" s="5">
        <v>303</v>
      </c>
      <c r="B89" s="5">
        <v>28</v>
      </c>
      <c r="C89" s="5" t="s">
        <v>130</v>
      </c>
      <c r="D89" s="5" t="s">
        <v>12</v>
      </c>
      <c r="E89" s="5">
        <v>6.5</v>
      </c>
      <c r="F89" s="7">
        <f>LOOKUP(E89,{0,-1.8,-0.8,0.2,1.2,2.2,3.2,4.6,6,7.4,8.8,10.2,11.6,13,14.4,15.8,17.2,19.1,21,22.8,24.6},{0,10,20,30,40,50,60,62,64,66,68,70,72,74,76,78,80,85,90,95,100})</f>
        <v>64</v>
      </c>
      <c r="G89" s="5">
        <v>220</v>
      </c>
      <c r="H89" s="7">
        <f>LOOKUP(G89,{0,180,185,190,195,200,205,209,213,217,221,225,229,233,237,241,245,253,260,265,270},{0,10,20,30,40,50,60,62,64,66,68,70,72,74,76,78,80,85,90,95,100})</f>
        <v>66</v>
      </c>
      <c r="I89" s="5">
        <v>2</v>
      </c>
      <c r="J89" s="7">
        <f>LOOKUP(I89,{0,4,5,6,7,8,9,10,11,12,13,14,15,16,17,18},{0,10,20,30,40,50,60,64,68,72,76,80,85,90,95,100})</f>
        <v>0</v>
      </c>
      <c r="K89" s="5"/>
      <c r="L89" s="5"/>
      <c r="M89" s="5">
        <f t="shared" si="28"/>
        <v>0</v>
      </c>
      <c r="N89" s="5">
        <v>7.6</v>
      </c>
      <c r="O89" s="10">
        <f t="shared" si="29"/>
        <v>10.4</v>
      </c>
      <c r="P89" s="7">
        <f>LOOKUP(O89,{0,7.8,8,8.2,8.4,8.6,8.8,9,9.2,9.4,9.6,9.8,10,10.2,10.4,10.6,10.8,10.9,11,11.1,11.2},{0,10,20,30,40,50,60,62,64,66,68,70,72,74,76,78,80,85,90,95,100})</f>
        <v>76</v>
      </c>
      <c r="Q89" s="5">
        <v>4.14</v>
      </c>
      <c r="R89" s="10">
        <f t="shared" si="30"/>
        <v>5.86</v>
      </c>
      <c r="S89" s="7">
        <f>LOOKUP(R89,{0,3.85,4.45,4.65,4.85,5.45,5.65,5.7,5.75,5.8,5.85,5.9,5.95,6,6.45,6.5,6.55,6.63,6.7,6.75,6.8},{0,10,20,30,40,50,60,62,64,66,68,70,72,74,76,78,80,85,90,95,100})</f>
        <v>68</v>
      </c>
      <c r="T89" s="5"/>
      <c r="U89" s="5"/>
      <c r="V89" s="5">
        <f t="shared" si="31"/>
        <v>68</v>
      </c>
      <c r="W89" s="5"/>
      <c r="X89" s="13">
        <f t="shared" si="32"/>
        <v>41.8</v>
      </c>
      <c r="Y89" s="13">
        <f t="shared" si="33"/>
        <v>59.7142857142857</v>
      </c>
    </row>
    <row r="90" ht="15.6" hidden="1" outlineLevel="2" spans="1:25">
      <c r="A90" s="5">
        <v>303</v>
      </c>
      <c r="B90" s="5">
        <v>29</v>
      </c>
      <c r="C90" s="5" t="s">
        <v>131</v>
      </c>
      <c r="D90" s="5" t="s">
        <v>12</v>
      </c>
      <c r="E90" s="5">
        <v>14</v>
      </c>
      <c r="F90" s="7">
        <f>LOOKUP(E90,{0,-1.8,-0.8,0.2,1.2,2.2,3.2,4.6,6,7.4,8.8,10.2,11.6,13,14.4,15.8,17.2,19.1,21,22.8,24.6},{0,10,20,30,40,50,60,62,64,66,68,70,72,74,76,78,80,85,90,95,100})</f>
        <v>74</v>
      </c>
      <c r="G90" s="5">
        <v>242</v>
      </c>
      <c r="H90" s="7">
        <f>LOOKUP(G90,{0,180,185,190,195,200,205,209,213,217,221,225,229,233,237,241,245,253,260,265,270},{0,10,20,30,40,50,60,62,64,66,68,70,72,74,76,78,80,85,90,95,100})</f>
        <v>78</v>
      </c>
      <c r="I90" s="5">
        <v>0</v>
      </c>
      <c r="J90" s="7">
        <f>LOOKUP(I90,{0,4,5,6,7,8,9,10,11,12,13,14,15,16,17,18},{0,10,20,30,40,50,60,64,68,72,76,80,85,90,95,100})</f>
        <v>0</v>
      </c>
      <c r="K90" s="5"/>
      <c r="L90" s="5"/>
      <c r="M90" s="5">
        <f t="shared" si="28"/>
        <v>0</v>
      </c>
      <c r="N90" s="5">
        <v>7.3</v>
      </c>
      <c r="O90" s="10">
        <f t="shared" si="29"/>
        <v>10.7</v>
      </c>
      <c r="P90" s="7">
        <f>LOOKUP(O90,{0,7.8,8,8.2,8.4,8.6,8.8,9,9.2,9.4,9.6,9.8,10,10.2,10.4,10.6,10.8,10.9,11,11.1,11.2},{0,10,20,30,40,50,60,62,64,66,68,70,72,74,76,78,80,85,90,95,100})</f>
        <v>78</v>
      </c>
      <c r="Q90" s="5">
        <v>4.28</v>
      </c>
      <c r="R90" s="10">
        <f t="shared" si="30"/>
        <v>5.72</v>
      </c>
      <c r="S90" s="7">
        <f>LOOKUP(R90,{0,3.85,4.45,4.65,4.85,5.45,5.65,5.7,5.75,5.8,5.85,5.9,5.95,6,6.45,6.5,6.55,6.63,6.7,6.75,6.8},{0,10,20,30,40,50,60,62,64,66,68,70,72,74,76,78,80,85,90,95,100})</f>
        <v>62</v>
      </c>
      <c r="T90" s="5"/>
      <c r="U90" s="5"/>
      <c r="V90" s="5">
        <f t="shared" si="31"/>
        <v>62</v>
      </c>
      <c r="W90" s="5"/>
      <c r="X90" s="13">
        <f t="shared" si="32"/>
        <v>43.2</v>
      </c>
      <c r="Y90" s="13">
        <f t="shared" si="33"/>
        <v>61.7142857142857</v>
      </c>
    </row>
    <row r="91" ht="15.6" hidden="1" outlineLevel="2" spans="1:25">
      <c r="A91" s="5">
        <v>303</v>
      </c>
      <c r="B91" s="5">
        <v>30</v>
      </c>
      <c r="C91" s="5" t="s">
        <v>132</v>
      </c>
      <c r="D91" s="5" t="s">
        <v>12</v>
      </c>
      <c r="E91" s="5"/>
      <c r="F91" s="7"/>
      <c r="G91" s="5"/>
      <c r="H91" s="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50</v>
      </c>
      <c r="X91" s="13"/>
      <c r="Y91" s="13">
        <v>50</v>
      </c>
    </row>
    <row r="92" ht="15.6" hidden="1" outlineLevel="2" spans="1:25">
      <c r="A92" s="5">
        <v>303</v>
      </c>
      <c r="B92" s="5">
        <v>31</v>
      </c>
      <c r="C92" s="5" t="s">
        <v>133</v>
      </c>
      <c r="D92" s="5" t="s">
        <v>12</v>
      </c>
      <c r="E92" s="5">
        <v>9.5</v>
      </c>
      <c r="F92" s="7">
        <f>LOOKUP(E92,{0,-1.8,-0.8,0.2,1.2,2.2,3.2,4.6,6,7.4,8.8,10.2,11.6,13,14.4,15.8,17.2,19.1,21,22.8,24.6},{0,10,20,30,40,50,60,62,64,66,68,70,72,74,76,78,80,85,90,95,100})</f>
        <v>68</v>
      </c>
      <c r="G92" s="5">
        <v>200</v>
      </c>
      <c r="H92" s="7">
        <f>LOOKUP(G92,{0,180,185,190,195,200,205,209,213,217,221,225,229,233,237,241,245,253,260,265,270},{0,10,20,30,40,50,60,62,64,66,68,70,72,74,76,78,80,85,90,95,100})</f>
        <v>50</v>
      </c>
      <c r="I92" s="5">
        <v>0</v>
      </c>
      <c r="J92" s="7">
        <f>LOOKUP(I92,{0,4,5,6,7,8,9,10,11,12,13,14,15,16,17,18},{0,10,20,30,40,50,60,64,68,72,76,80,85,90,95,100})</f>
        <v>0</v>
      </c>
      <c r="K92" s="5"/>
      <c r="L92" s="5"/>
      <c r="M92" s="5">
        <f t="shared" ref="M92:M95" si="34">J92+L92</f>
        <v>0</v>
      </c>
      <c r="N92" s="5">
        <v>7.3</v>
      </c>
      <c r="O92" s="10">
        <f t="shared" ref="O92:O95" si="35">18-N92</f>
        <v>10.7</v>
      </c>
      <c r="P92" s="7">
        <f>LOOKUP(O92,{0,7.8,8,8.2,8.4,8.6,8.8,9,9.2,9.4,9.6,9.8,10,10.2,10.4,10.6,10.8,10.9,11,11.1,11.2},{0,10,20,30,40,50,60,62,64,66,68,70,72,74,76,78,80,85,90,95,100})</f>
        <v>78</v>
      </c>
      <c r="Q92" s="5">
        <v>4.01</v>
      </c>
      <c r="R92" s="10">
        <f t="shared" ref="R92:R95" si="36">10-Q92</f>
        <v>5.99</v>
      </c>
      <c r="S92" s="7">
        <f>LOOKUP(R92,{0,3.85,4.45,4.65,4.85,5.45,5.65,5.7,5.75,5.8,5.85,5.9,5.95,6,6.45,6.5,6.55,6.63,6.7,6.75,6.8},{0,10,20,30,40,50,60,62,64,66,68,70,72,74,76,78,80,85,90,95,100})</f>
        <v>72</v>
      </c>
      <c r="T92" s="5"/>
      <c r="U92" s="5"/>
      <c r="V92" s="5">
        <f t="shared" ref="V92:V95" si="37">S92+U92</f>
        <v>72</v>
      </c>
      <c r="W92" s="5"/>
      <c r="X92" s="13">
        <f t="shared" ref="X92:X95" si="38">F92*0.1+H92*0.1+J92*0.1+P92*0.2+S92*0.2</f>
        <v>41.8</v>
      </c>
      <c r="Y92" s="13">
        <f t="shared" ref="Y92:Y95" si="39">X92/0.7+L92+U92</f>
        <v>59.7142857142857</v>
      </c>
    </row>
    <row r="93" ht="15.6" hidden="1" outlineLevel="2" spans="1:25">
      <c r="A93" s="5">
        <v>303</v>
      </c>
      <c r="B93" s="5">
        <v>32</v>
      </c>
      <c r="C93" s="5" t="s">
        <v>134</v>
      </c>
      <c r="D93" s="5" t="s">
        <v>12</v>
      </c>
      <c r="E93" s="5">
        <v>17</v>
      </c>
      <c r="F93" s="7">
        <f>LOOKUP(E93,{0,-1.8,-0.8,0.2,1.2,2.2,3.2,4.6,6,7.4,8.8,10.2,11.6,13,14.4,15.8,17.2,19.1,21,22.8,24.6},{0,10,20,30,40,50,60,62,64,66,68,70,72,74,76,78,80,85,90,95,100})</f>
        <v>78</v>
      </c>
      <c r="G93" s="5">
        <v>205</v>
      </c>
      <c r="H93" s="7">
        <f>LOOKUP(G93,{0,180,185,190,195,200,205,209,213,217,221,225,229,233,237,241,245,253,260,265,270},{0,10,20,30,40,50,60,62,64,66,68,70,72,74,76,78,80,85,90,95,100})</f>
        <v>60</v>
      </c>
      <c r="I93" s="5">
        <v>7</v>
      </c>
      <c r="J93" s="7">
        <f>LOOKUP(I93,{0,4,5,6,7,8,9,10,11,12,13,14,15,16,17,18},{0,10,20,30,40,50,60,64,68,72,76,80,85,90,95,100})</f>
        <v>40</v>
      </c>
      <c r="K93" s="5"/>
      <c r="L93" s="5"/>
      <c r="M93" s="5">
        <f t="shared" si="34"/>
        <v>40</v>
      </c>
      <c r="N93" s="5">
        <v>7.8</v>
      </c>
      <c r="O93" s="10">
        <f t="shared" si="35"/>
        <v>10.2</v>
      </c>
      <c r="P93" s="7">
        <f>LOOKUP(O93,{0,7.8,8,8.2,8.4,8.6,8.8,9,9.2,9.4,9.6,9.8,10,10.2,10.4,10.6,10.8,10.9,11,11.1,11.2},{0,10,20,30,40,50,60,62,64,66,68,70,72,74,76,78,80,85,90,95,100})</f>
        <v>74</v>
      </c>
      <c r="Q93" s="5">
        <v>3.59</v>
      </c>
      <c r="R93" s="10">
        <f t="shared" si="36"/>
        <v>6.41</v>
      </c>
      <c r="S93" s="7">
        <f>LOOKUP(R93,{0,3.85,4.45,4.65,4.85,5.45,5.65,5.7,5.75,5.8,5.85,5.9,5.95,6,6.45,6.5,6.55,6.63,6.7,6.75,6.8},{0,10,20,30,40,50,60,62,64,66,68,70,72,74,76,78,80,85,90,95,100})</f>
        <v>74</v>
      </c>
      <c r="T93" s="5"/>
      <c r="U93" s="5"/>
      <c r="V93" s="5">
        <f t="shared" si="37"/>
        <v>74</v>
      </c>
      <c r="W93" s="5"/>
      <c r="X93" s="13">
        <f t="shared" si="38"/>
        <v>47.4</v>
      </c>
      <c r="Y93" s="13">
        <f t="shared" si="39"/>
        <v>67.7142857142857</v>
      </c>
    </row>
    <row r="94" ht="15.6" hidden="1" outlineLevel="2" spans="1:25">
      <c r="A94" s="5">
        <v>303</v>
      </c>
      <c r="B94" s="5">
        <v>33</v>
      </c>
      <c r="C94" s="5" t="s">
        <v>135</v>
      </c>
      <c r="D94" s="5" t="s">
        <v>12</v>
      </c>
      <c r="E94" s="5">
        <v>24</v>
      </c>
      <c r="F94" s="7">
        <f>LOOKUP(E94,{0,-1.8,-0.8,0.2,1.2,2.2,3.2,4.6,6,7.4,8.8,10.2,11.6,13,14.4,15.8,17.2,19.1,21,22.8,24.6},{0,10,20,30,40,50,60,62,64,66,68,70,72,74,76,78,80,85,90,95,100})</f>
        <v>95</v>
      </c>
      <c r="G94" s="5">
        <v>260</v>
      </c>
      <c r="H94" s="7">
        <f>LOOKUP(G94,{0,180,185,190,195,200,205,209,213,217,221,225,229,233,237,241,245,253,260,265,270},{0,10,20,30,40,50,60,62,64,66,68,70,72,74,76,78,80,85,90,95,100})</f>
        <v>90</v>
      </c>
      <c r="I94" s="5">
        <v>12</v>
      </c>
      <c r="J94" s="7">
        <f>LOOKUP(I94,{0,4,5,6,7,8,9,10,11,12,13,14,15,16,17,18},{0,10,20,30,40,50,60,64,68,72,76,80,85,90,95,100})</f>
        <v>72</v>
      </c>
      <c r="K94" s="5"/>
      <c r="L94" s="5"/>
      <c r="M94" s="5">
        <f t="shared" si="34"/>
        <v>72</v>
      </c>
      <c r="N94" s="5">
        <v>7</v>
      </c>
      <c r="O94" s="10">
        <f t="shared" si="35"/>
        <v>11</v>
      </c>
      <c r="P94" s="7">
        <f>LOOKUP(O94,{0,7.8,8,8.2,8.4,8.6,8.8,9,9.2,9.4,9.6,9.8,10,10.2,10.4,10.6,10.8,10.9,11,11.1,11.2},{0,10,20,30,40,50,60,62,64,66,68,70,72,74,76,78,80,85,90,95,100})</f>
        <v>90</v>
      </c>
      <c r="Q94" s="5">
        <v>3.4</v>
      </c>
      <c r="R94" s="10">
        <f t="shared" si="36"/>
        <v>6.6</v>
      </c>
      <c r="S94" s="7">
        <f>LOOKUP(R94,{0,3.85,4.45,4.65,4.85,5.45,5.65,5.7,5.75,5.8,5.85,5.9,5.95,6,6.45,6.5,6.55,6.63,6.7,6.75,6.8},{0,10,20,30,40,50,60,62,64,66,68,70,72,74,76,78,80,85,90,95,100})</f>
        <v>80</v>
      </c>
      <c r="T94" s="5"/>
      <c r="U94" s="5"/>
      <c r="V94" s="5">
        <f t="shared" si="37"/>
        <v>80</v>
      </c>
      <c r="W94" s="5"/>
      <c r="X94" s="13">
        <f t="shared" si="38"/>
        <v>59.7</v>
      </c>
      <c r="Y94" s="13">
        <f t="shared" si="39"/>
        <v>85.2857142857143</v>
      </c>
    </row>
    <row r="95" ht="15.6" hidden="1" outlineLevel="2" spans="1:25">
      <c r="A95" s="5">
        <v>303</v>
      </c>
      <c r="B95" s="5">
        <v>34</v>
      </c>
      <c r="C95" s="5" t="s">
        <v>136</v>
      </c>
      <c r="D95" s="5" t="s">
        <v>12</v>
      </c>
      <c r="E95" s="5">
        <v>4.5</v>
      </c>
      <c r="F95" s="7">
        <f>LOOKUP(E95,{0,-1.8,-0.8,0.2,1.2,2.2,3.2,4.6,6,7.4,8.8,10.2,11.6,13,14.4,15.8,17.2,19.1,21,22.8,24.6},{0,10,20,30,40,50,60,62,64,66,68,70,72,74,76,78,80,85,90,95,100})</f>
        <v>60</v>
      </c>
      <c r="G95" s="5">
        <v>220</v>
      </c>
      <c r="H95" s="7">
        <f>LOOKUP(G95,{0,180,185,190,195,200,205,209,213,217,221,225,229,233,237,241,245,253,260,265,270},{0,10,20,30,40,50,60,62,64,66,68,70,72,74,76,78,80,85,90,95,100})</f>
        <v>66</v>
      </c>
      <c r="I95" s="5">
        <v>0</v>
      </c>
      <c r="J95" s="7">
        <f>LOOKUP(I95,{0,4,5,6,7,8,9,10,11,12,13,14,15,16,17,18},{0,10,20,30,40,50,60,64,68,72,76,80,85,90,95,100})</f>
        <v>0</v>
      </c>
      <c r="K95" s="5"/>
      <c r="L95" s="5"/>
      <c r="M95" s="5">
        <f t="shared" si="34"/>
        <v>0</v>
      </c>
      <c r="N95" s="5">
        <v>8.4</v>
      </c>
      <c r="O95" s="10">
        <f t="shared" si="35"/>
        <v>9.6</v>
      </c>
      <c r="P95" s="7">
        <f>LOOKUP(O95,{0,7.8,8,8.2,8.4,8.6,8.8,9,9.2,9.4,9.6,9.8,10,10.2,10.4,10.6,10.8,10.9,11,11.1,11.2},{0,10,20,30,40,50,60,62,64,66,68,70,72,74,76,78,80,85,90,95,100})</f>
        <v>68</v>
      </c>
      <c r="Q95" s="5">
        <v>5</v>
      </c>
      <c r="R95" s="10">
        <f t="shared" si="36"/>
        <v>5</v>
      </c>
      <c r="S95" s="7">
        <f>LOOKUP(R95,{0,3.85,4.45,4.65,4.85,5.45,5.65,5.7,5.75,5.8,5.85,5.9,5.95,6,6.45,6.5,6.55,6.63,6.7,6.75,6.8},{0,10,20,30,40,50,60,62,64,66,68,70,72,74,76,78,80,85,90,95,100})</f>
        <v>40</v>
      </c>
      <c r="T95" s="5"/>
      <c r="U95" s="5"/>
      <c r="V95" s="5">
        <f t="shared" si="37"/>
        <v>40</v>
      </c>
      <c r="W95" s="5"/>
      <c r="X95" s="13">
        <f t="shared" si="38"/>
        <v>34.2</v>
      </c>
      <c r="Y95" s="13">
        <f t="shared" si="39"/>
        <v>48.8571428571429</v>
      </c>
    </row>
    <row r="96" ht="15.6" hidden="1" outlineLevel="2" spans="1:25">
      <c r="A96" s="5">
        <v>303</v>
      </c>
      <c r="B96" s="5">
        <v>35</v>
      </c>
      <c r="C96" s="5" t="s">
        <v>137</v>
      </c>
      <c r="D96" s="5" t="s">
        <v>12</v>
      </c>
      <c r="E96" s="5"/>
      <c r="F96" s="7"/>
      <c r="G96" s="5"/>
      <c r="H96" s="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50</v>
      </c>
      <c r="X96" s="13"/>
      <c r="Y96" s="13">
        <v>50</v>
      </c>
    </row>
    <row r="97" ht="15.6" outlineLevel="1" collapsed="1" spans="1:25">
      <c r="A97" s="6" t="s">
        <v>854</v>
      </c>
      <c r="B97" s="5"/>
      <c r="C97" s="5"/>
      <c r="D97" s="5"/>
      <c r="E97" s="5"/>
      <c r="F97" s="7">
        <f>SUBTOTAL(1,F64:F96)</f>
        <v>63.4230769230769</v>
      </c>
      <c r="G97" s="5"/>
      <c r="H97" s="7">
        <f>SUBTOTAL(1,H64:H96)</f>
        <v>66.6153846153846</v>
      </c>
      <c r="I97" s="5"/>
      <c r="J97" s="5">
        <f>SUBTOTAL(1,J64:J96)</f>
        <v>25.5</v>
      </c>
      <c r="K97" s="5"/>
      <c r="L97" s="5"/>
      <c r="M97" s="5">
        <f>SUBTOTAL(1,M64:M96)</f>
        <v>25.5</v>
      </c>
      <c r="N97" s="5"/>
      <c r="O97" s="5"/>
      <c r="P97" s="5">
        <f>SUBTOTAL(1,P64:P96)</f>
        <v>77.4615384615385</v>
      </c>
      <c r="Q97" s="5"/>
      <c r="R97" s="5"/>
      <c r="S97" s="5">
        <f>SUBTOTAL(1,S64:S96)</f>
        <v>66.3846153846154</v>
      </c>
      <c r="T97" s="5"/>
      <c r="U97" s="5"/>
      <c r="V97" s="5">
        <f>SUBTOTAL(1,V64:V96)</f>
        <v>66.3846153846154</v>
      </c>
      <c r="W97" s="5"/>
      <c r="X97" s="13">
        <f>SUBTOTAL(1,X64:X96)</f>
        <v>44.3230769230769</v>
      </c>
      <c r="Y97" s="13">
        <f>SUBTOTAL(1,Y64:Y96)</f>
        <v>60.4935064935065</v>
      </c>
    </row>
    <row r="98" ht="15.6" hidden="1" outlineLevel="2" spans="1:25">
      <c r="A98" s="5">
        <v>304</v>
      </c>
      <c r="B98" s="5">
        <v>1</v>
      </c>
      <c r="C98" s="6" t="s">
        <v>148</v>
      </c>
      <c r="D98" s="5" t="s">
        <v>12</v>
      </c>
      <c r="E98" s="5"/>
      <c r="F98" s="7"/>
      <c r="G98" s="5"/>
      <c r="H98" s="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50</v>
      </c>
      <c r="X98" s="13"/>
      <c r="Y98" s="13">
        <v>50</v>
      </c>
    </row>
    <row r="99" ht="15.6" hidden="1" outlineLevel="2" spans="1:25">
      <c r="A99" s="5">
        <v>304</v>
      </c>
      <c r="B99" s="5">
        <v>2</v>
      </c>
      <c r="C99" s="5" t="s">
        <v>149</v>
      </c>
      <c r="D99" s="5" t="s">
        <v>12</v>
      </c>
      <c r="E99" s="5">
        <v>0.5</v>
      </c>
      <c r="F99" s="7">
        <f>LOOKUP(E99,{0,-1.8,-0.8,0.2,1.2,2.2,3.2,4.6,6,7.4,8.8,10.2,11.6,13,14.4,15.8,17.2,19.1,21,22.8,24.6},{0,10,20,30,40,50,60,62,64,66,68,70,72,74,76,78,80,85,90,95,100})</f>
        <v>30</v>
      </c>
      <c r="G99" s="5">
        <v>184</v>
      </c>
      <c r="H99" s="7">
        <f>LOOKUP(G99,{0,180,185,190,195,200,205,209,213,217,221,225,229,233,237,241,245,253,260,265,270},{0,10,20,30,40,50,60,62,64,66,68,70,72,74,76,78,80,85,90,95,100})</f>
        <v>10</v>
      </c>
      <c r="I99" s="5">
        <v>0</v>
      </c>
      <c r="J99" s="7">
        <f>LOOKUP(I99,{0,4,5,6,7,8,9,10,11,12,13,14,15,16,17,18},{0,10,20,30,40,50,60,64,68,72,76,80,85,90,95,100})</f>
        <v>0</v>
      </c>
      <c r="K99" s="5"/>
      <c r="L99" s="5"/>
      <c r="M99" s="5">
        <f t="shared" ref="M99:M101" si="40">J99+L99</f>
        <v>0</v>
      </c>
      <c r="N99" s="5">
        <v>8.1</v>
      </c>
      <c r="O99" s="10">
        <f t="shared" ref="O99:O101" si="41">18-N99</f>
        <v>9.9</v>
      </c>
      <c r="P99" s="7">
        <f>LOOKUP(O99,{0,7.8,8,8.2,8.4,8.6,8.8,9,9.2,9.4,9.6,9.8,10,10.2,10.4,10.6,10.8,10.9,11,11.1,11.2},{0,10,20,30,40,50,60,62,64,66,68,70,72,74,76,78,80,85,90,95,100})</f>
        <v>70</v>
      </c>
      <c r="Q99" s="5" t="s">
        <v>77</v>
      </c>
      <c r="R99" s="10" t="e">
        <f t="shared" ref="R99:R101" si="42">10-Q99</f>
        <v>#VALUE!</v>
      </c>
      <c r="S99" s="7"/>
      <c r="T99" s="5"/>
      <c r="U99" s="5"/>
      <c r="V99" s="5"/>
      <c r="W99" s="14">
        <v>50</v>
      </c>
      <c r="X99" s="13">
        <f t="shared" ref="X99:X101" si="43">F99*0.1+H99*0.1+J99*0.1+P99*0.2+S99*0.2</f>
        <v>18</v>
      </c>
      <c r="Y99" s="13">
        <v>50</v>
      </c>
    </row>
    <row r="100" ht="15.6" hidden="1" outlineLevel="2" spans="1:25">
      <c r="A100" s="5">
        <v>304</v>
      </c>
      <c r="B100" s="5">
        <v>3</v>
      </c>
      <c r="C100" s="5" t="s">
        <v>150</v>
      </c>
      <c r="D100" s="5" t="s">
        <v>12</v>
      </c>
      <c r="E100" s="5">
        <v>27</v>
      </c>
      <c r="F100" s="7">
        <f>LOOKUP(E100,{0,-1.8,-0.8,0.2,1.2,2.2,3.2,4.6,6,7.4,8.8,10.2,11.6,13,14.4,15.8,17.2,19.1,21,22.8,24.6},{0,10,20,30,40,50,60,62,64,66,68,70,72,74,76,78,80,85,90,95,100})</f>
        <v>100</v>
      </c>
      <c r="G100" s="5">
        <v>248</v>
      </c>
      <c r="H100" s="7">
        <f>LOOKUP(G100,{0,180,185,190,195,200,205,209,213,217,221,225,229,233,237,241,245,253,260,265,270},{0,10,20,30,40,50,60,62,64,66,68,70,72,74,76,78,80,85,90,95,100})</f>
        <v>80</v>
      </c>
      <c r="I100" s="5">
        <v>4</v>
      </c>
      <c r="J100" s="7">
        <f>LOOKUP(I100,{0,4,5,6,7,8,9,10,11,12,13,14,15,16,17,18},{0,10,20,30,40,50,60,64,68,72,76,80,85,90,95,100})</f>
        <v>10</v>
      </c>
      <c r="K100" s="5"/>
      <c r="L100" s="5"/>
      <c r="M100" s="5">
        <f t="shared" si="40"/>
        <v>10</v>
      </c>
      <c r="N100" s="5">
        <v>7.1</v>
      </c>
      <c r="O100" s="10">
        <f t="shared" si="41"/>
        <v>10.9</v>
      </c>
      <c r="P100" s="7">
        <f>LOOKUP(O100,{0,7.8,8,8.2,8.4,8.6,8.8,9,9.2,9.4,9.6,9.8,10,10.2,10.4,10.6,10.8,10.9,11,11.1,11.2},{0,10,20,30,40,50,60,62,64,66,68,70,72,74,76,78,80,85,90,95,100})</f>
        <v>85</v>
      </c>
      <c r="Q100" s="5">
        <v>3.54</v>
      </c>
      <c r="R100" s="10">
        <f t="shared" si="42"/>
        <v>6.46</v>
      </c>
      <c r="S100" s="7">
        <f>LOOKUP(R100,{0,3.85,4.45,4.65,4.85,5.45,5.65,5.7,5.75,5.8,5.85,5.9,5.95,6,6.45,6.5,6.55,6.63,6.7,6.75,6.8},{0,10,20,30,40,50,60,62,64,66,68,70,72,74,76,78,80,85,90,95,100})</f>
        <v>76</v>
      </c>
      <c r="T100" s="5"/>
      <c r="U100" s="5"/>
      <c r="V100" s="5">
        <f t="shared" ref="V100:V104" si="44">S100+U100</f>
        <v>76</v>
      </c>
      <c r="W100" s="5"/>
      <c r="X100" s="13">
        <f t="shared" si="43"/>
        <v>51.2</v>
      </c>
      <c r="Y100" s="13">
        <f t="shared" ref="Y100:Y104" si="45">X100/0.7+L100+U100</f>
        <v>73.1428571428572</v>
      </c>
    </row>
    <row r="101" ht="15.6" hidden="1" outlineLevel="2" spans="1:25">
      <c r="A101" s="5">
        <v>304</v>
      </c>
      <c r="B101" s="5">
        <v>4</v>
      </c>
      <c r="C101" s="5" t="s">
        <v>151</v>
      </c>
      <c r="D101" s="5" t="s">
        <v>12</v>
      </c>
      <c r="E101" s="5">
        <v>11</v>
      </c>
      <c r="F101" s="7">
        <f>LOOKUP(E101,{0,-1.8,-0.8,0.2,1.2,2.2,3.2,4.6,6,7.4,8.8,10.2,11.6,13,14.4,15.8,17.2,19.1,21,22.8,24.6},{0,10,20,30,40,50,60,62,64,66,68,70,72,74,76,78,80,85,90,95,100})</f>
        <v>70</v>
      </c>
      <c r="G101" s="5">
        <v>231</v>
      </c>
      <c r="H101" s="7">
        <f>LOOKUP(G101,{0,180,185,190,195,200,205,209,213,217,221,225,229,233,237,241,245,253,260,265,270},{0,10,20,30,40,50,60,62,64,66,68,70,72,74,76,78,80,85,90,95,100})</f>
        <v>72</v>
      </c>
      <c r="I101" s="5">
        <v>0</v>
      </c>
      <c r="J101" s="7">
        <f>LOOKUP(I101,{0,4,5,6,7,8,9,10,11,12,13,14,15,16,17,18},{0,10,20,30,40,50,60,64,68,72,76,80,85,90,95,100})</f>
        <v>0</v>
      </c>
      <c r="K101" s="5"/>
      <c r="L101" s="5"/>
      <c r="M101" s="5">
        <f t="shared" si="40"/>
        <v>0</v>
      </c>
      <c r="N101" s="5">
        <v>7.5</v>
      </c>
      <c r="O101" s="10">
        <f t="shared" si="41"/>
        <v>10.5</v>
      </c>
      <c r="P101" s="7">
        <f>LOOKUP(O101,{0,7.8,8,8.2,8.4,8.6,8.8,9,9.2,9.4,9.6,9.8,10,10.2,10.4,10.6,10.8,10.9,11,11.1,11.2},{0,10,20,30,40,50,60,62,64,66,68,70,72,74,76,78,80,85,90,95,100})</f>
        <v>76</v>
      </c>
      <c r="Q101" s="5">
        <v>3.57</v>
      </c>
      <c r="R101" s="10">
        <f t="shared" si="42"/>
        <v>6.43</v>
      </c>
      <c r="S101" s="7">
        <f>LOOKUP(R101,{0,3.85,4.45,4.65,4.85,5.45,5.65,5.7,5.75,5.8,5.85,5.9,5.95,6,6.45,6.5,6.55,6.63,6.7,6.75,6.8},{0,10,20,30,40,50,60,62,64,66,68,70,72,74,76,78,80,85,90,95,100})</f>
        <v>74</v>
      </c>
      <c r="T101" s="5"/>
      <c r="U101" s="5"/>
      <c r="V101" s="5">
        <f t="shared" si="44"/>
        <v>74</v>
      </c>
      <c r="W101" s="5"/>
      <c r="X101" s="13">
        <f t="shared" si="43"/>
        <v>44.2</v>
      </c>
      <c r="Y101" s="13">
        <f t="shared" si="45"/>
        <v>63.1428571428572</v>
      </c>
    </row>
    <row r="102" ht="15.6" hidden="1" outlineLevel="2" spans="1:25">
      <c r="A102" s="5">
        <v>304</v>
      </c>
      <c r="B102" s="5">
        <v>5</v>
      </c>
      <c r="C102" s="5" t="s">
        <v>152</v>
      </c>
      <c r="D102" s="5" t="s">
        <v>12</v>
      </c>
      <c r="E102" s="5"/>
      <c r="F102" s="7"/>
      <c r="G102" s="5"/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>
        <v>50</v>
      </c>
      <c r="X102" s="13"/>
      <c r="Y102" s="13">
        <v>50</v>
      </c>
    </row>
    <row r="103" ht="15.6" hidden="1" outlineLevel="2" spans="1:25">
      <c r="A103" s="5">
        <v>304</v>
      </c>
      <c r="B103" s="5">
        <v>6</v>
      </c>
      <c r="C103" s="5" t="s">
        <v>153</v>
      </c>
      <c r="D103" s="5" t="s">
        <v>12</v>
      </c>
      <c r="E103" s="5"/>
      <c r="F103" s="7"/>
      <c r="G103" s="5"/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v>50</v>
      </c>
      <c r="X103" s="13"/>
      <c r="Y103" s="13">
        <v>50</v>
      </c>
    </row>
    <row r="104" ht="15.6" hidden="1" outlineLevel="2" spans="1:25">
      <c r="A104" s="5">
        <v>304</v>
      </c>
      <c r="B104" s="5">
        <v>7</v>
      </c>
      <c r="C104" s="5" t="s">
        <v>154</v>
      </c>
      <c r="D104" s="5" t="s">
        <v>12</v>
      </c>
      <c r="E104" s="5">
        <v>16</v>
      </c>
      <c r="F104" s="7">
        <f>LOOKUP(E104,{0,-1.8,-0.8,0.2,1.2,2.2,3.2,4.6,6,7.4,8.8,10.2,11.6,13,14.4,15.8,17.2,19.1,21,22.8,24.6},{0,10,20,30,40,50,60,62,64,66,68,70,72,74,76,78,80,85,90,95,100})</f>
        <v>78</v>
      </c>
      <c r="G104" s="5">
        <v>240</v>
      </c>
      <c r="H104" s="7">
        <f>LOOKUP(G104,{0,180,185,190,195,200,205,209,213,217,221,225,229,233,237,241,245,253,260,265,270},{0,10,20,30,40,50,60,62,64,66,68,70,72,74,76,78,80,85,90,95,100})</f>
        <v>76</v>
      </c>
      <c r="I104" s="5">
        <v>4</v>
      </c>
      <c r="J104" s="7">
        <f>LOOKUP(I104,{0,4,5,6,7,8,9,10,11,12,13,14,15,16,17,18},{0,10,20,30,40,50,60,64,68,72,76,80,85,90,95,100})</f>
        <v>10</v>
      </c>
      <c r="K104" s="5"/>
      <c r="L104" s="5"/>
      <c r="M104" s="5">
        <f t="shared" ref="M104:M109" si="46">J104+L104</f>
        <v>10</v>
      </c>
      <c r="N104" s="5">
        <v>7.2</v>
      </c>
      <c r="O104" s="10">
        <f t="shared" ref="O104:O109" si="47">18-N104</f>
        <v>10.8</v>
      </c>
      <c r="P104" s="7">
        <f>LOOKUP(O104,{0,7.8,8,8.2,8.4,8.6,8.8,9,9.2,9.4,9.6,9.8,10,10.2,10.4,10.6,10.8,10.9,11,11.1,11.2},{0,10,20,30,40,50,60,62,64,66,68,70,72,74,76,78,80,85,90,95,100})</f>
        <v>80</v>
      </c>
      <c r="Q104" s="5">
        <v>3.56</v>
      </c>
      <c r="R104" s="10">
        <f t="shared" ref="R104:R109" si="48">10-Q104</f>
        <v>6.44</v>
      </c>
      <c r="S104" s="7">
        <f>LOOKUP(R104,{0,3.85,4.45,4.65,4.85,5.45,5.65,5.7,5.75,5.8,5.85,5.9,5.95,6,6.45,6.5,6.55,6.63,6.7,6.75,6.8},{0,10,20,30,40,50,60,62,64,66,68,70,72,74,76,78,80,85,90,95,100})</f>
        <v>74</v>
      </c>
      <c r="T104" s="5"/>
      <c r="U104" s="5"/>
      <c r="V104" s="5">
        <f t="shared" si="44"/>
        <v>74</v>
      </c>
      <c r="W104" s="5"/>
      <c r="X104" s="13">
        <f t="shared" ref="X104:X109" si="49">F104*0.1+H104*0.1+J104*0.1+P104*0.2+S104*0.2</f>
        <v>47.2</v>
      </c>
      <c r="Y104" s="13">
        <f t="shared" si="45"/>
        <v>67.4285714285714</v>
      </c>
    </row>
    <row r="105" ht="15.6" hidden="1" outlineLevel="2" spans="1:25">
      <c r="A105" s="5">
        <v>304</v>
      </c>
      <c r="B105" s="5">
        <v>8</v>
      </c>
      <c r="C105" s="5" t="s">
        <v>155</v>
      </c>
      <c r="D105" s="5" t="s">
        <v>12</v>
      </c>
      <c r="E105" s="5"/>
      <c r="F105" s="7"/>
      <c r="G105" s="5"/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>
        <v>50</v>
      </c>
      <c r="X105" s="13"/>
      <c r="Y105" s="13">
        <v>50</v>
      </c>
    </row>
    <row r="106" ht="15.6" hidden="1" outlineLevel="2" spans="1:25">
      <c r="A106" s="5">
        <v>304</v>
      </c>
      <c r="B106" s="5">
        <v>9</v>
      </c>
      <c r="C106" s="5" t="s">
        <v>156</v>
      </c>
      <c r="D106" s="5" t="s">
        <v>12</v>
      </c>
      <c r="E106" s="5">
        <v>5</v>
      </c>
      <c r="F106" s="7">
        <f>LOOKUP(E106,{0,-1.8,-0.8,0.2,1.2,2.2,3.2,4.6,6,7.4,8.8,10.2,11.6,13,14.4,15.8,17.2,19.1,21,22.8,24.6},{0,10,20,30,40,50,60,62,64,66,68,70,72,74,76,78,80,85,90,95,100})</f>
        <v>62</v>
      </c>
      <c r="G106" s="5">
        <v>283</v>
      </c>
      <c r="H106" s="7">
        <f>LOOKUP(G106,{0,180,185,190,195,200,205,209,213,217,221,225,229,233,237,241,245,253,260,265,270},{0,10,20,30,40,50,60,62,64,66,68,70,72,74,76,78,80,85,90,95,100})</f>
        <v>100</v>
      </c>
      <c r="I106" s="5">
        <v>20</v>
      </c>
      <c r="J106" s="7">
        <f>LOOKUP(I106,{0,4,5,6,7,8,9,10,11,12,13,14,15,16,17,18},{0,10,20,30,40,50,60,64,68,72,76,80,85,90,95,100})</f>
        <v>100</v>
      </c>
      <c r="K106" s="5">
        <f>I106-18</f>
        <v>2</v>
      </c>
      <c r="L106" s="7">
        <f>LOOKUP(K106,{0,1,2,3,4,5,6,7,8,9,10},{0,1,2,3,4,5,6,7,8,9,10})</f>
        <v>2</v>
      </c>
      <c r="M106" s="5">
        <f t="shared" si="46"/>
        <v>102</v>
      </c>
      <c r="N106" s="5">
        <v>6.9</v>
      </c>
      <c r="O106" s="10">
        <f t="shared" si="47"/>
        <v>11.1</v>
      </c>
      <c r="P106" s="7">
        <f>LOOKUP(O106,{0,7.8,8,8.2,8.4,8.6,8.8,9,9.2,9.4,9.6,9.8,10,10.2,10.4,10.6,10.8,10.9,11,11.1,11.2},{0,10,20,30,40,50,60,62,64,66,68,70,72,74,76,78,80,85,90,95,100})</f>
        <v>95</v>
      </c>
      <c r="Q106" s="5">
        <v>3.18</v>
      </c>
      <c r="R106" s="10">
        <f t="shared" si="48"/>
        <v>6.82</v>
      </c>
      <c r="S106" s="7">
        <f>LOOKUP(R106,{0,3.85,4.45,4.65,4.85,5.45,5.65,5.7,5.75,5.8,5.85,5.9,5.95,6,6.45,6.5,6.55,6.63,6.7,6.75,6.8},{0,10,20,30,40,50,60,62,64,66,68,70,72,74,76,78,80,85,90,95,100})</f>
        <v>100</v>
      </c>
      <c r="T106" s="5">
        <f>3.2-Q106</f>
        <v>0.02</v>
      </c>
      <c r="U106" s="7">
        <f>LOOKUP(T106,{0,0.04,0.08,0.12,0.16,0.2,0.23,0.26,0.29,0.32,0.35},{0,1,2,3,4,5,6,7,8,9,10})</f>
        <v>0</v>
      </c>
      <c r="V106" s="5">
        <f t="shared" ref="V106:V113" si="50">S106+U106</f>
        <v>100</v>
      </c>
      <c r="W106" s="5"/>
      <c r="X106" s="13">
        <f t="shared" si="49"/>
        <v>65.2</v>
      </c>
      <c r="Y106" s="13">
        <f t="shared" ref="Y106:Y113" si="51">X106/0.7+L106+U106</f>
        <v>95.1428571428572</v>
      </c>
    </row>
    <row r="107" ht="15.6" hidden="1" outlineLevel="2" spans="1:25">
      <c r="A107" s="5">
        <v>304</v>
      </c>
      <c r="B107" s="5">
        <v>10</v>
      </c>
      <c r="C107" s="5" t="s">
        <v>157</v>
      </c>
      <c r="D107" s="5" t="s">
        <v>12</v>
      </c>
      <c r="E107" s="5"/>
      <c r="F107" s="7"/>
      <c r="G107" s="5"/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>
        <v>50</v>
      </c>
      <c r="X107" s="13"/>
      <c r="Y107" s="13">
        <v>50</v>
      </c>
    </row>
    <row r="108" ht="15.6" hidden="1" outlineLevel="2" spans="1:25">
      <c r="A108" s="5">
        <v>304</v>
      </c>
      <c r="B108" s="5">
        <v>11</v>
      </c>
      <c r="C108" s="5" t="s">
        <v>158</v>
      </c>
      <c r="D108" s="5" t="s">
        <v>12</v>
      </c>
      <c r="E108" s="5"/>
      <c r="F108" s="7"/>
      <c r="G108" s="5"/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>
        <v>50</v>
      </c>
      <c r="X108" s="13"/>
      <c r="Y108" s="13">
        <v>50</v>
      </c>
    </row>
    <row r="109" ht="15.6" hidden="1" outlineLevel="2" spans="1:25">
      <c r="A109" s="5">
        <v>304</v>
      </c>
      <c r="B109" s="5">
        <v>12</v>
      </c>
      <c r="C109" s="6" t="s">
        <v>160</v>
      </c>
      <c r="D109" s="5" t="s">
        <v>12</v>
      </c>
      <c r="E109" s="5">
        <v>7.5</v>
      </c>
      <c r="F109" s="7">
        <f>LOOKUP(E109,{0,-1.8,-0.8,0.2,1.2,2.2,3.2,4.6,6,7.4,8.8,10.2,11.6,13,14.4,15.8,17.2,19.1,21,22.8,24.6},{0,10,20,30,40,50,60,62,64,66,68,70,72,74,76,78,80,85,90,95,100})</f>
        <v>66</v>
      </c>
      <c r="G109" s="5">
        <v>238</v>
      </c>
      <c r="H109" s="7">
        <f>LOOKUP(G109,{0,180,185,190,195,200,205,209,213,217,221,225,229,233,237,241,245,253,260,265,270},{0,10,20,30,40,50,60,62,64,66,68,70,72,74,76,78,80,85,90,95,100})</f>
        <v>76</v>
      </c>
      <c r="I109" s="5">
        <v>17</v>
      </c>
      <c r="J109" s="7">
        <f>LOOKUP(I109,{0,4,5,6,7,8,9,10,11,12,13,14,15,16,17,18},{0,10,20,30,40,50,60,64,68,72,76,80,85,90,95,100})</f>
        <v>95</v>
      </c>
      <c r="K109" s="5"/>
      <c r="L109" s="5"/>
      <c r="M109" s="5">
        <f t="shared" si="46"/>
        <v>95</v>
      </c>
      <c r="N109" s="5">
        <v>7.4</v>
      </c>
      <c r="O109" s="10">
        <f t="shared" si="47"/>
        <v>10.6</v>
      </c>
      <c r="P109" s="7">
        <f>LOOKUP(O109,{0,7.8,8,8.2,8.4,8.6,8.8,9,9.2,9.4,9.6,9.8,10,10.2,10.4,10.6,10.8,10.9,11,11.1,11.2},{0,10,20,30,40,50,60,62,64,66,68,70,72,74,76,78,80,85,90,95,100})</f>
        <v>78</v>
      </c>
      <c r="Q109" s="5">
        <v>4.5</v>
      </c>
      <c r="R109" s="10">
        <f t="shared" si="48"/>
        <v>5.5</v>
      </c>
      <c r="S109" s="7">
        <f>LOOKUP(R109,{0,3.85,4.45,4.65,4.85,5.45,5.65,5.7,5.75,5.8,5.85,5.9,5.95,6,6.45,6.5,6.55,6.63,6.7,6.75,6.8},{0,10,20,30,40,50,60,62,64,66,68,70,72,74,76,78,80,85,90,95,100})</f>
        <v>50</v>
      </c>
      <c r="T109" s="5"/>
      <c r="U109" s="5"/>
      <c r="V109" s="5">
        <f t="shared" si="50"/>
        <v>50</v>
      </c>
      <c r="W109" s="5"/>
      <c r="X109" s="13">
        <f t="shared" si="49"/>
        <v>49.3</v>
      </c>
      <c r="Y109" s="13">
        <f t="shared" si="51"/>
        <v>70.4285714285714</v>
      </c>
    </row>
    <row r="110" ht="15.6" hidden="1" outlineLevel="2" spans="1:25">
      <c r="A110" s="5">
        <v>304</v>
      </c>
      <c r="B110" s="5">
        <v>13</v>
      </c>
      <c r="C110" s="5" t="s">
        <v>161</v>
      </c>
      <c r="D110" s="5" t="s">
        <v>12</v>
      </c>
      <c r="E110" s="5"/>
      <c r="F110" s="7"/>
      <c r="G110" s="5"/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>
        <v>50</v>
      </c>
      <c r="X110" s="13"/>
      <c r="Y110" s="13">
        <v>50</v>
      </c>
    </row>
    <row r="111" ht="15.6" hidden="1" outlineLevel="2" spans="1:25">
      <c r="A111" s="5">
        <v>304</v>
      </c>
      <c r="B111" s="5">
        <v>14</v>
      </c>
      <c r="C111" s="5" t="s">
        <v>162</v>
      </c>
      <c r="D111" s="5" t="s">
        <v>12</v>
      </c>
      <c r="E111" s="5">
        <v>-2</v>
      </c>
      <c r="F111" s="7">
        <v>0</v>
      </c>
      <c r="G111" s="5">
        <v>190</v>
      </c>
      <c r="H111" s="7">
        <f>LOOKUP(G111,{0,180,185,190,195,200,205,209,213,217,221,225,229,233,237,241,245,253,260,265,270},{0,10,20,30,40,50,60,62,64,66,68,70,72,74,76,78,80,85,90,95,100})</f>
        <v>30</v>
      </c>
      <c r="I111" s="5">
        <v>1</v>
      </c>
      <c r="J111" s="7">
        <f>LOOKUP(I111,{0,4,5,6,7,8,9,10,11,12,13,14,15,16,17,18},{0,10,20,30,40,50,60,64,68,72,76,80,85,90,95,100})</f>
        <v>0</v>
      </c>
      <c r="K111" s="5"/>
      <c r="L111" s="5"/>
      <c r="M111" s="5">
        <f t="shared" ref="M111:M113" si="52">J111+L111</f>
        <v>0</v>
      </c>
      <c r="N111" s="5">
        <v>8.1</v>
      </c>
      <c r="O111" s="10">
        <f t="shared" ref="O111:O113" si="53">18-N111</f>
        <v>9.9</v>
      </c>
      <c r="P111" s="7">
        <f>LOOKUP(O111,{0,7.8,8,8.2,8.4,8.6,8.8,9,9.2,9.4,9.6,9.8,10,10.2,10.4,10.6,10.8,10.9,11,11.1,11.2},{0,10,20,30,40,50,60,62,64,66,68,70,72,74,76,78,80,85,90,95,100})</f>
        <v>70</v>
      </c>
      <c r="Q111" s="5">
        <v>5</v>
      </c>
      <c r="R111" s="10">
        <f t="shared" ref="R111:R113" si="54">10-Q111</f>
        <v>5</v>
      </c>
      <c r="S111" s="7">
        <f>LOOKUP(R111,{0,3.85,4.45,4.65,4.85,5.45,5.65,5.7,5.75,5.8,5.85,5.9,5.95,6,6.45,6.5,6.55,6.63,6.7,6.75,6.8},{0,10,20,30,40,50,60,62,64,66,68,70,72,74,76,78,80,85,90,95,100})</f>
        <v>40</v>
      </c>
      <c r="T111" s="5"/>
      <c r="U111" s="5"/>
      <c r="V111" s="5">
        <f t="shared" si="50"/>
        <v>40</v>
      </c>
      <c r="W111" s="5"/>
      <c r="X111" s="13">
        <f t="shared" ref="X111:X113" si="55">F111*0.1+H111*0.1+J111*0.1+P111*0.2+S111*0.2</f>
        <v>25</v>
      </c>
      <c r="Y111" s="13">
        <f t="shared" si="51"/>
        <v>35.7142857142857</v>
      </c>
    </row>
    <row r="112" ht="15.6" hidden="1" outlineLevel="2" spans="1:25">
      <c r="A112" s="5">
        <v>304</v>
      </c>
      <c r="B112" s="5">
        <v>15</v>
      </c>
      <c r="C112" s="5" t="s">
        <v>163</v>
      </c>
      <c r="D112" s="5" t="s">
        <v>12</v>
      </c>
      <c r="E112" s="5">
        <v>6</v>
      </c>
      <c r="F112" s="7">
        <f>LOOKUP(E112,{0,-1.8,-0.8,0.2,1.2,2.2,3.2,4.6,6,7.4,8.8,10.2,11.6,13,14.4,15.8,17.2,19.1,21,22.8,24.6},{0,10,20,30,40,50,60,62,64,66,68,70,72,74,76,78,80,85,90,95,100})</f>
        <v>64</v>
      </c>
      <c r="G112" s="5">
        <v>240</v>
      </c>
      <c r="H112" s="7">
        <f>LOOKUP(G112,{0,180,185,190,195,200,205,209,213,217,221,225,229,233,237,241,245,253,260,265,270},{0,10,20,30,40,50,60,62,64,66,68,70,72,74,76,78,80,85,90,95,100})</f>
        <v>76</v>
      </c>
      <c r="I112" s="5">
        <v>2</v>
      </c>
      <c r="J112" s="7">
        <f>LOOKUP(I112,{0,4,5,6,7,8,9,10,11,12,13,14,15,16,17,18},{0,10,20,30,40,50,60,64,68,72,76,80,85,90,95,100})</f>
        <v>0</v>
      </c>
      <c r="K112" s="5"/>
      <c r="L112" s="5"/>
      <c r="M112" s="5">
        <f t="shared" si="52"/>
        <v>0</v>
      </c>
      <c r="N112" s="5">
        <v>7.5</v>
      </c>
      <c r="O112" s="10">
        <f t="shared" si="53"/>
        <v>10.5</v>
      </c>
      <c r="P112" s="7">
        <f>LOOKUP(O112,{0,7.8,8,8.2,8.4,8.6,8.8,9,9.2,9.4,9.6,9.8,10,10.2,10.4,10.6,10.8,10.9,11,11.1,11.2},{0,10,20,30,40,50,60,62,64,66,68,70,72,74,76,78,80,85,90,95,100})</f>
        <v>76</v>
      </c>
      <c r="Q112" s="5">
        <v>4.5</v>
      </c>
      <c r="R112" s="10">
        <f t="shared" si="54"/>
        <v>5.5</v>
      </c>
      <c r="S112" s="7">
        <f>LOOKUP(R112,{0,3.85,4.45,4.65,4.85,5.45,5.65,5.7,5.75,5.8,5.85,5.9,5.95,6,6.45,6.5,6.55,6.63,6.7,6.75,6.8},{0,10,20,30,40,50,60,62,64,66,68,70,72,74,76,78,80,85,90,95,100})</f>
        <v>50</v>
      </c>
      <c r="T112" s="5"/>
      <c r="U112" s="5"/>
      <c r="V112" s="5">
        <f t="shared" si="50"/>
        <v>50</v>
      </c>
      <c r="W112" s="5"/>
      <c r="X112" s="13">
        <f t="shared" si="55"/>
        <v>39.2</v>
      </c>
      <c r="Y112" s="13">
        <f t="shared" si="51"/>
        <v>56</v>
      </c>
    </row>
    <row r="113" ht="15.6" hidden="1" outlineLevel="2" spans="1:25">
      <c r="A113" s="5">
        <v>304</v>
      </c>
      <c r="B113" s="5">
        <v>16</v>
      </c>
      <c r="C113" s="5" t="s">
        <v>164</v>
      </c>
      <c r="D113" s="5" t="s">
        <v>12</v>
      </c>
      <c r="E113" s="5">
        <v>10</v>
      </c>
      <c r="F113" s="7">
        <f>LOOKUP(E113,{0,-1.8,-0.8,0.2,1.2,2.2,3.2,4.6,6,7.4,8.8,10.2,11.6,13,14.4,15.8,17.2,19.1,21,22.8,24.6},{0,10,20,30,40,50,60,62,64,66,68,70,72,74,76,78,80,85,90,95,100})</f>
        <v>68</v>
      </c>
      <c r="G113" s="5">
        <v>275</v>
      </c>
      <c r="H113" s="7">
        <f>LOOKUP(G113,{0,180,185,190,195,200,205,209,213,217,221,225,229,233,237,241,245,253,260,265,270},{0,10,20,30,40,50,60,62,64,66,68,70,72,74,76,78,80,85,90,95,100})</f>
        <v>100</v>
      </c>
      <c r="I113" s="5">
        <v>13</v>
      </c>
      <c r="J113" s="7">
        <f>LOOKUP(I113,{0,4,5,6,7,8,9,10,11,12,13,14,15,16,17,18},{0,10,20,30,40,50,60,64,68,72,76,80,85,90,95,100})</f>
        <v>76</v>
      </c>
      <c r="K113" s="5"/>
      <c r="L113" s="5"/>
      <c r="M113" s="5">
        <f t="shared" si="52"/>
        <v>76</v>
      </c>
      <c r="N113" s="5">
        <v>7.1</v>
      </c>
      <c r="O113" s="10">
        <f t="shared" si="53"/>
        <v>10.9</v>
      </c>
      <c r="P113" s="7">
        <f>LOOKUP(O113,{0,7.8,8,8.2,8.4,8.6,8.8,9,9.2,9.4,9.6,9.8,10,10.2,10.4,10.6,10.8,10.9,11,11.1,11.2},{0,10,20,30,40,50,60,62,64,66,68,70,72,74,76,78,80,85,90,95,100})</f>
        <v>85</v>
      </c>
      <c r="Q113" s="5">
        <v>4.5</v>
      </c>
      <c r="R113" s="10">
        <f t="shared" si="54"/>
        <v>5.5</v>
      </c>
      <c r="S113" s="7">
        <f>LOOKUP(R113,{0,3.85,4.45,4.65,4.85,5.45,5.65,5.7,5.75,5.8,5.85,5.9,5.95,6,6.45,6.5,6.55,6.63,6.7,6.75,6.8},{0,10,20,30,40,50,60,62,64,66,68,70,72,74,76,78,80,85,90,95,100})</f>
        <v>50</v>
      </c>
      <c r="T113" s="5"/>
      <c r="U113" s="5"/>
      <c r="V113" s="5">
        <f t="shared" si="50"/>
        <v>50</v>
      </c>
      <c r="W113" s="5"/>
      <c r="X113" s="13">
        <f t="shared" si="55"/>
        <v>51.4</v>
      </c>
      <c r="Y113" s="13">
        <f t="shared" si="51"/>
        <v>73.4285714285714</v>
      </c>
    </row>
    <row r="114" ht="15.6" hidden="1" outlineLevel="2" spans="1:25">
      <c r="A114" s="5">
        <v>304</v>
      </c>
      <c r="B114" s="5">
        <v>17</v>
      </c>
      <c r="C114" s="5" t="s">
        <v>165</v>
      </c>
      <c r="D114" s="5" t="s">
        <v>12</v>
      </c>
      <c r="E114" s="5"/>
      <c r="F114" s="7"/>
      <c r="G114" s="5"/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>
        <v>50</v>
      </c>
      <c r="X114" s="13"/>
      <c r="Y114" s="13">
        <v>50</v>
      </c>
    </row>
    <row r="115" ht="15.6" hidden="1" outlineLevel="2" spans="1:25">
      <c r="A115" s="5">
        <v>304</v>
      </c>
      <c r="B115" s="5">
        <v>18</v>
      </c>
      <c r="C115" s="5" t="s">
        <v>166</v>
      </c>
      <c r="D115" s="5" t="s">
        <v>12</v>
      </c>
      <c r="E115" s="5">
        <v>9</v>
      </c>
      <c r="F115" s="7">
        <f>LOOKUP(E115,{0,-1.8,-0.8,0.2,1.2,2.2,3.2,4.6,6,7.4,8.8,10.2,11.6,13,14.4,15.8,17.2,19.1,21,22.8,24.6},{0,10,20,30,40,50,60,62,64,66,68,70,72,74,76,78,80,85,90,95,100})</f>
        <v>68</v>
      </c>
      <c r="G115" s="5">
        <v>240</v>
      </c>
      <c r="H115" s="7">
        <f>LOOKUP(G115,{0,180,185,190,195,200,205,209,213,217,221,225,229,233,237,241,245,253,260,265,270},{0,10,20,30,40,50,60,62,64,66,68,70,72,74,76,78,80,85,90,95,100})</f>
        <v>76</v>
      </c>
      <c r="I115" s="5">
        <v>2</v>
      </c>
      <c r="J115" s="7">
        <f>LOOKUP(I115,{0,4,5,6,7,8,9,10,11,12,13,14,15,16,17,18},{0,10,20,30,40,50,60,64,68,72,76,80,85,90,95,100})</f>
        <v>0</v>
      </c>
      <c r="K115" s="5"/>
      <c r="L115" s="5"/>
      <c r="M115" s="5">
        <f t="shared" ref="M115:M119" si="56">J115+L115</f>
        <v>0</v>
      </c>
      <c r="N115" s="5">
        <v>7.1</v>
      </c>
      <c r="O115" s="10">
        <f t="shared" ref="O115:O119" si="57">18-N115</f>
        <v>10.9</v>
      </c>
      <c r="P115" s="7">
        <f>LOOKUP(O115,{0,7.8,8,8.2,8.4,8.6,8.8,9,9.2,9.4,9.6,9.8,10,10.2,10.4,10.6,10.8,10.9,11,11.1,11.2},{0,10,20,30,40,50,60,62,64,66,68,70,72,74,76,78,80,85,90,95,100})</f>
        <v>85</v>
      </c>
      <c r="Q115" s="5">
        <v>4.5</v>
      </c>
      <c r="R115" s="10">
        <f t="shared" ref="R115:R119" si="58">10-Q115</f>
        <v>5.5</v>
      </c>
      <c r="S115" s="7">
        <f>LOOKUP(R115,{0,3.85,4.45,4.65,4.85,5.45,5.65,5.7,5.75,5.8,5.85,5.9,5.95,6,6.45,6.5,6.55,6.63,6.7,6.75,6.8},{0,10,20,30,40,50,60,62,64,66,68,70,72,74,76,78,80,85,90,95,100})</f>
        <v>50</v>
      </c>
      <c r="T115" s="5"/>
      <c r="U115" s="5"/>
      <c r="V115" s="5">
        <f t="shared" ref="V115:V119" si="59">S115+U115</f>
        <v>50</v>
      </c>
      <c r="W115" s="5"/>
      <c r="X115" s="13">
        <f t="shared" ref="X115:X119" si="60">F115*0.1+H115*0.1+J115*0.1+P115*0.2+S115*0.2</f>
        <v>41.4</v>
      </c>
      <c r="Y115" s="13">
        <f t="shared" ref="Y115:Y119" si="61">X115/0.7+L115+U115</f>
        <v>59.1428571428572</v>
      </c>
    </row>
    <row r="116" ht="15.6" hidden="1" outlineLevel="2" spans="1:25">
      <c r="A116" s="5">
        <v>304</v>
      </c>
      <c r="B116" s="5">
        <v>19</v>
      </c>
      <c r="C116" s="5" t="s">
        <v>167</v>
      </c>
      <c r="D116" s="5" t="s">
        <v>12</v>
      </c>
      <c r="E116" s="5">
        <v>14</v>
      </c>
      <c r="F116" s="7">
        <f>LOOKUP(E116,{0,-1.8,-0.8,0.2,1.2,2.2,3.2,4.6,6,7.4,8.8,10.2,11.6,13,14.4,15.8,17.2,19.1,21,22.8,24.6},{0,10,20,30,40,50,60,62,64,66,68,70,72,74,76,78,80,85,90,95,100})</f>
        <v>74</v>
      </c>
      <c r="G116" s="5">
        <v>240</v>
      </c>
      <c r="H116" s="7">
        <f>LOOKUP(G116,{0,180,185,190,195,200,205,209,213,217,221,225,229,233,237,241,245,253,260,265,270},{0,10,20,30,40,50,60,62,64,66,68,70,72,74,76,78,80,85,90,95,100})</f>
        <v>76</v>
      </c>
      <c r="I116" s="5">
        <v>13</v>
      </c>
      <c r="J116" s="7">
        <f>LOOKUP(I116,{0,4,5,6,7,8,9,10,11,12,13,14,15,16,17,18},{0,10,20,30,40,50,60,64,68,72,76,80,85,90,95,100})</f>
        <v>76</v>
      </c>
      <c r="K116" s="5"/>
      <c r="L116" s="5"/>
      <c r="M116" s="5">
        <f t="shared" si="56"/>
        <v>76</v>
      </c>
      <c r="N116" s="5">
        <v>7.3</v>
      </c>
      <c r="O116" s="10">
        <f t="shared" si="57"/>
        <v>10.7</v>
      </c>
      <c r="P116" s="7">
        <f>LOOKUP(O116,{0,7.8,8,8.2,8.4,8.6,8.8,9,9.2,9.4,9.6,9.8,10,10.2,10.4,10.6,10.8,10.9,11,11.1,11.2},{0,10,20,30,40,50,60,62,64,66,68,70,72,74,76,78,80,85,90,95,100})</f>
        <v>78</v>
      </c>
      <c r="Q116" s="5">
        <v>3.19</v>
      </c>
      <c r="R116" s="10">
        <f t="shared" si="58"/>
        <v>6.81</v>
      </c>
      <c r="S116" s="7">
        <f>LOOKUP(R116,{0,3.85,4.45,4.65,4.85,5.45,5.65,5.7,5.75,5.8,5.85,5.9,5.95,6,6.45,6.5,6.55,6.63,6.7,6.75,6.8},{0,10,20,30,40,50,60,62,64,66,68,70,72,74,76,78,80,85,90,95,100})</f>
        <v>100</v>
      </c>
      <c r="T116" s="5">
        <f>3.2-Q116</f>
        <v>0.0100000000000002</v>
      </c>
      <c r="U116" s="7">
        <f>LOOKUP(T116,{0,0.04,0.08,0.12,0.16,0.2,0.23,0.26,0.29,0.32,0.35},{0,1,2,3,4,5,6,7,8,9,10})</f>
        <v>0</v>
      </c>
      <c r="V116" s="5">
        <f t="shared" si="59"/>
        <v>100</v>
      </c>
      <c r="W116" s="5"/>
      <c r="X116" s="13">
        <f t="shared" si="60"/>
        <v>58.2</v>
      </c>
      <c r="Y116" s="13">
        <f t="shared" si="61"/>
        <v>83.1428571428572</v>
      </c>
    </row>
    <row r="117" ht="15.6" hidden="1" outlineLevel="2" spans="1:25">
      <c r="A117" s="5">
        <v>304</v>
      </c>
      <c r="B117" s="5">
        <v>20</v>
      </c>
      <c r="C117" s="5" t="s">
        <v>168</v>
      </c>
      <c r="D117" s="5" t="s">
        <v>12</v>
      </c>
      <c r="E117" s="5"/>
      <c r="F117" s="7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>
        <v>50</v>
      </c>
      <c r="X117" s="13"/>
      <c r="Y117" s="13">
        <v>50</v>
      </c>
    </row>
    <row r="118" ht="15.6" hidden="1" outlineLevel="2" spans="1:25">
      <c r="A118" s="5">
        <v>304</v>
      </c>
      <c r="B118" s="5">
        <v>21</v>
      </c>
      <c r="C118" s="5" t="s">
        <v>169</v>
      </c>
      <c r="D118" s="5" t="s">
        <v>12</v>
      </c>
      <c r="E118" s="5">
        <v>12.5</v>
      </c>
      <c r="F118" s="7">
        <f>LOOKUP(E118,{0,-1.8,-0.8,0.2,1.2,2.2,3.2,4.6,6,7.4,8.8,10.2,11.6,13,14.4,15.8,17.2,19.1,21,22.8,24.6},{0,10,20,30,40,50,60,62,64,66,68,70,72,74,76,78,80,85,90,95,100})</f>
        <v>72</v>
      </c>
      <c r="G118" s="5">
        <v>195</v>
      </c>
      <c r="H118" s="7">
        <f>LOOKUP(G118,{0,180,185,190,195,200,205,209,213,217,221,225,229,233,237,241,245,253,260,265,270},{0,10,20,30,40,50,60,62,64,66,68,70,72,74,76,78,80,85,90,95,100})</f>
        <v>40</v>
      </c>
      <c r="I118" s="5">
        <v>0</v>
      </c>
      <c r="J118" s="7">
        <f>LOOKUP(I118,{0,4,5,6,7,8,9,10,11,12,13,14,15,16,17,18},{0,10,20,30,40,50,60,64,68,72,76,80,85,90,95,100})</f>
        <v>0</v>
      </c>
      <c r="K118" s="5"/>
      <c r="L118" s="5"/>
      <c r="M118" s="5">
        <f t="shared" si="56"/>
        <v>0</v>
      </c>
      <c r="N118" s="5">
        <v>7.5</v>
      </c>
      <c r="O118" s="10">
        <f t="shared" si="57"/>
        <v>10.5</v>
      </c>
      <c r="P118" s="7">
        <f>LOOKUP(O118,{0,7.8,8,8.2,8.4,8.6,8.8,9,9.2,9.4,9.6,9.8,10,10.2,10.4,10.6,10.8,10.9,11,11.1,11.2},{0,10,20,30,40,50,60,62,64,66,68,70,72,74,76,78,80,85,90,95,100})</f>
        <v>76</v>
      </c>
      <c r="Q118" s="5">
        <v>4.19</v>
      </c>
      <c r="R118" s="10">
        <f t="shared" si="58"/>
        <v>5.81</v>
      </c>
      <c r="S118" s="7">
        <f>LOOKUP(R118,{0,3.85,4.45,4.65,4.85,5.45,5.65,5.7,5.75,5.8,5.85,5.9,5.95,6,6.45,6.5,6.55,6.63,6.7,6.75,6.8},{0,10,20,30,40,50,60,62,64,66,68,70,72,74,76,78,80,85,90,95,100})</f>
        <v>66</v>
      </c>
      <c r="T118" s="5"/>
      <c r="U118" s="5"/>
      <c r="V118" s="5">
        <f t="shared" si="59"/>
        <v>66</v>
      </c>
      <c r="W118" s="5"/>
      <c r="X118" s="13">
        <f t="shared" si="60"/>
        <v>39.6</v>
      </c>
      <c r="Y118" s="13">
        <f t="shared" si="61"/>
        <v>56.5714285714286</v>
      </c>
    </row>
    <row r="119" ht="15.6" hidden="1" outlineLevel="2" spans="1:25">
      <c r="A119" s="5">
        <v>304</v>
      </c>
      <c r="B119" s="5">
        <v>22</v>
      </c>
      <c r="C119" s="5" t="s">
        <v>170</v>
      </c>
      <c r="D119" s="5" t="s">
        <v>12</v>
      </c>
      <c r="E119" s="5">
        <v>-5.5</v>
      </c>
      <c r="F119" s="7">
        <v>0</v>
      </c>
      <c r="G119" s="5">
        <v>235</v>
      </c>
      <c r="H119" s="7">
        <f>LOOKUP(G119,{0,180,185,190,195,200,205,209,213,217,221,225,229,233,237,241,245,253,260,265,270},{0,10,20,30,40,50,60,62,64,66,68,70,72,74,76,78,80,85,90,95,100})</f>
        <v>74</v>
      </c>
      <c r="I119" s="5">
        <v>0</v>
      </c>
      <c r="J119" s="7">
        <f>LOOKUP(I119,{0,4,5,6,7,8,9,10,11,12,13,14,15,16,17,18},{0,10,20,30,40,50,60,64,68,72,76,80,85,90,95,100})</f>
        <v>0</v>
      </c>
      <c r="K119" s="5"/>
      <c r="L119" s="5"/>
      <c r="M119" s="5">
        <f t="shared" si="56"/>
        <v>0</v>
      </c>
      <c r="N119" s="5">
        <v>7.5</v>
      </c>
      <c r="O119" s="10">
        <f t="shared" si="57"/>
        <v>10.5</v>
      </c>
      <c r="P119" s="7">
        <f>LOOKUP(O119,{0,7.8,8,8.2,8.4,8.6,8.8,9,9.2,9.4,9.6,9.8,10,10.2,10.4,10.6,10.8,10.9,11,11.1,11.2},{0,10,20,30,40,50,60,62,64,66,68,70,72,74,76,78,80,85,90,95,100})</f>
        <v>76</v>
      </c>
      <c r="Q119" s="5">
        <v>4.5</v>
      </c>
      <c r="R119" s="10">
        <f t="shared" si="58"/>
        <v>5.5</v>
      </c>
      <c r="S119" s="7">
        <f>LOOKUP(R119,{0,3.85,4.45,4.65,4.85,5.45,5.65,5.7,5.75,5.8,5.85,5.9,5.95,6,6.45,6.5,6.55,6.63,6.7,6.75,6.8},{0,10,20,30,40,50,60,62,64,66,68,70,72,74,76,78,80,85,90,95,100})</f>
        <v>50</v>
      </c>
      <c r="T119" s="5"/>
      <c r="U119" s="5"/>
      <c r="V119" s="5">
        <f t="shared" si="59"/>
        <v>50</v>
      </c>
      <c r="W119" s="5"/>
      <c r="X119" s="13">
        <f t="shared" si="60"/>
        <v>32.6</v>
      </c>
      <c r="Y119" s="13">
        <f t="shared" si="61"/>
        <v>46.5714285714286</v>
      </c>
    </row>
    <row r="120" ht="15.6" hidden="1" outlineLevel="2" spans="1:25">
      <c r="A120" s="5">
        <v>304</v>
      </c>
      <c r="B120" s="5">
        <v>23</v>
      </c>
      <c r="C120" s="5" t="s">
        <v>171</v>
      </c>
      <c r="D120" s="5" t="s">
        <v>12</v>
      </c>
      <c r="E120" s="5"/>
      <c r="F120" s="7"/>
      <c r="G120" s="5"/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>
        <v>50</v>
      </c>
      <c r="X120" s="13"/>
      <c r="Y120" s="13">
        <v>50</v>
      </c>
    </row>
    <row r="121" ht="15.6" hidden="1" outlineLevel="2" spans="1:25">
      <c r="A121" s="5">
        <v>304</v>
      </c>
      <c r="B121" s="5">
        <v>24</v>
      </c>
      <c r="C121" s="6" t="s">
        <v>173</v>
      </c>
      <c r="D121" s="5" t="s">
        <v>12</v>
      </c>
      <c r="E121" s="5">
        <v>15</v>
      </c>
      <c r="F121" s="7">
        <f>LOOKUP(E121,{0,-1.8,-0.8,0.2,1.2,2.2,3.2,4.6,6,7.4,8.8,10.2,11.6,13,14.4,15.8,17.2,19.1,21,22.8,24.6},{0,10,20,30,40,50,60,62,64,66,68,70,72,74,76,78,80,85,90,95,100})</f>
        <v>76</v>
      </c>
      <c r="G121" s="5">
        <v>230</v>
      </c>
      <c r="H121" s="7">
        <f>LOOKUP(G121,{0,180,185,190,195,200,205,209,213,217,221,225,229,233,237,241,245,253,260,265,270},{0,10,20,30,40,50,60,62,64,66,68,70,72,74,76,78,80,85,90,95,100})</f>
        <v>72</v>
      </c>
      <c r="I121" s="5">
        <v>3</v>
      </c>
      <c r="J121" s="7">
        <f>LOOKUP(I121,{0,4,5,6,7,8,9,10,11,12,13,14,15,16,17,18},{0,10,20,30,40,50,60,64,68,72,76,80,85,90,95,100})</f>
        <v>0</v>
      </c>
      <c r="K121" s="5"/>
      <c r="L121" s="5"/>
      <c r="M121" s="5">
        <f t="shared" ref="M121:M124" si="62">J121+L121</f>
        <v>0</v>
      </c>
      <c r="N121" s="5">
        <v>7.3</v>
      </c>
      <c r="O121" s="10">
        <f t="shared" ref="O121:O124" si="63">18-N121</f>
        <v>10.7</v>
      </c>
      <c r="P121" s="7">
        <f>LOOKUP(O121,{0,7.8,8,8.2,8.4,8.6,8.8,9,9.2,9.4,9.6,9.8,10,10.2,10.4,10.6,10.8,10.9,11,11.1,11.2},{0,10,20,30,40,50,60,62,64,66,68,70,72,74,76,78,80,85,90,95,100})</f>
        <v>78</v>
      </c>
      <c r="Q121" s="5">
        <v>3.55</v>
      </c>
      <c r="R121" s="10">
        <f t="shared" ref="R121:R124" si="64">10-Q121</f>
        <v>6.45</v>
      </c>
      <c r="S121" s="7">
        <f>LOOKUP(R121,{0,3.85,4.45,4.65,4.85,5.45,5.65,5.7,5.75,5.8,5.85,5.9,5.95,6,6.45,6.5,6.55,6.63,6.7,6.75,6.8},{0,10,20,30,40,50,60,62,64,66,68,70,72,74,76,78,80,85,90,95,100})</f>
        <v>76</v>
      </c>
      <c r="T121" s="5"/>
      <c r="U121" s="5"/>
      <c r="V121" s="5">
        <f t="shared" ref="V121:V124" si="65">S121+U121</f>
        <v>76</v>
      </c>
      <c r="W121" s="5"/>
      <c r="X121" s="13">
        <f t="shared" ref="X121:X124" si="66">F121*0.1+H121*0.1+J121*0.1+P121*0.2+S121*0.2</f>
        <v>45.6</v>
      </c>
      <c r="Y121" s="13">
        <f t="shared" ref="Y121:Y124" si="67">X121/0.7+L121+U121</f>
        <v>65.1428571428572</v>
      </c>
    </row>
    <row r="122" ht="15.6" hidden="1" outlineLevel="2" spans="1:25">
      <c r="A122" s="5">
        <v>304</v>
      </c>
      <c r="B122" s="5">
        <v>25</v>
      </c>
      <c r="C122" s="5" t="s">
        <v>174</v>
      </c>
      <c r="D122" s="5" t="s">
        <v>12</v>
      </c>
      <c r="E122" s="5">
        <v>12</v>
      </c>
      <c r="F122" s="7">
        <f>LOOKUP(E122,{0,-1.8,-0.8,0.2,1.2,2.2,3.2,4.6,6,7.4,8.8,10.2,11.6,13,14.4,15.8,17.2,19.1,21,22.8,24.6},{0,10,20,30,40,50,60,62,64,66,68,70,72,74,76,78,80,85,90,95,100})</f>
        <v>72</v>
      </c>
      <c r="G122" s="5">
        <v>225</v>
      </c>
      <c r="H122" s="7">
        <f>LOOKUP(G122,{0,180,185,190,195,200,205,209,213,217,221,225,229,233,237,241,245,253,260,265,270},{0,10,20,30,40,50,60,62,64,66,68,70,72,74,76,78,80,85,90,95,100})</f>
        <v>70</v>
      </c>
      <c r="I122" s="5">
        <v>1</v>
      </c>
      <c r="J122" s="7">
        <f>LOOKUP(I122,{0,4,5,6,7,8,9,10,11,12,13,14,15,16,17,18},{0,10,20,30,40,50,60,64,68,72,76,80,85,90,95,100})</f>
        <v>0</v>
      </c>
      <c r="K122" s="5"/>
      <c r="L122" s="5"/>
      <c r="M122" s="5">
        <f t="shared" si="62"/>
        <v>0</v>
      </c>
      <c r="N122" s="5">
        <v>7.9</v>
      </c>
      <c r="O122" s="10">
        <f t="shared" si="63"/>
        <v>10.1</v>
      </c>
      <c r="P122" s="7">
        <f>LOOKUP(O122,{0,7.8,8,8.2,8.4,8.6,8.8,9,9.2,9.4,9.6,9.8,10,10.2,10.4,10.6,10.8,10.9,11,11.1,11.2},{0,10,20,30,40,50,60,62,64,66,68,70,72,74,76,78,80,85,90,95,100})</f>
        <v>72</v>
      </c>
      <c r="Q122" s="5">
        <v>5.47</v>
      </c>
      <c r="R122" s="10">
        <f t="shared" si="64"/>
        <v>4.53</v>
      </c>
      <c r="S122" s="7">
        <f>LOOKUP(R122,{0,3.85,4.45,4.65,4.85,5.45,5.65,5.7,5.75,5.8,5.85,5.9,5.95,6,6.45,6.5,6.55,6.63,6.7,6.75,6.8},{0,10,20,30,40,50,60,62,64,66,68,70,72,74,76,78,80,85,90,95,100})</f>
        <v>20</v>
      </c>
      <c r="T122" s="5"/>
      <c r="U122" s="5"/>
      <c r="V122" s="5">
        <f t="shared" si="65"/>
        <v>20</v>
      </c>
      <c r="W122" s="5"/>
      <c r="X122" s="13">
        <f t="shared" si="66"/>
        <v>32.6</v>
      </c>
      <c r="Y122" s="13">
        <f t="shared" si="67"/>
        <v>46.5714285714286</v>
      </c>
    </row>
    <row r="123" ht="15.6" hidden="1" outlineLevel="2" spans="1:25">
      <c r="A123" s="5">
        <v>304</v>
      </c>
      <c r="B123" s="5">
        <v>26</v>
      </c>
      <c r="C123" s="5" t="s">
        <v>175</v>
      </c>
      <c r="D123" s="5" t="s">
        <v>12</v>
      </c>
      <c r="E123" s="5">
        <v>7.5</v>
      </c>
      <c r="F123" s="7">
        <f>LOOKUP(E123,{0,-1.8,-0.8,0.2,1.2,2.2,3.2,4.6,6,7.4,8.8,10.2,11.6,13,14.4,15.8,17.2,19.1,21,22.8,24.6},{0,10,20,30,40,50,60,62,64,66,68,70,72,74,76,78,80,85,90,95,100})</f>
        <v>66</v>
      </c>
      <c r="G123" s="5">
        <v>220</v>
      </c>
      <c r="H123" s="7">
        <f>LOOKUP(G123,{0,180,185,190,195,200,205,209,213,217,221,225,229,233,237,241,245,253,260,265,270},{0,10,20,30,40,50,60,62,64,66,68,70,72,74,76,78,80,85,90,95,100})</f>
        <v>66</v>
      </c>
      <c r="I123" s="5">
        <v>1</v>
      </c>
      <c r="J123" s="7">
        <f>LOOKUP(I123,{0,4,5,6,7,8,9,10,11,12,13,14,15,16,17,18},{0,10,20,30,40,50,60,64,68,72,76,80,85,90,95,100})</f>
        <v>0</v>
      </c>
      <c r="K123" s="5"/>
      <c r="L123" s="5"/>
      <c r="M123" s="5">
        <f t="shared" si="62"/>
        <v>0</v>
      </c>
      <c r="N123" s="5">
        <v>7.7</v>
      </c>
      <c r="O123" s="10">
        <f t="shared" si="63"/>
        <v>10.3</v>
      </c>
      <c r="P123" s="7">
        <f>LOOKUP(O123,{0,7.8,8,8.2,8.4,8.6,8.8,9,9.2,9.4,9.6,9.8,10,10.2,10.4,10.6,10.8,10.9,11,11.1,11.2},{0,10,20,30,40,50,60,62,64,66,68,70,72,74,76,78,80,85,90,95,100})</f>
        <v>74</v>
      </c>
      <c r="Q123" s="5">
        <v>5.06</v>
      </c>
      <c r="R123" s="10">
        <f t="shared" si="64"/>
        <v>4.94</v>
      </c>
      <c r="S123" s="7">
        <f>LOOKUP(R123,{0,3.85,4.45,4.65,4.85,5.45,5.65,5.7,5.75,5.8,5.85,5.9,5.95,6,6.45,6.5,6.55,6.63,6.7,6.75,6.8},{0,10,20,30,40,50,60,62,64,66,68,70,72,74,76,78,80,85,90,95,100})</f>
        <v>40</v>
      </c>
      <c r="T123" s="5"/>
      <c r="U123" s="5"/>
      <c r="V123" s="5">
        <f t="shared" si="65"/>
        <v>40</v>
      </c>
      <c r="W123" s="5"/>
      <c r="X123" s="13">
        <f t="shared" si="66"/>
        <v>36</v>
      </c>
      <c r="Y123" s="13">
        <f t="shared" si="67"/>
        <v>51.4285714285714</v>
      </c>
    </row>
    <row r="124" ht="15.6" hidden="1" outlineLevel="2" spans="1:25">
      <c r="A124" s="5">
        <v>304</v>
      </c>
      <c r="B124" s="5">
        <v>27</v>
      </c>
      <c r="C124" s="5" t="s">
        <v>176</v>
      </c>
      <c r="D124" s="5" t="s">
        <v>12</v>
      </c>
      <c r="E124" s="5">
        <v>9</v>
      </c>
      <c r="F124" s="7">
        <f>LOOKUP(E124,{0,-1.8,-0.8,0.2,1.2,2.2,3.2,4.6,6,7.4,8.8,10.2,11.6,13,14.4,15.8,17.2,19.1,21,22.8,24.6},{0,10,20,30,40,50,60,62,64,66,68,70,72,74,76,78,80,85,90,95,100})</f>
        <v>68</v>
      </c>
      <c r="G124" s="5">
        <v>245</v>
      </c>
      <c r="H124" s="7">
        <f>LOOKUP(G124,{0,180,185,190,195,200,205,209,213,217,221,225,229,233,237,241,245,253,260,265,270},{0,10,20,30,40,50,60,62,64,66,68,70,72,74,76,78,80,85,90,95,100})</f>
        <v>80</v>
      </c>
      <c r="I124" s="5">
        <v>16</v>
      </c>
      <c r="J124" s="7">
        <f>LOOKUP(I124,{0,4,5,6,7,8,9,10,11,12,13,14,15,16,17,18},{0,10,20,30,40,50,60,64,68,72,76,80,85,90,95,100})</f>
        <v>90</v>
      </c>
      <c r="K124" s="5"/>
      <c r="L124" s="5"/>
      <c r="M124" s="5">
        <f t="shared" si="62"/>
        <v>90</v>
      </c>
      <c r="N124" s="5">
        <v>7.2</v>
      </c>
      <c r="O124" s="10">
        <f t="shared" si="63"/>
        <v>10.8</v>
      </c>
      <c r="P124" s="7">
        <f>LOOKUP(O124,{0,7.8,8,8.2,8.4,8.6,8.8,9,9.2,9.4,9.6,9.8,10,10.2,10.4,10.6,10.8,10.9,11,11.1,11.2},{0,10,20,30,40,50,60,62,64,66,68,70,72,74,76,78,80,85,90,95,100})</f>
        <v>80</v>
      </c>
      <c r="Q124" s="5">
        <v>5.1</v>
      </c>
      <c r="R124" s="10">
        <f t="shared" si="64"/>
        <v>4.9</v>
      </c>
      <c r="S124" s="7">
        <f>LOOKUP(R124,{0,3.85,4.45,4.65,4.85,5.45,5.65,5.7,5.75,5.8,5.85,5.9,5.95,6,6.45,6.5,6.55,6.63,6.7,6.75,6.8},{0,10,20,30,40,50,60,62,64,66,68,70,72,74,76,78,80,85,90,95,100})</f>
        <v>40</v>
      </c>
      <c r="T124" s="5"/>
      <c r="U124" s="5"/>
      <c r="V124" s="5">
        <f t="shared" si="65"/>
        <v>40</v>
      </c>
      <c r="W124" s="5"/>
      <c r="X124" s="13">
        <f t="shared" si="66"/>
        <v>47.8</v>
      </c>
      <c r="Y124" s="13">
        <f t="shared" si="67"/>
        <v>68.2857142857143</v>
      </c>
    </row>
    <row r="125" ht="15.6" hidden="1" outlineLevel="2" spans="1:25">
      <c r="A125" s="5">
        <v>304</v>
      </c>
      <c r="B125" s="5">
        <v>28</v>
      </c>
      <c r="C125" s="5" t="s">
        <v>177</v>
      </c>
      <c r="D125" s="5" t="s">
        <v>12</v>
      </c>
      <c r="E125" s="5"/>
      <c r="F125" s="7"/>
      <c r="G125" s="5"/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>
        <v>50</v>
      </c>
      <c r="X125" s="13"/>
      <c r="Y125" s="13">
        <v>50</v>
      </c>
    </row>
    <row r="126" ht="15.6" hidden="1" outlineLevel="2" spans="1:25">
      <c r="A126" s="5">
        <v>304</v>
      </c>
      <c r="B126" s="5">
        <v>29</v>
      </c>
      <c r="C126" s="5" t="s">
        <v>178</v>
      </c>
      <c r="D126" s="5" t="s">
        <v>12</v>
      </c>
      <c r="E126" s="5">
        <v>16.5</v>
      </c>
      <c r="F126" s="7">
        <f>LOOKUP(E126,{0,-1.8,-0.8,0.2,1.2,2.2,3.2,4.6,6,7.4,8.8,10.2,11.6,13,14.4,15.8,17.2,19.1,21,22.8,24.6},{0,10,20,30,40,50,60,62,64,66,68,70,72,74,76,78,80,85,90,95,100})</f>
        <v>78</v>
      </c>
      <c r="G126" s="5">
        <v>250</v>
      </c>
      <c r="H126" s="7">
        <f>LOOKUP(G126,{0,180,185,190,195,200,205,209,213,217,221,225,229,233,237,241,245,253,260,265,270},{0,10,20,30,40,50,60,62,64,66,68,70,72,74,76,78,80,85,90,95,100})</f>
        <v>80</v>
      </c>
      <c r="I126" s="5">
        <v>2</v>
      </c>
      <c r="J126" s="7">
        <f>LOOKUP(I126,{0,4,5,6,7,8,9,10,11,12,13,14,15,16,17,18},{0,10,20,30,40,50,60,64,68,72,76,80,85,90,95,100})</f>
        <v>0</v>
      </c>
      <c r="K126" s="5"/>
      <c r="L126" s="5"/>
      <c r="M126" s="5">
        <f t="shared" ref="M126:M128" si="68">J126+L126</f>
        <v>0</v>
      </c>
      <c r="N126" s="5">
        <v>7.1</v>
      </c>
      <c r="O126" s="10">
        <f t="shared" ref="O126:O128" si="69">18-N126</f>
        <v>10.9</v>
      </c>
      <c r="P126" s="7">
        <f>LOOKUP(O126,{0,7.8,8,8.2,8.4,8.6,8.8,9,9.2,9.4,9.6,9.8,10,10.2,10.4,10.6,10.8,10.9,11,11.1,11.2},{0,10,20,30,40,50,60,62,64,66,68,70,72,74,76,78,80,85,90,95,100})</f>
        <v>85</v>
      </c>
      <c r="Q126" s="5">
        <v>4.5</v>
      </c>
      <c r="R126" s="10">
        <f t="shared" ref="R126:R128" si="70">10-Q126</f>
        <v>5.5</v>
      </c>
      <c r="S126" s="7">
        <f>LOOKUP(R126,{0,3.85,4.45,4.65,4.85,5.45,5.65,5.7,5.75,5.8,5.85,5.9,5.95,6,6.45,6.5,6.55,6.63,6.7,6.75,6.8},{0,10,20,30,40,50,60,62,64,66,68,70,72,74,76,78,80,85,90,95,100})</f>
        <v>50</v>
      </c>
      <c r="T126" s="5"/>
      <c r="U126" s="5"/>
      <c r="V126" s="5">
        <f t="shared" ref="V126:V128" si="71">S126+U126</f>
        <v>50</v>
      </c>
      <c r="W126" s="5"/>
      <c r="X126" s="13">
        <f t="shared" ref="X126:X128" si="72">F126*0.1+H126*0.1+J126*0.1+P126*0.2+S126*0.2</f>
        <v>42.8</v>
      </c>
      <c r="Y126" s="13">
        <f t="shared" ref="Y126:Y128" si="73">X126/0.7+L126+U126</f>
        <v>61.1428571428571</v>
      </c>
    </row>
    <row r="127" ht="15.6" hidden="1" outlineLevel="2" spans="1:25">
      <c r="A127" s="5">
        <v>304</v>
      </c>
      <c r="B127" s="5">
        <v>30</v>
      </c>
      <c r="C127" s="5" t="s">
        <v>179</v>
      </c>
      <c r="D127" s="5" t="s">
        <v>12</v>
      </c>
      <c r="E127" s="5">
        <v>13</v>
      </c>
      <c r="F127" s="7">
        <f>LOOKUP(E127,{0,-1.8,-0.8,0.2,1.2,2.2,3.2,4.6,6,7.4,8.8,10.2,11.6,13,14.4,15.8,17.2,19.1,21,22.8,24.6},{0,10,20,30,40,50,60,62,64,66,68,70,72,74,76,78,80,85,90,95,100})</f>
        <v>74</v>
      </c>
      <c r="G127" s="5">
        <v>230</v>
      </c>
      <c r="H127" s="7">
        <f>LOOKUP(G127,{0,180,185,190,195,200,205,209,213,217,221,225,229,233,237,241,245,253,260,265,270},{0,10,20,30,40,50,60,62,64,66,68,70,72,74,76,78,80,85,90,95,100})</f>
        <v>72</v>
      </c>
      <c r="I127" s="5">
        <v>2</v>
      </c>
      <c r="J127" s="7">
        <f>LOOKUP(I127,{0,4,5,6,7,8,9,10,11,12,13,14,15,16,17,18},{0,10,20,30,40,50,60,64,68,72,76,80,85,90,95,100})</f>
        <v>0</v>
      </c>
      <c r="K127" s="5"/>
      <c r="L127" s="5"/>
      <c r="M127" s="5">
        <f t="shared" si="68"/>
        <v>0</v>
      </c>
      <c r="N127" s="5">
        <v>7.7</v>
      </c>
      <c r="O127" s="10">
        <f t="shared" si="69"/>
        <v>10.3</v>
      </c>
      <c r="P127" s="7">
        <f>LOOKUP(O127,{0,7.8,8,8.2,8.4,8.6,8.8,9,9.2,9.4,9.6,9.8,10,10.2,10.4,10.6,10.8,10.9,11,11.1,11.2},{0,10,20,30,40,50,60,62,64,66,68,70,72,74,76,78,80,85,90,95,100})</f>
        <v>74</v>
      </c>
      <c r="Q127" s="5">
        <v>4.5</v>
      </c>
      <c r="R127" s="10">
        <f t="shared" si="70"/>
        <v>5.5</v>
      </c>
      <c r="S127" s="7">
        <f>LOOKUP(R127,{0,3.85,4.45,4.65,4.85,5.45,5.65,5.7,5.75,5.8,5.85,5.9,5.95,6,6.45,6.5,6.55,6.63,6.7,6.75,6.8},{0,10,20,30,40,50,60,62,64,66,68,70,72,74,76,78,80,85,90,95,100})</f>
        <v>50</v>
      </c>
      <c r="T127" s="5"/>
      <c r="U127" s="5"/>
      <c r="V127" s="5">
        <f t="shared" si="71"/>
        <v>50</v>
      </c>
      <c r="W127" s="5"/>
      <c r="X127" s="13">
        <f t="shared" si="72"/>
        <v>39.4</v>
      </c>
      <c r="Y127" s="13">
        <f t="shared" si="73"/>
        <v>56.2857142857143</v>
      </c>
    </row>
    <row r="128" ht="15.6" hidden="1" outlineLevel="2" spans="1:25">
      <c r="A128" s="5">
        <v>304</v>
      </c>
      <c r="B128" s="5">
        <v>31</v>
      </c>
      <c r="C128" s="5" t="s">
        <v>180</v>
      </c>
      <c r="D128" s="5" t="s">
        <v>12</v>
      </c>
      <c r="E128" s="5">
        <v>0</v>
      </c>
      <c r="F128" s="7">
        <f>LOOKUP(E128,{0,-1.8,-0.8,0.2,1.2,2.2,3.2,4.6,6,7.4,8.8,10.2,11.6,13,14.4,15.8,17.2,19.1,21,22.8,24.6},{0,10,20,30,40,50,60,62,64,66,68,70,72,74,76,78,80,85,90,95,100})</f>
        <v>20</v>
      </c>
      <c r="G128" s="5">
        <v>247</v>
      </c>
      <c r="H128" s="7">
        <f>LOOKUP(G128,{0,180,185,190,195,200,205,209,213,217,221,225,229,233,237,241,245,253,260,265,270},{0,10,20,30,40,50,60,62,64,66,68,70,72,74,76,78,80,85,90,95,100})</f>
        <v>80</v>
      </c>
      <c r="I128" s="5">
        <v>10</v>
      </c>
      <c r="J128" s="7">
        <f>LOOKUP(I128,{0,4,5,6,7,8,9,10,11,12,13,14,15,16,17,18},{0,10,20,30,40,50,60,64,68,72,76,80,85,90,95,100})</f>
        <v>64</v>
      </c>
      <c r="K128" s="5"/>
      <c r="L128" s="5"/>
      <c r="M128" s="5">
        <f t="shared" si="68"/>
        <v>64</v>
      </c>
      <c r="N128" s="5">
        <v>7.6</v>
      </c>
      <c r="O128" s="10">
        <f t="shared" si="69"/>
        <v>10.4</v>
      </c>
      <c r="P128" s="7">
        <f>LOOKUP(O128,{0,7.8,8,8.2,8.4,8.6,8.8,9,9.2,9.4,9.6,9.8,10,10.2,10.4,10.6,10.8,10.9,11,11.1,11.2},{0,10,20,30,40,50,60,62,64,66,68,70,72,74,76,78,80,85,90,95,100})</f>
        <v>76</v>
      </c>
      <c r="Q128" s="5">
        <v>5.42</v>
      </c>
      <c r="R128" s="10">
        <f t="shared" si="70"/>
        <v>4.58</v>
      </c>
      <c r="S128" s="7">
        <f>LOOKUP(R128,{0,3.85,4.45,4.65,4.85,5.45,5.65,5.7,5.75,5.8,5.85,5.9,5.95,6,6.45,6.5,6.55,6.63,6.7,6.75,6.8},{0,10,20,30,40,50,60,62,64,66,68,70,72,74,76,78,80,85,90,95,100})</f>
        <v>20</v>
      </c>
      <c r="T128" s="5"/>
      <c r="U128" s="5"/>
      <c r="V128" s="5">
        <f t="shared" si="71"/>
        <v>20</v>
      </c>
      <c r="W128" s="5"/>
      <c r="X128" s="13">
        <f t="shared" si="72"/>
        <v>35.6</v>
      </c>
      <c r="Y128" s="13">
        <f t="shared" si="73"/>
        <v>50.8571428571429</v>
      </c>
    </row>
    <row r="129" ht="15.6" hidden="1" outlineLevel="2" spans="1:25">
      <c r="A129" s="5">
        <v>304</v>
      </c>
      <c r="B129" s="5">
        <v>32</v>
      </c>
      <c r="C129" s="5" t="s">
        <v>181</v>
      </c>
      <c r="D129" s="5" t="s">
        <v>12</v>
      </c>
      <c r="E129" s="5"/>
      <c r="F129" s="7"/>
      <c r="G129" s="5"/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>
        <v>50</v>
      </c>
      <c r="X129" s="13"/>
      <c r="Y129" s="13">
        <v>50</v>
      </c>
    </row>
    <row r="130" ht="15.6" hidden="1" outlineLevel="2" spans="1:25">
      <c r="A130" s="5">
        <v>304</v>
      </c>
      <c r="B130" s="5">
        <v>33</v>
      </c>
      <c r="C130" s="5" t="s">
        <v>182</v>
      </c>
      <c r="D130" s="5" t="s">
        <v>12</v>
      </c>
      <c r="E130" s="5">
        <v>3</v>
      </c>
      <c r="F130" s="7">
        <f>LOOKUP(E130,{0,-1.8,-0.8,0.2,1.2,2.2,3.2,4.6,6,7.4,8.8,10.2,11.6,13,14.4,15.8,17.2,19.1,21,22.8,24.6},{0,10,20,30,40,50,60,62,64,66,68,70,72,74,76,78,80,85,90,95,100})</f>
        <v>50</v>
      </c>
      <c r="G130" s="5">
        <v>195</v>
      </c>
      <c r="H130" s="7">
        <f>LOOKUP(G130,{0,180,185,190,195,200,205,209,213,217,221,225,229,233,237,241,245,253,260,265,270},{0,10,20,30,40,50,60,62,64,66,68,70,72,74,76,78,80,85,90,95,100})</f>
        <v>40</v>
      </c>
      <c r="I130" s="5">
        <v>2</v>
      </c>
      <c r="J130" s="7">
        <f>LOOKUP(I130,{0,4,5,6,7,8,9,10,11,12,13,14,15,16,17,18},{0,10,20,30,40,50,60,64,68,72,76,80,85,90,95,100})</f>
        <v>0</v>
      </c>
      <c r="K130" s="5"/>
      <c r="L130" s="5"/>
      <c r="M130" s="5">
        <f>J130+L130</f>
        <v>0</v>
      </c>
      <c r="N130" s="5">
        <v>8</v>
      </c>
      <c r="O130" s="10">
        <f>18-N130</f>
        <v>10</v>
      </c>
      <c r="P130" s="7">
        <f>LOOKUP(O130,{0,7.8,8,8.2,8.4,8.6,8.8,9,9.2,9.4,9.6,9.8,10,10.2,10.4,10.6,10.8,10.9,11,11.1,11.2},{0,10,20,30,40,50,60,62,64,66,68,70,72,74,76,78,80,85,90,95,100})</f>
        <v>72</v>
      </c>
      <c r="Q130" s="5">
        <v>4.57</v>
      </c>
      <c r="R130" s="10">
        <f>10-Q130</f>
        <v>5.43</v>
      </c>
      <c r="S130" s="7">
        <f>LOOKUP(R130,{0,3.85,4.45,4.65,4.85,5.45,5.65,5.7,5.75,5.8,5.85,5.9,5.95,6,6.45,6.5,6.55,6.63,6.7,6.75,6.8},{0,10,20,30,40,50,60,62,64,66,68,70,72,74,76,78,80,85,90,95,100})</f>
        <v>40</v>
      </c>
      <c r="T130" s="5"/>
      <c r="U130" s="5"/>
      <c r="V130" s="5">
        <f>S130+U130</f>
        <v>40</v>
      </c>
      <c r="W130" s="5"/>
      <c r="X130" s="13">
        <f>F130*0.1+H130*0.1+J130*0.1+P130*0.2+S130*0.2</f>
        <v>31.4</v>
      </c>
      <c r="Y130" s="13">
        <f>X130/0.7+L130+U130</f>
        <v>44.8571428571429</v>
      </c>
    </row>
    <row r="131" ht="15.6" hidden="1" outlineLevel="2" spans="1:25">
      <c r="A131" s="5">
        <v>304</v>
      </c>
      <c r="B131" s="5">
        <v>34</v>
      </c>
      <c r="C131" s="5" t="s">
        <v>183</v>
      </c>
      <c r="D131" s="5" t="s">
        <v>12</v>
      </c>
      <c r="E131" s="5"/>
      <c r="F131" s="7"/>
      <c r="G131" s="5"/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>
        <v>50</v>
      </c>
      <c r="X131" s="13"/>
      <c r="Y131" s="13">
        <v>50</v>
      </c>
    </row>
    <row r="132" ht="15.6" outlineLevel="1" collapsed="1" spans="1:25">
      <c r="A132" s="6" t="s">
        <v>855</v>
      </c>
      <c r="B132" s="5"/>
      <c r="C132" s="5"/>
      <c r="D132" s="5"/>
      <c r="E132" s="5"/>
      <c r="F132" s="7">
        <f>SUBTOTAL(1,F98:F131)</f>
        <v>59.8095238095238</v>
      </c>
      <c r="G132" s="5"/>
      <c r="H132" s="7">
        <f>SUBTOTAL(1,H98:H131)</f>
        <v>68.8571428571429</v>
      </c>
      <c r="I132" s="5"/>
      <c r="J132" s="5">
        <f>SUBTOTAL(1,J98:J131)</f>
        <v>24.8095238095238</v>
      </c>
      <c r="K132" s="5"/>
      <c r="L132" s="5"/>
      <c r="M132" s="5">
        <f>SUBTOTAL(1,M98:M131)</f>
        <v>24.9047619047619</v>
      </c>
      <c r="N132" s="5"/>
      <c r="O132" s="5"/>
      <c r="P132" s="5">
        <f>SUBTOTAL(1,P98:P131)</f>
        <v>78.1428571428571</v>
      </c>
      <c r="Q132" s="5"/>
      <c r="R132" s="5"/>
      <c r="S132" s="5">
        <f>SUBTOTAL(1,S98:S131)</f>
        <v>55.8</v>
      </c>
      <c r="T132" s="5"/>
      <c r="U132" s="5"/>
      <c r="V132" s="5">
        <f>SUBTOTAL(1,V98:V131)</f>
        <v>55.8</v>
      </c>
      <c r="W132" s="5"/>
      <c r="X132" s="13">
        <f>SUBTOTAL(1,X98:X131)</f>
        <v>41.6047619047619</v>
      </c>
      <c r="Y132" s="13">
        <f>SUBTOTAL(1,Y98:Y131)</f>
        <v>56.6008403361345</v>
      </c>
    </row>
    <row r="133" ht="15.6" hidden="1" outlineLevel="2" spans="1:25">
      <c r="A133" s="5">
        <v>305</v>
      </c>
      <c r="B133" s="5">
        <v>1</v>
      </c>
      <c r="C133" s="8" t="s">
        <v>185</v>
      </c>
      <c r="D133" s="9" t="s">
        <v>12</v>
      </c>
      <c r="E133" s="5">
        <v>14.8</v>
      </c>
      <c r="F133" s="7">
        <f>LOOKUP(E133,{0,-1.8,-0.8,0.2,1.2,2.2,3.2,4.6,6,7.4,8.8,10.2,11.6,13,14.4,15.8,17.2,19.1,21,22.8,24.6},{0,10,20,30,40,50,60,62,64,66,68,70,72,74,76,78,80,85,90,95,100})</f>
        <v>76</v>
      </c>
      <c r="G133" s="5">
        <v>260</v>
      </c>
      <c r="H133" s="7">
        <f>LOOKUP(G133,{0,180,185,190,195,200,205,209,213,217,221,225,229,233,237,241,245,253,260,265,270},{0,10,20,30,40,50,60,62,64,66,68,70,72,74,76,78,80,85,90,95,100})</f>
        <v>90</v>
      </c>
      <c r="I133" s="5">
        <v>30</v>
      </c>
      <c r="J133" s="7">
        <f>LOOKUP(I133,{0,4,5,6,7,8,9,10,11,12,13,14,15,16,17,18},{0,10,20,30,40,50,60,64,68,72,76,80,85,90,95,100})</f>
        <v>100</v>
      </c>
      <c r="K133" s="5">
        <f>I133-18</f>
        <v>12</v>
      </c>
      <c r="L133" s="7">
        <f>LOOKUP(K133,{0,1,2,3,4,5,6,7,8,9,10},{0,1,2,3,4,5,6,7,8,9,10})</f>
        <v>10</v>
      </c>
      <c r="M133" s="5">
        <f t="shared" ref="M133:M156" si="74">J133+L133</f>
        <v>110</v>
      </c>
      <c r="N133" s="5">
        <v>6.8</v>
      </c>
      <c r="O133" s="10">
        <f t="shared" ref="O133:O156" si="75">18-N133</f>
        <v>11.2</v>
      </c>
      <c r="P133" s="7">
        <f>LOOKUP(O133,{0,7.8,8,8.2,8.4,8.6,8.8,9,9.2,9.4,9.6,9.8,10,10.2,10.4,10.6,10.8,10.9,11,11.1,11.2},{0,10,20,30,40,50,60,62,64,66,68,70,72,74,76,78,80,85,90,95,100})</f>
        <v>100</v>
      </c>
      <c r="Q133" s="5">
        <v>4.27</v>
      </c>
      <c r="R133" s="10">
        <f t="shared" ref="R133:R156" si="76">10-Q133</f>
        <v>5.73</v>
      </c>
      <c r="S133" s="7">
        <f>LOOKUP(R133,{0,3.85,4.45,4.65,4.85,5.45,5.65,5.7,5.75,5.8,5.85,5.9,5.95,6,6.45,6.5,6.55,6.63,6.7,6.75,6.8},{0,10,20,30,40,50,60,62,64,66,68,70,72,74,76,78,80,85,90,95,100})</f>
        <v>62</v>
      </c>
      <c r="T133" s="5"/>
      <c r="U133" s="5"/>
      <c r="V133" s="5">
        <f t="shared" ref="V133:V156" si="77">S133+U133</f>
        <v>62</v>
      </c>
      <c r="W133" s="5"/>
      <c r="X133" s="13">
        <f t="shared" ref="X133:X156" si="78">F133*0.1+H133*0.1+J133*0.1+P133*0.2+S133*0.2</f>
        <v>59</v>
      </c>
      <c r="Y133" s="13">
        <f t="shared" ref="Y133:Y156" si="79">X133/0.7+L133+U133</f>
        <v>94.2857142857143</v>
      </c>
    </row>
    <row r="134" ht="15.6" hidden="1" outlineLevel="2" spans="1:25">
      <c r="A134" s="5">
        <v>305</v>
      </c>
      <c r="B134" s="5">
        <v>2</v>
      </c>
      <c r="C134" s="9" t="s">
        <v>186</v>
      </c>
      <c r="D134" s="9" t="s">
        <v>12</v>
      </c>
      <c r="E134" s="5">
        <v>7</v>
      </c>
      <c r="F134" s="7">
        <f>LOOKUP(E134,{0,-1.8,-0.8,0.2,1.2,2.2,3.2,4.6,6,7.4,8.8,10.2,11.6,13,14.4,15.8,17.2,19.1,21,22.8,24.6},{0,10,20,30,40,50,60,62,64,66,68,70,72,74,76,78,80,85,90,95,100})</f>
        <v>64</v>
      </c>
      <c r="G134" s="5">
        <v>250</v>
      </c>
      <c r="H134" s="7">
        <f>LOOKUP(G134,{0,180,185,190,195,200,205,209,213,217,221,225,229,233,237,241,245,253,260,265,270},{0,10,20,30,40,50,60,62,64,66,68,70,72,74,76,78,80,85,90,95,100})</f>
        <v>80</v>
      </c>
      <c r="I134" s="5">
        <v>1</v>
      </c>
      <c r="J134" s="7">
        <f>LOOKUP(I134,{0,4,5,6,7,8,9,10,11,12,13,14,15,16,17,18},{0,10,20,30,40,50,60,64,68,72,76,80,85,90,95,100})</f>
        <v>0</v>
      </c>
      <c r="K134" s="5"/>
      <c r="L134" s="5"/>
      <c r="M134" s="5">
        <f t="shared" si="74"/>
        <v>0</v>
      </c>
      <c r="N134" s="5">
        <v>7.3</v>
      </c>
      <c r="O134" s="10">
        <f t="shared" si="75"/>
        <v>10.7</v>
      </c>
      <c r="P134" s="7">
        <f>LOOKUP(O134,{0,7.8,8,8.2,8.4,8.6,8.8,9,9.2,9.4,9.6,9.8,10,10.2,10.4,10.6,10.8,10.9,11,11.1,11.2},{0,10,20,30,40,50,60,62,64,66,68,70,72,74,76,78,80,85,90,95,100})</f>
        <v>78</v>
      </c>
      <c r="Q134" s="5">
        <v>4.52</v>
      </c>
      <c r="R134" s="10">
        <f t="shared" si="76"/>
        <v>5.48</v>
      </c>
      <c r="S134" s="7">
        <f>LOOKUP(R134,{0,3.85,4.45,4.65,4.85,5.45,5.65,5.7,5.75,5.8,5.85,5.9,5.95,6,6.45,6.5,6.55,6.63,6.7,6.75,6.8},{0,10,20,30,40,50,60,62,64,66,68,70,72,74,76,78,80,85,90,95,100})</f>
        <v>50</v>
      </c>
      <c r="T134" s="5"/>
      <c r="U134" s="5"/>
      <c r="V134" s="5">
        <f t="shared" si="77"/>
        <v>50</v>
      </c>
      <c r="W134" s="5"/>
      <c r="X134" s="13">
        <f t="shared" si="78"/>
        <v>40</v>
      </c>
      <c r="Y134" s="13">
        <f t="shared" si="79"/>
        <v>57.1428571428571</v>
      </c>
    </row>
    <row r="135" ht="15.6" hidden="1" outlineLevel="2" spans="1:25">
      <c r="A135" s="5">
        <v>305</v>
      </c>
      <c r="B135" s="5">
        <v>3</v>
      </c>
      <c r="C135" s="9" t="s">
        <v>187</v>
      </c>
      <c r="D135" s="9" t="s">
        <v>12</v>
      </c>
      <c r="E135" s="5">
        <v>16.4</v>
      </c>
      <c r="F135" s="7">
        <f>LOOKUP(E135,{0,-1.8,-0.8,0.2,1.2,2.2,3.2,4.6,6,7.4,8.8,10.2,11.6,13,14.4,15.8,17.2,19.1,21,22.8,24.6},{0,10,20,30,40,50,60,62,64,66,68,70,72,74,76,78,80,85,90,95,100})</f>
        <v>78</v>
      </c>
      <c r="G135" s="5">
        <v>245</v>
      </c>
      <c r="H135" s="7">
        <f>LOOKUP(G135,{0,180,185,190,195,200,205,209,213,217,221,225,229,233,237,241,245,253,260,265,270},{0,10,20,30,40,50,60,62,64,66,68,70,72,74,76,78,80,85,90,95,100})</f>
        <v>80</v>
      </c>
      <c r="I135" s="5">
        <v>25</v>
      </c>
      <c r="J135" s="7">
        <f>LOOKUP(I135,{0,4,5,6,7,8,9,10,11,12,13,14,15,16,17,18},{0,10,20,30,40,50,60,64,68,72,76,80,85,90,95,100})</f>
        <v>100</v>
      </c>
      <c r="K135" s="5">
        <f>I135-18</f>
        <v>7</v>
      </c>
      <c r="L135" s="7">
        <f>LOOKUP(K135,{0,1,2,3,4,5,6,7,8,9,10},{0,1,2,3,4,5,6,7,8,9,10})</f>
        <v>7</v>
      </c>
      <c r="M135" s="5">
        <f t="shared" si="74"/>
        <v>107</v>
      </c>
      <c r="N135" s="5">
        <v>7</v>
      </c>
      <c r="O135" s="10">
        <f t="shared" si="75"/>
        <v>11</v>
      </c>
      <c r="P135" s="7">
        <f>LOOKUP(O135,{0,7.8,8,8.2,8.4,8.6,8.8,9,9.2,9.4,9.6,9.8,10,10.2,10.4,10.6,10.8,10.9,11,11.1,11.2},{0,10,20,30,40,50,60,62,64,66,68,70,72,74,76,78,80,85,90,95,100})</f>
        <v>90</v>
      </c>
      <c r="Q135" s="5">
        <v>3.41</v>
      </c>
      <c r="R135" s="10">
        <f t="shared" si="76"/>
        <v>6.59</v>
      </c>
      <c r="S135" s="7">
        <f>LOOKUP(R135,{0,3.85,4.45,4.65,4.85,5.45,5.65,5.7,5.75,5.8,5.85,5.9,5.95,6,6.45,6.5,6.55,6.63,6.7,6.75,6.8},{0,10,20,30,40,50,60,62,64,66,68,70,72,74,76,78,80,85,90,95,100})</f>
        <v>80</v>
      </c>
      <c r="T135" s="5"/>
      <c r="U135" s="5"/>
      <c r="V135" s="5">
        <f t="shared" si="77"/>
        <v>80</v>
      </c>
      <c r="W135" s="5"/>
      <c r="X135" s="13">
        <f t="shared" si="78"/>
        <v>59.8</v>
      </c>
      <c r="Y135" s="13">
        <f t="shared" si="79"/>
        <v>92.4285714285714</v>
      </c>
    </row>
    <row r="136" ht="15.6" hidden="1" outlineLevel="2" spans="1:25">
      <c r="A136" s="5">
        <v>305</v>
      </c>
      <c r="B136" s="5">
        <v>4</v>
      </c>
      <c r="C136" s="9" t="s">
        <v>188</v>
      </c>
      <c r="D136" s="9" t="s">
        <v>12</v>
      </c>
      <c r="E136" s="5">
        <v>14</v>
      </c>
      <c r="F136" s="7">
        <f>LOOKUP(E136,{0,-1.8,-0.8,0.2,1.2,2.2,3.2,4.6,6,7.4,8.8,10.2,11.6,13,14.4,15.8,17.2,19.1,21,22.8,24.6},{0,10,20,30,40,50,60,62,64,66,68,70,72,74,76,78,80,85,90,95,100})</f>
        <v>74</v>
      </c>
      <c r="G136" s="5">
        <v>210</v>
      </c>
      <c r="H136" s="7">
        <f>LOOKUP(G136,{0,180,185,190,195,200,205,209,213,217,221,225,229,233,237,241,245,253,260,265,270},{0,10,20,30,40,50,60,62,64,66,68,70,72,74,76,78,80,85,90,95,100})</f>
        <v>62</v>
      </c>
      <c r="I136" s="5">
        <v>10</v>
      </c>
      <c r="J136" s="7">
        <f>LOOKUP(I136,{0,4,5,6,7,8,9,10,11,12,13,14,15,16,17,18},{0,10,20,30,40,50,60,64,68,72,76,80,85,90,95,100})</f>
        <v>64</v>
      </c>
      <c r="K136" s="5"/>
      <c r="L136" s="5"/>
      <c r="M136" s="5">
        <f t="shared" si="74"/>
        <v>64</v>
      </c>
      <c r="N136" s="5">
        <v>7.3</v>
      </c>
      <c r="O136" s="10">
        <f t="shared" si="75"/>
        <v>10.7</v>
      </c>
      <c r="P136" s="7">
        <f>LOOKUP(O136,{0,7.8,8,8.2,8.4,8.6,8.8,9,9.2,9.4,9.6,9.8,10,10.2,10.4,10.6,10.8,10.9,11,11.1,11.2},{0,10,20,30,40,50,60,62,64,66,68,70,72,74,76,78,80,85,90,95,100})</f>
        <v>78</v>
      </c>
      <c r="Q136" s="5">
        <v>4.3</v>
      </c>
      <c r="R136" s="10">
        <f t="shared" si="76"/>
        <v>5.7</v>
      </c>
      <c r="S136" s="7">
        <f>LOOKUP(R136,{0,3.85,4.45,4.65,4.85,5.45,5.65,5.7,5.75,5.8,5.85,5.9,5.95,6,6.45,6.5,6.55,6.63,6.7,6.75,6.8},{0,10,20,30,40,50,60,62,64,66,68,70,72,74,76,78,80,85,90,95,100})</f>
        <v>62</v>
      </c>
      <c r="T136" s="5"/>
      <c r="U136" s="5"/>
      <c r="V136" s="5">
        <f t="shared" si="77"/>
        <v>62</v>
      </c>
      <c r="W136" s="5"/>
      <c r="X136" s="13">
        <f t="shared" si="78"/>
        <v>48</v>
      </c>
      <c r="Y136" s="13">
        <f t="shared" si="79"/>
        <v>68.5714285714286</v>
      </c>
    </row>
    <row r="137" ht="15.6" hidden="1" outlineLevel="2" spans="1:25">
      <c r="A137" s="5">
        <v>305</v>
      </c>
      <c r="B137" s="5">
        <v>5</v>
      </c>
      <c r="C137" s="9" t="s">
        <v>189</v>
      </c>
      <c r="D137" s="9" t="s">
        <v>12</v>
      </c>
      <c r="E137" s="5">
        <v>14</v>
      </c>
      <c r="F137" s="7">
        <f>LOOKUP(E137,{0,-1.8,-0.8,0.2,1.2,2.2,3.2,4.6,6,7.4,8.8,10.2,11.6,13,14.4,15.8,17.2,19.1,21,22.8,24.6},{0,10,20,30,40,50,60,62,64,66,68,70,72,74,76,78,80,85,90,95,100})</f>
        <v>74</v>
      </c>
      <c r="G137" s="5">
        <v>220</v>
      </c>
      <c r="H137" s="7">
        <f>LOOKUP(G137,{0,180,185,190,195,200,205,209,213,217,221,225,229,233,237,241,245,253,260,265,270},{0,10,20,30,40,50,60,62,64,66,68,70,72,74,76,78,80,85,90,95,100})</f>
        <v>66</v>
      </c>
      <c r="I137" s="5">
        <v>2</v>
      </c>
      <c r="J137" s="7">
        <f>LOOKUP(I137,{0,4,5,6,7,8,9,10,11,12,13,14,15,16,17,18},{0,10,20,30,40,50,60,64,68,72,76,80,85,90,95,100})</f>
        <v>0</v>
      </c>
      <c r="K137" s="5"/>
      <c r="L137" s="5"/>
      <c r="M137" s="5">
        <f t="shared" si="74"/>
        <v>0</v>
      </c>
      <c r="N137" s="5">
        <v>7.6</v>
      </c>
      <c r="O137" s="10">
        <f t="shared" si="75"/>
        <v>10.4</v>
      </c>
      <c r="P137" s="7">
        <f>LOOKUP(O137,{0,7.8,8,8.2,8.4,8.6,8.8,9,9.2,9.4,9.6,9.8,10,10.2,10.4,10.6,10.8,10.9,11,11.1,11.2},{0,10,20,30,40,50,60,62,64,66,68,70,72,74,76,78,80,85,90,95,100})</f>
        <v>76</v>
      </c>
      <c r="Q137" s="5">
        <v>4.42</v>
      </c>
      <c r="R137" s="10">
        <f t="shared" si="76"/>
        <v>5.58</v>
      </c>
      <c r="S137" s="7">
        <f>LOOKUP(R137,{0,3.85,4.45,4.65,4.85,5.45,5.65,5.7,5.75,5.8,5.85,5.9,5.95,6,6.45,6.5,6.55,6.63,6.7,6.75,6.8},{0,10,20,30,40,50,60,62,64,66,68,70,72,74,76,78,80,85,90,95,100})</f>
        <v>50</v>
      </c>
      <c r="T137" s="5"/>
      <c r="U137" s="5"/>
      <c r="V137" s="5">
        <f t="shared" si="77"/>
        <v>50</v>
      </c>
      <c r="W137" s="5"/>
      <c r="X137" s="13">
        <f t="shared" si="78"/>
        <v>39.2</v>
      </c>
      <c r="Y137" s="13">
        <f t="shared" si="79"/>
        <v>56</v>
      </c>
    </row>
    <row r="138" ht="15.6" hidden="1" outlineLevel="2" spans="1:25">
      <c r="A138" s="5">
        <v>305</v>
      </c>
      <c r="B138" s="5">
        <v>6</v>
      </c>
      <c r="C138" s="9" t="s">
        <v>190</v>
      </c>
      <c r="D138" s="9" t="s">
        <v>12</v>
      </c>
      <c r="E138" s="5">
        <v>12</v>
      </c>
      <c r="F138" s="7">
        <f>LOOKUP(E138,{0,-1.8,-0.8,0.2,1.2,2.2,3.2,4.6,6,7.4,8.8,10.2,11.6,13,14.4,15.8,17.2,19.1,21,22.8,24.6},{0,10,20,30,40,50,60,62,64,66,68,70,72,74,76,78,80,85,90,95,100})</f>
        <v>72</v>
      </c>
      <c r="G138" s="5">
        <v>249</v>
      </c>
      <c r="H138" s="7">
        <f>LOOKUP(G138,{0,180,185,190,195,200,205,209,213,217,221,225,229,233,237,241,245,253,260,265,270},{0,10,20,30,40,50,60,62,64,66,68,70,72,74,76,78,80,85,90,95,100})</f>
        <v>80</v>
      </c>
      <c r="I138" s="5">
        <v>5</v>
      </c>
      <c r="J138" s="7">
        <f>LOOKUP(I138,{0,4,5,6,7,8,9,10,11,12,13,14,15,16,17,18},{0,10,20,30,40,50,60,64,68,72,76,80,85,90,95,100})</f>
        <v>20</v>
      </c>
      <c r="K138" s="5"/>
      <c r="L138" s="5"/>
      <c r="M138" s="5">
        <f t="shared" si="74"/>
        <v>20</v>
      </c>
      <c r="N138" s="5">
        <v>7.1</v>
      </c>
      <c r="O138" s="10">
        <f t="shared" si="75"/>
        <v>10.9</v>
      </c>
      <c r="P138" s="7">
        <f>LOOKUP(O138,{0,7.8,8,8.2,8.4,8.6,8.8,9,9.2,9.4,9.6,9.8,10,10.2,10.4,10.6,10.8,10.9,11,11.1,11.2},{0,10,20,30,40,50,60,62,64,66,68,70,72,74,76,78,80,85,90,95,100})</f>
        <v>85</v>
      </c>
      <c r="Q138" s="5">
        <v>4.55</v>
      </c>
      <c r="R138" s="10">
        <f t="shared" si="76"/>
        <v>5.45</v>
      </c>
      <c r="S138" s="7">
        <f>LOOKUP(R138,{0,3.85,4.45,4.65,4.85,5.45,5.65,5.7,5.75,5.8,5.85,5.9,5.95,6,6.45,6.5,6.55,6.63,6.7,6.75,6.8},{0,10,20,30,40,50,60,62,64,66,68,70,72,74,76,78,80,85,90,95,100})</f>
        <v>50</v>
      </c>
      <c r="T138" s="5"/>
      <c r="U138" s="5"/>
      <c r="V138" s="5">
        <f t="shared" si="77"/>
        <v>50</v>
      </c>
      <c r="W138" s="5"/>
      <c r="X138" s="13">
        <f t="shared" si="78"/>
        <v>44.2</v>
      </c>
      <c r="Y138" s="13">
        <f t="shared" si="79"/>
        <v>63.1428571428572</v>
      </c>
    </row>
    <row r="139" ht="15.6" hidden="1" outlineLevel="2" spans="1:25">
      <c r="A139" s="5">
        <v>305</v>
      </c>
      <c r="B139" s="5">
        <v>7</v>
      </c>
      <c r="C139" s="9" t="s">
        <v>191</v>
      </c>
      <c r="D139" s="9" t="s">
        <v>12</v>
      </c>
      <c r="E139" s="5">
        <v>7.5</v>
      </c>
      <c r="F139" s="7">
        <f>LOOKUP(E139,{0,-1.8,-0.8,0.2,1.2,2.2,3.2,4.6,6,7.4,8.8,10.2,11.6,13,14.4,15.8,17.2,19.1,21,22.8,24.6},{0,10,20,30,40,50,60,62,64,66,68,70,72,74,76,78,80,85,90,95,100})</f>
        <v>66</v>
      </c>
      <c r="G139" s="5">
        <v>205</v>
      </c>
      <c r="H139" s="7">
        <f>LOOKUP(G139,{0,180,185,190,195,200,205,209,213,217,221,225,229,233,237,241,245,253,260,265,270},{0,10,20,30,40,50,60,62,64,66,68,70,72,74,76,78,80,85,90,95,100})</f>
        <v>60</v>
      </c>
      <c r="I139" s="5">
        <v>0</v>
      </c>
      <c r="J139" s="7">
        <f>LOOKUP(I139,{0,4,5,6,7,8,9,10,11,12,13,14,15,16,17,18},{0,10,20,30,40,50,60,64,68,72,76,80,85,90,95,100})</f>
        <v>0</v>
      </c>
      <c r="K139" s="5"/>
      <c r="L139" s="5"/>
      <c r="M139" s="5">
        <f t="shared" si="74"/>
        <v>0</v>
      </c>
      <c r="N139" s="5">
        <v>7.8</v>
      </c>
      <c r="O139" s="10">
        <f t="shared" si="75"/>
        <v>10.2</v>
      </c>
      <c r="P139" s="7">
        <f>LOOKUP(O139,{0,7.8,8,8.2,8.4,8.6,8.8,9,9.2,9.4,9.6,9.8,10,10.2,10.4,10.6,10.8,10.9,11,11.1,11.2},{0,10,20,30,40,50,60,62,64,66,68,70,72,74,76,78,80,85,90,95,100})</f>
        <v>74</v>
      </c>
      <c r="Q139" s="5">
        <v>4.5</v>
      </c>
      <c r="R139" s="10">
        <f t="shared" si="76"/>
        <v>5.5</v>
      </c>
      <c r="S139" s="7">
        <f>LOOKUP(R139,{0,3.85,4.45,4.65,4.85,5.45,5.65,5.7,5.75,5.8,5.85,5.9,5.95,6,6.45,6.5,6.55,6.63,6.7,6.75,6.8},{0,10,20,30,40,50,60,62,64,66,68,70,72,74,76,78,80,85,90,95,100})</f>
        <v>50</v>
      </c>
      <c r="T139" s="5"/>
      <c r="U139" s="5"/>
      <c r="V139" s="5">
        <f t="shared" si="77"/>
        <v>50</v>
      </c>
      <c r="W139" s="5"/>
      <c r="X139" s="13">
        <f t="shared" si="78"/>
        <v>37.4</v>
      </c>
      <c r="Y139" s="13">
        <f t="shared" si="79"/>
        <v>53.4285714285714</v>
      </c>
    </row>
    <row r="140" ht="15.6" hidden="1" outlineLevel="2" spans="1:25">
      <c r="A140" s="5">
        <v>305</v>
      </c>
      <c r="B140" s="5">
        <v>8</v>
      </c>
      <c r="C140" s="9" t="s">
        <v>192</v>
      </c>
      <c r="D140" s="9" t="s">
        <v>12</v>
      </c>
      <c r="E140" s="5">
        <v>13.5</v>
      </c>
      <c r="F140" s="7">
        <f>LOOKUP(E140,{0,-1.8,-0.8,0.2,1.2,2.2,3.2,4.6,6,7.4,8.8,10.2,11.6,13,14.4,15.8,17.2,19.1,21,22.8,24.6},{0,10,20,30,40,50,60,62,64,66,68,70,72,74,76,78,80,85,90,95,100})</f>
        <v>74</v>
      </c>
      <c r="G140" s="5">
        <v>207</v>
      </c>
      <c r="H140" s="7">
        <f>LOOKUP(G140,{0,180,185,190,195,200,205,209,213,217,221,225,229,233,237,241,245,253,260,265,270},{0,10,20,30,40,50,60,62,64,66,68,70,72,74,76,78,80,85,90,95,100})</f>
        <v>60</v>
      </c>
      <c r="I140" s="5">
        <v>1</v>
      </c>
      <c r="J140" s="7">
        <f>LOOKUP(I140,{0,4,5,6,7,8,9,10,11,12,13,14,15,16,17,18},{0,10,20,30,40,50,60,64,68,72,76,80,85,90,95,100})</f>
        <v>0</v>
      </c>
      <c r="K140" s="5"/>
      <c r="L140" s="5"/>
      <c r="M140" s="5">
        <f t="shared" si="74"/>
        <v>0</v>
      </c>
      <c r="N140" s="5">
        <v>8.1</v>
      </c>
      <c r="O140" s="10">
        <f t="shared" si="75"/>
        <v>9.9</v>
      </c>
      <c r="P140" s="7">
        <f>LOOKUP(O140,{0,7.8,8,8.2,8.4,8.6,8.8,9,9.2,9.4,9.6,9.8,10,10.2,10.4,10.6,10.8,10.9,11,11.1,11.2},{0,10,20,30,40,50,60,62,64,66,68,70,72,74,76,78,80,85,90,95,100})</f>
        <v>70</v>
      </c>
      <c r="Q140" s="5">
        <v>5.02</v>
      </c>
      <c r="R140" s="10">
        <f t="shared" si="76"/>
        <v>4.98</v>
      </c>
      <c r="S140" s="7">
        <f>LOOKUP(R140,{0,3.85,4.45,4.65,4.85,5.45,5.65,5.7,5.75,5.8,5.85,5.9,5.95,6,6.45,6.5,6.55,6.63,6.7,6.75,6.8},{0,10,20,30,40,50,60,62,64,66,68,70,72,74,76,78,80,85,90,95,100})</f>
        <v>40</v>
      </c>
      <c r="T140" s="5"/>
      <c r="U140" s="5"/>
      <c r="V140" s="5">
        <f t="shared" si="77"/>
        <v>40</v>
      </c>
      <c r="W140" s="5"/>
      <c r="X140" s="13">
        <f t="shared" si="78"/>
        <v>35.4</v>
      </c>
      <c r="Y140" s="13">
        <f t="shared" si="79"/>
        <v>50.5714285714286</v>
      </c>
    </row>
    <row r="141" ht="15.6" hidden="1" outlineLevel="2" spans="1:25">
      <c r="A141" s="5">
        <v>305</v>
      </c>
      <c r="B141" s="5">
        <v>9</v>
      </c>
      <c r="C141" s="9" t="s">
        <v>193</v>
      </c>
      <c r="D141" s="9" t="s">
        <v>12</v>
      </c>
      <c r="E141" s="5">
        <v>20</v>
      </c>
      <c r="F141" s="7">
        <f>LOOKUP(E141,{0,-1.8,-0.8,0.2,1.2,2.2,3.2,4.6,6,7.4,8.8,10.2,11.6,13,14.4,15.8,17.2,19.1,21,22.8,24.6},{0,10,20,30,40,50,60,62,64,66,68,70,72,74,76,78,80,85,90,95,100})</f>
        <v>85</v>
      </c>
      <c r="G141" s="5">
        <v>240</v>
      </c>
      <c r="H141" s="7">
        <f>LOOKUP(G141,{0,180,185,190,195,200,205,209,213,217,221,225,229,233,237,241,245,253,260,265,270},{0,10,20,30,40,50,60,62,64,66,68,70,72,74,76,78,80,85,90,95,100})</f>
        <v>76</v>
      </c>
      <c r="I141" s="5">
        <v>3</v>
      </c>
      <c r="J141" s="7">
        <f>LOOKUP(I141,{0,4,5,6,7,8,9,10,11,12,13,14,15,16,17,18},{0,10,20,30,40,50,60,64,68,72,76,80,85,90,95,100})</f>
        <v>0</v>
      </c>
      <c r="K141" s="5"/>
      <c r="L141" s="5"/>
      <c r="M141" s="5">
        <f t="shared" si="74"/>
        <v>0</v>
      </c>
      <c r="N141" s="5">
        <v>7.1</v>
      </c>
      <c r="O141" s="10">
        <f t="shared" si="75"/>
        <v>10.9</v>
      </c>
      <c r="P141" s="7">
        <f>LOOKUP(O141,{0,7.8,8,8.2,8.4,8.6,8.8,9,9.2,9.4,9.6,9.8,10,10.2,10.4,10.6,10.8,10.9,11,11.1,11.2},{0,10,20,30,40,50,60,62,64,66,68,70,72,74,76,78,80,85,90,95,100})</f>
        <v>85</v>
      </c>
      <c r="Q141" s="5">
        <v>4.2</v>
      </c>
      <c r="R141" s="10">
        <f t="shared" si="76"/>
        <v>5.8</v>
      </c>
      <c r="S141" s="7">
        <f>LOOKUP(R141,{0,3.85,4.45,4.65,4.85,5.45,5.65,5.7,5.75,5.8,5.85,5.9,5.95,6,6.45,6.5,6.55,6.63,6.7,6.75,6.8},{0,10,20,30,40,50,60,62,64,66,68,70,72,74,76,78,80,85,90,95,100})</f>
        <v>66</v>
      </c>
      <c r="T141" s="5"/>
      <c r="U141" s="5"/>
      <c r="V141" s="5">
        <f t="shared" si="77"/>
        <v>66</v>
      </c>
      <c r="W141" s="5"/>
      <c r="X141" s="13">
        <f t="shared" si="78"/>
        <v>46.3</v>
      </c>
      <c r="Y141" s="13">
        <f t="shared" si="79"/>
        <v>66.1428571428572</v>
      </c>
    </row>
    <row r="142" ht="15.6" hidden="1" outlineLevel="2" spans="1:25">
      <c r="A142" s="5">
        <v>305</v>
      </c>
      <c r="B142" s="5">
        <v>10</v>
      </c>
      <c r="C142" s="9" t="s">
        <v>194</v>
      </c>
      <c r="D142" s="9" t="s">
        <v>12</v>
      </c>
      <c r="E142" s="5">
        <v>4.4</v>
      </c>
      <c r="F142" s="7">
        <f>LOOKUP(E142,{0,-1.8,-0.8,0.2,1.2,2.2,3.2,4.6,6,7.4,8.8,10.2,11.6,13,14.4,15.8,17.2,19.1,21,22.8,24.6},{0,10,20,30,40,50,60,62,64,66,68,70,72,74,76,78,80,85,90,95,100})</f>
        <v>60</v>
      </c>
      <c r="G142" s="5">
        <v>240</v>
      </c>
      <c r="H142" s="7">
        <f>LOOKUP(G142,{0,180,185,190,195,200,205,209,213,217,221,225,229,233,237,241,245,253,260,265,270},{0,10,20,30,40,50,60,62,64,66,68,70,72,74,76,78,80,85,90,95,100})</f>
        <v>76</v>
      </c>
      <c r="I142" s="5">
        <v>18</v>
      </c>
      <c r="J142" s="7">
        <f>LOOKUP(I142,{0,4,5,6,7,8,9,10,11,12,13,14,15,16,17,18},{0,10,20,30,40,50,60,64,68,72,76,80,85,90,95,100})</f>
        <v>100</v>
      </c>
      <c r="K142" s="5"/>
      <c r="L142" s="5"/>
      <c r="M142" s="5">
        <f t="shared" si="74"/>
        <v>100</v>
      </c>
      <c r="N142" s="5">
        <v>7.1</v>
      </c>
      <c r="O142" s="10">
        <f t="shared" si="75"/>
        <v>10.9</v>
      </c>
      <c r="P142" s="7">
        <f>LOOKUP(O142,{0,7.8,8,8.2,8.4,8.6,8.8,9,9.2,9.4,9.6,9.8,10,10.2,10.4,10.6,10.8,10.9,11,11.1,11.2},{0,10,20,30,40,50,60,62,64,66,68,70,72,74,76,78,80,85,90,95,100})</f>
        <v>85</v>
      </c>
      <c r="Q142" s="5">
        <v>4.37</v>
      </c>
      <c r="R142" s="10">
        <f t="shared" si="76"/>
        <v>5.63</v>
      </c>
      <c r="S142" s="7">
        <f>LOOKUP(R142,{0,3.85,4.45,4.65,4.85,5.45,5.65,5.7,5.75,5.8,5.85,5.9,5.95,6,6.45,6.5,6.55,6.63,6.7,6.75,6.8},{0,10,20,30,40,50,60,62,64,66,68,70,72,74,76,78,80,85,90,95,100})</f>
        <v>50</v>
      </c>
      <c r="T142" s="5"/>
      <c r="U142" s="5"/>
      <c r="V142" s="5">
        <f t="shared" si="77"/>
        <v>50</v>
      </c>
      <c r="W142" s="5"/>
      <c r="X142" s="13">
        <f t="shared" si="78"/>
        <v>50.6</v>
      </c>
      <c r="Y142" s="13">
        <f t="shared" si="79"/>
        <v>72.2857142857143</v>
      </c>
    </row>
    <row r="143" ht="15.6" hidden="1" outlineLevel="2" spans="1:25">
      <c r="A143" s="5">
        <v>305</v>
      </c>
      <c r="B143" s="5">
        <v>11</v>
      </c>
      <c r="C143" s="8" t="s">
        <v>196</v>
      </c>
      <c r="D143" s="9" t="s">
        <v>12</v>
      </c>
      <c r="E143" s="5">
        <v>21</v>
      </c>
      <c r="F143" s="7">
        <f>LOOKUP(E143,{0,-1.8,-0.8,0.2,1.2,2.2,3.2,4.6,6,7.4,8.8,10.2,11.6,13,14.4,15.8,17.2,19.1,21,22.8,24.6},{0,10,20,30,40,50,60,62,64,66,68,70,72,74,76,78,80,85,90,95,100})</f>
        <v>90</v>
      </c>
      <c r="G143" s="5">
        <v>186</v>
      </c>
      <c r="H143" s="7">
        <f>LOOKUP(G143,{0,180,185,190,195,200,205,209,213,217,221,225,229,233,237,241,245,253,260,265,270},{0,10,20,30,40,50,60,62,64,66,68,70,72,74,76,78,80,85,90,95,100})</f>
        <v>20</v>
      </c>
      <c r="I143" s="5">
        <v>4</v>
      </c>
      <c r="J143" s="7">
        <f>LOOKUP(I143,{0,4,5,6,7,8,9,10,11,12,13,14,15,16,17,18},{0,10,20,30,40,50,60,64,68,72,76,80,85,90,95,100})</f>
        <v>10</v>
      </c>
      <c r="K143" s="5"/>
      <c r="L143" s="5"/>
      <c r="M143" s="5">
        <f t="shared" si="74"/>
        <v>10</v>
      </c>
      <c r="N143" s="5">
        <v>9</v>
      </c>
      <c r="O143" s="10">
        <f t="shared" si="75"/>
        <v>9</v>
      </c>
      <c r="P143" s="7">
        <f>LOOKUP(O143,{0,7.8,8,8.2,8.4,8.6,8.8,9,9.2,9.4,9.6,9.8,10,10.2,10.4,10.6,10.8,10.9,11,11.1,11.2},{0,10,20,30,40,50,60,62,64,66,68,70,72,74,76,78,80,85,90,95,100})</f>
        <v>62</v>
      </c>
      <c r="Q143" s="5">
        <v>4.53</v>
      </c>
      <c r="R143" s="10">
        <f t="shared" si="76"/>
        <v>5.47</v>
      </c>
      <c r="S143" s="7">
        <f>LOOKUP(R143,{0,3.85,4.45,4.65,4.85,5.45,5.65,5.7,5.75,5.8,5.85,5.9,5.95,6,6.45,6.5,6.55,6.63,6.7,6.75,6.8},{0,10,20,30,40,50,60,62,64,66,68,70,72,74,76,78,80,85,90,95,100})</f>
        <v>50</v>
      </c>
      <c r="T143" s="5"/>
      <c r="U143" s="5"/>
      <c r="V143" s="5">
        <f t="shared" si="77"/>
        <v>50</v>
      </c>
      <c r="W143" s="5"/>
      <c r="X143" s="13">
        <f t="shared" si="78"/>
        <v>34.4</v>
      </c>
      <c r="Y143" s="13">
        <f t="shared" si="79"/>
        <v>49.1428571428571</v>
      </c>
    </row>
    <row r="144" ht="15.6" hidden="1" outlineLevel="2" spans="1:25">
      <c r="A144" s="5">
        <v>305</v>
      </c>
      <c r="B144" s="5">
        <v>12</v>
      </c>
      <c r="C144" s="9" t="s">
        <v>197</v>
      </c>
      <c r="D144" s="9" t="s">
        <v>12</v>
      </c>
      <c r="E144" s="5">
        <v>11</v>
      </c>
      <c r="F144" s="7">
        <f>LOOKUP(E144,{0,-1.8,-0.8,0.2,1.2,2.2,3.2,4.6,6,7.4,8.8,10.2,11.6,13,14.4,15.8,17.2,19.1,21,22.8,24.6},{0,10,20,30,40,50,60,62,64,66,68,70,72,74,76,78,80,85,90,95,100})</f>
        <v>70</v>
      </c>
      <c r="G144" s="5">
        <v>206</v>
      </c>
      <c r="H144" s="7">
        <f>LOOKUP(G144,{0,180,185,190,195,200,205,209,213,217,221,225,229,233,237,241,245,253,260,265,270},{0,10,20,30,40,50,60,62,64,66,68,70,72,74,76,78,80,85,90,95,100})</f>
        <v>60</v>
      </c>
      <c r="I144" s="5">
        <v>8</v>
      </c>
      <c r="J144" s="7">
        <f>LOOKUP(I144,{0,4,5,6,7,8,9,10,11,12,13,14,15,16,17,18},{0,10,20,30,40,50,60,64,68,72,76,80,85,90,95,100})</f>
        <v>50</v>
      </c>
      <c r="K144" s="5"/>
      <c r="L144" s="5"/>
      <c r="M144" s="5">
        <f t="shared" si="74"/>
        <v>50</v>
      </c>
      <c r="N144" s="5">
        <v>8.3</v>
      </c>
      <c r="O144" s="10">
        <f t="shared" si="75"/>
        <v>9.7</v>
      </c>
      <c r="P144" s="7">
        <f>LOOKUP(O144,{0,7.8,8,8.2,8.4,8.6,8.8,9,9.2,9.4,9.6,9.8,10,10.2,10.4,10.6,10.8,10.9,11,11.1,11.2},{0,10,20,30,40,50,60,62,64,66,68,70,72,74,76,78,80,85,90,95,100})</f>
        <v>68</v>
      </c>
      <c r="Q144" s="5">
        <v>4.05</v>
      </c>
      <c r="R144" s="10">
        <f t="shared" si="76"/>
        <v>5.95</v>
      </c>
      <c r="S144" s="7">
        <f>LOOKUP(R144,{0,3.85,4.45,4.65,4.85,5.45,5.65,5.7,5.75,5.8,5.85,5.9,5.95,6,6.45,6.5,6.55,6.63,6.7,6.75,6.8},{0,10,20,30,40,50,60,62,64,66,68,70,72,74,76,78,80,85,90,95,100})</f>
        <v>72</v>
      </c>
      <c r="T144" s="5"/>
      <c r="U144" s="5"/>
      <c r="V144" s="5">
        <f t="shared" si="77"/>
        <v>72</v>
      </c>
      <c r="W144" s="5"/>
      <c r="X144" s="13">
        <f t="shared" si="78"/>
        <v>46</v>
      </c>
      <c r="Y144" s="13">
        <f t="shared" si="79"/>
        <v>65.7142857142857</v>
      </c>
    </row>
    <row r="145" ht="15.6" hidden="1" outlineLevel="2" spans="1:25">
      <c r="A145" s="5">
        <v>305</v>
      </c>
      <c r="B145" s="5">
        <v>13</v>
      </c>
      <c r="C145" s="9" t="s">
        <v>198</v>
      </c>
      <c r="D145" s="9" t="s">
        <v>12</v>
      </c>
      <c r="E145" s="5">
        <v>16</v>
      </c>
      <c r="F145" s="7">
        <f>LOOKUP(E145,{0,-1.8,-0.8,0.2,1.2,2.2,3.2,4.6,6,7.4,8.8,10.2,11.6,13,14.4,15.8,17.2,19.1,21,22.8,24.6},{0,10,20,30,40,50,60,62,64,66,68,70,72,74,76,78,80,85,90,95,100})</f>
        <v>78</v>
      </c>
      <c r="G145" s="5">
        <v>227</v>
      </c>
      <c r="H145" s="7">
        <f>LOOKUP(G145,{0,180,185,190,195,200,205,209,213,217,221,225,229,233,237,241,245,253,260,265,270},{0,10,20,30,40,50,60,62,64,66,68,70,72,74,76,78,80,85,90,95,100})</f>
        <v>70</v>
      </c>
      <c r="I145" s="5">
        <v>8</v>
      </c>
      <c r="J145" s="7">
        <f>LOOKUP(I145,{0,4,5,6,7,8,9,10,11,12,13,14,15,16,17,18},{0,10,20,30,40,50,60,64,68,72,76,80,85,90,95,100})</f>
        <v>50</v>
      </c>
      <c r="K145" s="5"/>
      <c r="L145" s="5"/>
      <c r="M145" s="5">
        <f t="shared" si="74"/>
        <v>50</v>
      </c>
      <c r="N145" s="5">
        <v>8.2</v>
      </c>
      <c r="O145" s="10">
        <f t="shared" si="75"/>
        <v>9.8</v>
      </c>
      <c r="P145" s="7">
        <f>LOOKUP(O145,{0,7.8,8,8.2,8.4,8.6,8.8,9,9.2,9.4,9.6,9.8,10,10.2,10.4,10.6,10.8,10.9,11,11.1,11.2},{0,10,20,30,40,50,60,62,64,66,68,70,72,74,76,78,80,85,90,95,100})</f>
        <v>70</v>
      </c>
      <c r="Q145" s="5">
        <v>4.54</v>
      </c>
      <c r="R145" s="10">
        <f t="shared" si="76"/>
        <v>5.46</v>
      </c>
      <c r="S145" s="7">
        <f>LOOKUP(R145,{0,3.85,4.45,4.65,4.85,5.45,5.65,5.7,5.75,5.8,5.85,5.9,5.95,6,6.45,6.5,6.55,6.63,6.7,6.75,6.8},{0,10,20,30,40,50,60,62,64,66,68,70,72,74,76,78,80,85,90,95,100})</f>
        <v>50</v>
      </c>
      <c r="T145" s="5"/>
      <c r="U145" s="5"/>
      <c r="V145" s="5">
        <f t="shared" si="77"/>
        <v>50</v>
      </c>
      <c r="W145" s="5"/>
      <c r="X145" s="13">
        <f t="shared" si="78"/>
        <v>43.8</v>
      </c>
      <c r="Y145" s="13">
        <f t="shared" si="79"/>
        <v>62.5714285714286</v>
      </c>
    </row>
    <row r="146" ht="15.6" hidden="1" outlineLevel="2" spans="1:25">
      <c r="A146" s="5">
        <v>305</v>
      </c>
      <c r="B146" s="5">
        <v>14</v>
      </c>
      <c r="C146" s="9" t="s">
        <v>199</v>
      </c>
      <c r="D146" s="9" t="s">
        <v>12</v>
      </c>
      <c r="E146" s="5">
        <v>9</v>
      </c>
      <c r="F146" s="7">
        <f>LOOKUP(E146,{0,-1.8,-0.8,0.2,1.2,2.2,3.2,4.6,6,7.4,8.8,10.2,11.6,13,14.4,15.8,17.2,19.1,21,22.8,24.6},{0,10,20,30,40,50,60,62,64,66,68,70,72,74,76,78,80,85,90,95,100})</f>
        <v>68</v>
      </c>
      <c r="G146" s="5">
        <v>225</v>
      </c>
      <c r="H146" s="7">
        <f>LOOKUP(G146,{0,180,185,190,195,200,205,209,213,217,221,225,229,233,237,241,245,253,260,265,270},{0,10,20,30,40,50,60,62,64,66,68,70,72,74,76,78,80,85,90,95,100})</f>
        <v>70</v>
      </c>
      <c r="I146" s="5">
        <v>2</v>
      </c>
      <c r="J146" s="7">
        <f>LOOKUP(I146,{0,4,5,6,7,8,9,10,11,12,13,14,15,16,17,18},{0,10,20,30,40,50,60,64,68,72,76,80,85,90,95,100})</f>
        <v>0</v>
      </c>
      <c r="K146" s="5"/>
      <c r="L146" s="5"/>
      <c r="M146" s="5">
        <f t="shared" si="74"/>
        <v>0</v>
      </c>
      <c r="N146" s="5">
        <v>9.1</v>
      </c>
      <c r="O146" s="10">
        <f t="shared" si="75"/>
        <v>8.9</v>
      </c>
      <c r="P146" s="7">
        <f>LOOKUP(O146,{0,7.8,8,8.2,8.4,8.6,8.8,9,9.2,9.4,9.6,9.8,10,10.2,10.4,10.6,10.8,10.9,11,11.1,11.2},{0,10,20,30,40,50,60,62,64,66,68,70,72,74,76,78,80,85,90,95,100})</f>
        <v>60</v>
      </c>
      <c r="Q146" s="5">
        <v>5.01</v>
      </c>
      <c r="R146" s="10">
        <f t="shared" si="76"/>
        <v>4.99</v>
      </c>
      <c r="S146" s="7">
        <f>LOOKUP(R146,{0,3.85,4.45,4.65,4.85,5.45,5.65,5.7,5.75,5.8,5.85,5.9,5.95,6,6.45,6.5,6.55,6.63,6.7,6.75,6.8},{0,10,20,30,40,50,60,62,64,66,68,70,72,74,76,78,80,85,90,95,100})</f>
        <v>40</v>
      </c>
      <c r="T146" s="5"/>
      <c r="U146" s="5"/>
      <c r="V146" s="5">
        <f t="shared" si="77"/>
        <v>40</v>
      </c>
      <c r="W146" s="5"/>
      <c r="X146" s="13">
        <f t="shared" si="78"/>
        <v>33.8</v>
      </c>
      <c r="Y146" s="13">
        <f t="shared" si="79"/>
        <v>48.2857142857143</v>
      </c>
    </row>
    <row r="147" ht="15.6" hidden="1" outlineLevel="2" spans="1:25">
      <c r="A147" s="5">
        <v>305</v>
      </c>
      <c r="B147" s="5">
        <v>15</v>
      </c>
      <c r="C147" s="9" t="s">
        <v>200</v>
      </c>
      <c r="D147" s="9" t="s">
        <v>12</v>
      </c>
      <c r="E147" s="5">
        <v>6</v>
      </c>
      <c r="F147" s="7">
        <f>LOOKUP(E147,{0,-1.8,-0.8,0.2,1.2,2.2,3.2,4.6,6,7.4,8.8,10.2,11.6,13,14.4,15.8,17.2,19.1,21,22.8,24.6},{0,10,20,30,40,50,60,62,64,66,68,70,72,74,76,78,80,85,90,95,100})</f>
        <v>64</v>
      </c>
      <c r="G147" s="5">
        <v>228</v>
      </c>
      <c r="H147" s="7">
        <f>LOOKUP(G147,{0,180,185,190,195,200,205,209,213,217,221,225,229,233,237,241,245,253,260,265,270},{0,10,20,30,40,50,60,62,64,66,68,70,72,74,76,78,80,85,90,95,100})</f>
        <v>70</v>
      </c>
      <c r="I147" s="5">
        <v>22</v>
      </c>
      <c r="J147" s="7">
        <f>LOOKUP(I147,{0,4,5,6,7,8,9,10,11,12,13,14,15,16,17,18},{0,10,20,30,40,50,60,64,68,72,76,80,85,90,95,100})</f>
        <v>100</v>
      </c>
      <c r="K147" s="5">
        <f>I147-18</f>
        <v>4</v>
      </c>
      <c r="L147" s="7">
        <f>LOOKUP(K147,{0,1,2,3,4,5,6,7,8,9,10},{0,1,2,3,4,5,6,7,8,9,10})</f>
        <v>4</v>
      </c>
      <c r="M147" s="5">
        <f t="shared" si="74"/>
        <v>104</v>
      </c>
      <c r="N147" s="5">
        <v>7.7</v>
      </c>
      <c r="O147" s="10">
        <f t="shared" si="75"/>
        <v>10.3</v>
      </c>
      <c r="P147" s="7">
        <f>LOOKUP(O147,{0,7.8,8,8.2,8.4,8.6,8.8,9,9.2,9.4,9.6,9.8,10,10.2,10.4,10.6,10.8,10.9,11,11.1,11.2},{0,10,20,30,40,50,60,62,64,66,68,70,72,74,76,78,80,85,90,95,100})</f>
        <v>74</v>
      </c>
      <c r="Q147" s="5">
        <v>4.26</v>
      </c>
      <c r="R147" s="10">
        <f t="shared" si="76"/>
        <v>5.74</v>
      </c>
      <c r="S147" s="7">
        <f>LOOKUP(R147,{0,3.85,4.45,4.65,4.85,5.45,5.65,5.7,5.75,5.8,5.85,5.9,5.95,6,6.45,6.5,6.55,6.63,6.7,6.75,6.8},{0,10,20,30,40,50,60,62,64,66,68,70,72,74,76,78,80,85,90,95,100})</f>
        <v>62</v>
      </c>
      <c r="T147" s="5"/>
      <c r="U147" s="5"/>
      <c r="V147" s="5">
        <f t="shared" si="77"/>
        <v>62</v>
      </c>
      <c r="W147" s="5"/>
      <c r="X147" s="13">
        <f t="shared" si="78"/>
        <v>50.6</v>
      </c>
      <c r="Y147" s="13">
        <f t="shared" si="79"/>
        <v>76.2857142857143</v>
      </c>
    </row>
    <row r="148" ht="15.6" hidden="1" outlineLevel="2" spans="1:25">
      <c r="A148" s="5">
        <v>305</v>
      </c>
      <c r="B148" s="5">
        <v>16</v>
      </c>
      <c r="C148" s="9" t="s">
        <v>201</v>
      </c>
      <c r="D148" s="9" t="s">
        <v>12</v>
      </c>
      <c r="E148" s="5">
        <v>8.6</v>
      </c>
      <c r="F148" s="7">
        <f>LOOKUP(E148,{0,-1.8,-0.8,0.2,1.2,2.2,3.2,4.6,6,7.4,8.8,10.2,11.6,13,14.4,15.8,17.2,19.1,21,22.8,24.6},{0,10,20,30,40,50,60,62,64,66,68,70,72,74,76,78,80,85,90,95,100})</f>
        <v>66</v>
      </c>
      <c r="G148" s="5">
        <v>250</v>
      </c>
      <c r="H148" s="7">
        <f>LOOKUP(G148,{0,180,185,190,195,200,205,209,213,217,221,225,229,233,237,241,245,253,260,265,270},{0,10,20,30,40,50,60,62,64,66,68,70,72,74,76,78,80,85,90,95,100})</f>
        <v>80</v>
      </c>
      <c r="I148" s="5">
        <v>4</v>
      </c>
      <c r="J148" s="7">
        <f>LOOKUP(I148,{0,4,5,6,7,8,9,10,11,12,13,14,15,16,17,18},{0,10,20,30,40,50,60,64,68,72,76,80,85,90,95,100})</f>
        <v>10</v>
      </c>
      <c r="K148" s="5"/>
      <c r="L148" s="5"/>
      <c r="M148" s="5">
        <f t="shared" si="74"/>
        <v>10</v>
      </c>
      <c r="N148" s="5">
        <v>7.2</v>
      </c>
      <c r="O148" s="10">
        <f t="shared" si="75"/>
        <v>10.8</v>
      </c>
      <c r="P148" s="7">
        <f>LOOKUP(O148,{0,7.8,8,8.2,8.4,8.6,8.8,9,9.2,9.4,9.6,9.8,10,10.2,10.4,10.6,10.8,10.9,11,11.1,11.2},{0,10,20,30,40,50,60,62,64,66,68,70,72,74,76,78,80,85,90,95,100})</f>
        <v>80</v>
      </c>
      <c r="Q148" s="5">
        <v>4.53</v>
      </c>
      <c r="R148" s="10">
        <f t="shared" si="76"/>
        <v>5.47</v>
      </c>
      <c r="S148" s="7">
        <f>LOOKUP(R148,{0,3.85,4.45,4.65,4.85,5.45,5.65,5.7,5.75,5.8,5.85,5.9,5.95,6,6.45,6.5,6.55,6.63,6.7,6.75,6.8},{0,10,20,30,40,50,60,62,64,66,68,70,72,74,76,78,80,85,90,95,100})</f>
        <v>50</v>
      </c>
      <c r="T148" s="5"/>
      <c r="U148" s="5"/>
      <c r="V148" s="5">
        <f t="shared" si="77"/>
        <v>50</v>
      </c>
      <c r="W148" s="5"/>
      <c r="X148" s="13">
        <f t="shared" si="78"/>
        <v>41.6</v>
      </c>
      <c r="Y148" s="13">
        <f t="shared" si="79"/>
        <v>59.4285714285714</v>
      </c>
    </row>
    <row r="149" ht="15.6" hidden="1" outlineLevel="2" spans="1:25">
      <c r="A149" s="5">
        <v>305</v>
      </c>
      <c r="B149" s="5">
        <v>17</v>
      </c>
      <c r="C149" s="9" t="s">
        <v>202</v>
      </c>
      <c r="D149" s="9" t="s">
        <v>12</v>
      </c>
      <c r="E149" s="5">
        <v>5.5</v>
      </c>
      <c r="F149" s="7">
        <f>LOOKUP(E149,{0,-1.8,-0.8,0.2,1.2,2.2,3.2,4.6,6,7.4,8.8,10.2,11.6,13,14.4,15.8,17.2,19.1,21,22.8,24.6},{0,10,20,30,40,50,60,62,64,66,68,70,72,74,76,78,80,85,90,95,100})</f>
        <v>62</v>
      </c>
      <c r="G149" s="5">
        <v>219</v>
      </c>
      <c r="H149" s="7">
        <f>LOOKUP(G149,{0,180,185,190,195,200,205,209,213,217,221,225,229,233,237,241,245,253,260,265,270},{0,10,20,30,40,50,60,62,64,66,68,70,72,74,76,78,80,85,90,95,100})</f>
        <v>66</v>
      </c>
      <c r="I149" s="5">
        <v>7</v>
      </c>
      <c r="J149" s="7">
        <f>LOOKUP(I149,{0,4,5,6,7,8,9,10,11,12,13,14,15,16,17,18},{0,10,20,30,40,50,60,64,68,72,76,80,85,90,95,100})</f>
        <v>40</v>
      </c>
      <c r="K149" s="5"/>
      <c r="L149" s="5"/>
      <c r="M149" s="5">
        <f t="shared" si="74"/>
        <v>40</v>
      </c>
      <c r="N149" s="5">
        <v>7.6</v>
      </c>
      <c r="O149" s="10">
        <f t="shared" si="75"/>
        <v>10.4</v>
      </c>
      <c r="P149" s="7">
        <f>LOOKUP(O149,{0,7.8,8,8.2,8.4,8.6,8.8,9,9.2,9.4,9.6,9.8,10,10.2,10.4,10.6,10.8,10.9,11,11.1,11.2},{0,10,20,30,40,50,60,62,64,66,68,70,72,74,76,78,80,85,90,95,100})</f>
        <v>76</v>
      </c>
      <c r="Q149" s="5">
        <v>4.16</v>
      </c>
      <c r="R149" s="10">
        <f t="shared" si="76"/>
        <v>5.84</v>
      </c>
      <c r="S149" s="7">
        <f>LOOKUP(R149,{0,3.85,4.45,4.65,4.85,5.45,5.65,5.7,5.75,5.8,5.85,5.9,5.95,6,6.45,6.5,6.55,6.63,6.7,6.75,6.8},{0,10,20,30,40,50,60,62,64,66,68,70,72,74,76,78,80,85,90,95,100})</f>
        <v>66</v>
      </c>
      <c r="T149" s="5"/>
      <c r="U149" s="5"/>
      <c r="V149" s="5">
        <f t="shared" si="77"/>
        <v>66</v>
      </c>
      <c r="W149" s="5"/>
      <c r="X149" s="13">
        <f t="shared" si="78"/>
        <v>45.2</v>
      </c>
      <c r="Y149" s="13">
        <f t="shared" si="79"/>
        <v>64.5714285714286</v>
      </c>
    </row>
    <row r="150" ht="15.6" hidden="1" outlineLevel="2" spans="1:25">
      <c r="A150" s="5">
        <v>305</v>
      </c>
      <c r="B150" s="5">
        <v>18</v>
      </c>
      <c r="C150" s="9" t="s">
        <v>203</v>
      </c>
      <c r="D150" s="9" t="s">
        <v>12</v>
      </c>
      <c r="E150" s="5">
        <v>11</v>
      </c>
      <c r="F150" s="7">
        <f>LOOKUP(E150,{0,-1.8,-0.8,0.2,1.2,2.2,3.2,4.6,6,7.4,8.8,10.2,11.6,13,14.4,15.8,17.2,19.1,21,22.8,24.6},{0,10,20,30,40,50,60,62,64,66,68,70,72,74,76,78,80,85,90,95,100})</f>
        <v>70</v>
      </c>
      <c r="G150" s="5">
        <v>251</v>
      </c>
      <c r="H150" s="7">
        <f>LOOKUP(G150,{0,180,185,190,195,200,205,209,213,217,221,225,229,233,237,241,245,253,260,265,270},{0,10,20,30,40,50,60,62,64,66,68,70,72,74,76,78,80,85,90,95,100})</f>
        <v>80</v>
      </c>
      <c r="I150" s="5">
        <v>4</v>
      </c>
      <c r="J150" s="7">
        <f>LOOKUP(I150,{0,4,5,6,7,8,9,10,11,12,13,14,15,16,17,18},{0,10,20,30,40,50,60,64,68,72,76,80,85,90,95,100})</f>
        <v>10</v>
      </c>
      <c r="K150" s="5"/>
      <c r="L150" s="5"/>
      <c r="M150" s="5">
        <f t="shared" si="74"/>
        <v>10</v>
      </c>
      <c r="N150" s="5">
        <v>8.6</v>
      </c>
      <c r="O150" s="10">
        <f t="shared" si="75"/>
        <v>9.4</v>
      </c>
      <c r="P150" s="7">
        <f>LOOKUP(O150,{0,7.8,8,8.2,8.4,8.6,8.8,9,9.2,9.4,9.6,9.8,10,10.2,10.4,10.6,10.8,10.9,11,11.1,11.2},{0,10,20,30,40,50,60,62,64,66,68,70,72,74,76,78,80,85,90,95,100})</f>
        <v>66</v>
      </c>
      <c r="Q150" s="5">
        <v>5.01</v>
      </c>
      <c r="R150" s="10">
        <f t="shared" si="76"/>
        <v>4.99</v>
      </c>
      <c r="S150" s="7">
        <f>LOOKUP(R150,{0,3.85,4.45,4.65,4.85,5.45,5.65,5.7,5.75,5.8,5.85,5.9,5.95,6,6.45,6.5,6.55,6.63,6.7,6.75,6.8},{0,10,20,30,40,50,60,62,64,66,68,70,72,74,76,78,80,85,90,95,100})</f>
        <v>40</v>
      </c>
      <c r="T150" s="5"/>
      <c r="U150" s="5"/>
      <c r="V150" s="5">
        <f t="shared" si="77"/>
        <v>40</v>
      </c>
      <c r="W150" s="5"/>
      <c r="X150" s="13">
        <f t="shared" si="78"/>
        <v>37.2</v>
      </c>
      <c r="Y150" s="13">
        <f t="shared" si="79"/>
        <v>53.1428571428572</v>
      </c>
    </row>
    <row r="151" ht="15.6" hidden="1" outlineLevel="2" spans="1:25">
      <c r="A151" s="5">
        <v>305</v>
      </c>
      <c r="B151" s="5">
        <v>19</v>
      </c>
      <c r="C151" s="9" t="s">
        <v>204</v>
      </c>
      <c r="D151" s="9" t="s">
        <v>12</v>
      </c>
      <c r="E151" s="5">
        <v>11.5</v>
      </c>
      <c r="F151" s="7">
        <f>LOOKUP(E151,{0,-1.8,-0.8,0.2,1.2,2.2,3.2,4.6,6,7.4,8.8,10.2,11.6,13,14.4,15.8,17.2,19.1,21,22.8,24.6},{0,10,20,30,40,50,60,62,64,66,68,70,72,74,76,78,80,85,90,95,100})</f>
        <v>70</v>
      </c>
      <c r="G151" s="5">
        <v>270</v>
      </c>
      <c r="H151" s="7">
        <f>LOOKUP(G151,{0,180,185,190,195,200,205,209,213,217,221,225,229,233,237,241,245,253,260,265,270},{0,10,20,30,40,50,60,62,64,66,68,70,72,74,76,78,80,85,90,95,100})</f>
        <v>100</v>
      </c>
      <c r="I151" s="5">
        <v>10</v>
      </c>
      <c r="J151" s="7">
        <f>LOOKUP(I151,{0,4,5,6,7,8,9,10,11,12,13,14,15,16,17,18},{0,10,20,30,40,50,60,64,68,72,76,80,85,90,95,100})</f>
        <v>64</v>
      </c>
      <c r="K151" s="5"/>
      <c r="L151" s="5"/>
      <c r="M151" s="5">
        <f t="shared" si="74"/>
        <v>64</v>
      </c>
      <c r="N151" s="5">
        <v>7.7</v>
      </c>
      <c r="O151" s="10">
        <f t="shared" si="75"/>
        <v>10.3</v>
      </c>
      <c r="P151" s="7">
        <f>LOOKUP(O151,{0,7.8,8,8.2,8.4,8.6,8.8,9,9.2,9.4,9.6,9.8,10,10.2,10.4,10.6,10.8,10.9,11,11.1,11.2},{0,10,20,30,40,50,60,62,64,66,68,70,72,74,76,78,80,85,90,95,100})</f>
        <v>74</v>
      </c>
      <c r="Q151" s="5">
        <v>5.01</v>
      </c>
      <c r="R151" s="10">
        <f t="shared" si="76"/>
        <v>4.99</v>
      </c>
      <c r="S151" s="7">
        <f>LOOKUP(R151,{0,3.85,4.45,4.65,4.85,5.45,5.65,5.7,5.75,5.8,5.85,5.9,5.95,6,6.45,6.5,6.55,6.63,6.7,6.75,6.8},{0,10,20,30,40,50,60,62,64,66,68,70,72,74,76,78,80,85,90,95,100})</f>
        <v>40</v>
      </c>
      <c r="T151" s="5"/>
      <c r="U151" s="5"/>
      <c r="V151" s="5">
        <f t="shared" si="77"/>
        <v>40</v>
      </c>
      <c r="W151" s="5"/>
      <c r="X151" s="13">
        <f t="shared" si="78"/>
        <v>46.2</v>
      </c>
      <c r="Y151" s="13">
        <f t="shared" si="79"/>
        <v>66</v>
      </c>
    </row>
    <row r="152" ht="15.6" hidden="1" outlineLevel="2" spans="1:25">
      <c r="A152" s="5">
        <v>305</v>
      </c>
      <c r="B152" s="5">
        <v>20</v>
      </c>
      <c r="C152" s="9" t="s">
        <v>205</v>
      </c>
      <c r="D152" s="9" t="s">
        <v>12</v>
      </c>
      <c r="E152" s="5">
        <v>14.1</v>
      </c>
      <c r="F152" s="7">
        <f>LOOKUP(E152,{0,-1.8,-0.8,0.2,1.2,2.2,3.2,4.6,6,7.4,8.8,10.2,11.6,13,14.4,15.8,17.2,19.1,21,22.8,24.6},{0,10,20,30,40,50,60,62,64,66,68,70,72,74,76,78,80,85,90,95,100})</f>
        <v>74</v>
      </c>
      <c r="G152" s="5">
        <v>222</v>
      </c>
      <c r="H152" s="7">
        <f>LOOKUP(G152,{0,180,185,190,195,200,205,209,213,217,221,225,229,233,237,241,245,253,260,265,270},{0,10,20,30,40,50,60,62,64,66,68,70,72,74,76,78,80,85,90,95,100})</f>
        <v>68</v>
      </c>
      <c r="I152" s="5">
        <v>20</v>
      </c>
      <c r="J152" s="7">
        <f>LOOKUP(I152,{0,4,5,6,7,8,9,10,11,12,13,14,15,16,17,18},{0,10,20,30,40,50,60,64,68,72,76,80,85,90,95,100})</f>
        <v>100</v>
      </c>
      <c r="K152" s="5">
        <f>I152-18</f>
        <v>2</v>
      </c>
      <c r="L152" s="7">
        <f>LOOKUP(K152,{0,1,2,3,4,5,6,7,8,9,10},{0,1,2,3,4,5,6,7,8,9,10})</f>
        <v>2</v>
      </c>
      <c r="M152" s="5">
        <f t="shared" si="74"/>
        <v>102</v>
      </c>
      <c r="N152" s="5">
        <v>7.7</v>
      </c>
      <c r="O152" s="10">
        <f t="shared" si="75"/>
        <v>10.3</v>
      </c>
      <c r="P152" s="7">
        <f>LOOKUP(O152,{0,7.8,8,8.2,8.4,8.6,8.8,9,9.2,9.4,9.6,9.8,10,10.2,10.4,10.6,10.8,10.9,11,11.1,11.2},{0,10,20,30,40,50,60,62,64,66,68,70,72,74,76,78,80,85,90,95,100})</f>
        <v>74</v>
      </c>
      <c r="Q152" s="5">
        <v>3.53</v>
      </c>
      <c r="R152" s="10">
        <f t="shared" si="76"/>
        <v>6.47</v>
      </c>
      <c r="S152" s="7">
        <f>LOOKUP(R152,{0,3.85,4.45,4.65,4.85,5.45,5.65,5.7,5.75,5.8,5.85,5.9,5.95,6,6.45,6.5,6.55,6.63,6.7,6.75,6.8},{0,10,20,30,40,50,60,62,64,66,68,70,72,74,76,78,80,85,90,95,100})</f>
        <v>76</v>
      </c>
      <c r="T152" s="5"/>
      <c r="U152" s="5"/>
      <c r="V152" s="5">
        <f t="shared" si="77"/>
        <v>76</v>
      </c>
      <c r="W152" s="5"/>
      <c r="X152" s="13">
        <f t="shared" si="78"/>
        <v>54.2</v>
      </c>
      <c r="Y152" s="13">
        <f t="shared" si="79"/>
        <v>79.4285714285714</v>
      </c>
    </row>
    <row r="153" ht="15.6" hidden="1" outlineLevel="2" spans="1:25">
      <c r="A153" s="5">
        <v>305</v>
      </c>
      <c r="B153" s="5">
        <v>21</v>
      </c>
      <c r="C153" s="8" t="s">
        <v>207</v>
      </c>
      <c r="D153" s="9" t="s">
        <v>12</v>
      </c>
      <c r="E153" s="5">
        <v>22</v>
      </c>
      <c r="F153" s="7">
        <f>LOOKUP(E153,{0,-1.8,-0.8,0.2,1.2,2.2,3.2,4.6,6,7.4,8.8,10.2,11.6,13,14.4,15.8,17.2,19.1,21,22.8,24.6},{0,10,20,30,40,50,60,62,64,66,68,70,72,74,76,78,80,85,90,95,100})</f>
        <v>90</v>
      </c>
      <c r="G153" s="5">
        <v>240</v>
      </c>
      <c r="H153" s="7">
        <f>LOOKUP(G153,{0,180,185,190,195,200,205,209,213,217,221,225,229,233,237,241,245,253,260,265,270},{0,10,20,30,40,50,60,62,64,66,68,70,72,74,76,78,80,85,90,95,100})</f>
        <v>76</v>
      </c>
      <c r="I153" s="5">
        <v>3</v>
      </c>
      <c r="J153" s="7">
        <f>LOOKUP(I153,{0,4,5,6,7,8,9,10,11,12,13,14,15,16,17,18},{0,10,20,30,40,50,60,64,68,72,76,80,85,90,95,100})</f>
        <v>0</v>
      </c>
      <c r="K153" s="5"/>
      <c r="L153" s="5"/>
      <c r="M153" s="5">
        <f t="shared" si="74"/>
        <v>0</v>
      </c>
      <c r="N153" s="5">
        <v>7.5</v>
      </c>
      <c r="O153" s="10">
        <f t="shared" si="75"/>
        <v>10.5</v>
      </c>
      <c r="P153" s="7">
        <f>LOOKUP(O153,{0,7.8,8,8.2,8.4,8.6,8.8,9,9.2,9.4,9.6,9.8,10,10.2,10.4,10.6,10.8,10.9,11,11.1,11.2},{0,10,20,30,40,50,60,62,64,66,68,70,72,74,76,78,80,85,90,95,100})</f>
        <v>76</v>
      </c>
      <c r="Q153" s="5">
        <v>4.34</v>
      </c>
      <c r="R153" s="10">
        <f t="shared" si="76"/>
        <v>5.66</v>
      </c>
      <c r="S153" s="7">
        <f>LOOKUP(R153,{0,3.85,4.45,4.65,4.85,5.45,5.65,5.7,5.75,5.8,5.85,5.9,5.95,6,6.45,6.5,6.55,6.63,6.7,6.75,6.8},{0,10,20,30,40,50,60,62,64,66,68,70,72,74,76,78,80,85,90,95,100})</f>
        <v>60</v>
      </c>
      <c r="T153" s="5"/>
      <c r="U153" s="5"/>
      <c r="V153" s="5">
        <f t="shared" si="77"/>
        <v>60</v>
      </c>
      <c r="W153" s="5"/>
      <c r="X153" s="13">
        <f t="shared" si="78"/>
        <v>43.8</v>
      </c>
      <c r="Y153" s="13">
        <f t="shared" si="79"/>
        <v>62.5714285714286</v>
      </c>
    </row>
    <row r="154" ht="15.6" hidden="1" outlineLevel="2" spans="1:25">
      <c r="A154" s="5">
        <v>305</v>
      </c>
      <c r="B154" s="5">
        <v>22</v>
      </c>
      <c r="C154" s="9" t="s">
        <v>208</v>
      </c>
      <c r="D154" s="9" t="s">
        <v>12</v>
      </c>
      <c r="E154" s="5">
        <v>25.5</v>
      </c>
      <c r="F154" s="7">
        <f>LOOKUP(E154,{0,-1.8,-0.8,0.2,1.2,2.2,3.2,4.6,6,7.4,8.8,10.2,11.6,13,14.4,15.8,17.2,19.1,21,22.8,24.6},{0,10,20,30,40,50,60,62,64,66,68,70,72,74,76,78,80,85,90,95,100})</f>
        <v>100</v>
      </c>
      <c r="G154" s="5">
        <v>280</v>
      </c>
      <c r="H154" s="7">
        <f>LOOKUP(G154,{0,180,185,190,195,200,205,209,213,217,221,225,229,233,237,241,245,253,260,265,270},{0,10,20,30,40,50,60,62,64,66,68,70,72,74,76,78,80,85,90,95,100})</f>
        <v>100</v>
      </c>
      <c r="I154" s="5">
        <v>8</v>
      </c>
      <c r="J154" s="7">
        <f>LOOKUP(I154,{0,4,5,6,7,8,9,10,11,12,13,14,15,16,17,18},{0,10,20,30,40,50,60,64,68,72,76,80,85,90,95,100})</f>
        <v>50</v>
      </c>
      <c r="K154" s="5"/>
      <c r="L154" s="5"/>
      <c r="M154" s="5">
        <f t="shared" si="74"/>
        <v>50</v>
      </c>
      <c r="N154" s="5">
        <v>6.8</v>
      </c>
      <c r="O154" s="10">
        <f t="shared" si="75"/>
        <v>11.2</v>
      </c>
      <c r="P154" s="7">
        <f>LOOKUP(O154,{0,7.8,8,8.2,8.4,8.6,8.8,9,9.2,9.4,9.6,9.8,10,10.2,10.4,10.6,10.8,10.9,11,11.1,11.2},{0,10,20,30,40,50,60,62,64,66,68,70,72,74,76,78,80,85,90,95,100})</f>
        <v>100</v>
      </c>
      <c r="Q154" s="5">
        <v>6.48</v>
      </c>
      <c r="R154" s="10">
        <f t="shared" si="76"/>
        <v>3.52</v>
      </c>
      <c r="S154" s="7">
        <f>LOOKUP(R154,{0,3.85,4.45,4.65,4.85,5.45,5.65,5.7,5.75,5.8,5.85,5.9,5.95,6,6.45,6.5,6.55,6.63,6.7,6.75,6.8},{0,10,20,30,40,50,60,62,64,66,68,70,72,74,76,78,80,85,90,95,100})</f>
        <v>0</v>
      </c>
      <c r="T154" s="5"/>
      <c r="U154" s="5"/>
      <c r="V154" s="5">
        <f t="shared" si="77"/>
        <v>0</v>
      </c>
      <c r="W154" s="5"/>
      <c r="X154" s="13">
        <f t="shared" si="78"/>
        <v>45</v>
      </c>
      <c r="Y154" s="13">
        <f t="shared" si="79"/>
        <v>64.2857142857143</v>
      </c>
    </row>
    <row r="155" ht="15.6" hidden="1" outlineLevel="2" spans="1:25">
      <c r="A155" s="5">
        <v>305</v>
      </c>
      <c r="B155" s="5">
        <v>23</v>
      </c>
      <c r="C155" s="9" t="s">
        <v>209</v>
      </c>
      <c r="D155" s="9" t="s">
        <v>12</v>
      </c>
      <c r="E155" s="5">
        <v>-2</v>
      </c>
      <c r="F155" s="7">
        <v>0</v>
      </c>
      <c r="G155" s="5">
        <v>220</v>
      </c>
      <c r="H155" s="7">
        <f>LOOKUP(G155,{0,180,185,190,195,200,205,209,213,217,221,225,229,233,237,241,245,253,260,265,270},{0,10,20,30,40,50,60,62,64,66,68,70,72,74,76,78,80,85,90,95,100})</f>
        <v>66</v>
      </c>
      <c r="I155" s="5">
        <v>2</v>
      </c>
      <c r="J155" s="7">
        <f>LOOKUP(I155,{0,4,5,6,7,8,9,10,11,12,13,14,15,16,17,18},{0,10,20,30,40,50,60,64,68,72,76,80,85,90,95,100})</f>
        <v>0</v>
      </c>
      <c r="K155" s="5"/>
      <c r="L155" s="5"/>
      <c r="M155" s="5">
        <f t="shared" si="74"/>
        <v>0</v>
      </c>
      <c r="N155" s="5">
        <v>6.9</v>
      </c>
      <c r="O155" s="10">
        <f t="shared" si="75"/>
        <v>11.1</v>
      </c>
      <c r="P155" s="7">
        <f>LOOKUP(O155,{0,7.8,8,8.2,8.4,8.6,8.8,9,9.2,9.4,9.6,9.8,10,10.2,10.4,10.6,10.8,10.9,11,11.1,11.2},{0,10,20,30,40,50,60,62,64,66,68,70,72,74,76,78,80,85,90,95,100})</f>
        <v>95</v>
      </c>
      <c r="Q155" s="5">
        <v>6</v>
      </c>
      <c r="R155" s="10">
        <f t="shared" si="76"/>
        <v>4</v>
      </c>
      <c r="S155" s="7">
        <f>LOOKUP(R155,{0,3.85,4.45,4.65,4.85,5.45,5.65,5.7,5.75,5.8,5.85,5.9,5.95,6,6.45,6.5,6.55,6.63,6.7,6.75,6.8},{0,10,20,30,40,50,60,62,64,66,68,70,72,74,76,78,80,85,90,95,100})</f>
        <v>10</v>
      </c>
      <c r="T155" s="5"/>
      <c r="U155" s="5"/>
      <c r="V155" s="5">
        <f t="shared" si="77"/>
        <v>10</v>
      </c>
      <c r="W155" s="5"/>
      <c r="X155" s="13">
        <f t="shared" si="78"/>
        <v>27.6</v>
      </c>
      <c r="Y155" s="13">
        <f t="shared" si="79"/>
        <v>39.4285714285714</v>
      </c>
    </row>
    <row r="156" ht="15.6" hidden="1" outlineLevel="2" spans="1:25">
      <c r="A156" s="5">
        <v>305</v>
      </c>
      <c r="B156" s="5">
        <v>24</v>
      </c>
      <c r="C156" s="9" t="s">
        <v>210</v>
      </c>
      <c r="D156" s="9" t="s">
        <v>12</v>
      </c>
      <c r="E156" s="5">
        <v>10</v>
      </c>
      <c r="F156" s="7">
        <f>LOOKUP(E156,{0,-1.8,-0.8,0.2,1.2,2.2,3.2,4.6,6,7.4,8.8,10.2,11.6,13,14.4,15.8,17.2,19.1,21,22.8,24.6},{0,10,20,30,40,50,60,62,64,66,68,70,72,74,76,78,80,85,90,95,100})</f>
        <v>68</v>
      </c>
      <c r="G156" s="5">
        <v>240</v>
      </c>
      <c r="H156" s="7">
        <f>LOOKUP(G156,{0,180,185,190,195,200,205,209,213,217,221,225,229,233,237,241,245,253,260,265,270},{0,10,20,30,40,50,60,62,64,66,68,70,72,74,76,78,80,85,90,95,100})</f>
        <v>76</v>
      </c>
      <c r="I156" s="5">
        <v>2</v>
      </c>
      <c r="J156" s="7">
        <f>LOOKUP(I156,{0,4,5,6,7,8,9,10,11,12,13,14,15,16,17,18},{0,10,20,30,40,50,60,64,68,72,76,80,85,90,95,100})</f>
        <v>0</v>
      </c>
      <c r="K156" s="5"/>
      <c r="L156" s="5"/>
      <c r="M156" s="5">
        <f t="shared" si="74"/>
        <v>0</v>
      </c>
      <c r="N156" s="5">
        <v>7.4</v>
      </c>
      <c r="O156" s="10">
        <f t="shared" si="75"/>
        <v>10.6</v>
      </c>
      <c r="P156" s="7">
        <f>LOOKUP(O156,{0,7.8,8,8.2,8.4,8.6,8.8,9,9.2,9.4,9.6,9.8,10,10.2,10.4,10.6,10.8,10.9,11,11.1,11.2},{0,10,20,30,40,50,60,62,64,66,68,70,72,74,76,78,80,85,90,95,100})</f>
        <v>78</v>
      </c>
      <c r="Q156" s="5">
        <v>4.17</v>
      </c>
      <c r="R156" s="10">
        <f t="shared" si="76"/>
        <v>5.83</v>
      </c>
      <c r="S156" s="7">
        <f>LOOKUP(R156,{0,3.85,4.45,4.65,4.85,5.45,5.65,5.7,5.75,5.8,5.85,5.9,5.95,6,6.45,6.5,6.55,6.63,6.7,6.75,6.8},{0,10,20,30,40,50,60,62,64,66,68,70,72,74,76,78,80,85,90,95,100})</f>
        <v>66</v>
      </c>
      <c r="T156" s="5"/>
      <c r="U156" s="5"/>
      <c r="V156" s="5">
        <f t="shared" si="77"/>
        <v>66</v>
      </c>
      <c r="W156" s="5"/>
      <c r="X156" s="13">
        <f t="shared" si="78"/>
        <v>43.2</v>
      </c>
      <c r="Y156" s="13">
        <f t="shared" si="79"/>
        <v>61.7142857142857</v>
      </c>
    </row>
    <row r="157" ht="15.6" hidden="1" outlineLevel="2" spans="1:25">
      <c r="A157" s="5">
        <v>305</v>
      </c>
      <c r="B157" s="5">
        <v>25</v>
      </c>
      <c r="C157" s="9" t="s">
        <v>211</v>
      </c>
      <c r="D157" s="9" t="s">
        <v>12</v>
      </c>
      <c r="E157" s="5"/>
      <c r="F157" s="7"/>
      <c r="G157" s="5"/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>
        <v>50</v>
      </c>
      <c r="X157" s="13"/>
      <c r="Y157" s="13">
        <v>50</v>
      </c>
    </row>
    <row r="158" ht="15.6" hidden="1" outlineLevel="2" spans="1:25">
      <c r="A158" s="5">
        <v>305</v>
      </c>
      <c r="B158" s="5">
        <v>26</v>
      </c>
      <c r="C158" s="9" t="s">
        <v>212</v>
      </c>
      <c r="D158" s="9" t="s">
        <v>12</v>
      </c>
      <c r="E158" s="5">
        <v>14.5</v>
      </c>
      <c r="F158" s="7">
        <f>LOOKUP(E158,{0,-1.8,-0.8,0.2,1.2,2.2,3.2,4.6,6,7.4,8.8,10.2,11.6,13,14.4,15.8,17.2,19.1,21,22.8,24.6},{0,10,20,30,40,50,60,62,64,66,68,70,72,74,76,78,80,85,90,95,100})</f>
        <v>76</v>
      </c>
      <c r="G158" s="5">
        <v>230</v>
      </c>
      <c r="H158" s="7">
        <f>LOOKUP(G158,{0,180,185,190,195,200,205,209,213,217,221,225,229,233,237,241,245,253,260,265,270},{0,10,20,30,40,50,60,62,64,66,68,70,72,74,76,78,80,85,90,95,100})</f>
        <v>72</v>
      </c>
      <c r="I158" s="5">
        <v>8</v>
      </c>
      <c r="J158" s="7">
        <f>LOOKUP(I158,{0,4,5,6,7,8,9,10,11,12,13,14,15,16,17,18},{0,10,20,30,40,50,60,64,68,72,76,80,85,90,95,100})</f>
        <v>50</v>
      </c>
      <c r="K158" s="5"/>
      <c r="L158" s="5"/>
      <c r="M158" s="5">
        <f t="shared" ref="M158:M174" si="80">J158+L158</f>
        <v>50</v>
      </c>
      <c r="N158" s="5">
        <v>7.5</v>
      </c>
      <c r="O158" s="10">
        <f t="shared" ref="O158:O174" si="81">18-N158</f>
        <v>10.5</v>
      </c>
      <c r="P158" s="7">
        <f>LOOKUP(O158,{0,7.8,8,8.2,8.4,8.6,8.8,9,9.2,9.4,9.6,9.8,10,10.2,10.4,10.6,10.8,10.9,11,11.1,11.2},{0,10,20,30,40,50,60,62,64,66,68,70,72,74,76,78,80,85,90,95,100})</f>
        <v>76</v>
      </c>
      <c r="Q158" s="5">
        <v>5.17</v>
      </c>
      <c r="R158" s="10">
        <f t="shared" ref="R158:R174" si="82">10-Q158</f>
        <v>4.83</v>
      </c>
      <c r="S158" s="7">
        <f>LOOKUP(R158,{0,3.85,4.45,4.65,4.85,5.45,5.65,5.7,5.75,5.8,5.85,5.9,5.95,6,6.45,6.5,6.55,6.63,6.7,6.75,6.8},{0,10,20,30,40,50,60,62,64,66,68,70,72,74,76,78,80,85,90,95,100})</f>
        <v>30</v>
      </c>
      <c r="T158" s="5"/>
      <c r="U158" s="5"/>
      <c r="V158" s="5">
        <f t="shared" ref="V158:V174" si="83">S158+U158</f>
        <v>30</v>
      </c>
      <c r="W158" s="5"/>
      <c r="X158" s="13">
        <f t="shared" ref="X158:X174" si="84">F158*0.1+H158*0.1+J158*0.1+P158*0.2+S158*0.2</f>
        <v>41</v>
      </c>
      <c r="Y158" s="13">
        <f t="shared" ref="Y158:Y174" si="85">X158/0.7+L158+U158</f>
        <v>58.5714285714286</v>
      </c>
    </row>
    <row r="159" ht="15.6" hidden="1" outlineLevel="2" spans="1:25">
      <c r="A159" s="5">
        <v>305</v>
      </c>
      <c r="B159" s="5">
        <v>27</v>
      </c>
      <c r="C159" s="9" t="s">
        <v>213</v>
      </c>
      <c r="D159" s="9" t="s">
        <v>12</v>
      </c>
      <c r="E159" s="5">
        <v>15</v>
      </c>
      <c r="F159" s="7">
        <f>LOOKUP(E159,{0,-1.8,-0.8,0.2,1.2,2.2,3.2,4.6,6,7.4,8.8,10.2,11.6,13,14.4,15.8,17.2,19.1,21,22.8,24.6},{0,10,20,30,40,50,60,62,64,66,68,70,72,74,76,78,80,85,90,95,100})</f>
        <v>76</v>
      </c>
      <c r="G159" s="5">
        <v>220</v>
      </c>
      <c r="H159" s="7">
        <f>LOOKUP(G159,{0,180,185,190,195,200,205,209,213,217,221,225,229,233,237,241,245,253,260,265,270},{0,10,20,30,40,50,60,62,64,66,68,70,72,74,76,78,80,85,90,95,100})</f>
        <v>66</v>
      </c>
      <c r="I159" s="5">
        <v>8</v>
      </c>
      <c r="J159" s="7">
        <f>LOOKUP(I159,{0,4,5,6,7,8,9,10,11,12,13,14,15,16,17,18},{0,10,20,30,40,50,60,64,68,72,76,80,85,90,95,100})</f>
        <v>50</v>
      </c>
      <c r="K159" s="5"/>
      <c r="L159" s="5"/>
      <c r="M159" s="5">
        <f t="shared" si="80"/>
        <v>50</v>
      </c>
      <c r="N159" s="5">
        <v>7.2</v>
      </c>
      <c r="O159" s="10">
        <f t="shared" si="81"/>
        <v>10.8</v>
      </c>
      <c r="P159" s="7">
        <f>LOOKUP(O159,{0,7.8,8,8.2,8.4,8.6,8.8,9,9.2,9.4,9.6,9.8,10,10.2,10.4,10.6,10.8,10.9,11,11.1,11.2},{0,10,20,30,40,50,60,62,64,66,68,70,72,74,76,78,80,85,90,95,100})</f>
        <v>80</v>
      </c>
      <c r="Q159" s="5">
        <v>5.11</v>
      </c>
      <c r="R159" s="10">
        <f t="shared" si="82"/>
        <v>4.89</v>
      </c>
      <c r="S159" s="7">
        <f>LOOKUP(R159,{0,3.85,4.45,4.65,4.85,5.45,5.65,5.7,5.75,5.8,5.85,5.9,5.95,6,6.45,6.5,6.55,6.63,6.7,6.75,6.8},{0,10,20,30,40,50,60,62,64,66,68,70,72,74,76,78,80,85,90,95,100})</f>
        <v>40</v>
      </c>
      <c r="T159" s="5"/>
      <c r="U159" s="5"/>
      <c r="V159" s="5">
        <f t="shared" si="83"/>
        <v>40</v>
      </c>
      <c r="W159" s="5"/>
      <c r="X159" s="13">
        <f t="shared" si="84"/>
        <v>43.2</v>
      </c>
      <c r="Y159" s="13">
        <f t="shared" si="85"/>
        <v>61.7142857142857</v>
      </c>
    </row>
    <row r="160" ht="15.6" hidden="1" outlineLevel="2" spans="1:25">
      <c r="A160" s="5">
        <v>305</v>
      </c>
      <c r="B160" s="5">
        <v>28</v>
      </c>
      <c r="C160" s="9" t="s">
        <v>214</v>
      </c>
      <c r="D160" s="9" t="s">
        <v>12</v>
      </c>
      <c r="E160" s="5">
        <v>7</v>
      </c>
      <c r="F160" s="7">
        <f>LOOKUP(E160,{0,-1.8,-0.8,0.2,1.2,2.2,3.2,4.6,6,7.4,8.8,10.2,11.6,13,14.4,15.8,17.2,19.1,21,22.8,24.6},{0,10,20,30,40,50,60,62,64,66,68,70,72,74,76,78,80,85,90,95,100})</f>
        <v>64</v>
      </c>
      <c r="G160" s="5">
        <v>215</v>
      </c>
      <c r="H160" s="7">
        <f>LOOKUP(G160,{0,180,185,190,195,200,205,209,213,217,221,225,229,233,237,241,245,253,260,265,270},{0,10,20,30,40,50,60,62,64,66,68,70,72,74,76,78,80,85,90,95,100})</f>
        <v>64</v>
      </c>
      <c r="I160" s="5">
        <v>0</v>
      </c>
      <c r="J160" s="7">
        <f>LOOKUP(I160,{0,4,5,6,7,8,9,10,11,12,13,14,15,16,17,18},{0,10,20,30,40,50,60,64,68,72,76,80,85,90,95,100})</f>
        <v>0</v>
      </c>
      <c r="K160" s="5"/>
      <c r="L160" s="5"/>
      <c r="M160" s="5">
        <f t="shared" si="80"/>
        <v>0</v>
      </c>
      <c r="N160" s="5">
        <v>8</v>
      </c>
      <c r="O160" s="10">
        <f t="shared" si="81"/>
        <v>10</v>
      </c>
      <c r="P160" s="7">
        <f>LOOKUP(O160,{0,7.8,8,8.2,8.4,8.6,8.8,9,9.2,9.4,9.6,9.8,10,10.2,10.4,10.6,10.8,10.9,11,11.1,11.2},{0,10,20,30,40,50,60,62,64,66,68,70,72,74,76,78,80,85,90,95,100})</f>
        <v>72</v>
      </c>
      <c r="Q160" s="5">
        <v>6.09</v>
      </c>
      <c r="R160" s="10">
        <f t="shared" si="82"/>
        <v>3.91</v>
      </c>
      <c r="S160" s="7">
        <f>LOOKUP(R160,{0,3.85,4.45,4.65,4.85,5.45,5.65,5.7,5.75,5.8,5.85,5.9,5.95,6,6.45,6.5,6.55,6.63,6.7,6.75,6.8},{0,10,20,30,40,50,60,62,64,66,68,70,72,74,76,78,80,85,90,95,100})</f>
        <v>10</v>
      </c>
      <c r="T160" s="5"/>
      <c r="U160" s="5"/>
      <c r="V160" s="5">
        <f t="shared" si="83"/>
        <v>10</v>
      </c>
      <c r="W160" s="5"/>
      <c r="X160" s="13">
        <f t="shared" si="84"/>
        <v>29.2</v>
      </c>
      <c r="Y160" s="13">
        <f t="shared" si="85"/>
        <v>41.7142857142857</v>
      </c>
    </row>
    <row r="161" ht="15.6" hidden="1" outlineLevel="2" spans="1:25">
      <c r="A161" s="5">
        <v>305</v>
      </c>
      <c r="B161" s="5">
        <v>29</v>
      </c>
      <c r="C161" s="9" t="s">
        <v>215</v>
      </c>
      <c r="D161" s="9" t="s">
        <v>12</v>
      </c>
      <c r="E161" s="5">
        <v>2</v>
      </c>
      <c r="F161" s="7">
        <f>LOOKUP(E161,{0,-1.8,-0.8,0.2,1.2,2.2,3.2,4.6,6,7.4,8.8,10.2,11.6,13,14.4,15.8,17.2,19.1,21,22.8,24.6},{0,10,20,30,40,50,60,62,64,66,68,70,72,74,76,78,80,85,90,95,100})</f>
        <v>40</v>
      </c>
      <c r="G161" s="5">
        <v>270</v>
      </c>
      <c r="H161" s="7">
        <f>LOOKUP(G161,{0,180,185,190,195,200,205,209,213,217,221,225,229,233,237,241,245,253,260,265,270},{0,10,20,30,40,50,60,62,64,66,68,70,72,74,76,78,80,85,90,95,100})</f>
        <v>100</v>
      </c>
      <c r="I161" s="5">
        <v>8</v>
      </c>
      <c r="J161" s="7">
        <f>LOOKUP(I161,{0,4,5,6,7,8,9,10,11,12,13,14,15,16,17,18},{0,10,20,30,40,50,60,64,68,72,76,80,85,90,95,100})</f>
        <v>50</v>
      </c>
      <c r="K161" s="5"/>
      <c r="L161" s="5"/>
      <c r="M161" s="5">
        <f t="shared" si="80"/>
        <v>50</v>
      </c>
      <c r="N161" s="5">
        <v>6.9</v>
      </c>
      <c r="O161" s="10">
        <f t="shared" si="81"/>
        <v>11.1</v>
      </c>
      <c r="P161" s="7">
        <f>LOOKUP(O161,{0,7.8,8,8.2,8.4,8.6,8.8,9,9.2,9.4,9.6,9.8,10,10.2,10.4,10.6,10.8,10.9,11,11.1,11.2},{0,10,20,30,40,50,60,62,64,66,68,70,72,74,76,78,80,85,90,95,100})</f>
        <v>95</v>
      </c>
      <c r="Q161" s="5">
        <v>6.37</v>
      </c>
      <c r="R161" s="10">
        <f t="shared" si="82"/>
        <v>3.63</v>
      </c>
      <c r="S161" s="7">
        <f>LOOKUP(R161,{0,3.85,4.45,4.65,4.85,5.45,5.65,5.7,5.75,5.8,5.85,5.9,5.95,6,6.45,6.5,6.55,6.63,6.7,6.75,6.8},{0,10,20,30,40,50,60,62,64,66,68,70,72,74,76,78,80,85,90,95,100})</f>
        <v>0</v>
      </c>
      <c r="T161" s="5"/>
      <c r="U161" s="5"/>
      <c r="V161" s="5">
        <f t="shared" si="83"/>
        <v>0</v>
      </c>
      <c r="W161" s="5"/>
      <c r="X161" s="13">
        <f t="shared" si="84"/>
        <v>38</v>
      </c>
      <c r="Y161" s="13">
        <f t="shared" si="85"/>
        <v>54.2857142857143</v>
      </c>
    </row>
    <row r="162" ht="15.6" hidden="1" outlineLevel="2" spans="1:25">
      <c r="A162" s="5">
        <v>305</v>
      </c>
      <c r="B162" s="5">
        <v>30</v>
      </c>
      <c r="C162" s="9" t="s">
        <v>216</v>
      </c>
      <c r="D162" s="9" t="s">
        <v>12</v>
      </c>
      <c r="E162" s="5">
        <v>5</v>
      </c>
      <c r="F162" s="7">
        <f>LOOKUP(E162,{0,-1.8,-0.8,0.2,1.2,2.2,3.2,4.6,6,7.4,8.8,10.2,11.6,13,14.4,15.8,17.2,19.1,21,22.8,24.6},{0,10,20,30,40,50,60,62,64,66,68,70,72,74,76,78,80,85,90,95,100})</f>
        <v>62</v>
      </c>
      <c r="G162" s="5">
        <v>230</v>
      </c>
      <c r="H162" s="7">
        <f>LOOKUP(G162,{0,180,185,190,195,200,205,209,213,217,221,225,229,233,237,241,245,253,260,265,270},{0,10,20,30,40,50,60,62,64,66,68,70,72,74,76,78,80,85,90,95,100})</f>
        <v>72</v>
      </c>
      <c r="I162" s="5">
        <v>11</v>
      </c>
      <c r="J162" s="7">
        <f>LOOKUP(I162,{0,4,5,6,7,8,9,10,11,12,13,14,15,16,17,18},{0,10,20,30,40,50,60,64,68,72,76,80,85,90,95,100})</f>
        <v>68</v>
      </c>
      <c r="K162" s="5"/>
      <c r="L162" s="5"/>
      <c r="M162" s="5">
        <f t="shared" si="80"/>
        <v>68</v>
      </c>
      <c r="N162" s="5">
        <v>7.2</v>
      </c>
      <c r="O162" s="10">
        <f t="shared" si="81"/>
        <v>10.8</v>
      </c>
      <c r="P162" s="7">
        <f>LOOKUP(O162,{0,7.8,8,8.2,8.4,8.6,8.8,9,9.2,9.4,9.6,9.8,10,10.2,10.4,10.6,10.8,10.9,11,11.1,11.2},{0,10,20,30,40,50,60,62,64,66,68,70,72,74,76,78,80,85,90,95,100})</f>
        <v>80</v>
      </c>
      <c r="Q162" s="5">
        <v>3.51</v>
      </c>
      <c r="R162" s="10">
        <f t="shared" si="82"/>
        <v>6.49</v>
      </c>
      <c r="S162" s="7">
        <f>LOOKUP(R162,{0,3.85,4.45,4.65,4.85,5.45,5.65,5.7,5.75,5.8,5.85,5.9,5.95,6,6.45,6.5,6.55,6.63,6.7,6.75,6.8},{0,10,20,30,40,50,60,62,64,66,68,70,72,74,76,78,80,85,90,95,100})</f>
        <v>76</v>
      </c>
      <c r="T162" s="5"/>
      <c r="U162" s="5"/>
      <c r="V162" s="5">
        <f t="shared" si="83"/>
        <v>76</v>
      </c>
      <c r="W162" s="5"/>
      <c r="X162" s="13">
        <f t="shared" si="84"/>
        <v>51.4</v>
      </c>
      <c r="Y162" s="13">
        <f t="shared" si="85"/>
        <v>73.4285714285714</v>
      </c>
    </row>
    <row r="163" ht="15.6" hidden="1" outlineLevel="2" spans="1:25">
      <c r="A163" s="5">
        <v>305</v>
      </c>
      <c r="B163" s="5">
        <v>31</v>
      </c>
      <c r="C163" s="8" t="s">
        <v>218</v>
      </c>
      <c r="D163" s="9" t="s">
        <v>12</v>
      </c>
      <c r="E163" s="5">
        <v>8.8</v>
      </c>
      <c r="F163" s="7">
        <f>LOOKUP(E163,{0,-1.8,-0.8,0.2,1.2,2.2,3.2,4.6,6,7.4,8.8,10.2,11.6,13,14.4,15.8,17.2,19.1,21,22.8,24.6},{0,10,20,30,40,50,60,62,64,66,68,70,72,74,76,78,80,85,90,95,100})</f>
        <v>68</v>
      </c>
      <c r="G163" s="5">
        <v>235</v>
      </c>
      <c r="H163" s="7">
        <f>LOOKUP(G163,{0,180,185,190,195,200,205,209,213,217,221,225,229,233,237,241,245,253,260,265,270},{0,10,20,30,40,50,60,62,64,66,68,70,72,74,76,78,80,85,90,95,100})</f>
        <v>74</v>
      </c>
      <c r="I163" s="5">
        <v>7</v>
      </c>
      <c r="J163" s="7">
        <f>LOOKUP(I163,{0,4,5,6,7,8,9,10,11,12,13,14,15,16,17,18},{0,10,20,30,40,50,60,64,68,72,76,80,85,90,95,100})</f>
        <v>40</v>
      </c>
      <c r="K163" s="5"/>
      <c r="L163" s="5"/>
      <c r="M163" s="5">
        <f t="shared" si="80"/>
        <v>40</v>
      </c>
      <c r="N163" s="5">
        <v>7.4</v>
      </c>
      <c r="O163" s="10">
        <f t="shared" si="81"/>
        <v>10.6</v>
      </c>
      <c r="P163" s="7">
        <f>LOOKUP(O163,{0,7.8,8,8.2,8.4,8.6,8.8,9,9.2,9.4,9.6,9.8,10,10.2,10.4,10.6,10.8,10.9,11,11.1,11.2},{0,10,20,30,40,50,60,62,64,66,68,70,72,74,76,78,80,85,90,95,100})</f>
        <v>78</v>
      </c>
      <c r="Q163" s="5">
        <v>4.35</v>
      </c>
      <c r="R163" s="10">
        <f t="shared" si="82"/>
        <v>5.65</v>
      </c>
      <c r="S163" s="7">
        <f>LOOKUP(R163,{0,3.85,4.45,4.65,4.85,5.45,5.65,5.7,5.75,5.8,5.85,5.9,5.95,6,6.45,6.5,6.55,6.63,6.7,6.75,6.8},{0,10,20,30,40,50,60,62,64,66,68,70,72,74,76,78,80,85,90,95,100})</f>
        <v>60</v>
      </c>
      <c r="T163" s="5"/>
      <c r="U163" s="5"/>
      <c r="V163" s="5">
        <f t="shared" si="83"/>
        <v>60</v>
      </c>
      <c r="W163" s="5"/>
      <c r="X163" s="13">
        <f t="shared" si="84"/>
        <v>45.8</v>
      </c>
      <c r="Y163" s="13">
        <f t="shared" si="85"/>
        <v>65.4285714285714</v>
      </c>
    </row>
    <row r="164" ht="15.6" hidden="1" outlineLevel="2" spans="1:25">
      <c r="A164" s="5">
        <v>305</v>
      </c>
      <c r="B164" s="5">
        <v>32</v>
      </c>
      <c r="C164" s="9" t="s">
        <v>219</v>
      </c>
      <c r="D164" s="9" t="s">
        <v>12</v>
      </c>
      <c r="E164" s="5">
        <v>24</v>
      </c>
      <c r="F164" s="7">
        <f>LOOKUP(E164,{0,-1.8,-0.8,0.2,1.2,2.2,3.2,4.6,6,7.4,8.8,10.2,11.6,13,14.4,15.8,17.2,19.1,21,22.8,24.6},{0,10,20,30,40,50,60,62,64,66,68,70,72,74,76,78,80,85,90,95,100})</f>
        <v>95</v>
      </c>
      <c r="G164" s="5">
        <v>265</v>
      </c>
      <c r="H164" s="7">
        <f>LOOKUP(G164,{0,180,185,190,195,200,205,209,213,217,221,225,229,233,237,241,245,253,260,265,270},{0,10,20,30,40,50,60,62,64,66,68,70,72,74,76,78,80,85,90,95,100})</f>
        <v>95</v>
      </c>
      <c r="I164" s="5">
        <v>8</v>
      </c>
      <c r="J164" s="7">
        <f>LOOKUP(I164,{0,4,5,6,7,8,9,10,11,12,13,14,15,16,17,18},{0,10,20,30,40,50,60,64,68,72,76,80,85,90,95,100})</f>
        <v>50</v>
      </c>
      <c r="K164" s="5"/>
      <c r="L164" s="5"/>
      <c r="M164" s="5">
        <f t="shared" si="80"/>
        <v>50</v>
      </c>
      <c r="N164" s="5">
        <v>7.1</v>
      </c>
      <c r="O164" s="10">
        <f t="shared" si="81"/>
        <v>10.9</v>
      </c>
      <c r="P164" s="7">
        <f>LOOKUP(O164,{0,7.8,8,8.2,8.4,8.6,8.8,9,9.2,9.4,9.6,9.8,10,10.2,10.4,10.6,10.8,10.9,11,11.1,11.2},{0,10,20,30,40,50,60,62,64,66,68,70,72,74,76,78,80,85,90,95,100})</f>
        <v>85</v>
      </c>
      <c r="Q164" s="5">
        <v>4.03</v>
      </c>
      <c r="R164" s="10">
        <f t="shared" si="82"/>
        <v>5.97</v>
      </c>
      <c r="S164" s="7">
        <f>LOOKUP(R164,{0,3.85,4.45,4.65,4.85,5.45,5.65,5.7,5.75,5.8,5.85,5.9,5.95,6,6.45,6.5,6.55,6.63,6.7,6.75,6.8},{0,10,20,30,40,50,60,62,64,66,68,70,72,74,76,78,80,85,90,95,100})</f>
        <v>72</v>
      </c>
      <c r="T164" s="5"/>
      <c r="U164" s="5"/>
      <c r="V164" s="5">
        <f t="shared" si="83"/>
        <v>72</v>
      </c>
      <c r="W164" s="5"/>
      <c r="X164" s="13">
        <f t="shared" si="84"/>
        <v>55.4</v>
      </c>
      <c r="Y164" s="13">
        <f t="shared" si="85"/>
        <v>79.1428571428571</v>
      </c>
    </row>
    <row r="165" ht="15.6" hidden="1" outlineLevel="2" spans="1:25">
      <c r="A165" s="5">
        <v>305</v>
      </c>
      <c r="B165" s="5">
        <v>33</v>
      </c>
      <c r="C165" s="9" t="s">
        <v>220</v>
      </c>
      <c r="D165" s="9" t="s">
        <v>12</v>
      </c>
      <c r="E165" s="5">
        <v>3</v>
      </c>
      <c r="F165" s="7">
        <f>LOOKUP(E165,{0,-1.8,-0.8,0.2,1.2,2.2,3.2,4.6,6,7.4,8.8,10.2,11.6,13,14.4,15.8,17.2,19.1,21,22.8,24.6},{0,10,20,30,40,50,60,62,64,66,68,70,72,74,76,78,80,85,90,95,100})</f>
        <v>50</v>
      </c>
      <c r="G165" s="5">
        <v>170</v>
      </c>
      <c r="H165" s="7">
        <f>LOOKUP(G165,{0,180,185,190,195,200,205,209,213,217,221,225,229,233,237,241,245,253,260,265,270},{0,10,20,30,40,50,60,62,64,66,68,70,72,74,76,78,80,85,90,95,100})</f>
        <v>0</v>
      </c>
      <c r="I165" s="5">
        <v>1</v>
      </c>
      <c r="J165" s="7">
        <f>LOOKUP(I165,{0,4,5,6,7,8,9,10,11,12,13,14,15,16,17,18},{0,10,20,30,40,50,60,64,68,72,76,80,85,90,95,100})</f>
        <v>0</v>
      </c>
      <c r="K165" s="5"/>
      <c r="L165" s="5"/>
      <c r="M165" s="5">
        <f t="shared" si="80"/>
        <v>0</v>
      </c>
      <c r="N165" s="5">
        <v>8.5</v>
      </c>
      <c r="O165" s="10">
        <f t="shared" si="81"/>
        <v>9.5</v>
      </c>
      <c r="P165" s="7">
        <f>LOOKUP(O165,{0,7.8,8,8.2,8.4,8.6,8.8,9,9.2,9.4,9.6,9.8,10,10.2,10.4,10.6,10.8,10.9,11,11.1,11.2},{0,10,20,30,40,50,60,62,64,66,68,70,72,74,76,78,80,85,90,95,100})</f>
        <v>66</v>
      </c>
      <c r="Q165" s="5">
        <v>4.54</v>
      </c>
      <c r="R165" s="10">
        <f t="shared" si="82"/>
        <v>5.46</v>
      </c>
      <c r="S165" s="7">
        <f>LOOKUP(R165,{0,3.85,4.45,4.65,4.85,5.45,5.65,5.7,5.75,5.8,5.85,5.9,5.95,6,6.45,6.5,6.55,6.63,6.7,6.75,6.8},{0,10,20,30,40,50,60,62,64,66,68,70,72,74,76,78,80,85,90,95,100})</f>
        <v>50</v>
      </c>
      <c r="T165" s="5"/>
      <c r="U165" s="5"/>
      <c r="V165" s="5">
        <f t="shared" si="83"/>
        <v>50</v>
      </c>
      <c r="W165" s="5"/>
      <c r="X165" s="13">
        <f t="shared" si="84"/>
        <v>28.2</v>
      </c>
      <c r="Y165" s="13">
        <f t="shared" si="85"/>
        <v>40.2857142857143</v>
      </c>
    </row>
    <row r="166" ht="15.6" hidden="1" outlineLevel="2" spans="1:25">
      <c r="A166" s="5">
        <v>305</v>
      </c>
      <c r="B166" s="5">
        <v>34</v>
      </c>
      <c r="C166" s="9" t="s">
        <v>221</v>
      </c>
      <c r="D166" s="9" t="s">
        <v>12</v>
      </c>
      <c r="E166" s="5">
        <v>15.5</v>
      </c>
      <c r="F166" s="7">
        <f>LOOKUP(E166,{0,-1.8,-0.8,0.2,1.2,2.2,3.2,4.6,6,7.4,8.8,10.2,11.6,13,14.4,15.8,17.2,19.1,21,22.8,24.6},{0,10,20,30,40,50,60,62,64,66,68,70,72,74,76,78,80,85,90,95,100})</f>
        <v>76</v>
      </c>
      <c r="G166" s="5">
        <v>250</v>
      </c>
      <c r="H166" s="7">
        <f>LOOKUP(G166,{0,180,185,190,195,200,205,209,213,217,221,225,229,233,237,241,245,253,260,265,270},{0,10,20,30,40,50,60,62,64,66,68,70,72,74,76,78,80,85,90,95,100})</f>
        <v>80</v>
      </c>
      <c r="I166" s="5">
        <v>8</v>
      </c>
      <c r="J166" s="7">
        <f>LOOKUP(I166,{0,4,5,6,7,8,9,10,11,12,13,14,15,16,17,18},{0,10,20,30,40,50,60,64,68,72,76,80,85,90,95,100})</f>
        <v>50</v>
      </c>
      <c r="K166" s="5"/>
      <c r="L166" s="5"/>
      <c r="M166" s="5">
        <f t="shared" si="80"/>
        <v>50</v>
      </c>
      <c r="N166" s="5">
        <v>7.4</v>
      </c>
      <c r="O166" s="10">
        <f t="shared" si="81"/>
        <v>10.6</v>
      </c>
      <c r="P166" s="7">
        <f>LOOKUP(O166,{0,7.8,8,8.2,8.4,8.6,8.8,9,9.2,9.4,9.6,9.8,10,10.2,10.4,10.6,10.8,10.9,11,11.1,11.2},{0,10,20,30,40,50,60,62,64,66,68,70,72,74,76,78,80,85,90,95,100})</f>
        <v>78</v>
      </c>
      <c r="Q166" s="5">
        <v>4.26</v>
      </c>
      <c r="R166" s="10">
        <f t="shared" si="82"/>
        <v>5.74</v>
      </c>
      <c r="S166" s="7">
        <f>LOOKUP(R166,{0,3.85,4.45,4.65,4.85,5.45,5.65,5.7,5.75,5.8,5.85,5.9,5.95,6,6.45,6.5,6.55,6.63,6.7,6.75,6.8},{0,10,20,30,40,50,60,62,64,66,68,70,72,74,76,78,80,85,90,95,100})</f>
        <v>62</v>
      </c>
      <c r="T166" s="5"/>
      <c r="U166" s="5"/>
      <c r="V166" s="5">
        <f t="shared" si="83"/>
        <v>62</v>
      </c>
      <c r="W166" s="5"/>
      <c r="X166" s="13">
        <f t="shared" si="84"/>
        <v>48.6</v>
      </c>
      <c r="Y166" s="13">
        <f t="shared" si="85"/>
        <v>69.4285714285714</v>
      </c>
    </row>
    <row r="167" ht="15.6" hidden="1" outlineLevel="2" spans="1:25">
      <c r="A167" s="5">
        <v>305</v>
      </c>
      <c r="B167" s="5">
        <v>35</v>
      </c>
      <c r="C167" s="9" t="s">
        <v>222</v>
      </c>
      <c r="D167" s="9" t="s">
        <v>12</v>
      </c>
      <c r="E167" s="5">
        <v>14.5</v>
      </c>
      <c r="F167" s="7">
        <f>LOOKUP(E167,{0,-1.8,-0.8,0.2,1.2,2.2,3.2,4.6,6,7.4,8.8,10.2,11.6,13,14.4,15.8,17.2,19.1,21,22.8,24.6},{0,10,20,30,40,50,60,62,64,66,68,70,72,74,76,78,80,85,90,95,100})</f>
        <v>76</v>
      </c>
      <c r="G167" s="5">
        <v>210</v>
      </c>
      <c r="H167" s="7">
        <f>LOOKUP(G167,{0,180,185,190,195,200,205,209,213,217,221,225,229,233,237,241,245,253,260,265,270},{0,10,20,30,40,50,60,62,64,66,68,70,72,74,76,78,80,85,90,95,100})</f>
        <v>62</v>
      </c>
      <c r="I167" s="5">
        <v>8</v>
      </c>
      <c r="J167" s="7">
        <f>LOOKUP(I167,{0,4,5,6,7,8,9,10,11,12,13,14,15,16,17,18},{0,10,20,30,40,50,60,64,68,72,76,80,85,90,95,100})</f>
        <v>50</v>
      </c>
      <c r="K167" s="5"/>
      <c r="L167" s="5"/>
      <c r="M167" s="5">
        <f t="shared" si="80"/>
        <v>50</v>
      </c>
      <c r="N167" s="5">
        <v>7.8</v>
      </c>
      <c r="O167" s="10">
        <f t="shared" si="81"/>
        <v>10.2</v>
      </c>
      <c r="P167" s="7">
        <f>LOOKUP(O167,{0,7.8,8,8.2,8.4,8.6,8.8,9,9.2,9.4,9.6,9.8,10,10.2,10.4,10.6,10.8,10.9,11,11.1,11.2},{0,10,20,30,40,50,60,62,64,66,68,70,72,74,76,78,80,85,90,95,100})</f>
        <v>74</v>
      </c>
      <c r="Q167" s="5">
        <v>4.54</v>
      </c>
      <c r="R167" s="10">
        <f t="shared" si="82"/>
        <v>5.46</v>
      </c>
      <c r="S167" s="7">
        <f>LOOKUP(R167,{0,3.85,4.45,4.65,4.85,5.45,5.65,5.7,5.75,5.8,5.85,5.9,5.95,6,6.45,6.5,6.55,6.63,6.7,6.75,6.8},{0,10,20,30,40,50,60,62,64,66,68,70,72,74,76,78,80,85,90,95,100})</f>
        <v>50</v>
      </c>
      <c r="T167" s="5"/>
      <c r="U167" s="5"/>
      <c r="V167" s="5">
        <f t="shared" si="83"/>
        <v>50</v>
      </c>
      <c r="W167" s="5"/>
      <c r="X167" s="13">
        <f t="shared" si="84"/>
        <v>43.6</v>
      </c>
      <c r="Y167" s="13">
        <f t="shared" si="85"/>
        <v>62.2857142857143</v>
      </c>
    </row>
    <row r="168" ht="15.6" hidden="1" outlineLevel="2" spans="1:25">
      <c r="A168" s="5">
        <v>305</v>
      </c>
      <c r="B168" s="5">
        <v>36</v>
      </c>
      <c r="C168" s="9" t="s">
        <v>223</v>
      </c>
      <c r="D168" s="9" t="s">
        <v>12</v>
      </c>
      <c r="E168" s="5">
        <v>16</v>
      </c>
      <c r="F168" s="7">
        <f>LOOKUP(E168,{0,-1.8,-0.8,0.2,1.2,2.2,3.2,4.6,6,7.4,8.8,10.2,11.6,13,14.4,15.8,17.2,19.1,21,22.8,24.6},{0,10,20,30,40,50,60,62,64,66,68,70,72,74,76,78,80,85,90,95,100})</f>
        <v>78</v>
      </c>
      <c r="G168" s="5">
        <v>232</v>
      </c>
      <c r="H168" s="7">
        <f>LOOKUP(G168,{0,180,185,190,195,200,205,209,213,217,221,225,229,233,237,241,245,253,260,265,270},{0,10,20,30,40,50,60,62,64,66,68,70,72,74,76,78,80,85,90,95,100})</f>
        <v>72</v>
      </c>
      <c r="I168" s="5">
        <v>8</v>
      </c>
      <c r="J168" s="7">
        <f>LOOKUP(I168,{0,4,5,6,7,8,9,10,11,12,13,14,15,16,17,18},{0,10,20,30,40,50,60,64,68,72,76,80,85,90,95,100})</f>
        <v>50</v>
      </c>
      <c r="K168" s="5"/>
      <c r="L168" s="5"/>
      <c r="M168" s="5">
        <f t="shared" si="80"/>
        <v>50</v>
      </c>
      <c r="N168" s="5">
        <v>7.3</v>
      </c>
      <c r="O168" s="10">
        <f t="shared" si="81"/>
        <v>10.7</v>
      </c>
      <c r="P168" s="7">
        <f>LOOKUP(O168,{0,7.8,8,8.2,8.4,8.6,8.8,9,9.2,9.4,9.6,9.8,10,10.2,10.4,10.6,10.8,10.9,11,11.1,11.2},{0,10,20,30,40,50,60,62,64,66,68,70,72,74,76,78,80,85,90,95,100})</f>
        <v>78</v>
      </c>
      <c r="Q168" s="5">
        <v>4.04</v>
      </c>
      <c r="R168" s="10">
        <f t="shared" si="82"/>
        <v>5.96</v>
      </c>
      <c r="S168" s="7">
        <f>LOOKUP(R168,{0,3.85,4.45,4.65,4.85,5.45,5.65,5.7,5.75,5.8,5.85,5.9,5.95,6,6.45,6.5,6.55,6.63,6.7,6.75,6.8},{0,10,20,30,40,50,60,62,64,66,68,70,72,74,76,78,80,85,90,95,100})</f>
        <v>72</v>
      </c>
      <c r="T168" s="5"/>
      <c r="U168" s="5"/>
      <c r="V168" s="5">
        <f t="shared" si="83"/>
        <v>72</v>
      </c>
      <c r="W168" s="5"/>
      <c r="X168" s="13">
        <f t="shared" si="84"/>
        <v>50</v>
      </c>
      <c r="Y168" s="13">
        <f t="shared" si="85"/>
        <v>71.4285714285714</v>
      </c>
    </row>
    <row r="169" ht="15.6" hidden="1" outlineLevel="2" spans="1:25">
      <c r="A169" s="5">
        <v>305</v>
      </c>
      <c r="B169" s="5">
        <v>37</v>
      </c>
      <c r="C169" s="9" t="s">
        <v>224</v>
      </c>
      <c r="D169" s="9" t="s">
        <v>12</v>
      </c>
      <c r="E169" s="5">
        <v>21.5</v>
      </c>
      <c r="F169" s="7">
        <f>LOOKUP(E169,{0,-1.8,-0.8,0.2,1.2,2.2,3.2,4.6,6,7.4,8.8,10.2,11.6,13,14.4,15.8,17.2,19.1,21,22.8,24.6},{0,10,20,30,40,50,60,62,64,66,68,70,72,74,76,78,80,85,90,95,100})</f>
        <v>90</v>
      </c>
      <c r="G169" s="5">
        <v>228</v>
      </c>
      <c r="H169" s="7">
        <f>LOOKUP(G169,{0,180,185,190,195,200,205,209,213,217,221,225,229,233,237,241,245,253,260,265,270},{0,10,20,30,40,50,60,62,64,66,68,70,72,74,76,78,80,85,90,95,100})</f>
        <v>70</v>
      </c>
      <c r="I169" s="5">
        <v>10</v>
      </c>
      <c r="J169" s="7">
        <f>LOOKUP(I169,{0,4,5,6,7,8,9,10,11,12,13,14,15,16,17,18},{0,10,20,30,40,50,60,64,68,72,76,80,85,90,95,100})</f>
        <v>64</v>
      </c>
      <c r="K169" s="5"/>
      <c r="L169" s="5"/>
      <c r="M169" s="5">
        <f t="shared" si="80"/>
        <v>64</v>
      </c>
      <c r="N169" s="5">
        <v>7.6</v>
      </c>
      <c r="O169" s="10">
        <f t="shared" si="81"/>
        <v>10.4</v>
      </c>
      <c r="P169" s="7">
        <f>LOOKUP(O169,{0,7.8,8,8.2,8.4,8.6,8.8,9,9.2,9.4,9.6,9.8,10,10.2,10.4,10.6,10.8,10.9,11,11.1,11.2},{0,10,20,30,40,50,60,62,64,66,68,70,72,74,76,78,80,85,90,95,100})</f>
        <v>76</v>
      </c>
      <c r="Q169" s="5">
        <v>4.06</v>
      </c>
      <c r="R169" s="10">
        <f t="shared" si="82"/>
        <v>5.94</v>
      </c>
      <c r="S169" s="7">
        <f>LOOKUP(R169,{0,3.85,4.45,4.65,4.85,5.45,5.65,5.7,5.75,5.8,5.85,5.9,5.95,6,6.45,6.5,6.55,6.63,6.7,6.75,6.8},{0,10,20,30,40,50,60,62,64,66,68,70,72,74,76,78,80,85,90,95,100})</f>
        <v>70</v>
      </c>
      <c r="T169" s="5"/>
      <c r="U169" s="5"/>
      <c r="V169" s="5">
        <f t="shared" si="83"/>
        <v>70</v>
      </c>
      <c r="W169" s="5"/>
      <c r="X169" s="13">
        <f t="shared" si="84"/>
        <v>51.6</v>
      </c>
      <c r="Y169" s="13">
        <f t="shared" si="85"/>
        <v>73.7142857142857</v>
      </c>
    </row>
    <row r="170" ht="15.6" hidden="1" outlineLevel="2" spans="1:25">
      <c r="A170" s="5">
        <v>305</v>
      </c>
      <c r="B170" s="5">
        <v>38</v>
      </c>
      <c r="C170" s="9" t="s">
        <v>225</v>
      </c>
      <c r="D170" s="9" t="s">
        <v>12</v>
      </c>
      <c r="E170" s="5">
        <v>7</v>
      </c>
      <c r="F170" s="7">
        <f>LOOKUP(E170,{0,-1.8,-0.8,0.2,1.2,2.2,3.2,4.6,6,7.4,8.8,10.2,11.6,13,14.4,15.8,17.2,19.1,21,22.8,24.6},{0,10,20,30,40,50,60,62,64,66,68,70,72,74,76,78,80,85,90,95,100})</f>
        <v>64</v>
      </c>
      <c r="G170" s="5">
        <v>212</v>
      </c>
      <c r="H170" s="7">
        <f>LOOKUP(G170,{0,180,185,190,195,200,205,209,213,217,221,225,229,233,237,241,245,253,260,265,270},{0,10,20,30,40,50,60,62,64,66,68,70,72,74,76,78,80,85,90,95,100})</f>
        <v>62</v>
      </c>
      <c r="I170" s="5">
        <v>1</v>
      </c>
      <c r="J170" s="7">
        <f>LOOKUP(I170,{0,4,5,6,7,8,9,10,11,12,13,14,15,16,17,18},{0,10,20,30,40,50,60,64,68,72,76,80,85,90,95,100})</f>
        <v>0</v>
      </c>
      <c r="K170" s="5"/>
      <c r="L170" s="5"/>
      <c r="M170" s="5">
        <f t="shared" si="80"/>
        <v>0</v>
      </c>
      <c r="N170" s="5">
        <v>7.9</v>
      </c>
      <c r="O170" s="10">
        <f t="shared" si="81"/>
        <v>10.1</v>
      </c>
      <c r="P170" s="7">
        <f>LOOKUP(O170,{0,7.8,8,8.2,8.4,8.6,8.8,9,9.2,9.4,9.6,9.8,10,10.2,10.4,10.6,10.8,10.9,11,11.1,11.2},{0,10,20,30,40,50,60,62,64,66,68,70,72,74,76,78,80,85,90,95,100})</f>
        <v>72</v>
      </c>
      <c r="Q170" s="5">
        <v>4.47</v>
      </c>
      <c r="R170" s="10">
        <f t="shared" si="82"/>
        <v>5.53</v>
      </c>
      <c r="S170" s="7">
        <f>LOOKUP(R170,{0,3.85,4.45,4.65,4.85,5.45,5.65,5.7,5.75,5.8,5.85,5.9,5.95,6,6.45,6.5,6.55,6.63,6.7,6.75,6.8},{0,10,20,30,40,50,60,62,64,66,68,70,72,74,76,78,80,85,90,95,100})</f>
        <v>50</v>
      </c>
      <c r="T170" s="5"/>
      <c r="U170" s="5"/>
      <c r="V170" s="5">
        <f t="shared" si="83"/>
        <v>50</v>
      </c>
      <c r="W170" s="5"/>
      <c r="X170" s="13">
        <f t="shared" si="84"/>
        <v>37</v>
      </c>
      <c r="Y170" s="13">
        <f t="shared" si="85"/>
        <v>52.8571428571429</v>
      </c>
    </row>
    <row r="171" ht="15.6" hidden="1" outlineLevel="2" spans="1:25">
      <c r="A171" s="5">
        <v>305</v>
      </c>
      <c r="B171" s="5">
        <v>39</v>
      </c>
      <c r="C171" s="9" t="s">
        <v>226</v>
      </c>
      <c r="D171" s="9" t="s">
        <v>12</v>
      </c>
      <c r="E171" s="5">
        <v>20.5</v>
      </c>
      <c r="F171" s="7">
        <f>LOOKUP(E171,{0,-1.8,-0.8,0.2,1.2,2.2,3.2,4.6,6,7.4,8.8,10.2,11.6,13,14.4,15.8,17.2,19.1,21,22.8,24.6},{0,10,20,30,40,50,60,62,64,66,68,70,72,74,76,78,80,85,90,95,100})</f>
        <v>85</v>
      </c>
      <c r="G171" s="5">
        <v>230</v>
      </c>
      <c r="H171" s="7">
        <f>LOOKUP(G171,{0,180,185,190,195,200,205,209,213,217,221,225,229,233,237,241,245,253,260,265,270},{0,10,20,30,40,50,60,62,64,66,68,70,72,74,76,78,80,85,90,95,100})</f>
        <v>72</v>
      </c>
      <c r="I171" s="5">
        <v>9</v>
      </c>
      <c r="J171" s="7">
        <f>LOOKUP(I171,{0,4,5,6,7,8,9,10,11,12,13,14,15,16,17,18},{0,10,20,30,40,50,60,64,68,72,76,80,85,90,95,100})</f>
        <v>60</v>
      </c>
      <c r="K171" s="5"/>
      <c r="L171" s="5"/>
      <c r="M171" s="5">
        <f t="shared" si="80"/>
        <v>60</v>
      </c>
      <c r="N171" s="5">
        <v>7.5</v>
      </c>
      <c r="O171" s="10">
        <f t="shared" si="81"/>
        <v>10.5</v>
      </c>
      <c r="P171" s="7">
        <f>LOOKUP(O171,{0,7.8,8,8.2,8.4,8.6,8.8,9,9.2,9.4,9.6,9.8,10,10.2,10.4,10.6,10.8,10.9,11,11.1,11.2},{0,10,20,30,40,50,60,62,64,66,68,70,72,74,76,78,80,85,90,95,100})</f>
        <v>76</v>
      </c>
      <c r="Q171" s="5">
        <v>4.37</v>
      </c>
      <c r="R171" s="10">
        <f t="shared" si="82"/>
        <v>5.63</v>
      </c>
      <c r="S171" s="7">
        <f>LOOKUP(R171,{0,3.85,4.45,4.65,4.85,5.45,5.65,5.7,5.75,5.8,5.85,5.9,5.95,6,6.45,6.5,6.55,6.63,6.7,6.75,6.8},{0,10,20,30,40,50,60,62,64,66,68,70,72,74,76,78,80,85,90,95,100})</f>
        <v>50</v>
      </c>
      <c r="T171" s="5"/>
      <c r="U171" s="5"/>
      <c r="V171" s="5">
        <f t="shared" si="83"/>
        <v>50</v>
      </c>
      <c r="W171" s="5"/>
      <c r="X171" s="13">
        <f t="shared" si="84"/>
        <v>46.9</v>
      </c>
      <c r="Y171" s="13">
        <f t="shared" si="85"/>
        <v>67</v>
      </c>
    </row>
    <row r="172" ht="15.6" outlineLevel="1" collapsed="1" spans="1:25">
      <c r="A172" s="6" t="s">
        <v>856</v>
      </c>
      <c r="B172" s="5"/>
      <c r="C172" s="9"/>
      <c r="D172" s="9"/>
      <c r="E172" s="5"/>
      <c r="F172" s="7">
        <f>SUBTOTAL(1,F133:F171)</f>
        <v>70.8684210526316</v>
      </c>
      <c r="G172" s="5"/>
      <c r="H172" s="7">
        <f>SUBTOTAL(1,H133:H171)</f>
        <v>70.8684210526316</v>
      </c>
      <c r="I172" s="5"/>
      <c r="J172" s="7">
        <f>SUBTOTAL(1,J133:J171)</f>
        <v>38.1578947368421</v>
      </c>
      <c r="K172" s="5"/>
      <c r="L172" s="5"/>
      <c r="M172" s="5">
        <f>SUBTOTAL(1,M133:M171)</f>
        <v>38.7631578947368</v>
      </c>
      <c r="N172" s="5"/>
      <c r="O172" s="10"/>
      <c r="P172" s="7">
        <f>SUBTOTAL(1,P133:P171)</f>
        <v>77.8947368421053</v>
      </c>
      <c r="Q172" s="5"/>
      <c r="R172" s="10"/>
      <c r="S172" s="7">
        <f>SUBTOTAL(1,S133:S171)</f>
        <v>50.8947368421053</v>
      </c>
      <c r="T172" s="5"/>
      <c r="U172" s="5"/>
      <c r="V172" s="5">
        <f>SUBTOTAL(1,V133:V171)</f>
        <v>50.8947368421053</v>
      </c>
      <c r="W172" s="5"/>
      <c r="X172" s="13">
        <f>SUBTOTAL(1,X133:X171)</f>
        <v>43.7473684210526</v>
      </c>
      <c r="Y172" s="13">
        <f>SUBTOTAL(1,Y133:Y171)</f>
        <v>62.7655677655678</v>
      </c>
    </row>
    <row r="173" ht="15.6" hidden="1" outlineLevel="2" spans="1:25">
      <c r="A173" s="5">
        <v>306</v>
      </c>
      <c r="B173" s="5">
        <v>1</v>
      </c>
      <c r="C173" s="8" t="s">
        <v>242</v>
      </c>
      <c r="D173" s="9" t="s">
        <v>12</v>
      </c>
      <c r="E173" s="5">
        <v>8</v>
      </c>
      <c r="F173" s="7">
        <f>LOOKUP(E173,{0,-1.8,-0.8,0.2,1.2,2.2,3.2,4.6,6,7.4,8.8,10.2,11.6,13,14.4,15.8,17.2,19.1,21,22.8,24.6},{0,10,20,30,40,50,60,62,64,66,68,70,72,74,76,78,80,85,90,95,100})</f>
        <v>66</v>
      </c>
      <c r="G173" s="5">
        <v>250</v>
      </c>
      <c r="H173" s="7">
        <f>LOOKUP(G173,{0,180,185,190,195,200,205,209,213,217,221,225,229,233,237,241,245,253,260,265,270},{0,10,20,30,40,50,60,62,64,66,68,70,72,74,76,78,80,85,90,95,100})</f>
        <v>80</v>
      </c>
      <c r="I173" s="5">
        <v>1</v>
      </c>
      <c r="J173" s="7">
        <f>LOOKUP(I173,{0,4,5,6,7,8,9,10,11,12,13,14,15,16,17,18},{0,10,20,30,40,50,60,64,68,72,76,80,85,90,95,100})</f>
        <v>0</v>
      </c>
      <c r="K173" s="5"/>
      <c r="L173" s="5"/>
      <c r="M173" s="5">
        <f>J173+L173</f>
        <v>0</v>
      </c>
      <c r="N173" s="5">
        <v>7.6</v>
      </c>
      <c r="O173" s="10">
        <f>18-N173</f>
        <v>10.4</v>
      </c>
      <c r="P173" s="7">
        <f>LOOKUP(O173,{0,7.8,8,8.2,8.4,8.6,8.8,9,9.2,9.4,9.6,9.8,10,10.2,10.4,10.6,10.8,10.9,11,11.1,11.2},{0,10,20,30,40,50,60,62,64,66,68,70,72,74,76,78,80,85,90,95,100})</f>
        <v>76</v>
      </c>
      <c r="Q173" s="5">
        <v>4.36</v>
      </c>
      <c r="R173" s="10">
        <f>10-Q173</f>
        <v>5.64</v>
      </c>
      <c r="S173" s="7">
        <f>LOOKUP(R173,{0,3.85,4.45,4.65,4.85,5.45,5.65,5.7,5.75,5.8,5.85,5.9,5.95,6,6.45,6.5,6.55,6.63,6.7,6.75,6.8},{0,10,20,30,40,50,60,62,64,66,68,70,72,74,76,78,80,85,90,95,100})</f>
        <v>50</v>
      </c>
      <c r="T173" s="5"/>
      <c r="U173" s="5"/>
      <c r="V173" s="5">
        <f>S173+U173</f>
        <v>50</v>
      </c>
      <c r="W173" s="5"/>
      <c r="X173" s="13">
        <f>F173*0.1+H173*0.1+J173*0.1+P173*0.2+S173*0.2</f>
        <v>39.8</v>
      </c>
      <c r="Y173" s="13">
        <f>X173/0.7+L173+U173</f>
        <v>56.8571428571429</v>
      </c>
    </row>
    <row r="174" ht="15.6" hidden="1" outlineLevel="2" spans="1:25">
      <c r="A174" s="5">
        <v>306</v>
      </c>
      <c r="B174" s="5">
        <v>2</v>
      </c>
      <c r="C174" s="9" t="s">
        <v>243</v>
      </c>
      <c r="D174" s="9" t="s">
        <v>12</v>
      </c>
      <c r="E174" s="5">
        <v>-1</v>
      </c>
      <c r="F174" s="7">
        <f>LOOKUP(E174,{0,-1.8,-0.8,0.2,1.2,2.2,3.2,4.6,6,7.4,8.8,10.2,11.6,13,14.4,15.8,17.2,19.1,21,22.8,24.6},{0,10,20,30,40,50,60,62,64,66,68,70,72,74,76,78,80,85,90,95,100})</f>
        <v>10</v>
      </c>
      <c r="G174" s="5">
        <v>225</v>
      </c>
      <c r="H174" s="7">
        <f>LOOKUP(G174,{0,180,185,190,195,200,205,209,213,217,221,225,229,233,237,241,245,253,260,265,270},{0,10,20,30,40,50,60,62,64,66,68,70,72,74,76,78,80,85,90,95,100})</f>
        <v>70</v>
      </c>
      <c r="I174" s="5">
        <v>0</v>
      </c>
      <c r="J174" s="7">
        <f>LOOKUP(I174,{0,4,5,6,7,8,9,10,11,12,13,14,15,16,17,18},{0,10,20,30,40,50,60,64,68,72,76,80,85,90,95,100})</f>
        <v>0</v>
      </c>
      <c r="K174" s="5"/>
      <c r="L174" s="5"/>
      <c r="M174" s="5">
        <f>J174+L174</f>
        <v>0</v>
      </c>
      <c r="N174" s="5">
        <v>7.3</v>
      </c>
      <c r="O174" s="10">
        <f>18-N174</f>
        <v>10.7</v>
      </c>
      <c r="P174" s="7">
        <f>LOOKUP(O174,{0,7.8,8,8.2,8.4,8.6,8.8,9,9.2,9.4,9.6,9.8,10,10.2,10.4,10.6,10.8,10.9,11,11.1,11.2},{0,10,20,30,40,50,60,62,64,66,68,70,72,74,76,78,80,85,90,95,100})</f>
        <v>78</v>
      </c>
      <c r="Q174" s="5">
        <v>4.41</v>
      </c>
      <c r="R174" s="10">
        <f>10-Q174</f>
        <v>5.59</v>
      </c>
      <c r="S174" s="7">
        <f>LOOKUP(R174,{0,3.85,4.45,4.65,4.85,5.45,5.65,5.7,5.75,5.8,5.85,5.9,5.95,6,6.45,6.5,6.55,6.63,6.7,6.75,6.8},{0,10,20,30,40,50,60,62,64,66,68,70,72,74,76,78,80,85,90,95,100})</f>
        <v>50</v>
      </c>
      <c r="T174" s="5"/>
      <c r="U174" s="5"/>
      <c r="V174" s="5">
        <f>S174+U174</f>
        <v>50</v>
      </c>
      <c r="W174" s="5"/>
      <c r="X174" s="13">
        <f>F174*0.1+H174*0.1+J174*0.1+P174*0.2+S174*0.2</f>
        <v>33.6</v>
      </c>
      <c r="Y174" s="13">
        <f>X174/0.7+L174+U174</f>
        <v>48</v>
      </c>
    </row>
    <row r="175" ht="15.6" hidden="1" outlineLevel="2" spans="1:25">
      <c r="A175" s="5">
        <v>306</v>
      </c>
      <c r="B175" s="5">
        <v>3</v>
      </c>
      <c r="C175" s="9" t="s">
        <v>244</v>
      </c>
      <c r="D175" s="9" t="s">
        <v>12</v>
      </c>
      <c r="E175" s="5">
        <v>12.5</v>
      </c>
      <c r="F175" s="7">
        <f>LOOKUP(E175,{0,-1.8,-0.8,0.2,1.2,2.2,3.2,4.6,6,7.4,8.8,10.2,11.6,13,14.4,15.8,17.2,19.1,21,22.8,24.6},{0,10,20,30,40,50,60,62,64,66,68,70,72,74,76,78,80,85,90,95,100})</f>
        <v>72</v>
      </c>
      <c r="G175" s="5">
        <v>227</v>
      </c>
      <c r="H175" s="7">
        <f>LOOKUP(G175,{0,180,185,190,195,200,205,209,213,217,221,225,229,233,237,241,245,253,260,265,270},{0,10,20,30,40,50,60,62,64,66,68,70,72,74,76,78,80,85,90,95,100})</f>
        <v>70</v>
      </c>
      <c r="I175" s="5">
        <v>1</v>
      </c>
      <c r="J175" s="7">
        <f>LOOKUP(I175,{0,4,5,6,7,8,9,10,11,12,13,14,15,16,17,18},{0,10,20,30,40,50,60,64,68,72,76,80,85,90,95,100})</f>
        <v>0</v>
      </c>
      <c r="K175" s="5"/>
      <c r="L175" s="5"/>
      <c r="M175" s="5">
        <f>J175+L175</f>
        <v>0</v>
      </c>
      <c r="N175" s="5">
        <v>7.1</v>
      </c>
      <c r="O175" s="10">
        <f>18-N175</f>
        <v>10.9</v>
      </c>
      <c r="P175" s="7">
        <f>LOOKUP(O175,{0,7.8,8,8.2,8.4,8.6,8.8,9,9.2,9.4,9.6,9.8,10,10.2,10.4,10.6,10.8,10.9,11,11.1,11.2},{0,10,20,30,40,50,60,62,64,66,68,70,72,74,76,78,80,85,90,95,100})</f>
        <v>85</v>
      </c>
      <c r="Q175" s="5">
        <v>4.36</v>
      </c>
      <c r="R175" s="10">
        <f>10-Q175</f>
        <v>5.64</v>
      </c>
      <c r="S175" s="7">
        <f>LOOKUP(R175,{0,3.85,4.45,4.65,4.85,5.45,5.65,5.7,5.75,5.8,5.85,5.9,5.95,6,6.45,6.5,6.55,6.63,6.7,6.75,6.8},{0,10,20,30,40,50,60,62,64,66,68,70,72,74,76,78,80,85,90,95,100})</f>
        <v>50</v>
      </c>
      <c r="T175" s="5"/>
      <c r="U175" s="5"/>
      <c r="V175" s="5">
        <f>S175+U175</f>
        <v>50</v>
      </c>
      <c r="W175" s="5"/>
      <c r="X175" s="13">
        <f>F175*0.1+H175*0.1+J175*0.1+P175*0.2+S175*0.2</f>
        <v>41.2</v>
      </c>
      <c r="Y175" s="13">
        <f>X175/0.7+L175+U175</f>
        <v>58.8571428571429</v>
      </c>
    </row>
    <row r="176" ht="15.6" hidden="1" outlineLevel="2" spans="1:25">
      <c r="A176" s="5">
        <v>306</v>
      </c>
      <c r="B176" s="5">
        <v>4</v>
      </c>
      <c r="C176" s="9" t="s">
        <v>245</v>
      </c>
      <c r="D176" s="9" t="s">
        <v>12</v>
      </c>
      <c r="E176" s="5"/>
      <c r="F176" s="7"/>
      <c r="G176" s="5"/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>
        <v>50</v>
      </c>
      <c r="X176" s="13"/>
      <c r="Y176" s="13">
        <v>50</v>
      </c>
    </row>
    <row r="177" ht="15.6" hidden="1" outlineLevel="2" spans="1:25">
      <c r="A177" s="5">
        <v>306</v>
      </c>
      <c r="B177" s="5">
        <v>5</v>
      </c>
      <c r="C177" s="9" t="s">
        <v>246</v>
      </c>
      <c r="D177" s="9" t="s">
        <v>12</v>
      </c>
      <c r="E177" s="5">
        <v>11</v>
      </c>
      <c r="F177" s="7">
        <f>LOOKUP(E177,{0,-1.8,-0.8,0.2,1.2,2.2,3.2,4.6,6,7.4,8.8,10.2,11.6,13,14.4,15.8,17.2,19.1,21,22.8,24.6},{0,10,20,30,40,50,60,62,64,66,68,70,72,74,76,78,80,85,90,95,100})</f>
        <v>70</v>
      </c>
      <c r="G177" s="5">
        <v>211</v>
      </c>
      <c r="H177" s="7">
        <f>LOOKUP(G177,{0,180,185,190,195,200,205,209,213,217,221,225,229,233,237,241,245,253,260,265,270},{0,10,20,30,40,50,60,62,64,66,68,70,72,74,76,78,80,85,90,95,100})</f>
        <v>62</v>
      </c>
      <c r="I177" s="5">
        <v>1</v>
      </c>
      <c r="J177" s="7">
        <f>LOOKUP(I177,{0,4,5,6,7,8,9,10,11,12,13,14,15,16,17,18},{0,10,20,30,40,50,60,64,68,72,76,80,85,90,95,100})</f>
        <v>0</v>
      </c>
      <c r="K177" s="5"/>
      <c r="L177" s="5"/>
      <c r="M177" s="5">
        <f t="shared" ref="M177:M184" si="86">J177+L177</f>
        <v>0</v>
      </c>
      <c r="N177" s="5">
        <v>7.8</v>
      </c>
      <c r="O177" s="10">
        <f t="shared" ref="O177:O184" si="87">18-N177</f>
        <v>10.2</v>
      </c>
      <c r="P177" s="7">
        <f>LOOKUP(O177,{0,7.8,8,8.2,8.4,8.6,8.8,9,9.2,9.4,9.6,9.8,10,10.2,10.4,10.6,10.8,10.9,11,11.1,11.2},{0,10,20,30,40,50,60,62,64,66,68,70,72,74,76,78,80,85,90,95,100})</f>
        <v>74</v>
      </c>
      <c r="Q177" s="5">
        <v>4.3</v>
      </c>
      <c r="R177" s="10">
        <f t="shared" ref="R177:R184" si="88">10-Q177</f>
        <v>5.7</v>
      </c>
      <c r="S177" s="7">
        <f>LOOKUP(R177,{0,3.85,4.45,4.65,4.85,5.45,5.65,5.7,5.75,5.8,5.85,5.9,5.95,6,6.45,6.5,6.55,6.63,6.7,6.75,6.8},{0,10,20,30,40,50,60,62,64,66,68,70,72,74,76,78,80,85,90,95,100})</f>
        <v>62</v>
      </c>
      <c r="T177" s="5"/>
      <c r="U177" s="5"/>
      <c r="V177" s="5">
        <f t="shared" ref="V177:V184" si="89">S177+U177</f>
        <v>62</v>
      </c>
      <c r="W177" s="5"/>
      <c r="X177" s="13">
        <f t="shared" ref="X177:X184" si="90">F177*0.1+H177*0.1+J177*0.1+P177*0.2+S177*0.2</f>
        <v>40.4</v>
      </c>
      <c r="Y177" s="13">
        <f t="shared" ref="Y177:Y184" si="91">X177/0.7+L177+U177</f>
        <v>57.7142857142857</v>
      </c>
    </row>
    <row r="178" ht="15.6" hidden="1" outlineLevel="2" spans="1:25">
      <c r="A178" s="5">
        <v>306</v>
      </c>
      <c r="B178" s="5">
        <v>6</v>
      </c>
      <c r="C178" s="9" t="s">
        <v>247</v>
      </c>
      <c r="D178" s="9" t="s">
        <v>12</v>
      </c>
      <c r="E178" s="5">
        <v>-9</v>
      </c>
      <c r="F178" s="7">
        <v>0</v>
      </c>
      <c r="G178" s="5">
        <v>215</v>
      </c>
      <c r="H178" s="7">
        <f>LOOKUP(G178,{0,180,185,190,195,200,205,209,213,217,221,225,229,233,237,241,245,253,260,265,270},{0,10,20,30,40,50,60,62,64,66,68,70,72,74,76,78,80,85,90,95,100})</f>
        <v>64</v>
      </c>
      <c r="I178" s="5">
        <v>6</v>
      </c>
      <c r="J178" s="7">
        <f>LOOKUP(I178,{0,4,5,6,7,8,9,10,11,12,13,14,15,16,17,18},{0,10,20,30,40,50,60,64,68,72,76,80,85,90,95,100})</f>
        <v>30</v>
      </c>
      <c r="K178" s="5"/>
      <c r="L178" s="5"/>
      <c r="M178" s="5">
        <f t="shared" si="86"/>
        <v>30</v>
      </c>
      <c r="N178" s="5">
        <v>7.5</v>
      </c>
      <c r="O178" s="10">
        <f t="shared" si="87"/>
        <v>10.5</v>
      </c>
      <c r="P178" s="7">
        <f>LOOKUP(O178,{0,7.8,8,8.2,8.4,8.6,8.8,9,9.2,9.4,9.6,9.8,10,10.2,10.4,10.6,10.8,10.9,11,11.1,11.2},{0,10,20,30,40,50,60,62,64,66,68,70,72,74,76,78,80,85,90,95,100})</f>
        <v>76</v>
      </c>
      <c r="Q178" s="5">
        <v>3.56</v>
      </c>
      <c r="R178" s="10">
        <f t="shared" si="88"/>
        <v>6.44</v>
      </c>
      <c r="S178" s="7">
        <f>LOOKUP(R178,{0,3.85,4.45,4.65,4.85,5.45,5.65,5.7,5.75,5.8,5.85,5.9,5.95,6,6.45,6.5,6.55,6.63,6.7,6.75,6.8},{0,10,20,30,40,50,60,62,64,66,68,70,72,74,76,78,80,85,90,95,100})</f>
        <v>74</v>
      </c>
      <c r="T178" s="5"/>
      <c r="U178" s="5"/>
      <c r="V178" s="5">
        <f t="shared" si="89"/>
        <v>74</v>
      </c>
      <c r="W178" s="5"/>
      <c r="X178" s="13">
        <f t="shared" si="90"/>
        <v>39.4</v>
      </c>
      <c r="Y178" s="13">
        <f t="shared" si="91"/>
        <v>56.2857142857143</v>
      </c>
    </row>
    <row r="179" ht="15.6" hidden="1" outlineLevel="2" spans="1:25">
      <c r="A179" s="5">
        <v>306</v>
      </c>
      <c r="B179" s="5">
        <v>7</v>
      </c>
      <c r="C179" s="9" t="s">
        <v>248</v>
      </c>
      <c r="D179" s="9" t="s">
        <v>12</v>
      </c>
      <c r="E179" s="5">
        <v>0.5</v>
      </c>
      <c r="F179" s="7">
        <f>LOOKUP(E179,{0,-1.8,-0.8,0.2,1.2,2.2,3.2,4.6,6,7.4,8.8,10.2,11.6,13,14.4,15.8,17.2,19.1,21,22.8,24.6},{0,10,20,30,40,50,60,62,64,66,68,70,72,74,76,78,80,85,90,95,100})</f>
        <v>30</v>
      </c>
      <c r="G179" s="5">
        <v>227</v>
      </c>
      <c r="H179" s="7">
        <f>LOOKUP(G179,{0,180,185,190,195,200,205,209,213,217,221,225,229,233,237,241,245,253,260,265,270},{0,10,20,30,40,50,60,62,64,66,68,70,72,74,76,78,80,85,90,95,100})</f>
        <v>70</v>
      </c>
      <c r="I179" s="5">
        <v>17</v>
      </c>
      <c r="J179" s="7">
        <f>LOOKUP(I179,{0,4,5,6,7,8,9,10,11,12,13,14,15,16,17,18},{0,10,20,30,40,50,60,64,68,72,76,80,85,90,95,100})</f>
        <v>95</v>
      </c>
      <c r="K179" s="5"/>
      <c r="L179" s="5"/>
      <c r="M179" s="5">
        <f t="shared" si="86"/>
        <v>95</v>
      </c>
      <c r="N179" s="5">
        <v>6.9</v>
      </c>
      <c r="O179" s="10">
        <f t="shared" si="87"/>
        <v>11.1</v>
      </c>
      <c r="P179" s="7">
        <f>LOOKUP(O179,{0,7.8,8,8.2,8.4,8.6,8.8,9,9.2,9.4,9.6,9.8,10,10.2,10.4,10.6,10.8,10.9,11,11.1,11.2},{0,10,20,30,40,50,60,62,64,66,68,70,72,74,76,78,80,85,90,95,100})</f>
        <v>95</v>
      </c>
      <c r="Q179" s="5">
        <v>4.36</v>
      </c>
      <c r="R179" s="10">
        <f t="shared" si="88"/>
        <v>5.64</v>
      </c>
      <c r="S179" s="7">
        <f>LOOKUP(R179,{0,3.85,4.45,4.65,4.85,5.45,5.65,5.7,5.75,5.8,5.85,5.9,5.95,6,6.45,6.5,6.55,6.63,6.7,6.75,6.8},{0,10,20,30,40,50,60,62,64,66,68,70,72,74,76,78,80,85,90,95,100})</f>
        <v>50</v>
      </c>
      <c r="T179" s="5"/>
      <c r="U179" s="5"/>
      <c r="V179" s="5">
        <f t="shared" si="89"/>
        <v>50</v>
      </c>
      <c r="W179" s="5"/>
      <c r="X179" s="13">
        <f t="shared" si="90"/>
        <v>48.5</v>
      </c>
      <c r="Y179" s="13">
        <f t="shared" si="91"/>
        <v>69.2857142857143</v>
      </c>
    </row>
    <row r="180" ht="15.6" hidden="1" outlineLevel="2" spans="1:25">
      <c r="A180" s="5">
        <v>306</v>
      </c>
      <c r="B180" s="5">
        <v>8</v>
      </c>
      <c r="C180" s="9" t="s">
        <v>249</v>
      </c>
      <c r="D180" s="9" t="s">
        <v>12</v>
      </c>
      <c r="E180" s="5">
        <v>16</v>
      </c>
      <c r="F180" s="7">
        <f>LOOKUP(E180,{0,-1.8,-0.8,0.2,1.2,2.2,3.2,4.6,6,7.4,8.8,10.2,11.6,13,14.4,15.8,17.2,19.1,21,22.8,24.6},{0,10,20,30,40,50,60,62,64,66,68,70,72,74,76,78,80,85,90,95,100})</f>
        <v>78</v>
      </c>
      <c r="G180" s="5">
        <v>215</v>
      </c>
      <c r="H180" s="7">
        <f>LOOKUP(G180,{0,180,185,190,195,200,205,209,213,217,221,225,229,233,237,241,245,253,260,265,270},{0,10,20,30,40,50,60,62,64,66,68,70,72,74,76,78,80,85,90,95,100})</f>
        <v>64</v>
      </c>
      <c r="I180" s="5">
        <v>3</v>
      </c>
      <c r="J180" s="7">
        <f>LOOKUP(I180,{0,4,5,6,7,8,9,10,11,12,13,14,15,16,17,18},{0,10,20,30,40,50,60,64,68,72,76,80,85,90,95,100})</f>
        <v>0</v>
      </c>
      <c r="K180" s="5"/>
      <c r="L180" s="5"/>
      <c r="M180" s="5">
        <f t="shared" si="86"/>
        <v>0</v>
      </c>
      <c r="N180" s="5">
        <v>7</v>
      </c>
      <c r="O180" s="10">
        <f t="shared" si="87"/>
        <v>11</v>
      </c>
      <c r="P180" s="7">
        <f>LOOKUP(O180,{0,7.8,8,8.2,8.4,8.6,8.8,9,9.2,9.4,9.6,9.8,10,10.2,10.4,10.6,10.8,10.9,11,11.1,11.2},{0,10,20,30,40,50,60,62,64,66,68,70,72,74,76,78,80,85,90,95,100})</f>
        <v>90</v>
      </c>
      <c r="Q180" s="5">
        <v>4.36</v>
      </c>
      <c r="R180" s="10">
        <f t="shared" si="88"/>
        <v>5.64</v>
      </c>
      <c r="S180" s="7">
        <f>LOOKUP(R180,{0,3.85,4.45,4.65,4.85,5.45,5.65,5.7,5.75,5.8,5.85,5.9,5.95,6,6.45,6.5,6.55,6.63,6.7,6.75,6.8},{0,10,20,30,40,50,60,62,64,66,68,70,72,74,76,78,80,85,90,95,100})</f>
        <v>50</v>
      </c>
      <c r="T180" s="5"/>
      <c r="U180" s="5"/>
      <c r="V180" s="5">
        <f t="shared" si="89"/>
        <v>50</v>
      </c>
      <c r="W180" s="5"/>
      <c r="X180" s="13">
        <f t="shared" si="90"/>
        <v>42.2</v>
      </c>
      <c r="Y180" s="13">
        <f t="shared" si="91"/>
        <v>60.2857142857143</v>
      </c>
    </row>
    <row r="181" ht="15.6" hidden="1" outlineLevel="2" spans="1:25">
      <c r="A181" s="5">
        <v>306</v>
      </c>
      <c r="B181" s="5">
        <v>9</v>
      </c>
      <c r="C181" s="9" t="s">
        <v>250</v>
      </c>
      <c r="D181" s="9" t="s">
        <v>12</v>
      </c>
      <c r="E181" s="5">
        <v>20.5</v>
      </c>
      <c r="F181" s="7">
        <f>LOOKUP(E181,{0,-1.8,-0.8,0.2,1.2,2.2,3.2,4.6,6,7.4,8.8,10.2,11.6,13,14.4,15.8,17.2,19.1,21,22.8,24.6},{0,10,20,30,40,50,60,62,64,66,68,70,72,74,76,78,80,85,90,95,100})</f>
        <v>85</v>
      </c>
      <c r="G181" s="5">
        <v>244</v>
      </c>
      <c r="H181" s="7">
        <f>LOOKUP(G181,{0,180,185,190,195,200,205,209,213,217,221,225,229,233,237,241,245,253,260,265,270},{0,10,20,30,40,50,60,62,64,66,68,70,72,74,76,78,80,85,90,95,100})</f>
        <v>78</v>
      </c>
      <c r="I181" s="5">
        <v>11</v>
      </c>
      <c r="J181" s="7">
        <f>LOOKUP(I181,{0,4,5,6,7,8,9,10,11,12,13,14,15,16,17,18},{0,10,20,30,40,50,60,64,68,72,76,80,85,90,95,100})</f>
        <v>68</v>
      </c>
      <c r="K181" s="5"/>
      <c r="L181" s="5"/>
      <c r="M181" s="5">
        <f t="shared" si="86"/>
        <v>68</v>
      </c>
      <c r="N181" s="5">
        <v>7.1</v>
      </c>
      <c r="O181" s="10">
        <f t="shared" si="87"/>
        <v>10.9</v>
      </c>
      <c r="P181" s="7">
        <f>LOOKUP(O181,{0,7.8,8,8.2,8.4,8.6,8.8,9,9.2,9.4,9.6,9.8,10,10.2,10.4,10.6,10.8,10.9,11,11.1,11.2},{0,10,20,30,40,50,60,62,64,66,68,70,72,74,76,78,80,85,90,95,100})</f>
        <v>85</v>
      </c>
      <c r="Q181" s="5">
        <v>3.41</v>
      </c>
      <c r="R181" s="10">
        <f t="shared" si="88"/>
        <v>6.59</v>
      </c>
      <c r="S181" s="7">
        <f>LOOKUP(R181,{0,3.85,4.45,4.65,4.85,5.45,5.65,5.7,5.75,5.8,5.85,5.9,5.95,6,6.45,6.5,6.55,6.63,6.7,6.75,6.8},{0,10,20,30,40,50,60,62,64,66,68,70,72,74,76,78,80,85,90,95,100})</f>
        <v>80</v>
      </c>
      <c r="T181" s="5"/>
      <c r="U181" s="5"/>
      <c r="V181" s="5">
        <f t="shared" si="89"/>
        <v>80</v>
      </c>
      <c r="W181" s="5"/>
      <c r="X181" s="13">
        <f t="shared" si="90"/>
        <v>56.1</v>
      </c>
      <c r="Y181" s="13">
        <f t="shared" si="91"/>
        <v>80.1428571428572</v>
      </c>
    </row>
    <row r="182" ht="15.6" hidden="1" outlineLevel="2" spans="1:25">
      <c r="A182" s="5">
        <v>306</v>
      </c>
      <c r="B182" s="5">
        <v>10</v>
      </c>
      <c r="C182" s="9" t="s">
        <v>251</v>
      </c>
      <c r="D182" s="9" t="s">
        <v>12</v>
      </c>
      <c r="E182" s="5">
        <v>3.2</v>
      </c>
      <c r="F182" s="7">
        <f>LOOKUP(E182,{0,-1.8,-0.8,0.2,1.2,2.2,3.2,4.6,6,7.4,8.8,10.2,11.6,13,14.4,15.8,17.2,19.1,21,22.8,24.6},{0,10,20,30,40,50,60,62,64,66,68,70,72,74,76,78,80,85,90,95,100})</f>
        <v>60</v>
      </c>
      <c r="G182" s="5">
        <v>240</v>
      </c>
      <c r="H182" s="7">
        <f>LOOKUP(G182,{0,180,185,190,195,200,205,209,213,217,221,225,229,233,237,241,245,253,260,265,270},{0,10,20,30,40,50,60,62,64,66,68,70,72,74,76,78,80,85,90,95,100})</f>
        <v>76</v>
      </c>
      <c r="I182" s="5">
        <v>10</v>
      </c>
      <c r="J182" s="7">
        <f>LOOKUP(I182,{0,4,5,6,7,8,9,10,11,12,13,14,15,16,17,18},{0,10,20,30,40,50,60,64,68,72,76,80,85,90,95,100})</f>
        <v>64</v>
      </c>
      <c r="K182" s="5"/>
      <c r="L182" s="5"/>
      <c r="M182" s="5">
        <f t="shared" si="86"/>
        <v>64</v>
      </c>
      <c r="N182" s="5">
        <v>6.6</v>
      </c>
      <c r="O182" s="10">
        <f t="shared" si="87"/>
        <v>11.4</v>
      </c>
      <c r="P182" s="7">
        <f>LOOKUP(O182,{0,7.8,8,8.2,8.4,8.6,8.8,9,9.2,9.4,9.6,9.8,10,10.2,10.4,10.6,10.8,10.9,11,11.1,11.2},{0,10,20,30,40,50,60,62,64,66,68,70,72,74,76,78,80,85,90,95,100})</f>
        <v>100</v>
      </c>
      <c r="Q182" s="5">
        <v>5.42</v>
      </c>
      <c r="R182" s="10">
        <f t="shared" si="88"/>
        <v>4.58</v>
      </c>
      <c r="S182" s="7">
        <f>LOOKUP(R182,{0,3.85,4.45,4.65,4.85,5.45,5.65,5.7,5.75,5.8,5.85,5.9,5.95,6,6.45,6.5,6.55,6.63,6.7,6.75,6.8},{0,10,20,30,40,50,60,62,64,66,68,70,72,74,76,78,80,85,90,95,100})</f>
        <v>20</v>
      </c>
      <c r="T182" s="5"/>
      <c r="U182" s="5"/>
      <c r="V182" s="5">
        <f t="shared" si="89"/>
        <v>20</v>
      </c>
      <c r="W182" s="5"/>
      <c r="X182" s="13">
        <f t="shared" si="90"/>
        <v>44</v>
      </c>
      <c r="Y182" s="13">
        <f t="shared" si="91"/>
        <v>62.8571428571429</v>
      </c>
    </row>
    <row r="183" ht="15.6" hidden="1" outlineLevel="2" spans="1:25">
      <c r="A183" s="5">
        <v>306</v>
      </c>
      <c r="B183" s="5">
        <v>11</v>
      </c>
      <c r="C183" s="8" t="s">
        <v>253</v>
      </c>
      <c r="D183" s="9" t="s">
        <v>12</v>
      </c>
      <c r="E183" s="5">
        <v>20</v>
      </c>
      <c r="F183" s="7">
        <f>LOOKUP(E183,{0,-1.8,-0.8,0.2,1.2,2.2,3.2,4.6,6,7.4,8.8,10.2,11.6,13,14.4,15.8,17.2,19.1,21,22.8,24.6},{0,10,20,30,40,50,60,62,64,66,68,70,72,74,76,78,80,85,90,95,100})</f>
        <v>85</v>
      </c>
      <c r="G183" s="5">
        <v>242</v>
      </c>
      <c r="H183" s="7">
        <f>LOOKUP(G183,{0,180,185,190,195,200,205,209,213,217,221,225,229,233,237,241,245,253,260,265,270},{0,10,20,30,40,50,60,62,64,66,68,70,72,74,76,78,80,85,90,95,100})</f>
        <v>78</v>
      </c>
      <c r="I183" s="5">
        <v>5</v>
      </c>
      <c r="J183" s="7">
        <f>LOOKUP(I183,{0,4,5,6,7,8,9,10,11,12,13,14,15,16,17,18},{0,10,20,30,40,50,60,64,68,72,76,80,85,90,95,100})</f>
        <v>20</v>
      </c>
      <c r="K183" s="5"/>
      <c r="L183" s="5"/>
      <c r="M183" s="5">
        <f t="shared" si="86"/>
        <v>20</v>
      </c>
      <c r="N183" s="5">
        <v>7.5</v>
      </c>
      <c r="O183" s="10">
        <f t="shared" si="87"/>
        <v>10.5</v>
      </c>
      <c r="P183" s="7">
        <f>LOOKUP(O183,{0,7.8,8,8.2,8.4,8.6,8.8,9,9.2,9.4,9.6,9.8,10,10.2,10.4,10.6,10.8,10.9,11,11.1,11.2},{0,10,20,30,40,50,60,62,64,66,68,70,72,74,76,78,80,85,90,95,100})</f>
        <v>76</v>
      </c>
      <c r="Q183" s="5">
        <v>4.05</v>
      </c>
      <c r="R183" s="10">
        <f t="shared" si="88"/>
        <v>5.95</v>
      </c>
      <c r="S183" s="7">
        <f>LOOKUP(R183,{0,3.85,4.45,4.65,4.85,5.45,5.65,5.7,5.75,5.8,5.85,5.9,5.95,6,6.45,6.5,6.55,6.63,6.7,6.75,6.8},{0,10,20,30,40,50,60,62,64,66,68,70,72,74,76,78,80,85,90,95,100})</f>
        <v>72</v>
      </c>
      <c r="T183" s="5"/>
      <c r="U183" s="5"/>
      <c r="V183" s="5">
        <f t="shared" si="89"/>
        <v>72</v>
      </c>
      <c r="W183" s="5"/>
      <c r="X183" s="13">
        <f t="shared" si="90"/>
        <v>47.9</v>
      </c>
      <c r="Y183" s="13">
        <f t="shared" si="91"/>
        <v>68.4285714285714</v>
      </c>
    </row>
    <row r="184" ht="15.6" hidden="1" outlineLevel="2" spans="1:25">
      <c r="A184" s="5">
        <v>306</v>
      </c>
      <c r="B184" s="5">
        <v>12</v>
      </c>
      <c r="C184" s="9" t="s">
        <v>254</v>
      </c>
      <c r="D184" s="9" t="s">
        <v>12</v>
      </c>
      <c r="E184" s="5">
        <v>5.7</v>
      </c>
      <c r="F184" s="7">
        <f>LOOKUP(E184,{0,-1.8,-0.8,0.2,1.2,2.2,3.2,4.6,6,7.4,8.8,10.2,11.6,13,14.4,15.8,17.2,19.1,21,22.8,24.6},{0,10,20,30,40,50,60,62,64,66,68,70,72,74,76,78,80,85,90,95,100})</f>
        <v>62</v>
      </c>
      <c r="G184" s="5">
        <v>230</v>
      </c>
      <c r="H184" s="7">
        <f>LOOKUP(G184,{0,180,185,190,195,200,205,209,213,217,221,225,229,233,237,241,245,253,260,265,270},{0,10,20,30,40,50,60,62,64,66,68,70,72,74,76,78,80,85,90,95,100})</f>
        <v>72</v>
      </c>
      <c r="I184" s="5">
        <v>2</v>
      </c>
      <c r="J184" s="7">
        <f>LOOKUP(I184,{0,4,5,6,7,8,9,10,11,12,13,14,15,16,17,18},{0,10,20,30,40,50,60,64,68,72,76,80,85,90,95,100})</f>
        <v>0</v>
      </c>
      <c r="K184" s="5"/>
      <c r="L184" s="5"/>
      <c r="M184" s="5">
        <f t="shared" si="86"/>
        <v>0</v>
      </c>
      <c r="N184" s="5">
        <v>7.2</v>
      </c>
      <c r="O184" s="10">
        <f t="shared" si="87"/>
        <v>10.8</v>
      </c>
      <c r="P184" s="7">
        <f>LOOKUP(O184,{0,7.8,8,8.2,8.4,8.6,8.8,9,9.2,9.4,9.6,9.8,10,10.2,10.4,10.6,10.8,10.9,11,11.1,11.2},{0,10,20,30,40,50,60,62,64,66,68,70,72,74,76,78,80,85,90,95,100})</f>
        <v>80</v>
      </c>
      <c r="Q184" s="5">
        <v>4.19</v>
      </c>
      <c r="R184" s="10">
        <f t="shared" si="88"/>
        <v>5.81</v>
      </c>
      <c r="S184" s="7">
        <f>LOOKUP(R184,{0,3.85,4.45,4.65,4.85,5.45,5.65,5.7,5.75,5.8,5.85,5.9,5.95,6,6.45,6.5,6.55,6.63,6.7,6.75,6.8},{0,10,20,30,40,50,60,62,64,66,68,70,72,74,76,78,80,85,90,95,100})</f>
        <v>66</v>
      </c>
      <c r="T184" s="5"/>
      <c r="U184" s="5"/>
      <c r="V184" s="5">
        <f t="shared" si="89"/>
        <v>66</v>
      </c>
      <c r="W184" s="5"/>
      <c r="X184" s="13">
        <f t="shared" si="90"/>
        <v>42.6</v>
      </c>
      <c r="Y184" s="13">
        <f t="shared" si="91"/>
        <v>60.8571428571429</v>
      </c>
    </row>
    <row r="185" ht="15.6" hidden="1" outlineLevel="2" spans="1:25">
      <c r="A185" s="5">
        <v>306</v>
      </c>
      <c r="B185" s="5">
        <v>13</v>
      </c>
      <c r="C185" s="9" t="s">
        <v>255</v>
      </c>
      <c r="D185" s="9" t="s">
        <v>12</v>
      </c>
      <c r="E185" s="5"/>
      <c r="F185" s="7"/>
      <c r="G185" s="5"/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>
        <v>50</v>
      </c>
      <c r="X185" s="13"/>
      <c r="Y185" s="13">
        <v>50</v>
      </c>
    </row>
    <row r="186" ht="15.6" hidden="1" outlineLevel="2" spans="1:25">
      <c r="A186" s="5">
        <v>306</v>
      </c>
      <c r="B186" s="5">
        <v>14</v>
      </c>
      <c r="C186" s="9" t="s">
        <v>256</v>
      </c>
      <c r="D186" s="9" t="s">
        <v>12</v>
      </c>
      <c r="E186" s="5">
        <v>3.4</v>
      </c>
      <c r="F186" s="7">
        <f>LOOKUP(E186,{0,-1.8,-0.8,0.2,1.2,2.2,3.2,4.6,6,7.4,8.8,10.2,11.6,13,14.4,15.8,17.2,19.1,21,22.8,24.6},{0,10,20,30,40,50,60,62,64,66,68,70,72,74,76,78,80,85,90,95,100})</f>
        <v>60</v>
      </c>
      <c r="G186" s="5">
        <v>212</v>
      </c>
      <c r="H186" s="7">
        <f>LOOKUP(G186,{0,180,185,190,195,200,205,209,213,217,221,225,229,233,237,241,245,253,260,265,270},{0,10,20,30,40,50,60,62,64,66,68,70,72,74,76,78,80,85,90,95,100})</f>
        <v>62</v>
      </c>
      <c r="I186" s="5">
        <v>1</v>
      </c>
      <c r="J186" s="7">
        <f>LOOKUP(I186,{0,4,5,6,7,8,9,10,11,12,13,14,15,16,17,18},{0,10,20,30,40,50,60,64,68,72,76,80,85,90,95,100})</f>
        <v>0</v>
      </c>
      <c r="K186" s="5"/>
      <c r="L186" s="5"/>
      <c r="M186" s="5">
        <f t="shared" ref="M186:M205" si="92">J186+L186</f>
        <v>0</v>
      </c>
      <c r="N186" s="5">
        <v>7.2</v>
      </c>
      <c r="O186" s="10">
        <f t="shared" ref="O186:O205" si="93">18-N186</f>
        <v>10.8</v>
      </c>
      <c r="P186" s="7">
        <f>LOOKUP(O186,{0,7.8,8,8.2,8.4,8.6,8.8,9,9.2,9.4,9.6,9.8,10,10.2,10.4,10.6,10.8,10.9,11,11.1,11.2},{0,10,20,30,40,50,60,62,64,66,68,70,72,74,76,78,80,85,90,95,100})</f>
        <v>80</v>
      </c>
      <c r="Q186" s="5">
        <v>5.57</v>
      </c>
      <c r="R186" s="10">
        <f t="shared" ref="R186:R205" si="94">10-Q186</f>
        <v>4.43</v>
      </c>
      <c r="S186" s="7">
        <f>LOOKUP(R186,{0,3.85,4.45,4.65,4.85,5.45,5.65,5.7,5.75,5.8,5.85,5.9,5.95,6,6.45,6.5,6.55,6.63,6.7,6.75,6.8},{0,10,20,30,40,50,60,62,64,66,68,70,72,74,76,78,80,85,90,95,100})</f>
        <v>10</v>
      </c>
      <c r="T186" s="5"/>
      <c r="U186" s="5"/>
      <c r="V186" s="5">
        <f t="shared" ref="V186:V205" si="95">S186+U186</f>
        <v>10</v>
      </c>
      <c r="W186" s="5"/>
      <c r="X186" s="13">
        <f t="shared" ref="X186:X205" si="96">F186*0.1+H186*0.1+J186*0.1+P186*0.2+S186*0.2</f>
        <v>30.2</v>
      </c>
      <c r="Y186" s="13">
        <f t="shared" ref="Y186:Y205" si="97">X186/0.7+L186+U186</f>
        <v>43.1428571428571</v>
      </c>
    </row>
    <row r="187" ht="15.6" hidden="1" outlineLevel="2" spans="1:25">
      <c r="A187" s="5">
        <v>306</v>
      </c>
      <c r="B187" s="5">
        <v>15</v>
      </c>
      <c r="C187" s="9" t="s">
        <v>257</v>
      </c>
      <c r="D187" s="9" t="s">
        <v>12</v>
      </c>
      <c r="E187" s="5">
        <v>10.3</v>
      </c>
      <c r="F187" s="7">
        <f>LOOKUP(E187,{0,-1.8,-0.8,0.2,1.2,2.2,3.2,4.6,6,7.4,8.8,10.2,11.6,13,14.4,15.8,17.2,19.1,21,22.8,24.6},{0,10,20,30,40,50,60,62,64,66,68,70,72,74,76,78,80,85,90,95,100})</f>
        <v>70</v>
      </c>
      <c r="G187" s="5">
        <v>265</v>
      </c>
      <c r="H187" s="7">
        <f>LOOKUP(G187,{0,180,185,190,195,200,205,209,213,217,221,225,229,233,237,241,245,253,260,265,270},{0,10,20,30,40,50,60,62,64,66,68,70,72,74,76,78,80,85,90,95,100})</f>
        <v>95</v>
      </c>
      <c r="I187" s="5">
        <v>20</v>
      </c>
      <c r="J187" s="7">
        <f>LOOKUP(I187,{0,4,5,6,7,8,9,10,11,12,13,14,15,16,17,18},{0,10,20,30,40,50,60,64,68,72,76,80,85,90,95,100})</f>
        <v>100</v>
      </c>
      <c r="K187" s="5">
        <f>I187-18</f>
        <v>2</v>
      </c>
      <c r="L187" s="7">
        <f>LOOKUP(K187,{0,1,2,3,4,5,6,7,8,9,10},{0,1,2,3,4,5,6,7,8,9,10})</f>
        <v>2</v>
      </c>
      <c r="M187" s="5">
        <f t="shared" si="92"/>
        <v>102</v>
      </c>
      <c r="N187" s="5">
        <v>7</v>
      </c>
      <c r="O187" s="10">
        <f t="shared" si="93"/>
        <v>11</v>
      </c>
      <c r="P187" s="7">
        <f>LOOKUP(O187,{0,7.8,8,8.2,8.4,8.6,8.8,9,9.2,9.4,9.6,9.8,10,10.2,10.4,10.6,10.8,10.9,11,11.1,11.2},{0,10,20,30,40,50,60,62,64,66,68,70,72,74,76,78,80,85,90,95,100})</f>
        <v>90</v>
      </c>
      <c r="Q187" s="5">
        <v>3.47</v>
      </c>
      <c r="R187" s="10">
        <f t="shared" si="94"/>
        <v>6.53</v>
      </c>
      <c r="S187" s="7">
        <f>LOOKUP(R187,{0,3.85,4.45,4.65,4.85,5.45,5.65,5.7,5.75,5.8,5.85,5.9,5.95,6,6.45,6.5,6.55,6.63,6.7,6.75,6.8},{0,10,20,30,40,50,60,62,64,66,68,70,72,74,76,78,80,85,90,95,100})</f>
        <v>78</v>
      </c>
      <c r="T187" s="5"/>
      <c r="U187" s="5"/>
      <c r="V187" s="5">
        <f t="shared" si="95"/>
        <v>78</v>
      </c>
      <c r="W187" s="5"/>
      <c r="X187" s="13">
        <f t="shared" si="96"/>
        <v>60.1</v>
      </c>
      <c r="Y187" s="13">
        <f t="shared" si="97"/>
        <v>87.8571428571429</v>
      </c>
    </row>
    <row r="188" ht="15.6" hidden="1" outlineLevel="2" spans="1:25">
      <c r="A188" s="5">
        <v>306</v>
      </c>
      <c r="B188" s="5">
        <v>16</v>
      </c>
      <c r="C188" s="9" t="s">
        <v>258</v>
      </c>
      <c r="D188" s="9" t="s">
        <v>12</v>
      </c>
      <c r="E188" s="5">
        <v>12.7</v>
      </c>
      <c r="F188" s="7">
        <f>LOOKUP(E188,{0,-1.8,-0.8,0.2,1.2,2.2,3.2,4.6,6,7.4,8.8,10.2,11.6,13,14.4,15.8,17.2,19.1,21,22.8,24.6},{0,10,20,30,40,50,60,62,64,66,68,70,72,74,76,78,80,85,90,95,100})</f>
        <v>72</v>
      </c>
      <c r="G188" s="5">
        <v>240</v>
      </c>
      <c r="H188" s="7">
        <f>LOOKUP(G188,{0,180,185,190,195,200,205,209,213,217,221,225,229,233,237,241,245,253,260,265,270},{0,10,20,30,40,50,60,62,64,66,68,70,72,74,76,78,80,85,90,95,100})</f>
        <v>76</v>
      </c>
      <c r="I188" s="5">
        <v>9</v>
      </c>
      <c r="J188" s="7">
        <f>LOOKUP(I188,{0,4,5,6,7,8,9,10,11,12,13,14,15,16,17,18},{0,10,20,30,40,50,60,64,68,72,76,80,85,90,95,100})</f>
        <v>60</v>
      </c>
      <c r="K188" s="5"/>
      <c r="L188" s="5"/>
      <c r="M188" s="5">
        <f t="shared" si="92"/>
        <v>60</v>
      </c>
      <c r="N188" s="5">
        <v>7</v>
      </c>
      <c r="O188" s="10">
        <f t="shared" si="93"/>
        <v>11</v>
      </c>
      <c r="P188" s="7">
        <f>LOOKUP(O188,{0,7.8,8,8.2,8.4,8.6,8.8,9,9.2,9.4,9.6,9.8,10,10.2,10.4,10.6,10.8,10.9,11,11.1,11.2},{0,10,20,30,40,50,60,62,64,66,68,70,72,74,76,78,80,85,90,95,100})</f>
        <v>90</v>
      </c>
      <c r="Q188" s="5">
        <v>5.57</v>
      </c>
      <c r="R188" s="10">
        <f t="shared" si="94"/>
        <v>4.43</v>
      </c>
      <c r="S188" s="7">
        <f>LOOKUP(R188,{0,3.85,4.45,4.65,4.85,5.45,5.65,5.7,5.75,5.8,5.85,5.9,5.95,6,6.45,6.5,6.55,6.63,6.7,6.75,6.8},{0,10,20,30,40,50,60,62,64,66,68,70,72,74,76,78,80,85,90,95,100})</f>
        <v>10</v>
      </c>
      <c r="T188" s="5"/>
      <c r="U188" s="5"/>
      <c r="V188" s="5">
        <f t="shared" si="95"/>
        <v>10</v>
      </c>
      <c r="W188" s="5"/>
      <c r="X188" s="13">
        <f t="shared" si="96"/>
        <v>40.8</v>
      </c>
      <c r="Y188" s="13">
        <f t="shared" si="97"/>
        <v>58.2857142857143</v>
      </c>
    </row>
    <row r="189" ht="15.6" hidden="1" outlineLevel="2" spans="1:25">
      <c r="A189" s="5">
        <v>306</v>
      </c>
      <c r="B189" s="5">
        <v>17</v>
      </c>
      <c r="C189" s="9" t="s">
        <v>259</v>
      </c>
      <c r="D189" s="9" t="s">
        <v>12</v>
      </c>
      <c r="E189" s="5">
        <v>13.3</v>
      </c>
      <c r="F189" s="7">
        <f>LOOKUP(E189,{0,-1.8,-0.8,0.2,1.2,2.2,3.2,4.6,6,7.4,8.8,10.2,11.6,13,14.4,15.8,17.2,19.1,21,22.8,24.6},{0,10,20,30,40,50,60,62,64,66,68,70,72,74,76,78,80,85,90,95,100})</f>
        <v>74</v>
      </c>
      <c r="G189" s="5">
        <v>255</v>
      </c>
      <c r="H189" s="7">
        <f>LOOKUP(G189,{0,180,185,190,195,200,205,209,213,217,221,225,229,233,237,241,245,253,260,265,270},{0,10,20,30,40,50,60,62,64,66,68,70,72,74,76,78,80,85,90,95,100})</f>
        <v>85</v>
      </c>
      <c r="I189" s="5">
        <v>19</v>
      </c>
      <c r="J189" s="7">
        <f>LOOKUP(I189,{0,4,5,6,7,8,9,10,11,12,13,14,15,16,17,18},{0,10,20,30,40,50,60,64,68,72,76,80,85,90,95,100})</f>
        <v>100</v>
      </c>
      <c r="K189" s="5">
        <f>I189-18</f>
        <v>1</v>
      </c>
      <c r="L189" s="7">
        <f>LOOKUP(K189,{0,1,2,3,4,5,6,7,8,9,10},{0,1,2,3,4,5,6,7,8,9,10})</f>
        <v>1</v>
      </c>
      <c r="M189" s="5">
        <f t="shared" si="92"/>
        <v>101</v>
      </c>
      <c r="N189" s="5">
        <v>6.7</v>
      </c>
      <c r="O189" s="10">
        <f t="shared" si="93"/>
        <v>11.3</v>
      </c>
      <c r="P189" s="7">
        <f>LOOKUP(O189,{0,7.8,8,8.2,8.4,8.6,8.8,9,9.2,9.4,9.6,9.8,10,10.2,10.4,10.6,10.8,10.9,11,11.1,11.2},{0,10,20,30,40,50,60,62,64,66,68,70,72,74,76,78,80,85,90,95,100})</f>
        <v>100</v>
      </c>
      <c r="Q189" s="5">
        <v>3.36</v>
      </c>
      <c r="R189" s="10">
        <f t="shared" si="94"/>
        <v>6.64</v>
      </c>
      <c r="S189" s="7">
        <f>LOOKUP(R189,{0,3.85,4.45,4.65,4.85,5.45,5.65,5.7,5.75,5.8,5.85,5.9,5.95,6,6.45,6.5,6.55,6.63,6.7,6.75,6.8},{0,10,20,30,40,50,60,62,64,66,68,70,72,74,76,78,80,85,90,95,100})</f>
        <v>85</v>
      </c>
      <c r="T189" s="5"/>
      <c r="U189" s="5"/>
      <c r="V189" s="5">
        <f t="shared" si="95"/>
        <v>85</v>
      </c>
      <c r="W189" s="5"/>
      <c r="X189" s="13">
        <f t="shared" si="96"/>
        <v>62.9</v>
      </c>
      <c r="Y189" s="13">
        <f t="shared" si="97"/>
        <v>90.8571428571429</v>
      </c>
    </row>
    <row r="190" ht="15.6" hidden="1" outlineLevel="2" spans="1:25">
      <c r="A190" s="5">
        <v>306</v>
      </c>
      <c r="B190" s="5">
        <v>18</v>
      </c>
      <c r="C190" s="9" t="s">
        <v>260</v>
      </c>
      <c r="D190" s="9" t="s">
        <v>12</v>
      </c>
      <c r="E190" s="5">
        <v>6.1</v>
      </c>
      <c r="F190" s="7">
        <f>LOOKUP(E190,{0,-1.8,-0.8,0.2,1.2,2.2,3.2,4.6,6,7.4,8.8,10.2,11.6,13,14.4,15.8,17.2,19.1,21,22.8,24.6},{0,10,20,30,40,50,60,62,64,66,68,70,72,74,76,78,80,85,90,95,100})</f>
        <v>64</v>
      </c>
      <c r="G190" s="5">
        <v>225</v>
      </c>
      <c r="H190" s="7">
        <f>LOOKUP(G190,{0,180,185,190,195,200,205,209,213,217,221,225,229,233,237,241,245,253,260,265,270},{0,10,20,30,40,50,60,62,64,66,68,70,72,74,76,78,80,85,90,95,100})</f>
        <v>70</v>
      </c>
      <c r="I190" s="5">
        <v>3</v>
      </c>
      <c r="J190" s="7">
        <f>LOOKUP(I190,{0,4,5,6,7,8,9,10,11,12,13,14,15,16,17,18},{0,10,20,30,40,50,60,64,68,72,76,80,85,90,95,100})</f>
        <v>0</v>
      </c>
      <c r="K190" s="5"/>
      <c r="L190" s="5"/>
      <c r="M190" s="5">
        <f t="shared" si="92"/>
        <v>0</v>
      </c>
      <c r="N190" s="5">
        <v>7.2</v>
      </c>
      <c r="O190" s="10">
        <f t="shared" si="93"/>
        <v>10.8</v>
      </c>
      <c r="P190" s="7">
        <f>LOOKUP(O190,{0,7.8,8,8.2,8.4,8.6,8.8,9,9.2,9.4,9.6,9.8,10,10.2,10.4,10.6,10.8,10.9,11,11.1,11.2},{0,10,20,30,40,50,60,62,64,66,68,70,72,74,76,78,80,85,90,95,100})</f>
        <v>80</v>
      </c>
      <c r="Q190" s="5">
        <v>4.25</v>
      </c>
      <c r="R190" s="10">
        <f t="shared" si="94"/>
        <v>5.75</v>
      </c>
      <c r="S190" s="7">
        <f>LOOKUP(R190,{0,3.85,4.45,4.65,4.85,5.45,5.65,5.7,5.75,5.8,5.85,5.9,5.95,6,6.45,6.5,6.55,6.63,6.7,6.75,6.8},{0,10,20,30,40,50,60,62,64,66,68,70,72,74,76,78,80,85,90,95,100})</f>
        <v>64</v>
      </c>
      <c r="T190" s="5"/>
      <c r="U190" s="5"/>
      <c r="V190" s="5">
        <f t="shared" si="95"/>
        <v>64</v>
      </c>
      <c r="W190" s="5"/>
      <c r="X190" s="13">
        <f t="shared" si="96"/>
        <v>42.2</v>
      </c>
      <c r="Y190" s="13">
        <f t="shared" si="97"/>
        <v>60.2857142857143</v>
      </c>
    </row>
    <row r="191" ht="15.6" hidden="1" outlineLevel="2" spans="1:25">
      <c r="A191" s="5">
        <v>306</v>
      </c>
      <c r="B191" s="5">
        <v>19</v>
      </c>
      <c r="C191" s="9" t="s">
        <v>261</v>
      </c>
      <c r="D191" s="9" t="s">
        <v>12</v>
      </c>
      <c r="E191" s="5">
        <v>3.5</v>
      </c>
      <c r="F191" s="7">
        <f>LOOKUP(E191,{0,-1.8,-0.8,0.2,1.2,2.2,3.2,4.6,6,7.4,8.8,10.2,11.6,13,14.4,15.8,17.2,19.1,21,22.8,24.6},{0,10,20,30,40,50,60,62,64,66,68,70,72,74,76,78,80,85,90,95,100})</f>
        <v>60</v>
      </c>
      <c r="G191" s="5">
        <v>253</v>
      </c>
      <c r="H191" s="7">
        <f>LOOKUP(G191,{0,180,185,190,195,200,205,209,213,217,221,225,229,233,237,241,245,253,260,265,270},{0,10,20,30,40,50,60,62,64,66,68,70,72,74,76,78,80,85,90,95,100})</f>
        <v>85</v>
      </c>
      <c r="I191" s="5">
        <v>3</v>
      </c>
      <c r="J191" s="7">
        <f>LOOKUP(I191,{0,4,5,6,7,8,9,10,11,12,13,14,15,16,17,18},{0,10,20,30,40,50,60,64,68,72,76,80,85,90,95,100})</f>
        <v>0</v>
      </c>
      <c r="K191" s="5"/>
      <c r="L191" s="5"/>
      <c r="M191" s="5">
        <f t="shared" si="92"/>
        <v>0</v>
      </c>
      <c r="N191" s="5">
        <v>6.9</v>
      </c>
      <c r="O191" s="10">
        <f t="shared" si="93"/>
        <v>11.1</v>
      </c>
      <c r="P191" s="7">
        <f>LOOKUP(O191,{0,7.8,8,8.2,8.4,8.6,8.8,9,9.2,9.4,9.6,9.8,10,10.2,10.4,10.6,10.8,10.9,11,11.1,11.2},{0,10,20,30,40,50,60,62,64,66,68,70,72,74,76,78,80,85,90,95,100})</f>
        <v>95</v>
      </c>
      <c r="Q191" s="5">
        <v>4.09</v>
      </c>
      <c r="R191" s="10">
        <f t="shared" si="94"/>
        <v>5.91</v>
      </c>
      <c r="S191" s="7">
        <f>LOOKUP(R191,{0,3.85,4.45,4.65,4.85,5.45,5.65,5.7,5.75,5.8,5.85,5.9,5.95,6,6.45,6.5,6.55,6.63,6.7,6.75,6.8},{0,10,20,30,40,50,60,62,64,66,68,70,72,74,76,78,80,85,90,95,100})</f>
        <v>70</v>
      </c>
      <c r="T191" s="5"/>
      <c r="U191" s="5"/>
      <c r="V191" s="5">
        <f t="shared" si="95"/>
        <v>70</v>
      </c>
      <c r="W191" s="5"/>
      <c r="X191" s="13">
        <f t="shared" si="96"/>
        <v>47.5</v>
      </c>
      <c r="Y191" s="13">
        <f t="shared" si="97"/>
        <v>67.8571428571429</v>
      </c>
    </row>
    <row r="192" ht="15.6" hidden="1" outlineLevel="2" spans="1:25">
      <c r="A192" s="5">
        <v>306</v>
      </c>
      <c r="B192" s="5">
        <v>20</v>
      </c>
      <c r="C192" s="9" t="s">
        <v>262</v>
      </c>
      <c r="D192" s="9" t="s">
        <v>12</v>
      </c>
      <c r="E192" s="5">
        <v>8.2</v>
      </c>
      <c r="F192" s="7">
        <f>LOOKUP(E192,{0,-1.8,-0.8,0.2,1.2,2.2,3.2,4.6,6,7.4,8.8,10.2,11.6,13,14.4,15.8,17.2,19.1,21,22.8,24.6},{0,10,20,30,40,50,60,62,64,66,68,70,72,74,76,78,80,85,90,95,100})</f>
        <v>66</v>
      </c>
      <c r="G192" s="5">
        <v>230</v>
      </c>
      <c r="H192" s="7">
        <f>LOOKUP(G192,{0,180,185,190,195,200,205,209,213,217,221,225,229,233,237,241,245,253,260,265,270},{0,10,20,30,40,50,60,62,64,66,68,70,72,74,76,78,80,85,90,95,100})</f>
        <v>72</v>
      </c>
      <c r="I192" s="5">
        <v>10</v>
      </c>
      <c r="J192" s="7">
        <f>LOOKUP(I192,{0,4,5,6,7,8,9,10,11,12,13,14,15,16,17,18},{0,10,20,30,40,50,60,64,68,72,76,80,85,90,95,100})</f>
        <v>64</v>
      </c>
      <c r="K192" s="5"/>
      <c r="L192" s="5"/>
      <c r="M192" s="5">
        <f t="shared" si="92"/>
        <v>64</v>
      </c>
      <c r="N192" s="5">
        <v>7.5</v>
      </c>
      <c r="O192" s="10">
        <f t="shared" si="93"/>
        <v>10.5</v>
      </c>
      <c r="P192" s="7">
        <f>LOOKUP(O192,{0,7.8,8,8.2,8.4,8.6,8.8,9,9.2,9.4,9.6,9.8,10,10.2,10.4,10.6,10.8,10.9,11,11.1,11.2},{0,10,20,30,40,50,60,62,64,66,68,70,72,74,76,78,80,85,90,95,100})</f>
        <v>76</v>
      </c>
      <c r="Q192" s="5">
        <v>5.57</v>
      </c>
      <c r="R192" s="10">
        <f t="shared" si="94"/>
        <v>4.43</v>
      </c>
      <c r="S192" s="7">
        <f>LOOKUP(R192,{0,3.85,4.45,4.65,4.85,5.45,5.65,5.7,5.75,5.8,5.85,5.9,5.95,6,6.45,6.5,6.55,6.63,6.7,6.75,6.8},{0,10,20,30,40,50,60,62,64,66,68,70,72,74,76,78,80,85,90,95,100})</f>
        <v>10</v>
      </c>
      <c r="T192" s="5"/>
      <c r="U192" s="5"/>
      <c r="V192" s="5">
        <f t="shared" si="95"/>
        <v>10</v>
      </c>
      <c r="W192" s="5"/>
      <c r="X192" s="13">
        <f t="shared" si="96"/>
        <v>37.4</v>
      </c>
      <c r="Y192" s="13">
        <f t="shared" si="97"/>
        <v>53.4285714285714</v>
      </c>
    </row>
    <row r="193" ht="15.6" hidden="1" outlineLevel="2" spans="1:25">
      <c r="A193" s="5">
        <v>306</v>
      </c>
      <c r="B193" s="5">
        <v>21</v>
      </c>
      <c r="C193" s="9" t="s">
        <v>263</v>
      </c>
      <c r="D193" s="9" t="s">
        <v>12</v>
      </c>
      <c r="E193" s="5">
        <v>17.7</v>
      </c>
      <c r="F193" s="7">
        <f>LOOKUP(E193,{0,-1.8,-0.8,0.2,1.2,2.2,3.2,4.6,6,7.4,8.8,10.2,11.6,13,14.4,15.8,17.2,19.1,21,22.8,24.6},{0,10,20,30,40,50,60,62,64,66,68,70,72,74,76,78,80,85,90,95,100})</f>
        <v>80</v>
      </c>
      <c r="G193" s="5">
        <v>270</v>
      </c>
      <c r="H193" s="7">
        <f>LOOKUP(G193,{0,180,185,190,195,200,205,209,213,217,221,225,229,233,237,241,245,253,260,265,270},{0,10,20,30,40,50,60,62,64,66,68,70,72,74,76,78,80,85,90,95,100})</f>
        <v>100</v>
      </c>
      <c r="I193" s="5">
        <v>7</v>
      </c>
      <c r="J193" s="7">
        <f>LOOKUP(I193,{0,4,5,6,7,8,9,10,11,12,13,14,15,16,17,18},{0,10,20,30,40,50,60,64,68,72,76,80,85,90,95,100})</f>
        <v>40</v>
      </c>
      <c r="K193" s="5"/>
      <c r="L193" s="5"/>
      <c r="M193" s="5">
        <f t="shared" si="92"/>
        <v>40</v>
      </c>
      <c r="N193" s="5">
        <v>6.9</v>
      </c>
      <c r="O193" s="10">
        <f t="shared" si="93"/>
        <v>11.1</v>
      </c>
      <c r="P193" s="7">
        <f>LOOKUP(O193,{0,7.8,8,8.2,8.4,8.6,8.8,9,9.2,9.4,9.6,9.8,10,10.2,10.4,10.6,10.8,10.9,11,11.1,11.2},{0,10,20,30,40,50,60,62,64,66,68,70,72,74,76,78,80,85,90,95,100})</f>
        <v>95</v>
      </c>
      <c r="Q193" s="5">
        <v>3.39</v>
      </c>
      <c r="R193" s="10">
        <f t="shared" si="94"/>
        <v>6.61</v>
      </c>
      <c r="S193" s="7">
        <f>LOOKUP(R193,{0,3.85,4.45,4.65,4.85,5.45,5.65,5.7,5.75,5.8,5.85,5.9,5.95,6,6.45,6.5,6.55,6.63,6.7,6.75,6.8},{0,10,20,30,40,50,60,62,64,66,68,70,72,74,76,78,80,85,90,95,100})</f>
        <v>80</v>
      </c>
      <c r="T193" s="5"/>
      <c r="U193" s="5"/>
      <c r="V193" s="5">
        <f t="shared" si="95"/>
        <v>80</v>
      </c>
      <c r="W193" s="5"/>
      <c r="X193" s="13">
        <f t="shared" si="96"/>
        <v>57</v>
      </c>
      <c r="Y193" s="13">
        <f t="shared" si="97"/>
        <v>81.4285714285714</v>
      </c>
    </row>
    <row r="194" ht="15.6" hidden="1" outlineLevel="2" spans="1:25">
      <c r="A194" s="5">
        <v>306</v>
      </c>
      <c r="B194" s="5">
        <v>22</v>
      </c>
      <c r="C194" s="8" t="s">
        <v>265</v>
      </c>
      <c r="D194" s="9" t="s">
        <v>12</v>
      </c>
      <c r="E194" s="5">
        <v>3.7</v>
      </c>
      <c r="F194" s="7">
        <f>LOOKUP(E194,{0,-1.8,-0.8,0.2,1.2,2.2,3.2,4.6,6,7.4,8.8,10.2,11.6,13,14.4,15.8,17.2,19.1,21,22.8,24.6},{0,10,20,30,40,50,60,62,64,66,68,70,72,74,76,78,80,85,90,95,100})</f>
        <v>60</v>
      </c>
      <c r="G194" s="5">
        <v>219</v>
      </c>
      <c r="H194" s="7">
        <f>LOOKUP(G194,{0,180,185,190,195,200,205,209,213,217,221,225,229,233,237,241,245,253,260,265,270},{0,10,20,30,40,50,60,62,64,66,68,70,72,74,76,78,80,85,90,95,100})</f>
        <v>66</v>
      </c>
      <c r="I194" s="5">
        <v>0</v>
      </c>
      <c r="J194" s="7">
        <f>LOOKUP(I194,{0,4,5,6,7,8,9,10,11,12,13,14,15,16,17,18},{0,10,20,30,40,50,60,64,68,72,76,80,85,90,95,100})</f>
        <v>0</v>
      </c>
      <c r="K194" s="5"/>
      <c r="L194" s="5"/>
      <c r="M194" s="5">
        <f t="shared" si="92"/>
        <v>0</v>
      </c>
      <c r="N194" s="5">
        <v>8.2</v>
      </c>
      <c r="O194" s="10">
        <f t="shared" si="93"/>
        <v>9.8</v>
      </c>
      <c r="P194" s="7">
        <f>LOOKUP(O194,{0,7.8,8,8.2,8.4,8.6,8.8,9,9.2,9.4,9.6,9.8,10,10.2,10.4,10.6,10.8,10.9,11,11.1,11.2},{0,10,20,30,40,50,60,62,64,66,68,70,72,74,76,78,80,85,90,95,100})</f>
        <v>70</v>
      </c>
      <c r="Q194" s="5">
        <v>6.48</v>
      </c>
      <c r="R194" s="10">
        <f t="shared" si="94"/>
        <v>3.52</v>
      </c>
      <c r="S194" s="7">
        <f>LOOKUP(R194,{0,3.85,4.45,4.65,4.85,5.45,5.65,5.7,5.75,5.8,5.85,5.9,5.95,6,6.45,6.5,6.55,6.63,6.7,6.75,6.8},{0,10,20,30,40,50,60,62,64,66,68,70,72,74,76,78,80,85,90,95,100})</f>
        <v>0</v>
      </c>
      <c r="T194" s="5"/>
      <c r="U194" s="5"/>
      <c r="V194" s="5">
        <f t="shared" si="95"/>
        <v>0</v>
      </c>
      <c r="W194" s="5"/>
      <c r="X194" s="13">
        <f t="shared" si="96"/>
        <v>26.6</v>
      </c>
      <c r="Y194" s="13">
        <f t="shared" si="97"/>
        <v>38</v>
      </c>
    </row>
    <row r="195" ht="15.6" hidden="1" outlineLevel="2" spans="1:25">
      <c r="A195" s="5">
        <v>306</v>
      </c>
      <c r="B195" s="5">
        <v>23</v>
      </c>
      <c r="C195" s="9" t="s">
        <v>266</v>
      </c>
      <c r="D195" s="9" t="s">
        <v>12</v>
      </c>
      <c r="E195" s="5">
        <v>13.7</v>
      </c>
      <c r="F195" s="7">
        <f>LOOKUP(E195,{0,-1.8,-0.8,0.2,1.2,2.2,3.2,4.6,6,7.4,8.8,10.2,11.6,13,14.4,15.8,17.2,19.1,21,22.8,24.6},{0,10,20,30,40,50,60,62,64,66,68,70,72,74,76,78,80,85,90,95,100})</f>
        <v>74</v>
      </c>
      <c r="G195" s="5">
        <v>216</v>
      </c>
      <c r="H195" s="7">
        <f>LOOKUP(G195,{0,180,185,190,195,200,205,209,213,217,221,225,229,233,237,241,245,253,260,265,270},{0,10,20,30,40,50,60,62,64,66,68,70,72,74,76,78,80,85,90,95,100})</f>
        <v>64</v>
      </c>
      <c r="I195" s="5">
        <v>1</v>
      </c>
      <c r="J195" s="7">
        <f>LOOKUP(I195,{0,4,5,6,7,8,9,10,11,12,13,14,15,16,17,18},{0,10,20,30,40,50,60,64,68,72,76,80,85,90,95,100})</f>
        <v>0</v>
      </c>
      <c r="K195" s="5"/>
      <c r="L195" s="5"/>
      <c r="M195" s="5">
        <f t="shared" si="92"/>
        <v>0</v>
      </c>
      <c r="N195" s="5">
        <v>8</v>
      </c>
      <c r="O195" s="10">
        <f t="shared" si="93"/>
        <v>10</v>
      </c>
      <c r="P195" s="7">
        <f>LOOKUP(O195,{0,7.8,8,8.2,8.4,8.6,8.8,9,9.2,9.4,9.6,9.8,10,10.2,10.4,10.6,10.8,10.9,11,11.1,11.2},{0,10,20,30,40,50,60,62,64,66,68,70,72,74,76,78,80,85,90,95,100})</f>
        <v>72</v>
      </c>
      <c r="Q195" s="5">
        <v>6.52</v>
      </c>
      <c r="R195" s="10">
        <f t="shared" si="94"/>
        <v>3.48</v>
      </c>
      <c r="S195" s="7">
        <f>LOOKUP(R195,{0,3.85,4.45,4.65,4.85,5.45,5.65,5.7,5.75,5.8,5.85,5.9,5.95,6,6.45,6.5,6.55,6.63,6.7,6.75,6.8},{0,10,20,30,40,50,60,62,64,66,68,70,72,74,76,78,80,85,90,95,100})</f>
        <v>0</v>
      </c>
      <c r="T195" s="5"/>
      <c r="U195" s="5"/>
      <c r="V195" s="5">
        <f t="shared" si="95"/>
        <v>0</v>
      </c>
      <c r="W195" s="5"/>
      <c r="X195" s="13">
        <f t="shared" si="96"/>
        <v>28.2</v>
      </c>
      <c r="Y195" s="13">
        <f t="shared" si="97"/>
        <v>40.2857142857143</v>
      </c>
    </row>
    <row r="196" ht="15.6" hidden="1" outlineLevel="2" spans="1:25">
      <c r="A196" s="5">
        <v>306</v>
      </c>
      <c r="B196" s="5">
        <v>24</v>
      </c>
      <c r="C196" s="9" t="s">
        <v>267</v>
      </c>
      <c r="D196" s="9" t="s">
        <v>12</v>
      </c>
      <c r="E196" s="5">
        <v>14.4</v>
      </c>
      <c r="F196" s="7">
        <f>LOOKUP(E196,{0,-1.8,-0.8,0.2,1.2,2.2,3.2,4.6,6,7.4,8.8,10.2,11.6,13,14.4,15.8,17.2,19.1,21,22.8,24.6},{0,10,20,30,40,50,60,62,64,66,68,70,72,74,76,78,80,85,90,95,100})</f>
        <v>76</v>
      </c>
      <c r="G196" s="5">
        <v>241</v>
      </c>
      <c r="H196" s="7">
        <f>LOOKUP(G196,{0,180,185,190,195,200,205,209,213,217,221,225,229,233,237,241,245,253,260,265,270},{0,10,20,30,40,50,60,62,64,66,68,70,72,74,76,78,80,85,90,95,100})</f>
        <v>78</v>
      </c>
      <c r="I196" s="5">
        <v>5</v>
      </c>
      <c r="J196" s="7">
        <f>LOOKUP(I196,{0,4,5,6,7,8,9,10,11,12,13,14,15,16,17,18},{0,10,20,30,40,50,60,64,68,72,76,80,85,90,95,100})</f>
        <v>20</v>
      </c>
      <c r="K196" s="5"/>
      <c r="L196" s="5"/>
      <c r="M196" s="5">
        <f t="shared" si="92"/>
        <v>20</v>
      </c>
      <c r="N196" s="5">
        <v>8.7</v>
      </c>
      <c r="O196" s="10">
        <f t="shared" si="93"/>
        <v>9.3</v>
      </c>
      <c r="P196" s="7">
        <f>LOOKUP(O196,{0,7.8,8,8.2,8.4,8.6,8.8,9,9.2,9.4,9.6,9.8,10,10.2,10.4,10.6,10.8,10.9,11,11.1,11.2},{0,10,20,30,40,50,60,62,64,66,68,70,72,74,76,78,80,85,90,95,100})</f>
        <v>64</v>
      </c>
      <c r="Q196" s="5">
        <v>4.39</v>
      </c>
      <c r="R196" s="10">
        <f t="shared" si="94"/>
        <v>5.61</v>
      </c>
      <c r="S196" s="7">
        <f>LOOKUP(R196,{0,3.85,4.45,4.65,4.85,5.45,5.65,5.7,5.75,5.8,5.85,5.9,5.95,6,6.45,6.5,6.55,6.63,6.7,6.75,6.8},{0,10,20,30,40,50,60,62,64,66,68,70,72,74,76,78,80,85,90,95,100})</f>
        <v>50</v>
      </c>
      <c r="T196" s="5"/>
      <c r="U196" s="5"/>
      <c r="V196" s="5">
        <f t="shared" si="95"/>
        <v>50</v>
      </c>
      <c r="W196" s="5"/>
      <c r="X196" s="13">
        <f t="shared" si="96"/>
        <v>40.2</v>
      </c>
      <c r="Y196" s="13">
        <f t="shared" si="97"/>
        <v>57.4285714285714</v>
      </c>
    </row>
    <row r="197" ht="15.6" hidden="1" outlineLevel="2" spans="1:25">
      <c r="A197" s="5">
        <v>306</v>
      </c>
      <c r="B197" s="5">
        <v>25</v>
      </c>
      <c r="C197" s="9" t="s">
        <v>268</v>
      </c>
      <c r="D197" s="9" t="s">
        <v>12</v>
      </c>
      <c r="E197" s="5">
        <v>12</v>
      </c>
      <c r="F197" s="7">
        <f>LOOKUP(E197,{0,-1.8,-0.8,0.2,1.2,2.2,3.2,4.6,6,7.4,8.8,10.2,11.6,13,14.4,15.8,17.2,19.1,21,22.8,24.6},{0,10,20,30,40,50,60,62,64,66,68,70,72,74,76,78,80,85,90,95,100})</f>
        <v>72</v>
      </c>
      <c r="G197" s="5">
        <v>244</v>
      </c>
      <c r="H197" s="7">
        <f>LOOKUP(G197,{0,180,185,190,195,200,205,209,213,217,221,225,229,233,237,241,245,253,260,265,270},{0,10,20,30,40,50,60,62,64,66,68,70,72,74,76,78,80,85,90,95,100})</f>
        <v>78</v>
      </c>
      <c r="I197" s="5">
        <v>5</v>
      </c>
      <c r="J197" s="7">
        <f>LOOKUP(I197,{0,4,5,6,7,8,9,10,11,12,13,14,15,16,17,18},{0,10,20,30,40,50,60,64,68,72,76,80,85,90,95,100})</f>
        <v>20</v>
      </c>
      <c r="K197" s="5"/>
      <c r="L197" s="5"/>
      <c r="M197" s="5">
        <f t="shared" si="92"/>
        <v>20</v>
      </c>
      <c r="N197" s="5">
        <v>8.7</v>
      </c>
      <c r="O197" s="10">
        <f t="shared" si="93"/>
        <v>9.3</v>
      </c>
      <c r="P197" s="7">
        <f>LOOKUP(O197,{0,7.8,8,8.2,8.4,8.6,8.8,9,9.2,9.4,9.6,9.8,10,10.2,10.4,10.6,10.8,10.9,11,11.1,11.2},{0,10,20,30,40,50,60,62,64,66,68,70,72,74,76,78,80,85,90,95,100})</f>
        <v>64</v>
      </c>
      <c r="Q197" s="5">
        <v>6.58</v>
      </c>
      <c r="R197" s="10">
        <f t="shared" si="94"/>
        <v>3.42</v>
      </c>
      <c r="S197" s="7">
        <f>LOOKUP(R197,{0,3.85,4.45,4.65,4.85,5.45,5.65,5.7,5.75,5.8,5.85,5.9,5.95,6,6.45,6.5,6.55,6.63,6.7,6.75,6.8},{0,10,20,30,40,50,60,62,64,66,68,70,72,74,76,78,80,85,90,95,100})</f>
        <v>0</v>
      </c>
      <c r="T197" s="5"/>
      <c r="U197" s="5"/>
      <c r="V197" s="5">
        <f t="shared" si="95"/>
        <v>0</v>
      </c>
      <c r="W197" s="5"/>
      <c r="X197" s="13">
        <f t="shared" si="96"/>
        <v>29.8</v>
      </c>
      <c r="Y197" s="13">
        <f t="shared" si="97"/>
        <v>42.5714285714286</v>
      </c>
    </row>
    <row r="198" ht="15.6" hidden="1" outlineLevel="2" spans="1:25">
      <c r="A198" s="5">
        <v>306</v>
      </c>
      <c r="B198" s="5">
        <v>26</v>
      </c>
      <c r="C198" s="9" t="s">
        <v>269</v>
      </c>
      <c r="D198" s="9" t="s">
        <v>12</v>
      </c>
      <c r="E198" s="5">
        <v>9.2</v>
      </c>
      <c r="F198" s="7">
        <f>LOOKUP(E198,{0,-1.8,-0.8,0.2,1.2,2.2,3.2,4.6,6,7.4,8.8,10.2,11.6,13,14.4,15.8,17.2,19.1,21,22.8,24.6},{0,10,20,30,40,50,60,62,64,66,68,70,72,74,76,78,80,85,90,95,100})</f>
        <v>68</v>
      </c>
      <c r="G198" s="5">
        <v>229</v>
      </c>
      <c r="H198" s="7">
        <f>LOOKUP(G198,{0,180,185,190,195,200,205,209,213,217,221,225,229,233,237,241,245,253,260,265,270},{0,10,20,30,40,50,60,62,64,66,68,70,72,74,76,78,80,85,90,95,100})</f>
        <v>72</v>
      </c>
      <c r="I198" s="5">
        <v>1</v>
      </c>
      <c r="J198" s="7">
        <f>LOOKUP(I198,{0,4,5,6,7,8,9,10,11,12,13,14,15,16,17,18},{0,10,20,30,40,50,60,64,68,72,76,80,85,90,95,100})</f>
        <v>0</v>
      </c>
      <c r="K198" s="5"/>
      <c r="L198" s="5"/>
      <c r="M198" s="5">
        <f t="shared" si="92"/>
        <v>0</v>
      </c>
      <c r="N198" s="5">
        <v>15</v>
      </c>
      <c r="O198" s="10">
        <f t="shared" si="93"/>
        <v>3</v>
      </c>
      <c r="P198" s="7">
        <f>LOOKUP(O198,{0,7.8,8,8.2,8.4,8.6,8.8,9,9.2,9.4,9.6,9.8,10,10.2,10.4,10.6,10.8,10.9,11,11.1,11.2},{0,10,20,30,40,50,60,62,64,66,68,70,72,74,76,78,80,85,90,95,100})</f>
        <v>0</v>
      </c>
      <c r="Q198" s="5">
        <v>12.4</v>
      </c>
      <c r="R198" s="10">
        <f t="shared" si="94"/>
        <v>-2.4</v>
      </c>
      <c r="S198" s="7">
        <v>0</v>
      </c>
      <c r="T198" s="5"/>
      <c r="U198" s="5"/>
      <c r="V198" s="5">
        <f t="shared" si="95"/>
        <v>0</v>
      </c>
      <c r="W198" s="5"/>
      <c r="X198" s="13">
        <f t="shared" si="96"/>
        <v>14</v>
      </c>
      <c r="Y198" s="13">
        <f t="shared" si="97"/>
        <v>20</v>
      </c>
    </row>
    <row r="199" ht="15.6" hidden="1" outlineLevel="2" spans="1:25">
      <c r="A199" s="5">
        <v>306</v>
      </c>
      <c r="B199" s="5">
        <v>27</v>
      </c>
      <c r="C199" s="9" t="s">
        <v>270</v>
      </c>
      <c r="D199" s="9" t="s">
        <v>12</v>
      </c>
      <c r="E199" s="5">
        <v>1</v>
      </c>
      <c r="F199" s="7">
        <f>LOOKUP(E199,{0,-1.8,-0.8,0.2,1.2,2.2,3.2,4.6,6,7.4,8.8,10.2,11.6,13,14.4,15.8,17.2,19.1,21,22.8,24.6},{0,10,20,30,40,50,60,62,64,66,68,70,72,74,76,78,80,85,90,95,100})</f>
        <v>30</v>
      </c>
      <c r="G199" s="5">
        <v>247</v>
      </c>
      <c r="H199" s="7">
        <f>LOOKUP(G199,{0,180,185,190,195,200,205,209,213,217,221,225,229,233,237,241,245,253,260,265,270},{0,10,20,30,40,50,60,62,64,66,68,70,72,74,76,78,80,85,90,95,100})</f>
        <v>80</v>
      </c>
      <c r="I199" s="5">
        <v>3</v>
      </c>
      <c r="J199" s="7">
        <f>LOOKUP(I199,{0,4,5,6,7,8,9,10,11,12,13,14,15,16,17,18},{0,10,20,30,40,50,60,64,68,72,76,80,85,90,95,100})</f>
        <v>0</v>
      </c>
      <c r="K199" s="5"/>
      <c r="L199" s="5"/>
      <c r="M199" s="5">
        <f t="shared" si="92"/>
        <v>0</v>
      </c>
      <c r="N199" s="5">
        <v>7.1</v>
      </c>
      <c r="O199" s="10">
        <f t="shared" si="93"/>
        <v>10.9</v>
      </c>
      <c r="P199" s="7">
        <f>LOOKUP(O199,{0,7.8,8,8.2,8.4,8.6,8.8,9,9.2,9.4,9.6,9.8,10,10.2,10.4,10.6,10.8,10.9,11,11.1,11.2},{0,10,20,30,40,50,60,62,64,66,68,70,72,74,76,78,80,85,90,95,100})</f>
        <v>85</v>
      </c>
      <c r="Q199" s="5">
        <v>4.24</v>
      </c>
      <c r="R199" s="10">
        <f t="shared" si="94"/>
        <v>5.76</v>
      </c>
      <c r="S199" s="7">
        <f>LOOKUP(R199,{0,3.85,4.45,4.65,4.85,5.45,5.65,5.7,5.75,5.8,5.85,5.9,5.95,6,6.45,6.5,6.55,6.63,6.7,6.75,6.8},{0,10,20,30,40,50,60,62,64,66,68,70,72,74,76,78,80,85,90,95,100})</f>
        <v>64</v>
      </c>
      <c r="T199" s="5"/>
      <c r="U199" s="5"/>
      <c r="V199" s="5">
        <f t="shared" si="95"/>
        <v>64</v>
      </c>
      <c r="W199" s="5"/>
      <c r="X199" s="13">
        <f t="shared" si="96"/>
        <v>40.8</v>
      </c>
      <c r="Y199" s="13">
        <f t="shared" si="97"/>
        <v>58.2857142857143</v>
      </c>
    </row>
    <row r="200" ht="15.6" hidden="1" outlineLevel="2" spans="1:25">
      <c r="A200" s="5">
        <v>306</v>
      </c>
      <c r="B200" s="5">
        <v>28</v>
      </c>
      <c r="C200" s="9" t="s">
        <v>271</v>
      </c>
      <c r="D200" s="9" t="s">
        <v>12</v>
      </c>
      <c r="E200" s="5">
        <v>20</v>
      </c>
      <c r="F200" s="7">
        <f>LOOKUP(E200,{0,-1.8,-0.8,0.2,1.2,2.2,3.2,4.6,6,7.4,8.8,10.2,11.6,13,14.4,15.8,17.2,19.1,21,22.8,24.6},{0,10,20,30,40,50,60,62,64,66,68,70,72,74,76,78,80,85,90,95,100})</f>
        <v>85</v>
      </c>
      <c r="G200" s="5">
        <v>273</v>
      </c>
      <c r="H200" s="7">
        <f>LOOKUP(G200,{0,180,185,190,195,200,205,209,213,217,221,225,229,233,237,241,245,253,260,265,270},{0,10,20,30,40,50,60,62,64,66,68,70,72,74,76,78,80,85,90,95,100})</f>
        <v>100</v>
      </c>
      <c r="I200" s="5">
        <v>18</v>
      </c>
      <c r="J200" s="7">
        <f>LOOKUP(I200,{0,4,5,6,7,8,9,10,11,12,13,14,15,16,17,18},{0,10,20,30,40,50,60,64,68,72,76,80,85,90,95,100})</f>
        <v>100</v>
      </c>
      <c r="K200" s="5"/>
      <c r="L200" s="5"/>
      <c r="M200" s="5">
        <f t="shared" si="92"/>
        <v>100</v>
      </c>
      <c r="N200" s="5">
        <v>6.7</v>
      </c>
      <c r="O200" s="10">
        <f t="shared" si="93"/>
        <v>11.3</v>
      </c>
      <c r="P200" s="7">
        <f>LOOKUP(O200,{0,7.8,8,8.2,8.4,8.6,8.8,9,9.2,9.4,9.6,9.8,10,10.2,10.4,10.6,10.8,10.9,11,11.1,11.2},{0,10,20,30,40,50,60,62,64,66,68,70,72,74,76,78,80,85,90,95,100})</f>
        <v>100</v>
      </c>
      <c r="Q200" s="5">
        <v>4.49</v>
      </c>
      <c r="R200" s="10">
        <f t="shared" si="94"/>
        <v>5.51</v>
      </c>
      <c r="S200" s="7">
        <f>LOOKUP(R200,{0,3.85,4.45,4.65,4.85,5.45,5.65,5.7,5.75,5.8,5.85,5.9,5.95,6,6.45,6.5,6.55,6.63,6.7,6.75,6.8},{0,10,20,30,40,50,60,62,64,66,68,70,72,74,76,78,80,85,90,95,100})</f>
        <v>50</v>
      </c>
      <c r="T200" s="5"/>
      <c r="U200" s="5"/>
      <c r="V200" s="5">
        <f t="shared" si="95"/>
        <v>50</v>
      </c>
      <c r="W200" s="5"/>
      <c r="X200" s="13">
        <f t="shared" si="96"/>
        <v>58.5</v>
      </c>
      <c r="Y200" s="13">
        <f t="shared" si="97"/>
        <v>83.5714285714286</v>
      </c>
    </row>
    <row r="201" ht="15.6" hidden="1" outlineLevel="2" spans="1:25">
      <c r="A201" s="5">
        <v>306</v>
      </c>
      <c r="B201" s="5">
        <v>29</v>
      </c>
      <c r="C201" s="9" t="s">
        <v>272</v>
      </c>
      <c r="D201" s="9" t="s">
        <v>12</v>
      </c>
      <c r="E201" s="5">
        <v>15</v>
      </c>
      <c r="F201" s="7">
        <f>LOOKUP(E201,{0,-1.8,-0.8,0.2,1.2,2.2,3.2,4.6,6,7.4,8.8,10.2,11.6,13,14.4,15.8,17.2,19.1,21,22.8,24.6},{0,10,20,30,40,50,60,62,64,66,68,70,72,74,76,78,80,85,90,95,100})</f>
        <v>76</v>
      </c>
      <c r="G201" s="5">
        <v>213</v>
      </c>
      <c r="H201" s="7">
        <f>LOOKUP(G201,{0,180,185,190,195,200,205,209,213,217,221,225,229,233,237,241,245,253,260,265,270},{0,10,20,30,40,50,60,62,64,66,68,70,72,74,76,78,80,85,90,95,100})</f>
        <v>64</v>
      </c>
      <c r="I201" s="5">
        <v>7</v>
      </c>
      <c r="J201" s="7">
        <f>LOOKUP(I201,{0,4,5,6,7,8,9,10,11,12,13,14,15,16,17,18},{0,10,20,30,40,50,60,64,68,72,76,80,85,90,95,100})</f>
        <v>40</v>
      </c>
      <c r="K201" s="5"/>
      <c r="L201" s="5"/>
      <c r="M201" s="5">
        <f t="shared" si="92"/>
        <v>40</v>
      </c>
      <c r="N201" s="5">
        <v>8.5</v>
      </c>
      <c r="O201" s="10">
        <f t="shared" si="93"/>
        <v>9.5</v>
      </c>
      <c r="P201" s="7">
        <f>LOOKUP(O201,{0,7.8,8,8.2,8.4,8.6,8.8,9,9.2,9.4,9.6,9.8,10,10.2,10.4,10.6,10.8,10.9,11,11.1,11.2},{0,10,20,30,40,50,60,62,64,66,68,70,72,74,76,78,80,85,90,95,100})</f>
        <v>66</v>
      </c>
      <c r="Q201" s="5">
        <v>4.56</v>
      </c>
      <c r="R201" s="10">
        <f t="shared" si="94"/>
        <v>5.44</v>
      </c>
      <c r="S201" s="7">
        <f>LOOKUP(R201,{0,3.85,4.45,4.65,4.85,5.45,5.65,5.7,5.75,5.8,5.85,5.9,5.95,6,6.45,6.5,6.55,6.63,6.7,6.75,6.8},{0,10,20,30,40,50,60,62,64,66,68,70,72,74,76,78,80,85,90,95,100})</f>
        <v>40</v>
      </c>
      <c r="T201" s="5"/>
      <c r="U201" s="5"/>
      <c r="V201" s="5">
        <f t="shared" si="95"/>
        <v>40</v>
      </c>
      <c r="W201" s="5"/>
      <c r="X201" s="13">
        <f t="shared" si="96"/>
        <v>39.2</v>
      </c>
      <c r="Y201" s="13">
        <f t="shared" si="97"/>
        <v>56</v>
      </c>
    </row>
    <row r="202" ht="15.6" hidden="1" outlineLevel="2" spans="1:25">
      <c r="A202" s="5">
        <v>306</v>
      </c>
      <c r="B202" s="5">
        <v>30</v>
      </c>
      <c r="C202" s="9" t="s">
        <v>273</v>
      </c>
      <c r="D202" s="9" t="s">
        <v>12</v>
      </c>
      <c r="E202" s="5">
        <v>6</v>
      </c>
      <c r="F202" s="7">
        <f>LOOKUP(E202,{0,-1.8,-0.8,0.2,1.2,2.2,3.2,4.6,6,7.4,8.8,10.2,11.6,13,14.4,15.8,17.2,19.1,21,22.8,24.6},{0,10,20,30,40,50,60,62,64,66,68,70,72,74,76,78,80,85,90,95,100})</f>
        <v>64</v>
      </c>
      <c r="G202" s="5">
        <v>216</v>
      </c>
      <c r="H202" s="7">
        <f>LOOKUP(G202,{0,180,185,190,195,200,205,209,213,217,221,225,229,233,237,241,245,253,260,265,270},{0,10,20,30,40,50,60,62,64,66,68,70,72,74,76,78,80,85,90,95,100})</f>
        <v>64</v>
      </c>
      <c r="I202" s="5">
        <v>6</v>
      </c>
      <c r="J202" s="7">
        <f>LOOKUP(I202,{0,4,5,6,7,8,9,10,11,12,13,14,15,16,17,18},{0,10,20,30,40,50,60,64,68,72,76,80,85,90,95,100})</f>
        <v>30</v>
      </c>
      <c r="K202" s="5"/>
      <c r="L202" s="5"/>
      <c r="M202" s="5">
        <f t="shared" si="92"/>
        <v>30</v>
      </c>
      <c r="N202" s="5">
        <v>7.7</v>
      </c>
      <c r="O202" s="10">
        <f t="shared" si="93"/>
        <v>10.3</v>
      </c>
      <c r="P202" s="7">
        <f>LOOKUP(O202,{0,7.8,8,8.2,8.4,8.6,8.8,9,9.2,9.4,9.6,9.8,10,10.2,10.4,10.6,10.8,10.9,11,11.1,11.2},{0,10,20,30,40,50,60,62,64,66,68,70,72,74,76,78,80,85,90,95,100})</f>
        <v>74</v>
      </c>
      <c r="Q202" s="5">
        <v>4.4</v>
      </c>
      <c r="R202" s="10">
        <f t="shared" si="94"/>
        <v>5.6</v>
      </c>
      <c r="S202" s="7">
        <f>LOOKUP(R202,{0,3.85,4.45,4.65,4.85,5.45,5.65,5.7,5.75,5.8,5.85,5.9,5.95,6,6.45,6.5,6.55,6.63,6.7,6.75,6.8},{0,10,20,30,40,50,60,62,64,66,68,70,72,74,76,78,80,85,90,95,100})</f>
        <v>50</v>
      </c>
      <c r="T202" s="5"/>
      <c r="U202" s="5"/>
      <c r="V202" s="5">
        <f t="shared" si="95"/>
        <v>50</v>
      </c>
      <c r="W202" s="5"/>
      <c r="X202" s="13">
        <f t="shared" si="96"/>
        <v>40.6</v>
      </c>
      <c r="Y202" s="13">
        <f t="shared" si="97"/>
        <v>58</v>
      </c>
    </row>
    <row r="203" ht="15.6" hidden="1" outlineLevel="2" spans="1:25">
      <c r="A203" s="5">
        <v>306</v>
      </c>
      <c r="B203" s="5">
        <v>31</v>
      </c>
      <c r="C203" s="9" t="s">
        <v>274</v>
      </c>
      <c r="D203" s="9" t="s">
        <v>12</v>
      </c>
      <c r="E203" s="5">
        <v>24.5</v>
      </c>
      <c r="F203" s="7">
        <f>LOOKUP(E203,{0,-1.8,-0.8,0.2,1.2,2.2,3.2,4.6,6,7.4,8.8,10.2,11.6,13,14.4,15.8,17.2,19.1,21,22.8,24.6},{0,10,20,30,40,50,60,62,64,66,68,70,72,74,76,78,80,85,90,95,100})</f>
        <v>95</v>
      </c>
      <c r="G203" s="5">
        <v>219</v>
      </c>
      <c r="H203" s="7">
        <f>LOOKUP(G203,{0,180,185,190,195,200,205,209,213,217,221,225,229,233,237,241,245,253,260,265,270},{0,10,20,30,40,50,60,62,64,66,68,70,72,74,76,78,80,85,90,95,100})</f>
        <v>66</v>
      </c>
      <c r="I203" s="5">
        <v>0</v>
      </c>
      <c r="J203" s="7">
        <f>LOOKUP(I203,{0,4,5,6,7,8,9,10,11,12,13,14,15,16,17,18},{0,10,20,30,40,50,60,64,68,72,76,80,85,90,95,100})</f>
        <v>0</v>
      </c>
      <c r="K203" s="5"/>
      <c r="L203" s="5"/>
      <c r="M203" s="5">
        <f t="shared" si="92"/>
        <v>0</v>
      </c>
      <c r="N203" s="5">
        <v>8.3</v>
      </c>
      <c r="O203" s="10">
        <f t="shared" si="93"/>
        <v>9.7</v>
      </c>
      <c r="P203" s="7">
        <f>LOOKUP(O203,{0,7.8,8,8.2,8.4,8.6,8.8,9,9.2,9.4,9.6,9.8,10,10.2,10.4,10.6,10.8,10.9,11,11.1,11.2},{0,10,20,30,40,50,60,62,64,66,68,70,72,74,76,78,80,85,90,95,100})</f>
        <v>68</v>
      </c>
      <c r="Q203" s="5">
        <v>4.58</v>
      </c>
      <c r="R203" s="10">
        <f t="shared" si="94"/>
        <v>5.42</v>
      </c>
      <c r="S203" s="7">
        <f>LOOKUP(R203,{0,3.85,4.45,4.65,4.85,5.45,5.65,5.7,5.75,5.8,5.85,5.9,5.95,6,6.45,6.5,6.55,6.63,6.7,6.75,6.8},{0,10,20,30,40,50,60,62,64,66,68,70,72,74,76,78,80,85,90,95,100})</f>
        <v>40</v>
      </c>
      <c r="T203" s="5"/>
      <c r="U203" s="5"/>
      <c r="V203" s="5">
        <f t="shared" si="95"/>
        <v>40</v>
      </c>
      <c r="W203" s="5"/>
      <c r="X203" s="13">
        <f t="shared" si="96"/>
        <v>37.7</v>
      </c>
      <c r="Y203" s="13">
        <f t="shared" si="97"/>
        <v>53.8571428571429</v>
      </c>
    </row>
    <row r="204" ht="15.6" hidden="1" outlineLevel="2" spans="1:25">
      <c r="A204" s="5">
        <v>306</v>
      </c>
      <c r="B204" s="5">
        <v>32</v>
      </c>
      <c r="C204" s="9" t="s">
        <v>275</v>
      </c>
      <c r="D204" s="9" t="s">
        <v>12</v>
      </c>
      <c r="E204" s="5">
        <v>7.2</v>
      </c>
      <c r="F204" s="7">
        <f>LOOKUP(E204,{0,-1.8,-0.8,0.2,1.2,2.2,3.2,4.6,6,7.4,8.8,10.2,11.6,13,14.4,15.8,17.2,19.1,21,22.8,24.6},{0,10,20,30,40,50,60,62,64,66,68,70,72,74,76,78,80,85,90,95,100})</f>
        <v>64</v>
      </c>
      <c r="G204" s="5">
        <v>250</v>
      </c>
      <c r="H204" s="7">
        <f>LOOKUP(G204,{0,180,185,190,195,200,205,209,213,217,221,225,229,233,237,241,245,253,260,265,270},{0,10,20,30,40,50,60,62,64,66,68,70,72,74,76,78,80,85,90,95,100})</f>
        <v>80</v>
      </c>
      <c r="I204" s="5">
        <v>3</v>
      </c>
      <c r="J204" s="7">
        <f>LOOKUP(I204,{0,4,5,6,7,8,9,10,11,12,13,14,15,16,17,18},{0,10,20,30,40,50,60,64,68,72,76,80,85,90,95,100})</f>
        <v>0</v>
      </c>
      <c r="K204" s="5"/>
      <c r="L204" s="5"/>
      <c r="M204" s="5">
        <f t="shared" si="92"/>
        <v>0</v>
      </c>
      <c r="N204" s="5">
        <v>6.8</v>
      </c>
      <c r="O204" s="10">
        <f t="shared" si="93"/>
        <v>11.2</v>
      </c>
      <c r="P204" s="7">
        <f>LOOKUP(O204,{0,7.8,8,8.2,8.4,8.6,8.8,9,9.2,9.4,9.6,9.8,10,10.2,10.4,10.6,10.8,10.9,11,11.1,11.2},{0,10,20,30,40,50,60,62,64,66,68,70,72,74,76,78,80,85,90,95,100})</f>
        <v>100</v>
      </c>
      <c r="Q204" s="5">
        <v>4.22</v>
      </c>
      <c r="R204" s="10">
        <f t="shared" si="94"/>
        <v>5.78</v>
      </c>
      <c r="S204" s="7">
        <f>LOOKUP(R204,{0,3.85,4.45,4.65,4.85,5.45,5.65,5.7,5.75,5.8,5.85,5.9,5.95,6,6.45,6.5,6.55,6.63,6.7,6.75,6.8},{0,10,20,30,40,50,60,62,64,66,68,70,72,74,76,78,80,85,90,95,100})</f>
        <v>64</v>
      </c>
      <c r="T204" s="5"/>
      <c r="U204" s="5"/>
      <c r="V204" s="5">
        <f t="shared" si="95"/>
        <v>64</v>
      </c>
      <c r="W204" s="5"/>
      <c r="X204" s="13">
        <f t="shared" si="96"/>
        <v>47.2</v>
      </c>
      <c r="Y204" s="13">
        <f t="shared" si="97"/>
        <v>67.4285714285714</v>
      </c>
    </row>
    <row r="205" ht="15.6" outlineLevel="1" collapsed="1" spans="1:25">
      <c r="A205" s="6" t="s">
        <v>857</v>
      </c>
      <c r="B205" s="5"/>
      <c r="C205" s="9"/>
      <c r="D205" s="9"/>
      <c r="E205" s="5"/>
      <c r="F205" s="7">
        <f>SUBTOTAL(1,F173:F204)</f>
        <v>64.2666666666667</v>
      </c>
      <c r="G205" s="5"/>
      <c r="H205" s="7">
        <f>SUBTOTAL(1,H173:H204)</f>
        <v>74.7</v>
      </c>
      <c r="I205" s="5"/>
      <c r="J205" s="7">
        <f>SUBTOTAL(1,J173:J204)</f>
        <v>28.3666666666667</v>
      </c>
      <c r="K205" s="5"/>
      <c r="L205" s="5"/>
      <c r="M205" s="5">
        <f>SUBTOTAL(1,M173:M204)</f>
        <v>28.4666666666667</v>
      </c>
      <c r="N205" s="5"/>
      <c r="O205" s="10"/>
      <c r="P205" s="7">
        <f>SUBTOTAL(1,P173:P204)</f>
        <v>79.4666666666667</v>
      </c>
      <c r="Q205" s="5"/>
      <c r="R205" s="10"/>
      <c r="S205" s="7">
        <f>SUBTOTAL(1,S173:S204)</f>
        <v>46.3</v>
      </c>
      <c r="T205" s="5"/>
      <c r="U205" s="5"/>
      <c r="V205" s="5">
        <f>SUBTOTAL(1,V173:V204)</f>
        <v>46.3</v>
      </c>
      <c r="W205" s="5"/>
      <c r="X205" s="13">
        <f>SUBTOTAL(1,X173:X204)</f>
        <v>41.8866666666667</v>
      </c>
      <c r="Y205" s="13">
        <f>SUBTOTAL(1,Y173:Y204)</f>
        <v>59.3169642857143</v>
      </c>
    </row>
    <row r="206" ht="15.6" hidden="1" outlineLevel="2" spans="1:25">
      <c r="A206" s="5">
        <v>307</v>
      </c>
      <c r="B206" s="5">
        <v>1</v>
      </c>
      <c r="C206" s="8" t="s">
        <v>299</v>
      </c>
      <c r="D206" s="9" t="s">
        <v>12</v>
      </c>
      <c r="E206" s="5">
        <v>17.5</v>
      </c>
      <c r="F206" s="7">
        <f>LOOKUP(E206,{0,-1.8,-0.8,0.2,1.2,2.2,3.2,4.6,6,7.4,8.8,10.2,11.6,13,14.4,15.8,17.2,19.1,21,22.8,24.6},{0,10,20,30,40,50,60,62,64,66,68,70,72,74,76,78,80,85,90,95,100})</f>
        <v>80</v>
      </c>
      <c r="G206" s="5">
        <v>245</v>
      </c>
      <c r="H206" s="7">
        <f>LOOKUP(G206,{0,180,185,190,195,200,205,209,213,217,221,225,229,233,237,241,245,253,260,265,270},{0,10,20,30,40,50,60,62,64,66,68,70,72,74,76,78,80,85,90,95,100})</f>
        <v>80</v>
      </c>
      <c r="I206" s="5">
        <v>4</v>
      </c>
      <c r="J206" s="7">
        <f>LOOKUP(I206,{0,4,5,6,7,8,9,10,11,12,13,14,15,16,17,18},{0,10,20,30,40,50,60,64,68,72,76,80,85,90,95,100})</f>
        <v>10</v>
      </c>
      <c r="K206" s="5"/>
      <c r="L206" s="5"/>
      <c r="M206" s="5">
        <f>J206+L206</f>
        <v>10</v>
      </c>
      <c r="N206" s="5">
        <v>6.7</v>
      </c>
      <c r="O206" s="10">
        <f>18-N206</f>
        <v>11.3</v>
      </c>
      <c r="P206" s="7">
        <f>LOOKUP(O206,{0,7.8,8,8.2,8.4,8.6,8.8,9,9.2,9.4,9.6,9.8,10,10.2,10.4,10.6,10.8,10.9,11,11.1,11.2},{0,10,20,30,40,50,60,62,64,66,68,70,72,74,76,78,80,85,90,95,100})</f>
        <v>100</v>
      </c>
      <c r="Q206" s="5">
        <v>3.12</v>
      </c>
      <c r="R206" s="10">
        <f>10-Q206</f>
        <v>6.88</v>
      </c>
      <c r="S206" s="7">
        <f>LOOKUP(R206,{0,3.85,4.45,4.65,4.85,5.45,5.65,5.7,5.75,5.8,5.85,5.9,5.95,6,6.45,6.5,6.55,6.63,6.7,6.75,6.8},{0,10,20,30,40,50,60,62,64,66,68,70,72,74,76,78,80,85,90,95,100})</f>
        <v>100</v>
      </c>
      <c r="T206" s="5">
        <f>3.2-Q206</f>
        <v>0.0800000000000001</v>
      </c>
      <c r="U206" s="7">
        <f>LOOKUP(T206,{0,0.04,0.08,0.12,0.16,0.2,0.23,0.26,0.29,0.32,0.35},{0,1,2,3,4,5,6,7,8,9,10})</f>
        <v>2</v>
      </c>
      <c r="V206" s="5">
        <f>S206+U206</f>
        <v>102</v>
      </c>
      <c r="W206" s="5"/>
      <c r="X206" s="13">
        <f>F206*0.1+H206*0.1+J206*0.1+P206*0.2+S206*0.2</f>
        <v>57</v>
      </c>
      <c r="Y206" s="13">
        <f>X206/0.7+L206+U206</f>
        <v>83.4285714285714</v>
      </c>
    </row>
    <row r="207" ht="15.6" hidden="1" outlineLevel="2" spans="1:25">
      <c r="A207" s="5">
        <v>307</v>
      </c>
      <c r="B207" s="5">
        <v>2</v>
      </c>
      <c r="C207" s="9" t="s">
        <v>300</v>
      </c>
      <c r="D207" s="9" t="s">
        <v>12</v>
      </c>
      <c r="E207" s="5"/>
      <c r="F207" s="7"/>
      <c r="G207" s="5"/>
      <c r="H207" s="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>
        <v>50</v>
      </c>
      <c r="X207" s="13"/>
      <c r="Y207" s="13">
        <v>50</v>
      </c>
    </row>
    <row r="208" ht="15.6" hidden="1" outlineLevel="2" spans="1:25">
      <c r="A208" s="5">
        <v>307</v>
      </c>
      <c r="B208" s="5">
        <v>3</v>
      </c>
      <c r="C208" s="9" t="s">
        <v>301</v>
      </c>
      <c r="D208" s="9" t="s">
        <v>12</v>
      </c>
      <c r="E208" s="5">
        <v>14</v>
      </c>
      <c r="F208" s="7">
        <f>LOOKUP(E208,{0,-1.8,-0.8,0.2,1.2,2.2,3.2,4.6,6,7.4,8.8,10.2,11.6,13,14.4,15.8,17.2,19.1,21,22.8,24.6},{0,10,20,30,40,50,60,62,64,66,68,70,72,74,76,78,80,85,90,95,100})</f>
        <v>74</v>
      </c>
      <c r="G208" s="5">
        <v>282</v>
      </c>
      <c r="H208" s="7">
        <f>LOOKUP(G208,{0,180,185,190,195,200,205,209,213,217,221,225,229,233,237,241,245,253,260,265,270},{0,10,20,30,40,50,60,62,64,66,68,70,72,74,76,78,80,85,90,95,100})</f>
        <v>100</v>
      </c>
      <c r="I208" s="5">
        <v>9</v>
      </c>
      <c r="J208" s="7">
        <f>LOOKUP(I208,{0,4,5,6,7,8,9,10,11,12,13,14,15,16,17,18},{0,10,20,30,40,50,60,64,68,72,76,80,85,90,95,100})</f>
        <v>60</v>
      </c>
      <c r="K208" s="5"/>
      <c r="L208" s="5"/>
      <c r="M208" s="5">
        <f t="shared" ref="M208:M223" si="98">J208+L208</f>
        <v>60</v>
      </c>
      <c r="N208" s="5">
        <v>6.8</v>
      </c>
      <c r="O208" s="10">
        <f t="shared" ref="O208:O223" si="99">18-N208</f>
        <v>11.2</v>
      </c>
      <c r="P208" s="7">
        <f>LOOKUP(O208,{0,7.8,8,8.2,8.4,8.6,8.8,9,9.2,9.4,9.6,9.8,10,10.2,10.4,10.6,10.8,10.9,11,11.1,11.2},{0,10,20,30,40,50,60,62,64,66,68,70,72,74,76,78,80,85,90,95,100})</f>
        <v>100</v>
      </c>
      <c r="Q208" s="5">
        <v>4.26</v>
      </c>
      <c r="R208" s="10">
        <f t="shared" ref="R208:R223" si="100">10-Q208</f>
        <v>5.74</v>
      </c>
      <c r="S208" s="7">
        <f>LOOKUP(R208,{0,3.85,4.45,4.65,4.85,5.45,5.65,5.7,5.75,5.8,5.85,5.9,5.95,6,6.45,6.5,6.55,6.63,6.7,6.75,6.8},{0,10,20,30,40,50,60,62,64,66,68,70,72,74,76,78,80,85,90,95,100})</f>
        <v>62</v>
      </c>
      <c r="T208" s="5"/>
      <c r="U208" s="5"/>
      <c r="V208" s="5">
        <f t="shared" ref="V208:V223" si="101">S208+U208</f>
        <v>62</v>
      </c>
      <c r="W208" s="5"/>
      <c r="X208" s="13">
        <f t="shared" ref="X208:X223" si="102">F208*0.1+H208*0.1+J208*0.1+P208*0.2+S208*0.2</f>
        <v>55.8</v>
      </c>
      <c r="Y208" s="13">
        <f t="shared" ref="Y208:Y223" si="103">X208/0.7+L208+U208</f>
        <v>79.7142857142857</v>
      </c>
    </row>
    <row r="209" ht="15.6" hidden="1" outlineLevel="2" spans="1:25">
      <c r="A209" s="5">
        <v>307</v>
      </c>
      <c r="B209" s="5">
        <v>4</v>
      </c>
      <c r="C209" s="9" t="s">
        <v>302</v>
      </c>
      <c r="D209" s="9" t="s">
        <v>12</v>
      </c>
      <c r="E209" s="5">
        <v>11.8</v>
      </c>
      <c r="F209" s="7">
        <f>LOOKUP(E209,{0,-1.8,-0.8,0.2,1.2,2.2,3.2,4.6,6,7.4,8.8,10.2,11.6,13,14.4,15.8,17.2,19.1,21,22.8,24.6},{0,10,20,30,40,50,60,62,64,66,68,70,72,74,76,78,80,85,90,95,100})</f>
        <v>72</v>
      </c>
      <c r="G209" s="5">
        <v>235</v>
      </c>
      <c r="H209" s="7">
        <f>LOOKUP(G209,{0,180,185,190,195,200,205,209,213,217,221,225,229,233,237,241,245,253,260,265,270},{0,10,20,30,40,50,60,62,64,66,68,70,72,74,76,78,80,85,90,95,100})</f>
        <v>74</v>
      </c>
      <c r="I209" s="5">
        <v>4</v>
      </c>
      <c r="J209" s="7">
        <f>LOOKUP(I209,{0,4,5,6,7,8,9,10,11,12,13,14,15,16,17,18},{0,10,20,30,40,50,60,64,68,72,76,80,85,90,95,100})</f>
        <v>10</v>
      </c>
      <c r="K209" s="5"/>
      <c r="L209" s="5"/>
      <c r="M209" s="5">
        <f t="shared" si="98"/>
        <v>10</v>
      </c>
      <c r="N209" s="5">
        <v>7.8</v>
      </c>
      <c r="O209" s="10">
        <f t="shared" si="99"/>
        <v>10.2</v>
      </c>
      <c r="P209" s="7">
        <f>LOOKUP(O209,{0,7.8,8,8.2,8.4,8.6,8.8,9,9.2,9.4,9.6,9.8,10,10.2,10.4,10.6,10.8,10.9,11,11.1,11.2},{0,10,20,30,40,50,60,62,64,66,68,70,72,74,76,78,80,85,90,95,100})</f>
        <v>74</v>
      </c>
      <c r="Q209" s="5">
        <v>4.36</v>
      </c>
      <c r="R209" s="10">
        <f t="shared" si="100"/>
        <v>5.64</v>
      </c>
      <c r="S209" s="7">
        <f>LOOKUP(R209,{0,3.85,4.45,4.65,4.85,5.45,5.65,5.7,5.75,5.8,5.85,5.9,5.95,6,6.45,6.5,6.55,6.63,6.7,6.75,6.8},{0,10,20,30,40,50,60,62,64,66,68,70,72,74,76,78,80,85,90,95,100})</f>
        <v>50</v>
      </c>
      <c r="T209" s="5"/>
      <c r="U209" s="5"/>
      <c r="V209" s="5">
        <f t="shared" si="101"/>
        <v>50</v>
      </c>
      <c r="W209" s="5"/>
      <c r="X209" s="13">
        <f t="shared" si="102"/>
        <v>40.4</v>
      </c>
      <c r="Y209" s="13">
        <f t="shared" si="103"/>
        <v>57.7142857142857</v>
      </c>
    </row>
    <row r="210" ht="15.6" hidden="1" outlineLevel="2" spans="1:25">
      <c r="A210" s="5">
        <v>307</v>
      </c>
      <c r="B210" s="5">
        <v>5</v>
      </c>
      <c r="C210" s="9" t="s">
        <v>303</v>
      </c>
      <c r="D210" s="9" t="s">
        <v>12</v>
      </c>
      <c r="E210" s="5">
        <v>9.4</v>
      </c>
      <c r="F210" s="7">
        <f>LOOKUP(E210,{0,-1.8,-0.8,0.2,1.2,2.2,3.2,4.6,6,7.4,8.8,10.2,11.6,13,14.4,15.8,17.2,19.1,21,22.8,24.6},{0,10,20,30,40,50,60,62,64,66,68,70,72,74,76,78,80,85,90,95,100})</f>
        <v>68</v>
      </c>
      <c r="G210" s="5">
        <v>240</v>
      </c>
      <c r="H210" s="7">
        <f>LOOKUP(G210,{0,180,185,190,195,200,205,209,213,217,221,225,229,233,237,241,245,253,260,265,270},{0,10,20,30,40,50,60,62,64,66,68,70,72,74,76,78,80,85,90,95,100})</f>
        <v>76</v>
      </c>
      <c r="I210" s="5">
        <v>18</v>
      </c>
      <c r="J210" s="7">
        <f>LOOKUP(I210,{0,4,5,6,7,8,9,10,11,12,13,14,15,16,17,18},{0,10,20,30,40,50,60,64,68,72,76,80,85,90,95,100})</f>
        <v>100</v>
      </c>
      <c r="K210" s="5"/>
      <c r="L210" s="5"/>
      <c r="M210" s="5">
        <f t="shared" si="98"/>
        <v>100</v>
      </c>
      <c r="N210" s="5">
        <v>6.9</v>
      </c>
      <c r="O210" s="10">
        <f t="shared" si="99"/>
        <v>11.1</v>
      </c>
      <c r="P210" s="7">
        <f>LOOKUP(O210,{0,7.8,8,8.2,8.4,8.6,8.8,9,9.2,9.4,9.6,9.8,10,10.2,10.4,10.6,10.8,10.9,11,11.1,11.2},{0,10,20,30,40,50,60,62,64,66,68,70,72,74,76,78,80,85,90,95,100})</f>
        <v>95</v>
      </c>
      <c r="Q210" s="5">
        <v>3.56</v>
      </c>
      <c r="R210" s="10">
        <f t="shared" si="100"/>
        <v>6.44</v>
      </c>
      <c r="S210" s="7">
        <f>LOOKUP(R210,{0,3.85,4.45,4.65,4.85,5.45,5.65,5.7,5.75,5.8,5.85,5.9,5.95,6,6.45,6.5,6.55,6.63,6.7,6.75,6.8},{0,10,20,30,40,50,60,62,64,66,68,70,72,74,76,78,80,85,90,95,100})</f>
        <v>74</v>
      </c>
      <c r="T210" s="5"/>
      <c r="U210" s="5"/>
      <c r="V210" s="5">
        <f t="shared" si="101"/>
        <v>74</v>
      </c>
      <c r="W210" s="5"/>
      <c r="X210" s="13">
        <f t="shared" si="102"/>
        <v>58.2</v>
      </c>
      <c r="Y210" s="13">
        <f t="shared" si="103"/>
        <v>83.1428571428572</v>
      </c>
    </row>
    <row r="211" ht="15.6" hidden="1" outlineLevel="2" spans="1:25">
      <c r="A211" s="5">
        <v>307</v>
      </c>
      <c r="B211" s="5">
        <v>6</v>
      </c>
      <c r="C211" s="9" t="s">
        <v>304</v>
      </c>
      <c r="D211" s="9" t="s">
        <v>12</v>
      </c>
      <c r="E211" s="5">
        <v>7</v>
      </c>
      <c r="F211" s="7">
        <f>LOOKUP(E211,{0,-1.8,-0.8,0.2,1.2,2.2,3.2,4.6,6,7.4,8.8,10.2,11.6,13,14.4,15.8,17.2,19.1,21,22.8,24.6},{0,10,20,30,40,50,60,62,64,66,68,70,72,74,76,78,80,85,90,95,100})</f>
        <v>64</v>
      </c>
      <c r="G211" s="5">
        <v>252</v>
      </c>
      <c r="H211" s="7">
        <f>LOOKUP(G211,{0,180,185,190,195,200,205,209,213,217,221,225,229,233,237,241,245,253,260,265,270},{0,10,20,30,40,50,60,62,64,66,68,70,72,74,76,78,80,85,90,95,100})</f>
        <v>80</v>
      </c>
      <c r="I211" s="5">
        <v>10</v>
      </c>
      <c r="J211" s="7">
        <f>LOOKUP(I211,{0,4,5,6,7,8,9,10,11,12,13,14,15,16,17,18},{0,10,20,30,40,50,60,64,68,72,76,80,85,90,95,100})</f>
        <v>64</v>
      </c>
      <c r="K211" s="5"/>
      <c r="L211" s="5"/>
      <c r="M211" s="5">
        <f t="shared" si="98"/>
        <v>64</v>
      </c>
      <c r="N211" s="5">
        <v>7.4</v>
      </c>
      <c r="O211" s="10">
        <f t="shared" si="99"/>
        <v>10.6</v>
      </c>
      <c r="P211" s="7">
        <f>LOOKUP(O211,{0,7.8,8,8.2,8.4,8.6,8.8,9,9.2,9.4,9.6,9.8,10,10.2,10.4,10.6,10.8,10.9,11,11.1,11.2},{0,10,20,30,40,50,60,62,64,66,68,70,72,74,76,78,80,85,90,95,100})</f>
        <v>78</v>
      </c>
      <c r="Q211" s="5">
        <v>4.34</v>
      </c>
      <c r="R211" s="10">
        <f t="shared" si="100"/>
        <v>5.66</v>
      </c>
      <c r="S211" s="7">
        <f>LOOKUP(R211,{0,3.85,4.45,4.65,4.85,5.45,5.65,5.7,5.75,5.8,5.85,5.9,5.95,6,6.45,6.5,6.55,6.63,6.7,6.75,6.8},{0,10,20,30,40,50,60,62,64,66,68,70,72,74,76,78,80,85,90,95,100})</f>
        <v>60</v>
      </c>
      <c r="T211" s="5"/>
      <c r="U211" s="5"/>
      <c r="V211" s="5">
        <f t="shared" si="101"/>
        <v>60</v>
      </c>
      <c r="W211" s="5"/>
      <c r="X211" s="13">
        <f t="shared" si="102"/>
        <v>48.4</v>
      </c>
      <c r="Y211" s="13">
        <f t="shared" si="103"/>
        <v>69.1428571428572</v>
      </c>
    </row>
    <row r="212" ht="15.6" hidden="1" outlineLevel="2" spans="1:25">
      <c r="A212" s="5">
        <v>307</v>
      </c>
      <c r="B212" s="5">
        <v>7</v>
      </c>
      <c r="C212" s="9" t="s">
        <v>305</v>
      </c>
      <c r="D212" s="9" t="s">
        <v>12</v>
      </c>
      <c r="E212" s="5">
        <v>2</v>
      </c>
      <c r="F212" s="7">
        <f>LOOKUP(E212,{0,-1.8,-0.8,0.2,1.2,2.2,3.2,4.6,6,7.4,8.8,10.2,11.6,13,14.4,15.8,17.2,19.1,21,22.8,24.6},{0,10,20,30,40,50,60,62,64,66,68,70,72,74,76,78,80,85,90,95,100})</f>
        <v>40</v>
      </c>
      <c r="G212" s="5">
        <v>240</v>
      </c>
      <c r="H212" s="7">
        <f>LOOKUP(G212,{0,180,185,190,195,200,205,209,213,217,221,225,229,233,237,241,245,253,260,265,270},{0,10,20,30,40,50,60,62,64,66,68,70,72,74,76,78,80,85,90,95,100})</f>
        <v>76</v>
      </c>
      <c r="I212" s="5">
        <v>4</v>
      </c>
      <c r="J212" s="7">
        <f>LOOKUP(I212,{0,4,5,6,7,8,9,10,11,12,13,14,15,16,17,18},{0,10,20,30,40,50,60,64,68,72,76,80,85,90,95,100})</f>
        <v>10</v>
      </c>
      <c r="K212" s="5"/>
      <c r="L212" s="5"/>
      <c r="M212" s="5">
        <f t="shared" si="98"/>
        <v>10</v>
      </c>
      <c r="N212" s="5">
        <v>6.9</v>
      </c>
      <c r="O212" s="10">
        <f t="shared" si="99"/>
        <v>11.1</v>
      </c>
      <c r="P212" s="7">
        <f>LOOKUP(O212,{0,7.8,8,8.2,8.4,8.6,8.8,9,9.2,9.4,9.6,9.8,10,10.2,10.4,10.6,10.8,10.9,11,11.1,11.2},{0,10,20,30,40,50,60,62,64,66,68,70,72,74,76,78,80,85,90,95,100})</f>
        <v>95</v>
      </c>
      <c r="Q212" s="5">
        <v>3.56</v>
      </c>
      <c r="R212" s="10">
        <f t="shared" si="100"/>
        <v>6.44</v>
      </c>
      <c r="S212" s="7">
        <f>LOOKUP(R212,{0,3.85,4.45,4.65,4.85,5.45,5.65,5.7,5.75,5.8,5.85,5.9,5.95,6,6.45,6.5,6.55,6.63,6.7,6.75,6.8},{0,10,20,30,40,50,60,62,64,66,68,70,72,74,76,78,80,85,90,95,100})</f>
        <v>74</v>
      </c>
      <c r="T212" s="5"/>
      <c r="U212" s="5"/>
      <c r="V212" s="5">
        <f t="shared" si="101"/>
        <v>74</v>
      </c>
      <c r="W212" s="5"/>
      <c r="X212" s="13">
        <f t="shared" si="102"/>
        <v>46.4</v>
      </c>
      <c r="Y212" s="13">
        <f t="shared" si="103"/>
        <v>66.2857142857143</v>
      </c>
    </row>
    <row r="213" ht="15.6" hidden="1" outlineLevel="2" spans="1:25">
      <c r="A213" s="5">
        <v>307</v>
      </c>
      <c r="B213" s="5">
        <v>8</v>
      </c>
      <c r="C213" s="9" t="s">
        <v>306</v>
      </c>
      <c r="D213" s="9" t="s">
        <v>12</v>
      </c>
      <c r="E213" s="5">
        <v>1</v>
      </c>
      <c r="F213" s="7">
        <f>LOOKUP(E213,{0,-1.8,-0.8,0.2,1.2,2.2,3.2,4.6,6,7.4,8.8,10.2,11.6,13,14.4,15.8,17.2,19.1,21,22.8,24.6},{0,10,20,30,40,50,60,62,64,66,68,70,72,74,76,78,80,85,90,95,100})</f>
        <v>30</v>
      </c>
      <c r="G213" s="5">
        <v>190</v>
      </c>
      <c r="H213" s="7">
        <f>LOOKUP(G213,{0,180,185,190,195,200,205,209,213,217,221,225,229,233,237,241,245,253,260,265,270},{0,10,20,30,40,50,60,62,64,66,68,70,72,74,76,78,80,85,90,95,100})</f>
        <v>30</v>
      </c>
      <c r="I213" s="5">
        <v>1</v>
      </c>
      <c r="J213" s="7">
        <f>LOOKUP(I213,{0,4,5,6,7,8,9,10,11,12,13,14,15,16,17,18},{0,10,20,30,40,50,60,64,68,72,76,80,85,90,95,100})</f>
        <v>0</v>
      </c>
      <c r="K213" s="5"/>
      <c r="L213" s="5"/>
      <c r="M213" s="5">
        <f t="shared" si="98"/>
        <v>0</v>
      </c>
      <c r="N213" s="5">
        <v>8</v>
      </c>
      <c r="O213" s="10">
        <f t="shared" si="99"/>
        <v>10</v>
      </c>
      <c r="P213" s="7">
        <f>LOOKUP(O213,{0,7.8,8,8.2,8.4,8.6,8.8,9,9.2,9.4,9.6,9.8,10,10.2,10.4,10.6,10.8,10.9,11,11.1,11.2},{0,10,20,30,40,50,60,62,64,66,68,70,72,74,76,78,80,85,90,95,100})</f>
        <v>72</v>
      </c>
      <c r="Q213" s="5">
        <v>5.11</v>
      </c>
      <c r="R213" s="10">
        <f t="shared" si="100"/>
        <v>4.89</v>
      </c>
      <c r="S213" s="7">
        <f>LOOKUP(R213,{0,3.85,4.45,4.65,4.85,5.45,5.65,5.7,5.75,5.8,5.85,5.9,5.95,6,6.45,6.5,6.55,6.63,6.7,6.75,6.8},{0,10,20,30,40,50,60,62,64,66,68,70,72,74,76,78,80,85,90,95,100})</f>
        <v>40</v>
      </c>
      <c r="T213" s="5"/>
      <c r="U213" s="5"/>
      <c r="V213" s="5">
        <f t="shared" si="101"/>
        <v>40</v>
      </c>
      <c r="W213" s="5"/>
      <c r="X213" s="13">
        <f t="shared" si="102"/>
        <v>28.4</v>
      </c>
      <c r="Y213" s="13">
        <f t="shared" si="103"/>
        <v>40.5714285714286</v>
      </c>
    </row>
    <row r="214" ht="15.6" hidden="1" outlineLevel="2" spans="1:25">
      <c r="A214" s="5">
        <v>307</v>
      </c>
      <c r="B214" s="5">
        <v>9</v>
      </c>
      <c r="C214" s="9" t="s">
        <v>307</v>
      </c>
      <c r="D214" s="9" t="s">
        <v>12</v>
      </c>
      <c r="E214" s="5">
        <v>11</v>
      </c>
      <c r="F214" s="7">
        <f>LOOKUP(E214,{0,-1.8,-0.8,0.2,1.2,2.2,3.2,4.6,6,7.4,8.8,10.2,11.6,13,14.4,15.8,17.2,19.1,21,22.8,24.6},{0,10,20,30,40,50,60,62,64,66,68,70,72,74,76,78,80,85,90,95,100})</f>
        <v>70</v>
      </c>
      <c r="G214" s="5">
        <v>262</v>
      </c>
      <c r="H214" s="7">
        <f>LOOKUP(G214,{0,180,185,190,195,200,205,209,213,217,221,225,229,233,237,241,245,253,260,265,270},{0,10,20,30,40,50,60,62,64,66,68,70,72,74,76,78,80,85,90,95,100})</f>
        <v>90</v>
      </c>
      <c r="I214" s="5">
        <v>22</v>
      </c>
      <c r="J214" s="7">
        <f>LOOKUP(I214,{0,4,5,6,7,8,9,10,11,12,13,14,15,16,17,18},{0,10,20,30,40,50,60,64,68,72,76,80,85,90,95,100})</f>
        <v>100</v>
      </c>
      <c r="K214" s="5">
        <f>I214-18</f>
        <v>4</v>
      </c>
      <c r="L214" s="7">
        <f>LOOKUP(K214,{0,1,2,3,4,5,6,7,8,9,10},{0,1,2,3,4,5,6,7,8,9,10})</f>
        <v>4</v>
      </c>
      <c r="M214" s="5">
        <f t="shared" si="98"/>
        <v>104</v>
      </c>
      <c r="N214" s="5">
        <v>7</v>
      </c>
      <c r="O214" s="10">
        <f t="shared" si="99"/>
        <v>11</v>
      </c>
      <c r="P214" s="7">
        <f>LOOKUP(O214,{0,7.8,8,8.2,8.4,8.6,8.8,9,9.2,9.4,9.6,9.8,10,10.2,10.4,10.6,10.8,10.9,11,11.1,11.2},{0,10,20,30,40,50,60,62,64,66,68,70,72,74,76,78,80,85,90,95,100})</f>
        <v>90</v>
      </c>
      <c r="Q214" s="5">
        <v>3.47</v>
      </c>
      <c r="R214" s="10">
        <f t="shared" si="100"/>
        <v>6.53</v>
      </c>
      <c r="S214" s="7">
        <f>LOOKUP(R214,{0,3.85,4.45,4.65,4.85,5.45,5.65,5.7,5.75,5.8,5.85,5.9,5.95,6,6.45,6.5,6.55,6.63,6.7,6.75,6.8},{0,10,20,30,40,50,60,62,64,66,68,70,72,74,76,78,80,85,90,95,100})</f>
        <v>78</v>
      </c>
      <c r="T214" s="5"/>
      <c r="U214" s="5"/>
      <c r="V214" s="5">
        <f t="shared" si="101"/>
        <v>78</v>
      </c>
      <c r="W214" s="5"/>
      <c r="X214" s="13">
        <f t="shared" si="102"/>
        <v>59.6</v>
      </c>
      <c r="Y214" s="13">
        <f t="shared" si="103"/>
        <v>89.1428571428572</v>
      </c>
    </row>
    <row r="215" ht="15.6" hidden="1" outlineLevel="2" spans="1:25">
      <c r="A215" s="5">
        <v>307</v>
      </c>
      <c r="B215" s="5">
        <v>10</v>
      </c>
      <c r="C215" s="8" t="s">
        <v>309</v>
      </c>
      <c r="D215" s="9" t="s">
        <v>12</v>
      </c>
      <c r="E215" s="5">
        <v>9.2</v>
      </c>
      <c r="F215" s="7">
        <f>LOOKUP(E215,{0,-1.8,-0.8,0.2,1.2,2.2,3.2,4.6,6,7.4,8.8,10.2,11.6,13,14.4,15.8,17.2,19.1,21,22.8,24.6},{0,10,20,30,40,50,60,62,64,66,68,70,72,74,76,78,80,85,90,95,100})</f>
        <v>68</v>
      </c>
      <c r="G215" s="5">
        <v>222</v>
      </c>
      <c r="H215" s="7">
        <f>LOOKUP(G215,{0,180,185,190,195,200,205,209,213,217,221,225,229,233,237,241,245,253,260,265,270},{0,10,20,30,40,50,60,62,64,66,68,70,72,74,76,78,80,85,90,95,100})</f>
        <v>68</v>
      </c>
      <c r="I215" s="5">
        <v>1</v>
      </c>
      <c r="J215" s="7">
        <f>LOOKUP(I215,{0,4,5,6,7,8,9,10,11,12,13,14,15,16,17,18},{0,10,20,30,40,50,60,64,68,72,76,80,85,90,95,100})</f>
        <v>0</v>
      </c>
      <c r="K215" s="5"/>
      <c r="L215" s="5"/>
      <c r="M215" s="5">
        <f t="shared" si="98"/>
        <v>0</v>
      </c>
      <c r="N215" s="5">
        <v>7.3</v>
      </c>
      <c r="O215" s="10">
        <f t="shared" si="99"/>
        <v>10.7</v>
      </c>
      <c r="P215" s="7">
        <f>LOOKUP(O215,{0,7.8,8,8.2,8.4,8.6,8.8,9,9.2,9.4,9.6,9.8,10,10.2,10.4,10.6,10.8,10.9,11,11.1,11.2},{0,10,20,30,40,50,60,62,64,66,68,70,72,74,76,78,80,85,90,95,100})</f>
        <v>78</v>
      </c>
      <c r="Q215" s="5">
        <v>4.44</v>
      </c>
      <c r="R215" s="10">
        <f t="shared" si="100"/>
        <v>5.56</v>
      </c>
      <c r="S215" s="7">
        <f>LOOKUP(R215,{0,3.85,4.45,4.65,4.85,5.45,5.65,5.7,5.75,5.8,5.85,5.9,5.95,6,6.45,6.5,6.55,6.63,6.7,6.75,6.8},{0,10,20,30,40,50,60,62,64,66,68,70,72,74,76,78,80,85,90,95,100})</f>
        <v>50</v>
      </c>
      <c r="T215" s="5"/>
      <c r="U215" s="5"/>
      <c r="V215" s="5">
        <f t="shared" si="101"/>
        <v>50</v>
      </c>
      <c r="W215" s="5"/>
      <c r="X215" s="13">
        <f t="shared" si="102"/>
        <v>39.2</v>
      </c>
      <c r="Y215" s="13">
        <f t="shared" si="103"/>
        <v>56</v>
      </c>
    </row>
    <row r="216" ht="15.6" hidden="1" outlineLevel="2" spans="1:25">
      <c r="A216" s="5">
        <v>307</v>
      </c>
      <c r="B216" s="5">
        <v>11</v>
      </c>
      <c r="C216" s="9" t="s">
        <v>310</v>
      </c>
      <c r="D216" s="9" t="s">
        <v>12</v>
      </c>
      <c r="E216" s="5">
        <v>16</v>
      </c>
      <c r="F216" s="7">
        <f>LOOKUP(E216,{0,-1.8,-0.8,0.2,1.2,2.2,3.2,4.6,6,7.4,8.8,10.2,11.6,13,14.4,15.8,17.2,19.1,21,22.8,24.6},{0,10,20,30,40,50,60,62,64,66,68,70,72,74,76,78,80,85,90,95,100})</f>
        <v>78</v>
      </c>
      <c r="G216" s="5">
        <v>197</v>
      </c>
      <c r="H216" s="7">
        <f>LOOKUP(G216,{0,180,185,190,195,200,205,209,213,217,221,225,229,233,237,241,245,253,260,265,270},{0,10,20,30,40,50,60,62,64,66,68,70,72,74,76,78,80,85,90,95,100})</f>
        <v>40</v>
      </c>
      <c r="I216" s="5">
        <v>1</v>
      </c>
      <c r="J216" s="7">
        <f>LOOKUP(I216,{0,4,5,6,7,8,9,10,11,12,13,14,15,16,17,18},{0,10,20,30,40,50,60,64,68,72,76,80,85,90,95,100})</f>
        <v>0</v>
      </c>
      <c r="K216" s="5"/>
      <c r="L216" s="5"/>
      <c r="M216" s="5">
        <f t="shared" si="98"/>
        <v>0</v>
      </c>
      <c r="N216" s="5">
        <v>7.3</v>
      </c>
      <c r="O216" s="10">
        <f t="shared" si="99"/>
        <v>10.7</v>
      </c>
      <c r="P216" s="7">
        <f>LOOKUP(O216,{0,7.8,8,8.2,8.4,8.6,8.8,9,9.2,9.4,9.6,9.8,10,10.2,10.4,10.6,10.8,10.9,11,11.1,11.2},{0,10,20,30,40,50,60,62,64,66,68,70,72,74,76,78,80,85,90,95,100})</f>
        <v>78</v>
      </c>
      <c r="Q216" s="5">
        <v>5.08</v>
      </c>
      <c r="R216" s="10">
        <f t="shared" si="100"/>
        <v>4.92</v>
      </c>
      <c r="S216" s="7">
        <f>LOOKUP(R216,{0,3.85,4.45,4.65,4.85,5.45,5.65,5.7,5.75,5.8,5.85,5.9,5.95,6,6.45,6.5,6.55,6.63,6.7,6.75,6.8},{0,10,20,30,40,50,60,62,64,66,68,70,72,74,76,78,80,85,90,95,100})</f>
        <v>40</v>
      </c>
      <c r="T216" s="5"/>
      <c r="U216" s="5"/>
      <c r="V216" s="5">
        <f t="shared" si="101"/>
        <v>40</v>
      </c>
      <c r="W216" s="5"/>
      <c r="X216" s="13">
        <f t="shared" si="102"/>
        <v>35.4</v>
      </c>
      <c r="Y216" s="13">
        <f t="shared" si="103"/>
        <v>50.5714285714286</v>
      </c>
    </row>
    <row r="217" ht="15.6" hidden="1" outlineLevel="2" spans="1:25">
      <c r="A217" s="5">
        <v>307</v>
      </c>
      <c r="B217" s="5">
        <v>12</v>
      </c>
      <c r="C217" s="9" t="s">
        <v>311</v>
      </c>
      <c r="D217" s="9" t="s">
        <v>12</v>
      </c>
      <c r="E217" s="5">
        <v>-0.5</v>
      </c>
      <c r="F217" s="7">
        <f>LOOKUP(E217,{0,-1.8,-0.8,0.2,1.2,2.2,3.2,4.6,6,7.4,8.8,10.2,11.6,13,14.4,15.8,17.2,19.1,21,22.8,24.6},{0,10,20,30,40,50,60,62,64,66,68,70,72,74,76,78,80,85,90,95,100})</f>
        <v>20</v>
      </c>
      <c r="G217" s="5">
        <v>285</v>
      </c>
      <c r="H217" s="7">
        <f>LOOKUP(G217,{0,180,185,190,195,200,205,209,213,217,221,225,229,233,237,241,245,253,260,265,270},{0,10,20,30,40,50,60,62,64,66,68,70,72,74,76,78,80,85,90,95,100})</f>
        <v>100</v>
      </c>
      <c r="I217" s="5">
        <v>1</v>
      </c>
      <c r="J217" s="7">
        <f>LOOKUP(I217,{0,4,5,6,7,8,9,10,11,12,13,14,15,16,17,18},{0,10,20,30,40,50,60,64,68,72,76,80,85,90,95,100})</f>
        <v>0</v>
      </c>
      <c r="K217" s="5"/>
      <c r="L217" s="5"/>
      <c r="M217" s="5">
        <f t="shared" si="98"/>
        <v>0</v>
      </c>
      <c r="N217" s="5">
        <v>6.6</v>
      </c>
      <c r="O217" s="10">
        <f t="shared" si="99"/>
        <v>11.4</v>
      </c>
      <c r="P217" s="7">
        <f>LOOKUP(O217,{0,7.8,8,8.2,8.4,8.6,8.8,9,9.2,9.4,9.6,9.8,10,10.2,10.4,10.6,10.8,10.9,11,11.1,11.2},{0,10,20,30,40,50,60,62,64,66,68,70,72,74,76,78,80,85,90,95,100})</f>
        <v>100</v>
      </c>
      <c r="Q217" s="5">
        <v>4.11</v>
      </c>
      <c r="R217" s="10">
        <f t="shared" si="100"/>
        <v>5.89</v>
      </c>
      <c r="S217" s="7">
        <f>LOOKUP(R217,{0,3.85,4.45,4.65,4.85,5.45,5.65,5.7,5.75,5.8,5.85,5.9,5.95,6,6.45,6.5,6.55,6.63,6.7,6.75,6.8},{0,10,20,30,40,50,60,62,64,66,68,70,72,74,76,78,80,85,90,95,100})</f>
        <v>68</v>
      </c>
      <c r="T217" s="5"/>
      <c r="U217" s="5"/>
      <c r="V217" s="5">
        <f t="shared" si="101"/>
        <v>68</v>
      </c>
      <c r="W217" s="5"/>
      <c r="X217" s="13">
        <f t="shared" si="102"/>
        <v>45.6</v>
      </c>
      <c r="Y217" s="13">
        <f t="shared" si="103"/>
        <v>65.1428571428572</v>
      </c>
    </row>
    <row r="218" ht="15.6" hidden="1" outlineLevel="2" spans="1:25">
      <c r="A218" s="5">
        <v>307</v>
      </c>
      <c r="B218" s="5">
        <v>13</v>
      </c>
      <c r="C218" s="9" t="s">
        <v>312</v>
      </c>
      <c r="D218" s="9" t="s">
        <v>12</v>
      </c>
      <c r="E218" s="5">
        <v>20</v>
      </c>
      <c r="F218" s="7">
        <f>LOOKUP(E218,{0,-1.8,-0.8,0.2,1.2,2.2,3.2,4.6,6,7.4,8.8,10.2,11.6,13,14.4,15.8,17.2,19.1,21,22.8,24.6},{0,10,20,30,40,50,60,62,64,66,68,70,72,74,76,78,80,85,90,95,100})</f>
        <v>85</v>
      </c>
      <c r="G218" s="5">
        <v>230</v>
      </c>
      <c r="H218" s="7">
        <f>LOOKUP(G218,{0,180,185,190,195,200,205,209,213,217,221,225,229,233,237,241,245,253,260,265,270},{0,10,20,30,40,50,60,62,64,66,68,70,72,74,76,78,80,85,90,95,100})</f>
        <v>72</v>
      </c>
      <c r="I218" s="5">
        <v>10</v>
      </c>
      <c r="J218" s="7">
        <f>LOOKUP(I218,{0,4,5,6,7,8,9,10,11,12,13,14,15,16,17,18},{0,10,20,30,40,50,60,64,68,72,76,80,85,90,95,100})</f>
        <v>64</v>
      </c>
      <c r="K218" s="5"/>
      <c r="L218" s="5"/>
      <c r="M218" s="5">
        <f t="shared" si="98"/>
        <v>64</v>
      </c>
      <c r="N218" s="5">
        <v>7</v>
      </c>
      <c r="O218" s="10">
        <f t="shared" si="99"/>
        <v>11</v>
      </c>
      <c r="P218" s="7">
        <f>LOOKUP(O218,{0,7.8,8,8.2,8.4,8.6,8.8,9,9.2,9.4,9.6,9.8,10,10.2,10.4,10.6,10.8,10.9,11,11.1,11.2},{0,10,20,30,40,50,60,62,64,66,68,70,72,74,76,78,80,85,90,95,100})</f>
        <v>90</v>
      </c>
      <c r="Q218" s="5">
        <v>3.56</v>
      </c>
      <c r="R218" s="10">
        <f t="shared" si="100"/>
        <v>6.44</v>
      </c>
      <c r="S218" s="7">
        <f>LOOKUP(R218,{0,3.85,4.45,4.65,4.85,5.45,5.65,5.7,5.75,5.8,5.85,5.9,5.95,6,6.45,6.5,6.55,6.63,6.7,6.75,6.8},{0,10,20,30,40,50,60,62,64,66,68,70,72,74,76,78,80,85,90,95,100})</f>
        <v>74</v>
      </c>
      <c r="T218" s="5"/>
      <c r="U218" s="5"/>
      <c r="V218" s="5">
        <f t="shared" si="101"/>
        <v>74</v>
      </c>
      <c r="W218" s="5"/>
      <c r="X218" s="13">
        <f t="shared" si="102"/>
        <v>54.9</v>
      </c>
      <c r="Y218" s="13">
        <f t="shared" si="103"/>
        <v>78.4285714285714</v>
      </c>
    </row>
    <row r="219" ht="15.6" hidden="1" outlineLevel="2" spans="1:25">
      <c r="A219" s="5">
        <v>307</v>
      </c>
      <c r="B219" s="5">
        <v>14</v>
      </c>
      <c r="C219" s="9" t="s">
        <v>313</v>
      </c>
      <c r="D219" s="9" t="s">
        <v>12</v>
      </c>
      <c r="E219" s="5">
        <v>2.6</v>
      </c>
      <c r="F219" s="7">
        <f>LOOKUP(E219,{0,-1.8,-0.8,0.2,1.2,2.2,3.2,4.6,6,7.4,8.8,10.2,11.6,13,14.4,15.8,17.2,19.1,21,22.8,24.6},{0,10,20,30,40,50,60,62,64,66,68,70,72,74,76,78,80,85,90,95,100})</f>
        <v>50</v>
      </c>
      <c r="G219" s="5">
        <v>230</v>
      </c>
      <c r="H219" s="7">
        <f>LOOKUP(G219,{0,180,185,190,195,200,205,209,213,217,221,225,229,233,237,241,245,253,260,265,270},{0,10,20,30,40,50,60,62,64,66,68,70,72,74,76,78,80,85,90,95,100})</f>
        <v>72</v>
      </c>
      <c r="I219" s="5">
        <v>12</v>
      </c>
      <c r="J219" s="7">
        <f>LOOKUP(I219,{0,4,5,6,7,8,9,10,11,12,13,14,15,16,17,18},{0,10,20,30,40,50,60,64,68,72,76,80,85,90,95,100})</f>
        <v>72</v>
      </c>
      <c r="K219" s="5"/>
      <c r="L219" s="5"/>
      <c r="M219" s="5">
        <f t="shared" si="98"/>
        <v>72</v>
      </c>
      <c r="N219" s="5">
        <v>7.2</v>
      </c>
      <c r="O219" s="10">
        <f t="shared" si="99"/>
        <v>10.8</v>
      </c>
      <c r="P219" s="7">
        <f>LOOKUP(O219,{0,7.8,8,8.2,8.4,8.6,8.8,9,9.2,9.4,9.6,9.8,10,10.2,10.4,10.6,10.8,10.9,11,11.1,11.2},{0,10,20,30,40,50,60,62,64,66,68,70,72,74,76,78,80,85,90,95,100})</f>
        <v>80</v>
      </c>
      <c r="Q219" s="5">
        <v>3.43</v>
      </c>
      <c r="R219" s="10">
        <f t="shared" si="100"/>
        <v>6.57</v>
      </c>
      <c r="S219" s="7">
        <f>LOOKUP(R219,{0,3.85,4.45,4.65,4.85,5.45,5.65,5.7,5.75,5.8,5.85,5.9,5.95,6,6.45,6.5,6.55,6.63,6.7,6.75,6.8},{0,10,20,30,40,50,60,62,64,66,68,70,72,74,76,78,80,85,90,95,100})</f>
        <v>80</v>
      </c>
      <c r="T219" s="5"/>
      <c r="U219" s="5"/>
      <c r="V219" s="5">
        <f t="shared" si="101"/>
        <v>80</v>
      </c>
      <c r="W219" s="5"/>
      <c r="X219" s="13">
        <f t="shared" si="102"/>
        <v>51.4</v>
      </c>
      <c r="Y219" s="13">
        <f t="shared" si="103"/>
        <v>73.4285714285714</v>
      </c>
    </row>
    <row r="220" ht="15.6" hidden="1" outlineLevel="2" spans="1:25">
      <c r="A220" s="5">
        <v>307</v>
      </c>
      <c r="B220" s="5">
        <v>15</v>
      </c>
      <c r="C220" s="9" t="s">
        <v>314</v>
      </c>
      <c r="D220" s="9" t="s">
        <v>12</v>
      </c>
      <c r="E220" s="5">
        <v>0.5</v>
      </c>
      <c r="F220" s="7">
        <f>LOOKUP(E220,{0,-1.8,-0.8,0.2,1.2,2.2,3.2,4.6,6,7.4,8.8,10.2,11.6,13,14.4,15.8,17.2,19.1,21,22.8,24.6},{0,10,20,30,40,50,60,62,64,66,68,70,72,74,76,78,80,85,90,95,100})</f>
        <v>30</v>
      </c>
      <c r="G220" s="5">
        <v>210</v>
      </c>
      <c r="H220" s="7">
        <f>LOOKUP(G220,{0,180,185,190,195,200,205,209,213,217,221,225,229,233,237,241,245,253,260,265,270},{0,10,20,30,40,50,60,62,64,66,68,70,72,74,76,78,80,85,90,95,100})</f>
        <v>62</v>
      </c>
      <c r="I220" s="5">
        <v>0</v>
      </c>
      <c r="J220" s="7">
        <f>LOOKUP(I220,{0,4,5,6,7,8,9,10,11,12,13,14,15,16,17,18},{0,10,20,30,40,50,60,64,68,72,76,80,85,90,95,100})</f>
        <v>0</v>
      </c>
      <c r="K220" s="5"/>
      <c r="L220" s="5"/>
      <c r="M220" s="5">
        <f t="shared" si="98"/>
        <v>0</v>
      </c>
      <c r="N220" s="5">
        <v>7.8</v>
      </c>
      <c r="O220" s="10">
        <f t="shared" si="99"/>
        <v>10.2</v>
      </c>
      <c r="P220" s="7">
        <f>LOOKUP(O220,{0,7.8,8,8.2,8.4,8.6,8.8,9,9.2,9.4,9.6,9.8,10,10.2,10.4,10.6,10.8,10.9,11,11.1,11.2},{0,10,20,30,40,50,60,62,64,66,68,70,72,74,76,78,80,85,90,95,100})</f>
        <v>74</v>
      </c>
      <c r="Q220" s="5">
        <v>4.34</v>
      </c>
      <c r="R220" s="10">
        <f t="shared" si="100"/>
        <v>5.66</v>
      </c>
      <c r="S220" s="7">
        <f>LOOKUP(R220,{0,3.85,4.45,4.65,4.85,5.45,5.65,5.7,5.75,5.8,5.85,5.9,5.95,6,6.45,6.5,6.55,6.63,6.7,6.75,6.8},{0,10,20,30,40,50,60,62,64,66,68,70,72,74,76,78,80,85,90,95,100})</f>
        <v>60</v>
      </c>
      <c r="T220" s="5"/>
      <c r="U220" s="5"/>
      <c r="V220" s="5">
        <f t="shared" si="101"/>
        <v>60</v>
      </c>
      <c r="W220" s="5"/>
      <c r="X220" s="13">
        <f t="shared" si="102"/>
        <v>36</v>
      </c>
      <c r="Y220" s="13">
        <f t="shared" si="103"/>
        <v>51.4285714285714</v>
      </c>
    </row>
    <row r="221" ht="15.6" hidden="1" outlineLevel="2" spans="1:25">
      <c r="A221" s="5">
        <v>307</v>
      </c>
      <c r="B221" s="5">
        <v>16</v>
      </c>
      <c r="C221" s="9" t="s">
        <v>315</v>
      </c>
      <c r="D221" s="9" t="s">
        <v>12</v>
      </c>
      <c r="E221" s="5">
        <v>15.6</v>
      </c>
      <c r="F221" s="7">
        <f>LOOKUP(E221,{0,-1.8,-0.8,0.2,1.2,2.2,3.2,4.6,6,7.4,8.8,10.2,11.6,13,14.4,15.8,17.2,19.1,21,22.8,24.6},{0,10,20,30,40,50,60,62,64,66,68,70,72,74,76,78,80,85,90,95,100})</f>
        <v>76</v>
      </c>
      <c r="G221" s="5">
        <v>230</v>
      </c>
      <c r="H221" s="7">
        <f>LOOKUP(G221,{0,180,185,190,195,200,205,209,213,217,221,225,229,233,237,241,245,253,260,265,270},{0,10,20,30,40,50,60,62,64,66,68,70,72,74,76,78,80,85,90,95,100})</f>
        <v>72</v>
      </c>
      <c r="I221" s="5">
        <v>14</v>
      </c>
      <c r="J221" s="7">
        <f>LOOKUP(I221,{0,4,5,6,7,8,9,10,11,12,13,14,15,16,17,18},{0,10,20,30,40,50,60,64,68,72,76,80,85,90,95,100})</f>
        <v>80</v>
      </c>
      <c r="K221" s="5"/>
      <c r="L221" s="5"/>
      <c r="M221" s="5">
        <f t="shared" si="98"/>
        <v>80</v>
      </c>
      <c r="N221" s="5">
        <v>7.3</v>
      </c>
      <c r="O221" s="10">
        <f t="shared" si="99"/>
        <v>10.7</v>
      </c>
      <c r="P221" s="7">
        <f>LOOKUP(O221,{0,7.8,8,8.2,8.4,8.6,8.8,9,9.2,9.4,9.6,9.8,10,10.2,10.4,10.6,10.8,10.9,11,11.1,11.2},{0,10,20,30,40,50,60,62,64,66,68,70,72,74,76,78,80,85,90,95,100})</f>
        <v>78</v>
      </c>
      <c r="Q221" s="5">
        <v>3.56</v>
      </c>
      <c r="R221" s="10">
        <f t="shared" si="100"/>
        <v>6.44</v>
      </c>
      <c r="S221" s="7">
        <f>LOOKUP(R221,{0,3.85,4.45,4.65,4.85,5.45,5.65,5.7,5.75,5.8,5.85,5.9,5.95,6,6.45,6.5,6.55,6.63,6.7,6.75,6.8},{0,10,20,30,40,50,60,62,64,66,68,70,72,74,76,78,80,85,90,95,100})</f>
        <v>74</v>
      </c>
      <c r="T221" s="5"/>
      <c r="U221" s="5"/>
      <c r="V221" s="5">
        <f t="shared" si="101"/>
        <v>74</v>
      </c>
      <c r="W221" s="5"/>
      <c r="X221" s="13">
        <f t="shared" si="102"/>
        <v>53.2</v>
      </c>
      <c r="Y221" s="13">
        <f t="shared" si="103"/>
        <v>76</v>
      </c>
    </row>
    <row r="222" ht="15.6" hidden="1" outlineLevel="2" spans="1:25">
      <c r="A222" s="5">
        <v>307</v>
      </c>
      <c r="B222" s="5">
        <v>17</v>
      </c>
      <c r="C222" s="9" t="s">
        <v>316</v>
      </c>
      <c r="D222" s="9" t="s">
        <v>12</v>
      </c>
      <c r="E222" s="5">
        <v>13.4</v>
      </c>
      <c r="F222" s="7">
        <f>LOOKUP(E222,{0,-1.8,-0.8,0.2,1.2,2.2,3.2,4.6,6,7.4,8.8,10.2,11.6,13,14.4,15.8,17.2,19.1,21,22.8,24.6},{0,10,20,30,40,50,60,62,64,66,68,70,72,74,76,78,80,85,90,95,100})</f>
        <v>74</v>
      </c>
      <c r="G222" s="5">
        <v>260</v>
      </c>
      <c r="H222" s="7">
        <f>LOOKUP(G222,{0,180,185,190,195,200,205,209,213,217,221,225,229,233,237,241,245,253,260,265,270},{0,10,20,30,40,50,60,62,64,66,68,70,72,74,76,78,80,85,90,95,100})</f>
        <v>90</v>
      </c>
      <c r="I222" s="5">
        <v>5</v>
      </c>
      <c r="J222" s="7">
        <f>LOOKUP(I222,{0,4,5,6,7,8,9,10,11,12,13,14,15,16,17,18},{0,10,20,30,40,50,60,64,68,72,76,80,85,90,95,100})</f>
        <v>20</v>
      </c>
      <c r="K222" s="5"/>
      <c r="L222" s="5"/>
      <c r="M222" s="5">
        <f t="shared" si="98"/>
        <v>20</v>
      </c>
      <c r="N222" s="5">
        <v>6.8</v>
      </c>
      <c r="O222" s="10">
        <f t="shared" si="99"/>
        <v>11.2</v>
      </c>
      <c r="P222" s="7">
        <f>LOOKUP(O222,{0,7.8,8,8.2,8.4,8.6,8.8,9,9.2,9.4,9.6,9.8,10,10.2,10.4,10.6,10.8,10.9,11,11.1,11.2},{0,10,20,30,40,50,60,62,64,66,68,70,72,74,76,78,80,85,90,95,100})</f>
        <v>100</v>
      </c>
      <c r="Q222" s="5">
        <v>4.04</v>
      </c>
      <c r="R222" s="10">
        <f t="shared" si="100"/>
        <v>5.96</v>
      </c>
      <c r="S222" s="7">
        <f>LOOKUP(R222,{0,3.85,4.45,4.65,4.85,5.45,5.65,5.7,5.75,5.8,5.85,5.9,5.95,6,6.45,6.5,6.55,6.63,6.7,6.75,6.8},{0,10,20,30,40,50,60,62,64,66,68,70,72,74,76,78,80,85,90,95,100})</f>
        <v>72</v>
      </c>
      <c r="T222" s="5"/>
      <c r="U222" s="5"/>
      <c r="V222" s="5">
        <f t="shared" si="101"/>
        <v>72</v>
      </c>
      <c r="W222" s="5"/>
      <c r="X222" s="13">
        <f t="shared" si="102"/>
        <v>52.8</v>
      </c>
      <c r="Y222" s="13">
        <f t="shared" si="103"/>
        <v>75.4285714285714</v>
      </c>
    </row>
    <row r="223" ht="15.6" outlineLevel="1" collapsed="1" spans="1:25">
      <c r="A223" s="6" t="s">
        <v>858</v>
      </c>
      <c r="B223" s="5"/>
      <c r="C223" s="9"/>
      <c r="D223" s="9"/>
      <c r="E223" s="5"/>
      <c r="F223" s="7">
        <f>SUBTOTAL(1,F206:F222)</f>
        <v>61.1875</v>
      </c>
      <c r="G223" s="5"/>
      <c r="H223" s="7">
        <f>SUBTOTAL(1,H206:H222)</f>
        <v>73.875</v>
      </c>
      <c r="I223" s="5"/>
      <c r="J223" s="7">
        <f>SUBTOTAL(1,J206:J222)</f>
        <v>36.875</v>
      </c>
      <c r="K223" s="5"/>
      <c r="L223" s="5"/>
      <c r="M223" s="5">
        <f>SUBTOTAL(1,M206:M222)</f>
        <v>37.125</v>
      </c>
      <c r="N223" s="5"/>
      <c r="O223" s="10"/>
      <c r="P223" s="7">
        <f>SUBTOTAL(1,P206:P222)</f>
        <v>86.375</v>
      </c>
      <c r="Q223" s="5"/>
      <c r="R223" s="10"/>
      <c r="S223" s="7">
        <f>SUBTOTAL(1,S206:S222)</f>
        <v>66</v>
      </c>
      <c r="T223" s="5"/>
      <c r="U223" s="5"/>
      <c r="V223" s="5">
        <f>SUBTOTAL(1,V206:V222)</f>
        <v>66.125</v>
      </c>
      <c r="W223" s="5"/>
      <c r="X223" s="13">
        <f>SUBTOTAL(1,X206:X222)</f>
        <v>47.66875</v>
      </c>
      <c r="Y223" s="13">
        <f>SUBTOTAL(1,Y206:Y222)</f>
        <v>67.3865546218487</v>
      </c>
    </row>
    <row r="224" ht="15.6" hidden="1" outlineLevel="2" spans="1:25">
      <c r="A224" s="5">
        <v>308</v>
      </c>
      <c r="B224" s="5">
        <v>1</v>
      </c>
      <c r="C224" s="8" t="s">
        <v>352</v>
      </c>
      <c r="D224" s="9" t="s">
        <v>12</v>
      </c>
      <c r="E224" s="5">
        <v>21.5</v>
      </c>
      <c r="F224" s="7">
        <f>LOOKUP(E224,{0,-1.8,-0.8,0.2,1.2,2.2,3.2,4.6,6,7.4,8.8,10.2,11.6,13,14.4,15.8,17.2,19.1,21,22.8,24.6},{0,10,20,30,40,50,60,62,64,66,68,70,72,74,76,78,80,85,90,95,100})</f>
        <v>90</v>
      </c>
      <c r="G224" s="5">
        <v>215</v>
      </c>
      <c r="H224" s="7">
        <f>LOOKUP(G224,{0,180,185,190,195,200,205,209,213,217,221,225,229,233,237,241,245,253,260,265,270},{0,10,20,30,40,50,60,62,64,66,68,70,72,74,76,78,80,85,90,95,100})</f>
        <v>64</v>
      </c>
      <c r="I224" s="5">
        <v>0</v>
      </c>
      <c r="J224" s="7">
        <f>LOOKUP(I224,{0,4,5,6,7,8,9,10,11,12,13,14,15,16,17,18},{0,10,20,30,40,50,60,64,68,72,76,80,85,90,95,100})</f>
        <v>0</v>
      </c>
      <c r="K224" s="5"/>
      <c r="L224" s="5"/>
      <c r="M224" s="5">
        <f>J224+L224</f>
        <v>0</v>
      </c>
      <c r="N224" s="5">
        <v>7.3</v>
      </c>
      <c r="O224" s="10">
        <f>18-N224</f>
        <v>10.7</v>
      </c>
      <c r="P224" s="7">
        <f>LOOKUP(O224,{0,7.8,8,8.2,8.4,8.6,8.8,9,9.2,9.4,9.6,9.8,10,10.2,10.4,10.6,10.8,10.9,11,11.1,11.2},{0,10,20,30,40,50,60,62,64,66,68,70,72,74,76,78,80,85,90,95,100})</f>
        <v>78</v>
      </c>
      <c r="Q224" s="5">
        <v>6</v>
      </c>
      <c r="R224" s="10">
        <f>10-Q224</f>
        <v>4</v>
      </c>
      <c r="S224" s="7">
        <f>LOOKUP(R224,{0,3.85,4.45,4.65,4.85,5.45,5.65,5.7,5.75,5.8,5.85,5.9,5.95,6,6.45,6.5,6.55,6.63,6.7,6.75,6.8},{0,10,20,30,40,50,60,62,64,66,68,70,72,74,76,78,80,85,90,95,100})</f>
        <v>10</v>
      </c>
      <c r="T224" s="5"/>
      <c r="U224" s="5"/>
      <c r="V224" s="5">
        <f>S224+U224</f>
        <v>10</v>
      </c>
      <c r="W224" s="5"/>
      <c r="X224" s="13">
        <f>F224*0.1+H224*0.1+J224*0.1+P224*0.2+S224*0.2</f>
        <v>33</v>
      </c>
      <c r="Y224" s="13">
        <f>X224/0.7+L224+U224</f>
        <v>47.1428571428571</v>
      </c>
    </row>
    <row r="225" ht="15.6" hidden="1" outlineLevel="2" spans="1:25">
      <c r="A225" s="5">
        <v>308</v>
      </c>
      <c r="B225" s="5">
        <v>2</v>
      </c>
      <c r="C225" s="9" t="s">
        <v>353</v>
      </c>
      <c r="D225" s="9" t="s">
        <v>12</v>
      </c>
      <c r="E225" s="5"/>
      <c r="F225" s="7"/>
      <c r="G225" s="5"/>
      <c r="H225" s="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>
        <v>50</v>
      </c>
      <c r="X225" s="18"/>
      <c r="Y225" s="13">
        <v>50</v>
      </c>
    </row>
    <row r="226" ht="15.6" hidden="1" outlineLevel="2" spans="1:25">
      <c r="A226" s="5">
        <v>308</v>
      </c>
      <c r="B226" s="5">
        <v>3</v>
      </c>
      <c r="C226" s="9" t="s">
        <v>354</v>
      </c>
      <c r="D226" s="9" t="s">
        <v>12</v>
      </c>
      <c r="E226" s="5">
        <v>13.8</v>
      </c>
      <c r="F226" s="7">
        <f>LOOKUP(E226,{0,-1.8,-0.8,0.2,1.2,2.2,3.2,4.6,6,7.4,8.8,10.2,11.6,13,14.4,15.8,17.2,19.1,21,22.8,24.6},{0,10,20,30,40,50,60,62,64,66,68,70,72,74,76,78,80,85,90,95,100})</f>
        <v>74</v>
      </c>
      <c r="G226" s="5">
        <v>220</v>
      </c>
      <c r="H226" s="7">
        <f>LOOKUP(G226,{0,180,185,190,195,200,205,209,213,217,221,225,229,233,237,241,245,253,260,265,270},{0,10,20,30,40,50,60,62,64,66,68,70,72,74,76,78,80,85,90,95,100})</f>
        <v>66</v>
      </c>
      <c r="I226" s="5">
        <v>5</v>
      </c>
      <c r="J226" s="7">
        <f>LOOKUP(I226,{0,4,5,6,7,8,9,10,11,12,13,14,15,16,17,18},{0,10,20,30,40,50,60,64,68,72,76,80,85,90,95,100})</f>
        <v>20</v>
      </c>
      <c r="K226" s="5"/>
      <c r="L226" s="5"/>
      <c r="M226" s="5">
        <f t="shared" ref="M226:M230" si="104">J226+L226</f>
        <v>20</v>
      </c>
      <c r="N226" s="5">
        <v>7.7</v>
      </c>
      <c r="O226" s="10">
        <f t="shared" ref="O226:O230" si="105">18-N226</f>
        <v>10.3</v>
      </c>
      <c r="P226" s="7">
        <f>LOOKUP(O226,{0,7.8,8,8.2,8.4,8.6,8.8,9,9.2,9.4,9.6,9.8,10,10.2,10.4,10.6,10.8,10.9,11,11.1,11.2},{0,10,20,30,40,50,60,62,64,66,68,70,72,74,76,78,80,85,90,95,100})</f>
        <v>74</v>
      </c>
      <c r="Q226" s="5">
        <v>4.49</v>
      </c>
      <c r="R226" s="10">
        <f t="shared" ref="R226:R230" si="106">10-Q226</f>
        <v>5.51</v>
      </c>
      <c r="S226" s="7">
        <f>LOOKUP(R226,{0,3.85,4.45,4.65,4.85,5.45,5.65,5.7,5.75,5.8,5.85,5.9,5.95,6,6.45,6.5,6.55,6.63,6.7,6.75,6.8},{0,10,20,30,40,50,60,62,64,66,68,70,72,74,76,78,80,85,90,95,100})</f>
        <v>50</v>
      </c>
      <c r="T226" s="5"/>
      <c r="U226" s="5"/>
      <c r="V226" s="5">
        <f t="shared" ref="V226:V230" si="107">S226+U226</f>
        <v>50</v>
      </c>
      <c r="W226" s="5"/>
      <c r="X226" s="13">
        <f t="shared" ref="X226:X230" si="108">F226*0.1+H226*0.1+J226*0.1+P226*0.2+S226*0.2</f>
        <v>40.8</v>
      </c>
      <c r="Y226" s="13">
        <f t="shared" ref="Y226:Y230" si="109">X226/0.7+L226+U226</f>
        <v>58.2857142857143</v>
      </c>
    </row>
    <row r="227" ht="15.6" hidden="1" outlineLevel="2" spans="1:25">
      <c r="A227" s="5">
        <v>308</v>
      </c>
      <c r="B227" s="5">
        <v>4</v>
      </c>
      <c r="C227" s="9" t="s">
        <v>355</v>
      </c>
      <c r="D227" s="9" t="s">
        <v>12</v>
      </c>
      <c r="E227" s="5">
        <v>17</v>
      </c>
      <c r="F227" s="7">
        <f>LOOKUP(E227,{0,-1.8,-0.8,0.2,1.2,2.2,3.2,4.6,6,7.4,8.8,10.2,11.6,13,14.4,15.8,17.2,19.1,21,22.8,24.6},{0,10,20,30,40,50,60,62,64,66,68,70,72,74,76,78,80,85,90,95,100})</f>
        <v>78</v>
      </c>
      <c r="G227" s="5">
        <v>245</v>
      </c>
      <c r="H227" s="7">
        <f>LOOKUP(G227,{0,180,185,190,195,200,205,209,213,217,221,225,229,233,237,241,245,253,260,265,270},{0,10,20,30,40,50,60,62,64,66,68,70,72,74,76,78,80,85,90,95,100})</f>
        <v>80</v>
      </c>
      <c r="I227" s="5">
        <v>2</v>
      </c>
      <c r="J227" s="7">
        <f>LOOKUP(I227,{0,4,5,6,7,8,9,10,11,12,13,14,15,16,17,18},{0,10,20,30,40,50,60,64,68,72,76,80,85,90,95,100})</f>
        <v>0</v>
      </c>
      <c r="K227" s="5"/>
      <c r="L227" s="5"/>
      <c r="M227" s="5">
        <f t="shared" si="104"/>
        <v>0</v>
      </c>
      <c r="N227" s="5">
        <v>6.9</v>
      </c>
      <c r="O227" s="10">
        <f t="shared" si="105"/>
        <v>11.1</v>
      </c>
      <c r="P227" s="7">
        <f>LOOKUP(O227,{0,7.8,8,8.2,8.4,8.6,8.8,9,9.2,9.4,9.6,9.8,10,10.2,10.4,10.6,10.8,10.9,11,11.1,11.2},{0,10,20,30,40,50,60,62,64,66,68,70,72,74,76,78,80,85,90,95,100})</f>
        <v>95</v>
      </c>
      <c r="Q227" s="5">
        <v>4.49</v>
      </c>
      <c r="R227" s="10">
        <f t="shared" si="106"/>
        <v>5.51</v>
      </c>
      <c r="S227" s="7">
        <f>LOOKUP(R227,{0,3.85,4.45,4.65,4.85,5.45,5.65,5.7,5.75,5.8,5.85,5.9,5.95,6,6.45,6.5,6.55,6.63,6.7,6.75,6.8},{0,10,20,30,40,50,60,62,64,66,68,70,72,74,76,78,80,85,90,95,100})</f>
        <v>50</v>
      </c>
      <c r="T227" s="5"/>
      <c r="U227" s="5"/>
      <c r="V227" s="5">
        <f t="shared" si="107"/>
        <v>50</v>
      </c>
      <c r="W227" s="5"/>
      <c r="X227" s="13">
        <f t="shared" si="108"/>
        <v>44.8</v>
      </c>
      <c r="Y227" s="13">
        <f t="shared" si="109"/>
        <v>64</v>
      </c>
    </row>
    <row r="228" ht="15.6" hidden="1" outlineLevel="2" spans="1:25">
      <c r="A228" s="5">
        <v>308</v>
      </c>
      <c r="B228" s="5">
        <v>5</v>
      </c>
      <c r="C228" s="9" t="s">
        <v>356</v>
      </c>
      <c r="D228" s="9" t="s">
        <v>12</v>
      </c>
      <c r="E228" s="5"/>
      <c r="F228" s="7"/>
      <c r="G228" s="5"/>
      <c r="H228" s="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>
        <v>50</v>
      </c>
      <c r="X228" s="13"/>
      <c r="Y228" s="13">
        <v>50</v>
      </c>
    </row>
    <row r="229" ht="15.6" hidden="1" outlineLevel="2" spans="1:25">
      <c r="A229" s="5">
        <v>308</v>
      </c>
      <c r="B229" s="5">
        <v>6</v>
      </c>
      <c r="C229" s="9" t="s">
        <v>357</v>
      </c>
      <c r="D229" s="9" t="s">
        <v>12</v>
      </c>
      <c r="E229" s="5">
        <v>17</v>
      </c>
      <c r="F229" s="7">
        <f>LOOKUP(E229,{0,-1.8,-0.8,0.2,1.2,2.2,3.2,4.6,6,7.4,8.8,10.2,11.6,13,14.4,15.8,17.2,19.1,21,22.8,24.6},{0,10,20,30,40,50,60,62,64,66,68,70,72,74,76,78,80,85,90,95,100})</f>
        <v>78</v>
      </c>
      <c r="G229" s="5">
        <v>250</v>
      </c>
      <c r="H229" s="7">
        <f>LOOKUP(G229,{0,180,185,190,195,200,205,209,213,217,221,225,229,233,237,241,245,253,260,265,270},{0,10,20,30,40,50,60,62,64,66,68,70,72,74,76,78,80,85,90,95,100})</f>
        <v>80</v>
      </c>
      <c r="I229" s="5">
        <v>21</v>
      </c>
      <c r="J229" s="7">
        <f>LOOKUP(I229,{0,4,5,6,7,8,9,10,11,12,13,14,15,16,17,18},{0,10,20,30,40,50,60,64,68,72,76,80,85,90,95,100})</f>
        <v>100</v>
      </c>
      <c r="K229" s="5">
        <f>I229-18</f>
        <v>3</v>
      </c>
      <c r="L229" s="7">
        <f>LOOKUP(K229,{0,1,2,3,4,5,6,7,8,9,10},{0,1,2,3,4,5,6,7,8,9,10})</f>
        <v>3</v>
      </c>
      <c r="M229" s="5">
        <f t="shared" si="104"/>
        <v>103</v>
      </c>
      <c r="N229" s="5">
        <v>6.9</v>
      </c>
      <c r="O229" s="10">
        <f t="shared" si="105"/>
        <v>11.1</v>
      </c>
      <c r="P229" s="7">
        <f>LOOKUP(O229,{0,7.8,8,8.2,8.4,8.6,8.8,9,9.2,9.4,9.6,9.8,10,10.2,10.4,10.6,10.8,10.9,11,11.1,11.2},{0,10,20,30,40,50,60,62,64,66,68,70,72,74,76,78,80,85,90,95,100})</f>
        <v>95</v>
      </c>
      <c r="Q229" s="5">
        <v>3.29</v>
      </c>
      <c r="R229" s="10">
        <f t="shared" si="106"/>
        <v>6.71</v>
      </c>
      <c r="S229" s="7">
        <f>LOOKUP(R229,{0,3.85,4.45,4.65,4.85,5.45,5.65,5.7,5.75,5.8,5.85,5.9,5.95,6,6.45,6.5,6.55,6.63,6.7,6.75,6.8},{0,10,20,30,40,50,60,62,64,66,68,70,72,74,76,78,80,85,90,95,100})</f>
        <v>90</v>
      </c>
      <c r="T229" s="5"/>
      <c r="U229" s="5"/>
      <c r="V229" s="5">
        <f t="shared" si="107"/>
        <v>90</v>
      </c>
      <c r="W229" s="5"/>
      <c r="X229" s="13">
        <f t="shared" si="108"/>
        <v>62.8</v>
      </c>
      <c r="Y229" s="13">
        <f t="shared" si="109"/>
        <v>92.7142857142857</v>
      </c>
    </row>
    <row r="230" ht="15.6" hidden="1" outlineLevel="2" spans="1:25">
      <c r="A230" s="5">
        <v>308</v>
      </c>
      <c r="B230" s="5">
        <v>7</v>
      </c>
      <c r="C230" s="9" t="s">
        <v>358</v>
      </c>
      <c r="D230" s="9" t="s">
        <v>12</v>
      </c>
      <c r="E230" s="5">
        <v>5.8</v>
      </c>
      <c r="F230" s="7">
        <f>LOOKUP(E230,{0,-1.8,-0.8,0.2,1.2,2.2,3.2,4.6,6,7.4,8.8,10.2,11.6,13,14.4,15.8,17.2,19.1,21,22.8,24.6},{0,10,20,30,40,50,60,62,64,66,68,70,72,74,76,78,80,85,90,95,100})</f>
        <v>62</v>
      </c>
      <c r="G230" s="5">
        <v>193</v>
      </c>
      <c r="H230" s="7">
        <f>LOOKUP(G230,{0,180,185,190,195,200,205,209,213,217,221,225,229,233,237,241,245,253,260,265,270},{0,10,20,30,40,50,60,62,64,66,68,70,72,74,76,78,80,85,90,95,100})</f>
        <v>30</v>
      </c>
      <c r="I230" s="5">
        <v>1</v>
      </c>
      <c r="J230" s="7">
        <f>LOOKUP(I230,{0,4,5,6,7,8,9,10,11,12,13,14,15,16,17,18},{0,10,20,30,40,50,60,64,68,72,76,80,85,90,95,100})</f>
        <v>0</v>
      </c>
      <c r="K230" s="5"/>
      <c r="L230" s="5"/>
      <c r="M230" s="5">
        <f t="shared" si="104"/>
        <v>0</v>
      </c>
      <c r="N230" s="5">
        <v>7.9</v>
      </c>
      <c r="O230" s="10">
        <f t="shared" si="105"/>
        <v>10.1</v>
      </c>
      <c r="P230" s="7">
        <f>LOOKUP(O230,{0,7.8,8,8.2,8.4,8.6,8.8,9,9.2,9.4,9.6,9.8,10,10.2,10.4,10.6,10.8,10.9,11,11.1,11.2},{0,10,20,30,40,50,60,62,64,66,68,70,72,74,76,78,80,85,90,95,100})</f>
        <v>72</v>
      </c>
      <c r="Q230" s="5">
        <v>4.49</v>
      </c>
      <c r="R230" s="10">
        <f t="shared" si="106"/>
        <v>5.51</v>
      </c>
      <c r="S230" s="7">
        <f>LOOKUP(R230,{0,3.85,4.45,4.65,4.85,5.45,5.65,5.7,5.75,5.8,5.85,5.9,5.95,6,6.45,6.5,6.55,6.63,6.7,6.75,6.8},{0,10,20,30,40,50,60,62,64,66,68,70,72,74,76,78,80,85,90,95,100})</f>
        <v>50</v>
      </c>
      <c r="T230" s="5"/>
      <c r="U230" s="5"/>
      <c r="V230" s="5">
        <f t="shared" si="107"/>
        <v>50</v>
      </c>
      <c r="W230" s="5"/>
      <c r="X230" s="13">
        <f t="shared" si="108"/>
        <v>33.6</v>
      </c>
      <c r="Y230" s="13">
        <f t="shared" si="109"/>
        <v>48</v>
      </c>
    </row>
    <row r="231" ht="15.6" hidden="1" outlineLevel="2" spans="1:25">
      <c r="A231" s="5">
        <v>308</v>
      </c>
      <c r="B231" s="5">
        <v>8</v>
      </c>
      <c r="C231" s="9" t="s">
        <v>359</v>
      </c>
      <c r="D231" s="9" t="s">
        <v>12</v>
      </c>
      <c r="E231" s="5"/>
      <c r="F231" s="7"/>
      <c r="G231" s="5"/>
      <c r="H231" s="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>
        <v>50</v>
      </c>
      <c r="X231" s="13"/>
      <c r="Y231" s="13">
        <v>50</v>
      </c>
    </row>
    <row r="232" ht="15.6" hidden="1" outlineLevel="2" spans="1:25">
      <c r="A232" s="5">
        <v>308</v>
      </c>
      <c r="B232" s="5">
        <v>9</v>
      </c>
      <c r="C232" s="9" t="s">
        <v>360</v>
      </c>
      <c r="D232" s="9" t="s">
        <v>12</v>
      </c>
      <c r="E232" s="5">
        <v>15</v>
      </c>
      <c r="F232" s="7">
        <f>LOOKUP(E232,{0,-1.8,-0.8,0.2,1.2,2.2,3.2,4.6,6,7.4,8.8,10.2,11.6,13,14.4,15.8,17.2,19.1,21,22.8,24.6},{0,10,20,30,40,50,60,62,64,66,68,70,72,74,76,78,80,85,90,95,100})</f>
        <v>76</v>
      </c>
      <c r="G232" s="5">
        <v>200</v>
      </c>
      <c r="H232" s="7">
        <f>LOOKUP(G232,{0,180,185,190,195,200,205,209,213,217,221,225,229,233,237,241,245,253,260,265,270},{0,10,20,30,40,50,60,62,64,66,68,70,72,74,76,78,80,85,90,95,100})</f>
        <v>50</v>
      </c>
      <c r="I232" s="5">
        <v>7</v>
      </c>
      <c r="J232" s="7">
        <f>LOOKUP(I232,{0,4,5,6,7,8,9,10,11,12,13,14,15,16,17,18},{0,10,20,30,40,50,60,64,68,72,76,80,85,90,95,100})</f>
        <v>40</v>
      </c>
      <c r="K232" s="5"/>
      <c r="L232" s="5"/>
      <c r="M232" s="5">
        <f t="shared" ref="M232:M239" si="110">J232+L232</f>
        <v>40</v>
      </c>
      <c r="N232" s="5">
        <v>7.6</v>
      </c>
      <c r="O232" s="10">
        <f t="shared" ref="O232:O239" si="111">18-N232</f>
        <v>10.4</v>
      </c>
      <c r="P232" s="7">
        <f>LOOKUP(O232,{0,7.8,8,8.2,8.4,8.6,8.8,9,9.2,9.4,9.6,9.8,10,10.2,10.4,10.6,10.8,10.9,11,11.1,11.2},{0,10,20,30,40,50,60,62,64,66,68,70,72,74,76,78,80,85,90,95,100})</f>
        <v>76</v>
      </c>
      <c r="Q232" s="5">
        <v>3.45</v>
      </c>
      <c r="R232" s="10">
        <f t="shared" ref="R232:R239" si="112">10-Q232</f>
        <v>6.55</v>
      </c>
      <c r="S232" s="7">
        <f>LOOKUP(R232,{0,3.85,4.45,4.65,4.85,5.45,5.65,5.7,5.75,5.8,5.85,5.9,5.95,6,6.45,6.5,6.55,6.63,6.7,6.75,6.8},{0,10,20,30,40,50,60,62,64,66,68,70,72,74,76,78,80,85,90,95,100})</f>
        <v>80</v>
      </c>
      <c r="T232" s="5"/>
      <c r="U232" s="5"/>
      <c r="V232" s="5">
        <f t="shared" ref="V232:V239" si="113">S232+U232</f>
        <v>80</v>
      </c>
      <c r="W232" s="5"/>
      <c r="X232" s="13">
        <f t="shared" ref="X232:X239" si="114">F232*0.1+H232*0.1+J232*0.1+P232*0.2+S232*0.2</f>
        <v>47.8</v>
      </c>
      <c r="Y232" s="13">
        <f t="shared" ref="Y232:Y239" si="115">X232/0.7+L232+U232</f>
        <v>68.2857142857143</v>
      </c>
    </row>
    <row r="233" ht="15.6" hidden="1" outlineLevel="2" spans="1:25">
      <c r="A233" s="5">
        <v>308</v>
      </c>
      <c r="B233" s="5">
        <v>10</v>
      </c>
      <c r="C233" s="9" t="s">
        <v>361</v>
      </c>
      <c r="D233" s="9" t="s">
        <v>12</v>
      </c>
      <c r="E233" s="5">
        <v>11</v>
      </c>
      <c r="F233" s="7">
        <f>LOOKUP(E233,{0,-1.8,-0.8,0.2,1.2,2.2,3.2,4.6,6,7.4,8.8,10.2,11.6,13,14.4,15.8,17.2,19.1,21,22.8,24.6},{0,10,20,30,40,50,60,62,64,66,68,70,72,74,76,78,80,85,90,95,100})</f>
        <v>70</v>
      </c>
      <c r="G233" s="5">
        <v>225</v>
      </c>
      <c r="H233" s="7">
        <f>LOOKUP(G233,{0,180,185,190,195,200,205,209,213,217,221,225,229,233,237,241,245,253,260,265,270},{0,10,20,30,40,50,60,62,64,66,68,70,72,74,76,78,80,85,90,95,100})</f>
        <v>70</v>
      </c>
      <c r="I233" s="5">
        <v>3</v>
      </c>
      <c r="J233" s="7">
        <f>LOOKUP(I233,{0,4,5,6,7,8,9,10,11,12,13,14,15,16,17,18},{0,10,20,30,40,50,60,64,68,72,76,80,85,90,95,100})</f>
        <v>0</v>
      </c>
      <c r="K233" s="5"/>
      <c r="L233" s="5"/>
      <c r="M233" s="5">
        <f t="shared" si="110"/>
        <v>0</v>
      </c>
      <c r="N233" s="5">
        <v>7.6</v>
      </c>
      <c r="O233" s="10">
        <f t="shared" si="111"/>
        <v>10.4</v>
      </c>
      <c r="P233" s="7">
        <f>LOOKUP(O233,{0,7.8,8,8.2,8.4,8.6,8.8,9,9.2,9.4,9.6,9.8,10,10.2,10.4,10.6,10.8,10.9,11,11.1,11.2},{0,10,20,30,40,50,60,62,64,66,68,70,72,74,76,78,80,85,90,95,100})</f>
        <v>76</v>
      </c>
      <c r="Q233" s="5">
        <v>5.2</v>
      </c>
      <c r="R233" s="10">
        <f t="shared" si="112"/>
        <v>4.8</v>
      </c>
      <c r="S233" s="7">
        <f>LOOKUP(R233,{0,3.85,4.45,4.65,4.85,5.45,5.65,5.7,5.75,5.8,5.85,5.9,5.95,6,6.45,6.5,6.55,6.63,6.7,6.75,6.8},{0,10,20,30,40,50,60,62,64,66,68,70,72,74,76,78,80,85,90,95,100})</f>
        <v>30</v>
      </c>
      <c r="T233" s="5"/>
      <c r="U233" s="5"/>
      <c r="V233" s="5">
        <f t="shared" si="113"/>
        <v>30</v>
      </c>
      <c r="W233" s="5"/>
      <c r="X233" s="13">
        <f t="shared" si="114"/>
        <v>35.2</v>
      </c>
      <c r="Y233" s="13">
        <f t="shared" si="115"/>
        <v>50.2857142857143</v>
      </c>
    </row>
    <row r="234" ht="15.6" hidden="1" outlineLevel="2" spans="1:25">
      <c r="A234" s="5">
        <v>308</v>
      </c>
      <c r="B234" s="5">
        <v>11</v>
      </c>
      <c r="C234" s="8" t="s">
        <v>363</v>
      </c>
      <c r="D234" s="9" t="s">
        <v>12</v>
      </c>
      <c r="E234" s="5">
        <v>6</v>
      </c>
      <c r="F234" s="7">
        <f>LOOKUP(E234,{0,-1.8,-0.8,0.2,1.2,2.2,3.2,4.6,6,7.4,8.8,10.2,11.6,13,14.4,15.8,17.2,19.1,21,22.8,24.6},{0,10,20,30,40,50,60,62,64,66,68,70,72,74,76,78,80,85,90,95,100})</f>
        <v>64</v>
      </c>
      <c r="G234" s="5">
        <v>240</v>
      </c>
      <c r="H234" s="7">
        <f>LOOKUP(G234,{0,180,185,190,195,200,205,209,213,217,221,225,229,233,237,241,245,253,260,265,270},{0,10,20,30,40,50,60,62,64,66,68,70,72,74,76,78,80,85,90,95,100})</f>
        <v>76</v>
      </c>
      <c r="I234" s="5">
        <v>15</v>
      </c>
      <c r="J234" s="7">
        <f>LOOKUP(I234,{0,4,5,6,7,8,9,10,11,12,13,14,15,16,17,18},{0,10,20,30,40,50,60,64,68,72,76,80,85,90,95,100})</f>
        <v>85</v>
      </c>
      <c r="K234" s="5"/>
      <c r="L234" s="5"/>
      <c r="M234" s="5">
        <f t="shared" si="110"/>
        <v>85</v>
      </c>
      <c r="N234" s="5">
        <v>7.2</v>
      </c>
      <c r="O234" s="10">
        <f t="shared" si="111"/>
        <v>10.8</v>
      </c>
      <c r="P234" s="7">
        <f>LOOKUP(O234,{0,7.8,8,8.2,8.4,8.6,8.8,9,9.2,9.4,9.6,9.8,10,10.2,10.4,10.6,10.8,10.9,11,11.1,11.2},{0,10,20,30,40,50,60,62,64,66,68,70,72,74,76,78,80,85,90,95,100})</f>
        <v>80</v>
      </c>
      <c r="Q234" s="5">
        <v>3.35</v>
      </c>
      <c r="R234" s="10">
        <f t="shared" si="112"/>
        <v>6.65</v>
      </c>
      <c r="S234" s="7">
        <f>LOOKUP(R234,{0,3.85,4.45,4.65,4.85,5.45,5.65,5.7,5.75,5.8,5.85,5.9,5.95,6,6.45,6.5,6.55,6.63,6.7,6.75,6.8},{0,10,20,30,40,50,60,62,64,66,68,70,72,74,76,78,80,85,90,95,100})</f>
        <v>85</v>
      </c>
      <c r="T234" s="5"/>
      <c r="U234" s="5"/>
      <c r="V234" s="5">
        <f t="shared" si="113"/>
        <v>85</v>
      </c>
      <c r="W234" s="5"/>
      <c r="X234" s="13">
        <f t="shared" si="114"/>
        <v>55.5</v>
      </c>
      <c r="Y234" s="13">
        <f t="shared" si="115"/>
        <v>79.2857142857143</v>
      </c>
    </row>
    <row r="235" ht="15.6" hidden="1" outlineLevel="2" spans="1:25">
      <c r="A235" s="5">
        <v>308</v>
      </c>
      <c r="B235" s="5">
        <v>12</v>
      </c>
      <c r="C235" s="9" t="s">
        <v>364</v>
      </c>
      <c r="D235" s="9" t="s">
        <v>12</v>
      </c>
      <c r="E235" s="5">
        <v>10</v>
      </c>
      <c r="F235" s="7">
        <f>LOOKUP(E235,{0,-1.8,-0.8,0.2,1.2,2.2,3.2,4.6,6,7.4,8.8,10.2,11.6,13,14.4,15.8,17.2,19.1,21,22.8,24.6},{0,10,20,30,40,50,60,62,64,66,68,70,72,74,76,78,80,85,90,95,100})</f>
        <v>68</v>
      </c>
      <c r="G235" s="5">
        <v>220</v>
      </c>
      <c r="H235" s="7">
        <f>LOOKUP(G235,{0,180,185,190,195,200,205,209,213,217,221,225,229,233,237,241,245,253,260,265,270},{0,10,20,30,40,50,60,62,64,66,68,70,72,74,76,78,80,85,90,95,100})</f>
        <v>66</v>
      </c>
      <c r="I235" s="5">
        <v>8</v>
      </c>
      <c r="J235" s="7">
        <f>LOOKUP(I235,{0,4,5,6,7,8,9,10,11,12,13,14,15,16,17,18},{0,10,20,30,40,50,60,64,68,72,76,80,85,90,95,100})</f>
        <v>50</v>
      </c>
      <c r="K235" s="5"/>
      <c r="L235" s="5"/>
      <c r="M235" s="5">
        <f t="shared" si="110"/>
        <v>50</v>
      </c>
      <c r="N235" s="5">
        <v>7.3</v>
      </c>
      <c r="O235" s="10">
        <f t="shared" si="111"/>
        <v>10.7</v>
      </c>
      <c r="P235" s="7">
        <f>LOOKUP(O235,{0,7.8,8,8.2,8.4,8.6,8.8,9,9.2,9.4,9.6,9.8,10,10.2,10.4,10.6,10.8,10.9,11,11.1,11.2},{0,10,20,30,40,50,60,62,64,66,68,70,72,74,76,78,80,85,90,95,100})</f>
        <v>78</v>
      </c>
      <c r="Q235" s="5">
        <v>4.49</v>
      </c>
      <c r="R235" s="10">
        <f t="shared" si="112"/>
        <v>5.51</v>
      </c>
      <c r="S235" s="7">
        <f>LOOKUP(R235,{0,3.85,4.45,4.65,4.85,5.45,5.65,5.7,5.75,5.8,5.85,5.9,5.95,6,6.45,6.5,6.55,6.63,6.7,6.75,6.8},{0,10,20,30,40,50,60,62,64,66,68,70,72,74,76,78,80,85,90,95,100})</f>
        <v>50</v>
      </c>
      <c r="T235" s="5"/>
      <c r="U235" s="5"/>
      <c r="V235" s="5">
        <f t="shared" si="113"/>
        <v>50</v>
      </c>
      <c r="W235" s="5"/>
      <c r="X235" s="13">
        <f t="shared" si="114"/>
        <v>44</v>
      </c>
      <c r="Y235" s="13">
        <f t="shared" si="115"/>
        <v>62.8571428571429</v>
      </c>
    </row>
    <row r="236" ht="15.6" hidden="1" outlineLevel="2" spans="1:25">
      <c r="A236" s="5">
        <v>308</v>
      </c>
      <c r="B236" s="5">
        <v>13</v>
      </c>
      <c r="C236" s="9" t="s">
        <v>365</v>
      </c>
      <c r="D236" s="9" t="s">
        <v>12</v>
      </c>
      <c r="E236" s="5">
        <v>6</v>
      </c>
      <c r="F236" s="7">
        <f>LOOKUP(E236,{0,-1.8,-0.8,0.2,1.2,2.2,3.2,4.6,6,7.4,8.8,10.2,11.6,13,14.4,15.8,17.2,19.1,21,22.8,24.6},{0,10,20,30,40,50,60,62,64,66,68,70,72,74,76,78,80,85,90,95,100})</f>
        <v>64</v>
      </c>
      <c r="G236" s="5">
        <v>220</v>
      </c>
      <c r="H236" s="7">
        <f>LOOKUP(G236,{0,180,185,190,195,200,205,209,213,217,221,225,229,233,237,241,245,253,260,265,270},{0,10,20,30,40,50,60,62,64,66,68,70,72,74,76,78,80,85,90,95,100})</f>
        <v>66</v>
      </c>
      <c r="I236" s="5">
        <v>1</v>
      </c>
      <c r="J236" s="7">
        <f>LOOKUP(I236,{0,4,5,6,7,8,9,10,11,12,13,14,15,16,17,18},{0,10,20,30,40,50,60,64,68,72,76,80,85,90,95,100})</f>
        <v>0</v>
      </c>
      <c r="K236" s="5"/>
      <c r="L236" s="5"/>
      <c r="M236" s="5">
        <f t="shared" si="110"/>
        <v>0</v>
      </c>
      <c r="N236" s="5">
        <v>7.3</v>
      </c>
      <c r="O236" s="10">
        <f t="shared" si="111"/>
        <v>10.7</v>
      </c>
      <c r="P236" s="7">
        <f>LOOKUP(O236,{0,7.8,8,8.2,8.4,8.6,8.8,9,9.2,9.4,9.6,9.8,10,10.2,10.4,10.6,10.8,10.9,11,11.1,11.2},{0,10,20,30,40,50,60,62,64,66,68,70,72,74,76,78,80,85,90,95,100})</f>
        <v>78</v>
      </c>
      <c r="Q236" s="5">
        <v>3.35</v>
      </c>
      <c r="R236" s="10">
        <f t="shared" si="112"/>
        <v>6.65</v>
      </c>
      <c r="S236" s="7">
        <f>LOOKUP(R236,{0,3.85,4.45,4.65,4.85,5.45,5.65,5.7,5.75,5.8,5.85,5.9,5.95,6,6.45,6.5,6.55,6.63,6.7,6.75,6.8},{0,10,20,30,40,50,60,62,64,66,68,70,72,74,76,78,80,85,90,95,100})</f>
        <v>85</v>
      </c>
      <c r="T236" s="5"/>
      <c r="U236" s="5"/>
      <c r="V236" s="5">
        <f t="shared" si="113"/>
        <v>85</v>
      </c>
      <c r="W236" s="5"/>
      <c r="X236" s="13">
        <f t="shared" si="114"/>
        <v>45.6</v>
      </c>
      <c r="Y236" s="13">
        <f t="shared" si="115"/>
        <v>65.1428571428572</v>
      </c>
    </row>
    <row r="237" ht="15.6" hidden="1" outlineLevel="2" spans="1:25">
      <c r="A237" s="5">
        <v>308</v>
      </c>
      <c r="B237" s="5">
        <v>14</v>
      </c>
      <c r="C237" s="9" t="s">
        <v>366</v>
      </c>
      <c r="D237" s="9" t="s">
        <v>12</v>
      </c>
      <c r="E237" s="5">
        <v>13.5</v>
      </c>
      <c r="F237" s="7">
        <f>LOOKUP(E237,{0,-1.8,-0.8,0.2,1.2,2.2,3.2,4.6,6,7.4,8.8,10.2,11.6,13,14.4,15.8,17.2,19.1,21,22.8,24.6},{0,10,20,30,40,50,60,62,64,66,68,70,72,74,76,78,80,85,90,95,100})</f>
        <v>74</v>
      </c>
      <c r="G237" s="5">
        <v>235</v>
      </c>
      <c r="H237" s="7">
        <f>LOOKUP(G237,{0,180,185,190,195,200,205,209,213,217,221,225,229,233,237,241,245,253,260,265,270},{0,10,20,30,40,50,60,62,64,66,68,70,72,74,76,78,80,85,90,95,100})</f>
        <v>74</v>
      </c>
      <c r="I237" s="5">
        <v>4</v>
      </c>
      <c r="J237" s="7">
        <f>LOOKUP(I237,{0,4,5,6,7,8,9,10,11,12,13,14,15,16,17,18},{0,10,20,30,40,50,60,64,68,72,76,80,85,90,95,100})</f>
        <v>10</v>
      </c>
      <c r="K237" s="5"/>
      <c r="L237" s="5"/>
      <c r="M237" s="5">
        <f t="shared" si="110"/>
        <v>10</v>
      </c>
      <c r="N237" s="5">
        <v>7</v>
      </c>
      <c r="O237" s="10">
        <f t="shared" si="111"/>
        <v>11</v>
      </c>
      <c r="P237" s="7">
        <f>LOOKUP(O237,{0,7.8,8,8.2,8.4,8.6,8.8,9,9.2,9.4,9.6,9.8,10,10.2,10.4,10.6,10.8,10.9,11,11.1,11.2},{0,10,20,30,40,50,60,62,64,66,68,70,72,74,76,78,80,85,90,95,100})</f>
        <v>90</v>
      </c>
      <c r="Q237" s="5">
        <v>4.49</v>
      </c>
      <c r="R237" s="10">
        <f t="shared" si="112"/>
        <v>5.51</v>
      </c>
      <c r="S237" s="7">
        <f>LOOKUP(R237,{0,3.85,4.45,4.65,4.85,5.45,5.65,5.7,5.75,5.8,5.85,5.9,5.95,6,6.45,6.5,6.55,6.63,6.7,6.75,6.8},{0,10,20,30,40,50,60,62,64,66,68,70,72,74,76,78,80,85,90,95,100})</f>
        <v>50</v>
      </c>
      <c r="T237" s="5"/>
      <c r="U237" s="5"/>
      <c r="V237" s="5">
        <f t="shared" si="113"/>
        <v>50</v>
      </c>
      <c r="W237" s="5"/>
      <c r="X237" s="13">
        <f t="shared" si="114"/>
        <v>43.8</v>
      </c>
      <c r="Y237" s="13">
        <f t="shared" si="115"/>
        <v>62.5714285714286</v>
      </c>
    </row>
    <row r="238" ht="15.6" hidden="1" outlineLevel="2" spans="1:25">
      <c r="A238" s="5">
        <v>308</v>
      </c>
      <c r="B238" s="5">
        <v>15</v>
      </c>
      <c r="C238" s="9" t="s">
        <v>367</v>
      </c>
      <c r="D238" s="9" t="s">
        <v>12</v>
      </c>
      <c r="E238" s="5">
        <v>21</v>
      </c>
      <c r="F238" s="7">
        <f>LOOKUP(E238,{0,-1.8,-0.8,0.2,1.2,2.2,3.2,4.6,6,7.4,8.8,10.2,11.6,13,14.4,15.8,17.2,19.1,21,22.8,24.6},{0,10,20,30,40,50,60,62,64,66,68,70,72,74,76,78,80,85,90,95,100})</f>
        <v>90</v>
      </c>
      <c r="G238" s="5">
        <v>220</v>
      </c>
      <c r="H238" s="7">
        <f>LOOKUP(G238,{0,180,185,190,195,200,205,209,213,217,221,225,229,233,237,241,245,253,260,265,270},{0,10,20,30,40,50,60,62,64,66,68,70,72,74,76,78,80,85,90,95,100})</f>
        <v>66</v>
      </c>
      <c r="I238" s="5">
        <v>8</v>
      </c>
      <c r="J238" s="7">
        <f>LOOKUP(I238,{0,4,5,6,7,8,9,10,11,12,13,14,15,16,17,18},{0,10,20,30,40,50,60,64,68,72,76,80,85,90,95,100})</f>
        <v>50</v>
      </c>
      <c r="K238" s="5"/>
      <c r="L238" s="5"/>
      <c r="M238" s="5">
        <f t="shared" si="110"/>
        <v>50</v>
      </c>
      <c r="N238" s="5">
        <v>7.1</v>
      </c>
      <c r="O238" s="10">
        <f t="shared" si="111"/>
        <v>10.9</v>
      </c>
      <c r="P238" s="7">
        <f>LOOKUP(O238,{0,7.8,8,8.2,8.4,8.6,8.8,9,9.2,9.4,9.6,9.8,10,10.2,10.4,10.6,10.8,10.9,11,11.1,11.2},{0,10,20,30,40,50,60,62,64,66,68,70,72,74,76,78,80,85,90,95,100})</f>
        <v>85</v>
      </c>
      <c r="Q238" s="5">
        <v>3.4</v>
      </c>
      <c r="R238" s="10">
        <f t="shared" si="112"/>
        <v>6.6</v>
      </c>
      <c r="S238" s="7">
        <f>LOOKUP(R238,{0,3.85,4.45,4.65,4.85,5.45,5.65,5.7,5.75,5.8,5.85,5.9,5.95,6,6.45,6.5,6.55,6.63,6.7,6.75,6.8},{0,10,20,30,40,50,60,62,64,66,68,70,72,74,76,78,80,85,90,95,100})</f>
        <v>80</v>
      </c>
      <c r="T238" s="5"/>
      <c r="U238" s="5"/>
      <c r="V238" s="5">
        <f t="shared" si="113"/>
        <v>80</v>
      </c>
      <c r="W238" s="5"/>
      <c r="X238" s="13">
        <f t="shared" si="114"/>
        <v>53.6</v>
      </c>
      <c r="Y238" s="13">
        <f t="shared" si="115"/>
        <v>76.5714285714286</v>
      </c>
    </row>
    <row r="239" ht="15.6" hidden="1" outlineLevel="2" spans="1:25">
      <c r="A239" s="5">
        <v>308</v>
      </c>
      <c r="B239" s="5">
        <v>16</v>
      </c>
      <c r="C239" s="9" t="s">
        <v>368</v>
      </c>
      <c r="D239" s="9" t="s">
        <v>12</v>
      </c>
      <c r="E239" s="5">
        <v>17.7</v>
      </c>
      <c r="F239" s="7">
        <f>LOOKUP(E239,{0,-1.8,-0.8,0.2,1.2,2.2,3.2,4.6,6,7.4,8.8,10.2,11.6,13,14.4,15.8,17.2,19.1,21,22.8,24.6},{0,10,20,30,40,50,60,62,64,66,68,70,72,74,76,78,80,85,90,95,100})</f>
        <v>80</v>
      </c>
      <c r="G239" s="5">
        <v>205</v>
      </c>
      <c r="H239" s="7">
        <f>LOOKUP(G239,{0,180,185,190,195,200,205,209,213,217,221,225,229,233,237,241,245,253,260,265,270},{0,10,20,30,40,50,60,62,64,66,68,70,72,74,76,78,80,85,90,95,100})</f>
        <v>60</v>
      </c>
      <c r="I239" s="5">
        <v>3</v>
      </c>
      <c r="J239" s="7">
        <f>LOOKUP(I239,{0,4,5,6,7,8,9,10,11,12,13,14,15,16,17,18},{0,10,20,30,40,50,60,64,68,72,76,80,85,90,95,100})</f>
        <v>0</v>
      </c>
      <c r="K239" s="5"/>
      <c r="L239" s="5"/>
      <c r="M239" s="5">
        <f t="shared" si="110"/>
        <v>0</v>
      </c>
      <c r="N239" s="5">
        <v>8</v>
      </c>
      <c r="O239" s="10">
        <f t="shared" si="111"/>
        <v>10</v>
      </c>
      <c r="P239" s="7">
        <f>LOOKUP(O239,{0,7.8,8,8.2,8.4,8.6,8.8,9,9.2,9.4,9.6,9.8,10,10.2,10.4,10.6,10.8,10.9,11,11.1,11.2},{0,10,20,30,40,50,60,62,64,66,68,70,72,74,76,78,80,85,90,95,100})</f>
        <v>72</v>
      </c>
      <c r="Q239" s="5">
        <v>4.49</v>
      </c>
      <c r="R239" s="10">
        <f t="shared" si="112"/>
        <v>5.51</v>
      </c>
      <c r="S239" s="7">
        <f>LOOKUP(R239,{0,3.85,4.45,4.65,4.85,5.45,5.65,5.7,5.75,5.8,5.85,5.9,5.95,6,6.45,6.5,6.55,6.63,6.7,6.75,6.8},{0,10,20,30,40,50,60,62,64,66,68,70,72,74,76,78,80,85,90,95,100})</f>
        <v>50</v>
      </c>
      <c r="T239" s="5"/>
      <c r="U239" s="5"/>
      <c r="V239" s="5">
        <f t="shared" si="113"/>
        <v>50</v>
      </c>
      <c r="W239" s="5"/>
      <c r="X239" s="13">
        <f t="shared" si="114"/>
        <v>38.4</v>
      </c>
      <c r="Y239" s="13">
        <f t="shared" si="115"/>
        <v>54.8571428571429</v>
      </c>
    </row>
    <row r="240" ht="15.6" hidden="1" outlineLevel="2" spans="1:25">
      <c r="A240" s="5">
        <v>308</v>
      </c>
      <c r="B240" s="5">
        <v>17</v>
      </c>
      <c r="C240" s="9" t="s">
        <v>369</v>
      </c>
      <c r="D240" s="9" t="s">
        <v>12</v>
      </c>
      <c r="E240" s="5"/>
      <c r="F240" s="7"/>
      <c r="G240" s="5"/>
      <c r="H240" s="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>
        <v>50</v>
      </c>
      <c r="X240" s="13"/>
      <c r="Y240" s="13">
        <v>50</v>
      </c>
    </row>
    <row r="241" ht="15.6" hidden="1" outlineLevel="2" spans="1:25">
      <c r="A241" s="5">
        <v>308</v>
      </c>
      <c r="B241" s="5">
        <v>18</v>
      </c>
      <c r="C241" s="9" t="s">
        <v>370</v>
      </c>
      <c r="D241" s="9" t="s">
        <v>12</v>
      </c>
      <c r="E241" s="5">
        <v>13.5</v>
      </c>
      <c r="F241" s="7">
        <f>LOOKUP(E241,{0,-1.8,-0.8,0.2,1.2,2.2,3.2,4.6,6,7.4,8.8,10.2,11.6,13,14.4,15.8,17.2,19.1,21,22.8,24.6},{0,10,20,30,40,50,60,62,64,66,68,70,72,74,76,78,80,85,90,95,100})</f>
        <v>74</v>
      </c>
      <c r="G241" s="5">
        <v>195</v>
      </c>
      <c r="H241" s="7">
        <f>LOOKUP(G241,{0,180,185,190,195,200,205,209,213,217,221,225,229,233,237,241,245,253,260,265,270},{0,10,20,30,40,50,60,62,64,66,68,70,72,74,76,78,80,85,90,95,100})</f>
        <v>40</v>
      </c>
      <c r="I241" s="5">
        <v>12</v>
      </c>
      <c r="J241" s="7">
        <f>LOOKUP(I241,{0,4,5,6,7,8,9,10,11,12,13,14,15,16,17,18},{0,10,20,30,40,50,60,64,68,72,76,80,85,90,95,100})</f>
        <v>72</v>
      </c>
      <c r="K241" s="5"/>
      <c r="L241" s="5"/>
      <c r="M241" s="5">
        <f t="shared" ref="M241:M243" si="116">J241+L241</f>
        <v>72</v>
      </c>
      <c r="N241" s="5">
        <v>8.1</v>
      </c>
      <c r="O241" s="10">
        <f t="shared" ref="O241:O243" si="117">18-N241</f>
        <v>9.9</v>
      </c>
      <c r="P241" s="7">
        <f>LOOKUP(O241,{0,7.8,8,8.2,8.4,8.6,8.8,9,9.2,9.4,9.6,9.8,10,10.2,10.4,10.6,10.8,10.9,11,11.1,11.2},{0,10,20,30,40,50,60,62,64,66,68,70,72,74,76,78,80,85,90,95,100})</f>
        <v>70</v>
      </c>
      <c r="Q241" s="5">
        <v>4.49</v>
      </c>
      <c r="R241" s="10">
        <f t="shared" ref="R241:R243" si="118">10-Q241</f>
        <v>5.51</v>
      </c>
      <c r="S241" s="7">
        <f>LOOKUP(R241,{0,3.85,4.45,4.65,4.85,5.45,5.65,5.7,5.75,5.8,5.85,5.9,5.95,6,6.45,6.5,6.55,6.63,6.7,6.75,6.8},{0,10,20,30,40,50,60,62,64,66,68,70,72,74,76,78,80,85,90,95,100})</f>
        <v>50</v>
      </c>
      <c r="T241" s="5"/>
      <c r="U241" s="5"/>
      <c r="V241" s="5">
        <f t="shared" ref="V241:V243" si="119">S241+U241</f>
        <v>50</v>
      </c>
      <c r="W241" s="5"/>
      <c r="X241" s="13">
        <f t="shared" ref="X241:X243" si="120">F241*0.1+H241*0.1+J241*0.1+P241*0.2+S241*0.2</f>
        <v>42.6</v>
      </c>
      <c r="Y241" s="13">
        <f t="shared" ref="Y241:Y243" si="121">X241/0.7+L241+U241</f>
        <v>60.8571428571429</v>
      </c>
    </row>
    <row r="242" ht="15.6" hidden="1" outlineLevel="2" spans="1:25">
      <c r="A242" s="5">
        <v>308</v>
      </c>
      <c r="B242" s="5">
        <v>19</v>
      </c>
      <c r="C242" s="9" t="s">
        <v>371</v>
      </c>
      <c r="D242" s="9" t="s">
        <v>12</v>
      </c>
      <c r="E242" s="5">
        <v>9</v>
      </c>
      <c r="F242" s="7">
        <f>LOOKUP(E242,{0,-1.8,-0.8,0.2,1.2,2.2,3.2,4.6,6,7.4,8.8,10.2,11.6,13,14.4,15.8,17.2,19.1,21,22.8,24.6},{0,10,20,30,40,50,60,62,64,66,68,70,72,74,76,78,80,85,90,95,100})</f>
        <v>68</v>
      </c>
      <c r="G242" s="5">
        <v>240</v>
      </c>
      <c r="H242" s="7">
        <f>LOOKUP(G242,{0,180,185,190,195,200,205,209,213,217,221,225,229,233,237,241,245,253,260,265,270},{0,10,20,30,40,50,60,62,64,66,68,70,72,74,76,78,80,85,90,95,100})</f>
        <v>76</v>
      </c>
      <c r="I242" s="5">
        <v>13</v>
      </c>
      <c r="J242" s="7">
        <f>LOOKUP(I242,{0,4,5,6,7,8,9,10,11,12,13,14,15,16,17,18},{0,10,20,30,40,50,60,64,68,72,76,80,85,90,95,100})</f>
        <v>76</v>
      </c>
      <c r="K242" s="5"/>
      <c r="L242" s="5"/>
      <c r="M242" s="5">
        <f t="shared" si="116"/>
        <v>76</v>
      </c>
      <c r="N242" s="5">
        <v>7.6</v>
      </c>
      <c r="O242" s="10">
        <f t="shared" si="117"/>
        <v>10.4</v>
      </c>
      <c r="P242" s="7">
        <f>LOOKUP(O242,{0,7.8,8,8.2,8.4,8.6,8.8,9,9.2,9.4,9.6,9.8,10,10.2,10.4,10.6,10.8,10.9,11,11.1,11.2},{0,10,20,30,40,50,60,62,64,66,68,70,72,74,76,78,80,85,90,95,100})</f>
        <v>76</v>
      </c>
      <c r="Q242" s="5">
        <v>4.49</v>
      </c>
      <c r="R242" s="10">
        <f t="shared" si="118"/>
        <v>5.51</v>
      </c>
      <c r="S242" s="7">
        <f>LOOKUP(R242,{0,3.85,4.45,4.65,4.85,5.45,5.65,5.7,5.75,5.8,5.85,5.9,5.95,6,6.45,6.5,6.55,6.63,6.7,6.75,6.8},{0,10,20,30,40,50,60,62,64,66,68,70,72,74,76,78,80,85,90,95,100})</f>
        <v>50</v>
      </c>
      <c r="T242" s="5"/>
      <c r="U242" s="5"/>
      <c r="V242" s="5">
        <f t="shared" si="119"/>
        <v>50</v>
      </c>
      <c r="W242" s="5"/>
      <c r="X242" s="13">
        <f t="shared" si="120"/>
        <v>47.2</v>
      </c>
      <c r="Y242" s="13">
        <f t="shared" si="121"/>
        <v>67.4285714285714</v>
      </c>
    </row>
    <row r="243" ht="15.6" hidden="1" outlineLevel="2" spans="1:25">
      <c r="A243" s="5">
        <v>308</v>
      </c>
      <c r="B243" s="5">
        <v>20</v>
      </c>
      <c r="C243" s="9" t="s">
        <v>372</v>
      </c>
      <c r="D243" s="9" t="s">
        <v>12</v>
      </c>
      <c r="E243" s="5">
        <v>11.5</v>
      </c>
      <c r="F243" s="7">
        <f>LOOKUP(E243,{0,-1.8,-0.8,0.2,1.2,2.2,3.2,4.6,6,7.4,8.8,10.2,11.6,13,14.4,15.8,17.2,19.1,21,22.8,24.6},{0,10,20,30,40,50,60,62,64,66,68,70,72,74,76,78,80,85,90,95,100})</f>
        <v>70</v>
      </c>
      <c r="G243" s="5">
        <v>205</v>
      </c>
      <c r="H243" s="7">
        <f>LOOKUP(G243,{0,180,185,190,195,200,205,209,213,217,221,225,229,233,237,241,245,253,260,265,270},{0,10,20,30,40,50,60,62,64,66,68,70,72,74,76,78,80,85,90,95,100})</f>
        <v>60</v>
      </c>
      <c r="I243" s="5">
        <v>3</v>
      </c>
      <c r="J243" s="7">
        <f>LOOKUP(I243,{0,4,5,6,7,8,9,10,11,12,13,14,15,16,17,18},{0,10,20,30,40,50,60,64,68,72,76,80,85,90,95,100})</f>
        <v>0</v>
      </c>
      <c r="K243" s="5"/>
      <c r="L243" s="5"/>
      <c r="M243" s="5">
        <f t="shared" si="116"/>
        <v>0</v>
      </c>
      <c r="N243" s="5">
        <v>8</v>
      </c>
      <c r="O243" s="10">
        <f t="shared" si="117"/>
        <v>10</v>
      </c>
      <c r="P243" s="7">
        <f>LOOKUP(O243,{0,7.8,8,8.2,8.4,8.6,8.8,9,9.2,9.4,9.6,9.8,10,10.2,10.4,10.6,10.8,10.9,11,11.1,11.2},{0,10,20,30,40,50,60,62,64,66,68,70,72,74,76,78,80,85,90,95,100})</f>
        <v>72</v>
      </c>
      <c r="Q243" s="5">
        <v>4.53</v>
      </c>
      <c r="R243" s="10">
        <f t="shared" si="118"/>
        <v>5.47</v>
      </c>
      <c r="S243" s="7">
        <f>LOOKUP(R243,{0,3.85,4.45,4.65,4.85,5.45,5.65,5.7,5.75,5.8,5.85,5.9,5.95,6,6.45,6.5,6.55,6.63,6.7,6.75,6.8},{0,10,20,30,40,50,60,62,64,66,68,70,72,74,76,78,80,85,90,95,100})</f>
        <v>50</v>
      </c>
      <c r="T243" s="5"/>
      <c r="U243" s="5"/>
      <c r="V243" s="5">
        <f t="shared" si="119"/>
        <v>50</v>
      </c>
      <c r="W243" s="5"/>
      <c r="X243" s="13">
        <f t="shared" si="120"/>
        <v>37.4</v>
      </c>
      <c r="Y243" s="13">
        <f t="shared" si="121"/>
        <v>53.4285714285714</v>
      </c>
    </row>
    <row r="244" ht="15.6" outlineLevel="1" collapsed="1" spans="1:25">
      <c r="A244" s="6" t="s">
        <v>859</v>
      </c>
      <c r="B244" s="5"/>
      <c r="C244" s="9"/>
      <c r="D244" s="9"/>
      <c r="E244" s="5"/>
      <c r="F244" s="7">
        <f>SUBTOTAL(1,F224:F243)</f>
        <v>73.75</v>
      </c>
      <c r="G244" s="5"/>
      <c r="H244" s="7">
        <f>SUBTOTAL(1,H224:H243)</f>
        <v>64</v>
      </c>
      <c r="I244" s="5"/>
      <c r="J244" s="7">
        <f>SUBTOTAL(1,J224:J243)</f>
        <v>31.4375</v>
      </c>
      <c r="K244" s="5"/>
      <c r="L244" s="5"/>
      <c r="M244" s="5">
        <f>SUBTOTAL(1,M224:M243)</f>
        <v>31.625</v>
      </c>
      <c r="N244" s="5"/>
      <c r="O244" s="10"/>
      <c r="P244" s="7">
        <f>SUBTOTAL(1,P224:P243)</f>
        <v>79.1875</v>
      </c>
      <c r="Q244" s="5"/>
      <c r="R244" s="10"/>
      <c r="S244" s="7">
        <f>SUBTOTAL(1,S224:S243)</f>
        <v>56.875</v>
      </c>
      <c r="T244" s="5"/>
      <c r="U244" s="5"/>
      <c r="V244" s="5">
        <f>SUBTOTAL(1,V224:V243)</f>
        <v>56.875</v>
      </c>
      <c r="W244" s="5"/>
      <c r="X244" s="13">
        <f>SUBTOTAL(1,X224:X243)</f>
        <v>44.13125</v>
      </c>
      <c r="Y244" s="13">
        <f>SUBTOTAL(1,Y224:Y243)</f>
        <v>60.5857142857143</v>
      </c>
    </row>
    <row r="245" ht="15.6" hidden="1" outlineLevel="2" spans="1:25">
      <c r="A245" s="5">
        <v>309</v>
      </c>
      <c r="B245" s="5">
        <v>1</v>
      </c>
      <c r="C245" s="8" t="s">
        <v>405</v>
      </c>
      <c r="D245" s="9" t="s">
        <v>12</v>
      </c>
      <c r="E245" s="5"/>
      <c r="F245" s="7"/>
      <c r="G245" s="5"/>
      <c r="H245" s="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>
        <v>50</v>
      </c>
      <c r="X245" s="13"/>
      <c r="Y245" s="13">
        <v>50</v>
      </c>
    </row>
    <row r="246" ht="15.6" hidden="1" outlineLevel="2" spans="1:25">
      <c r="A246" s="5">
        <v>309</v>
      </c>
      <c r="B246" s="5">
        <v>2</v>
      </c>
      <c r="C246" s="9" t="s">
        <v>406</v>
      </c>
      <c r="D246" s="9" t="s">
        <v>12</v>
      </c>
      <c r="E246" s="5">
        <v>9.5</v>
      </c>
      <c r="F246" s="7">
        <f>LOOKUP(E246,{0,-1.8,-0.8,0.2,1.2,2.2,3.2,4.6,6,7.4,8.8,10.2,11.6,13,14.4,15.8,17.2,19.1,21,22.8,24.6},{0,10,20,30,40,50,60,62,64,66,68,70,72,74,76,78,80,85,90,95,100})</f>
        <v>68</v>
      </c>
      <c r="G246" s="5">
        <v>248</v>
      </c>
      <c r="H246" s="7">
        <f>LOOKUP(G246,{0,180,185,190,195,200,205,209,213,217,221,225,229,233,237,241,245,253,260,265,270},{0,10,20,30,40,50,60,62,64,66,68,70,72,74,76,78,80,85,90,95,100})</f>
        <v>80</v>
      </c>
      <c r="I246" s="5">
        <v>13</v>
      </c>
      <c r="J246" s="7">
        <f>LOOKUP(I246,{0,4,5,6,7,8,9,10,11,12,13,14,15,16,17,18},{0,10,20,30,40,50,60,64,68,72,76,80,85,90,95,100})</f>
        <v>76</v>
      </c>
      <c r="K246" s="5"/>
      <c r="L246" s="5"/>
      <c r="M246" s="5">
        <f t="shared" ref="M246:M268" si="122">J246+L246</f>
        <v>76</v>
      </c>
      <c r="N246" s="5">
        <v>7</v>
      </c>
      <c r="O246" s="10">
        <f t="shared" ref="O246:O268" si="123">18-N246</f>
        <v>11</v>
      </c>
      <c r="P246" s="7">
        <f>LOOKUP(O246,{0,7.8,8,8.2,8.4,8.6,8.8,9,9.2,9.4,9.6,9.8,10,10.2,10.4,10.6,10.8,10.9,11,11.1,11.2},{0,10,20,30,40,50,60,62,64,66,68,70,72,74,76,78,80,85,90,95,100})</f>
        <v>90</v>
      </c>
      <c r="Q246" s="5">
        <v>5.39</v>
      </c>
      <c r="R246" s="10">
        <f t="shared" ref="R246:R268" si="124">10-Q246</f>
        <v>4.61</v>
      </c>
      <c r="S246" s="7">
        <f>LOOKUP(R246,{0,3.85,4.45,4.65,4.85,5.45,5.65,5.7,5.75,5.8,5.85,5.9,5.95,6,6.45,6.5,6.55,6.63,6.7,6.75,6.8},{0,10,20,30,40,50,60,62,64,66,68,70,72,74,76,78,80,85,90,95,100})</f>
        <v>20</v>
      </c>
      <c r="T246" s="5"/>
      <c r="U246" s="5"/>
      <c r="V246" s="5">
        <f t="shared" ref="V246:V268" si="125">S246+U246</f>
        <v>20</v>
      </c>
      <c r="W246" s="5"/>
      <c r="X246" s="13">
        <f t="shared" ref="X246:X268" si="126">F246*0.1+H246*0.1+J246*0.1+P246*0.2+S246*0.2</f>
        <v>44.4</v>
      </c>
      <c r="Y246" s="13">
        <f t="shared" ref="Y246:Y268" si="127">X246/0.7+L246+U246</f>
        <v>63.4285714285714</v>
      </c>
    </row>
    <row r="247" ht="15.6" hidden="1" outlineLevel="2" spans="1:25">
      <c r="A247" s="5">
        <v>309</v>
      </c>
      <c r="B247" s="5">
        <v>3</v>
      </c>
      <c r="C247" s="9" t="s">
        <v>407</v>
      </c>
      <c r="D247" s="9" t="s">
        <v>12</v>
      </c>
      <c r="E247" s="5">
        <v>13</v>
      </c>
      <c r="F247" s="7">
        <f>LOOKUP(E247,{0,-1.8,-0.8,0.2,1.2,2.2,3.2,4.6,6,7.4,8.8,10.2,11.6,13,14.4,15.8,17.2,19.1,21,22.8,24.6},{0,10,20,30,40,50,60,62,64,66,68,70,72,74,76,78,80,85,90,95,100})</f>
        <v>74</v>
      </c>
      <c r="G247" s="5">
        <v>207</v>
      </c>
      <c r="H247" s="7">
        <f>LOOKUP(G247,{0,180,185,190,195,200,205,209,213,217,221,225,229,233,237,241,245,253,260,265,270},{0,10,20,30,40,50,60,62,64,66,68,70,72,74,76,78,80,85,90,95,100})</f>
        <v>60</v>
      </c>
      <c r="I247" s="5">
        <v>3</v>
      </c>
      <c r="J247" s="7">
        <f>LOOKUP(I247,{0,4,5,6,7,8,9,10,11,12,13,14,15,16,17,18},{0,10,20,30,40,50,60,64,68,72,76,80,85,90,95,100})</f>
        <v>0</v>
      </c>
      <c r="K247" s="5"/>
      <c r="L247" s="5"/>
      <c r="M247" s="5">
        <f t="shared" si="122"/>
        <v>0</v>
      </c>
      <c r="N247" s="5">
        <v>7.6</v>
      </c>
      <c r="O247" s="10">
        <f t="shared" si="123"/>
        <v>10.4</v>
      </c>
      <c r="P247" s="7">
        <f>LOOKUP(O247,{0,7.8,8,8.2,8.4,8.6,8.8,9,9.2,9.4,9.6,9.8,10,10.2,10.4,10.6,10.8,10.9,11,11.1,11.2},{0,10,20,30,40,50,60,62,64,66,68,70,72,74,76,78,80,85,90,95,100})</f>
        <v>76</v>
      </c>
      <c r="Q247" s="5">
        <v>5.39</v>
      </c>
      <c r="R247" s="10">
        <f t="shared" si="124"/>
        <v>4.61</v>
      </c>
      <c r="S247" s="7">
        <f>LOOKUP(R247,{0,3.85,4.45,4.65,4.85,5.45,5.65,5.7,5.75,5.8,5.85,5.9,5.95,6,6.45,6.5,6.55,6.63,6.7,6.75,6.8},{0,10,20,30,40,50,60,62,64,66,68,70,72,74,76,78,80,85,90,95,100})</f>
        <v>20</v>
      </c>
      <c r="T247" s="5"/>
      <c r="U247" s="5"/>
      <c r="V247" s="5">
        <f t="shared" si="125"/>
        <v>20</v>
      </c>
      <c r="W247" s="5"/>
      <c r="X247" s="13">
        <f t="shared" si="126"/>
        <v>32.6</v>
      </c>
      <c r="Y247" s="13">
        <f t="shared" si="127"/>
        <v>46.5714285714286</v>
      </c>
    </row>
    <row r="248" ht="15.6" hidden="1" outlineLevel="2" spans="1:25">
      <c r="A248" s="5">
        <v>309</v>
      </c>
      <c r="B248" s="5">
        <v>4</v>
      </c>
      <c r="C248" s="9" t="s">
        <v>408</v>
      </c>
      <c r="D248" s="9" t="s">
        <v>12</v>
      </c>
      <c r="E248" s="5">
        <v>16.5</v>
      </c>
      <c r="F248" s="7">
        <f>LOOKUP(E248,{0,-1.8,-0.8,0.2,1.2,2.2,3.2,4.6,6,7.4,8.8,10.2,11.6,13,14.4,15.8,17.2,19.1,21,22.8,24.6},{0,10,20,30,40,50,60,62,64,66,68,70,72,74,76,78,80,85,90,95,100})</f>
        <v>78</v>
      </c>
      <c r="G248" s="5">
        <v>260</v>
      </c>
      <c r="H248" s="7">
        <f>LOOKUP(G248,{0,180,185,190,195,200,205,209,213,217,221,225,229,233,237,241,245,253,260,265,270},{0,10,20,30,40,50,60,62,64,66,68,70,72,74,76,78,80,85,90,95,100})</f>
        <v>90</v>
      </c>
      <c r="I248" s="5">
        <v>9</v>
      </c>
      <c r="J248" s="7">
        <f>LOOKUP(I248,{0,4,5,6,7,8,9,10,11,12,13,14,15,16,17,18},{0,10,20,30,40,50,60,64,68,72,76,80,85,90,95,100})</f>
        <v>60</v>
      </c>
      <c r="K248" s="5"/>
      <c r="L248" s="5"/>
      <c r="M248" s="5">
        <f t="shared" si="122"/>
        <v>60</v>
      </c>
      <c r="N248" s="5">
        <v>7.1</v>
      </c>
      <c r="O248" s="10">
        <f t="shared" si="123"/>
        <v>10.9</v>
      </c>
      <c r="P248" s="7">
        <f>LOOKUP(O248,{0,7.8,8,8.2,8.4,8.6,8.8,9,9.2,9.4,9.6,9.8,10,10.2,10.4,10.6,10.8,10.9,11,11.1,11.2},{0,10,20,30,40,50,60,62,64,66,68,70,72,74,76,78,80,85,90,95,100})</f>
        <v>85</v>
      </c>
      <c r="Q248" s="5">
        <v>5.39</v>
      </c>
      <c r="R248" s="10">
        <f t="shared" si="124"/>
        <v>4.61</v>
      </c>
      <c r="S248" s="7">
        <f>LOOKUP(R248,{0,3.85,4.45,4.65,4.85,5.45,5.65,5.7,5.75,5.8,5.85,5.9,5.95,6,6.45,6.5,6.55,6.63,6.7,6.75,6.8},{0,10,20,30,40,50,60,62,64,66,68,70,72,74,76,78,80,85,90,95,100})</f>
        <v>20</v>
      </c>
      <c r="T248" s="5"/>
      <c r="U248" s="5"/>
      <c r="V248" s="5">
        <f t="shared" si="125"/>
        <v>20</v>
      </c>
      <c r="W248" s="5"/>
      <c r="X248" s="13">
        <f t="shared" si="126"/>
        <v>43.8</v>
      </c>
      <c r="Y248" s="13">
        <f t="shared" si="127"/>
        <v>62.5714285714286</v>
      </c>
    </row>
    <row r="249" ht="15.6" hidden="1" outlineLevel="2" spans="1:25">
      <c r="A249" s="5">
        <v>309</v>
      </c>
      <c r="B249" s="5">
        <v>5</v>
      </c>
      <c r="C249" s="9" t="s">
        <v>409</v>
      </c>
      <c r="D249" s="9" t="s">
        <v>12</v>
      </c>
      <c r="E249" s="5">
        <v>19.5</v>
      </c>
      <c r="F249" s="7">
        <f>LOOKUP(E249,{0,-1.8,-0.8,0.2,1.2,2.2,3.2,4.6,6,7.4,8.8,10.2,11.6,13,14.4,15.8,17.2,19.1,21,22.8,24.6},{0,10,20,30,40,50,60,62,64,66,68,70,72,74,76,78,80,85,90,95,100})</f>
        <v>85</v>
      </c>
      <c r="G249" s="5">
        <v>270</v>
      </c>
      <c r="H249" s="7">
        <f>LOOKUP(G249,{0,180,185,190,195,200,205,209,213,217,221,225,229,233,237,241,245,253,260,265,270},{0,10,20,30,40,50,60,62,64,66,68,70,72,74,76,78,80,85,90,95,100})</f>
        <v>100</v>
      </c>
      <c r="I249" s="5">
        <v>31</v>
      </c>
      <c r="J249" s="7">
        <f>LOOKUP(I249,{0,4,5,6,7,8,9,10,11,12,13,14,15,16,17,18},{0,10,20,30,40,50,60,64,68,72,76,80,85,90,95,100})</f>
        <v>100</v>
      </c>
      <c r="K249" s="5">
        <f>I249-18</f>
        <v>13</v>
      </c>
      <c r="L249" s="7">
        <f>LOOKUP(K249,{0,1,2,3,4,5,6,7,8,9,10},{0,1,2,3,4,5,6,7,8,9,10})</f>
        <v>10</v>
      </c>
      <c r="M249" s="5">
        <f t="shared" si="122"/>
        <v>110</v>
      </c>
      <c r="N249" s="5">
        <v>6.9</v>
      </c>
      <c r="O249" s="10">
        <f t="shared" si="123"/>
        <v>11.1</v>
      </c>
      <c r="P249" s="7">
        <f>LOOKUP(O249,{0,7.8,8,8.2,8.4,8.6,8.8,9,9.2,9.4,9.6,9.8,10,10.2,10.4,10.6,10.8,10.9,11,11.1,11.2},{0,10,20,30,40,50,60,62,64,66,68,70,72,74,76,78,80,85,90,95,100})</f>
        <v>95</v>
      </c>
      <c r="Q249" s="5">
        <v>3.32</v>
      </c>
      <c r="R249" s="10">
        <f t="shared" si="124"/>
        <v>6.68</v>
      </c>
      <c r="S249" s="7">
        <f>LOOKUP(R249,{0,3.85,4.45,4.65,4.85,5.45,5.65,5.7,5.75,5.8,5.85,5.9,5.95,6,6.45,6.5,6.55,6.63,6.7,6.75,6.8},{0,10,20,30,40,50,60,62,64,66,68,70,72,74,76,78,80,85,90,95,100})</f>
        <v>85</v>
      </c>
      <c r="T249" s="5"/>
      <c r="U249" s="5"/>
      <c r="V249" s="5">
        <f t="shared" si="125"/>
        <v>85</v>
      </c>
      <c r="W249" s="5"/>
      <c r="X249" s="13">
        <f t="shared" si="126"/>
        <v>64.5</v>
      </c>
      <c r="Y249" s="13">
        <f t="shared" si="127"/>
        <v>102.142857142857</v>
      </c>
    </row>
    <row r="250" ht="15.6" hidden="1" outlineLevel="2" spans="1:25">
      <c r="A250" s="5">
        <v>309</v>
      </c>
      <c r="B250" s="5">
        <v>6</v>
      </c>
      <c r="C250" s="9" t="s">
        <v>410</v>
      </c>
      <c r="D250" s="9" t="s">
        <v>12</v>
      </c>
      <c r="E250" s="5">
        <v>18</v>
      </c>
      <c r="F250" s="7">
        <f>LOOKUP(E250,{0,-1.8,-0.8,0.2,1.2,2.2,3.2,4.6,6,7.4,8.8,10.2,11.6,13,14.4,15.8,17.2,19.1,21,22.8,24.6},{0,10,20,30,40,50,60,62,64,66,68,70,72,74,76,78,80,85,90,95,100})</f>
        <v>80</v>
      </c>
      <c r="G250" s="5">
        <v>210</v>
      </c>
      <c r="H250" s="7">
        <f>LOOKUP(G250,{0,180,185,190,195,200,205,209,213,217,221,225,229,233,237,241,245,253,260,265,270},{0,10,20,30,40,50,60,62,64,66,68,70,72,74,76,78,80,85,90,95,100})</f>
        <v>62</v>
      </c>
      <c r="I250" s="5">
        <v>3</v>
      </c>
      <c r="J250" s="7">
        <f>LOOKUP(I250,{0,4,5,6,7,8,9,10,11,12,13,14,15,16,17,18},{0,10,20,30,40,50,60,64,68,72,76,80,85,90,95,100})</f>
        <v>0</v>
      </c>
      <c r="K250" s="5"/>
      <c r="L250" s="5"/>
      <c r="M250" s="5">
        <f t="shared" si="122"/>
        <v>0</v>
      </c>
      <c r="N250" s="5">
        <v>7.5</v>
      </c>
      <c r="O250" s="10">
        <f t="shared" si="123"/>
        <v>10.5</v>
      </c>
      <c r="P250" s="7">
        <f>LOOKUP(O250,{0,7.8,8,8.2,8.4,8.6,8.8,9,9.2,9.4,9.6,9.8,10,10.2,10.4,10.6,10.8,10.9,11,11.1,11.2},{0,10,20,30,40,50,60,62,64,66,68,70,72,74,76,78,80,85,90,95,100})</f>
        <v>76</v>
      </c>
      <c r="Q250" s="5">
        <v>4.01</v>
      </c>
      <c r="R250" s="10">
        <f t="shared" si="124"/>
        <v>5.99</v>
      </c>
      <c r="S250" s="7">
        <f>LOOKUP(R250,{0,3.85,4.45,4.65,4.85,5.45,5.65,5.7,5.75,5.8,5.85,5.9,5.95,6,6.45,6.5,6.55,6.63,6.7,6.75,6.8},{0,10,20,30,40,50,60,62,64,66,68,70,72,74,76,78,80,85,90,95,100})</f>
        <v>72</v>
      </c>
      <c r="T250" s="5"/>
      <c r="U250" s="5"/>
      <c r="V250" s="5">
        <f t="shared" si="125"/>
        <v>72</v>
      </c>
      <c r="W250" s="5"/>
      <c r="X250" s="13">
        <f t="shared" si="126"/>
        <v>43.8</v>
      </c>
      <c r="Y250" s="13">
        <f t="shared" si="127"/>
        <v>62.5714285714286</v>
      </c>
    </row>
    <row r="251" ht="15.6" hidden="1" outlineLevel="2" spans="1:25">
      <c r="A251" s="5">
        <v>309</v>
      </c>
      <c r="B251" s="5">
        <v>7</v>
      </c>
      <c r="C251" s="9" t="s">
        <v>411</v>
      </c>
      <c r="D251" s="9" t="s">
        <v>12</v>
      </c>
      <c r="E251" s="5">
        <v>29</v>
      </c>
      <c r="F251" s="7">
        <f>LOOKUP(E251,{0,-1.8,-0.8,0.2,1.2,2.2,3.2,4.6,6,7.4,8.8,10.2,11.6,13,14.4,15.8,17.2,19.1,21,22.8,24.6},{0,10,20,30,40,50,60,62,64,66,68,70,72,74,76,78,80,85,90,95,100})</f>
        <v>100</v>
      </c>
      <c r="G251" s="5">
        <v>256</v>
      </c>
      <c r="H251" s="7">
        <f>LOOKUP(G251,{0,180,185,190,195,200,205,209,213,217,221,225,229,233,237,241,245,253,260,265,270},{0,10,20,30,40,50,60,62,64,66,68,70,72,74,76,78,80,85,90,95,100})</f>
        <v>85</v>
      </c>
      <c r="I251" s="5">
        <v>2</v>
      </c>
      <c r="J251" s="7">
        <f>LOOKUP(I251,{0,4,5,6,7,8,9,10,11,12,13,14,15,16,17,18},{0,10,20,30,40,50,60,64,68,72,76,80,85,90,95,100})</f>
        <v>0</v>
      </c>
      <c r="K251" s="5"/>
      <c r="L251" s="5"/>
      <c r="M251" s="5">
        <f t="shared" si="122"/>
        <v>0</v>
      </c>
      <c r="N251" s="5">
        <v>6.9</v>
      </c>
      <c r="O251" s="10">
        <f t="shared" si="123"/>
        <v>11.1</v>
      </c>
      <c r="P251" s="7">
        <f>LOOKUP(O251,{0,7.8,8,8.2,8.4,8.6,8.8,9,9.2,9.4,9.6,9.8,10,10.2,10.4,10.6,10.8,10.9,11,11.1,11.2},{0,10,20,30,40,50,60,62,64,66,68,70,72,74,76,78,80,85,90,95,100})</f>
        <v>95</v>
      </c>
      <c r="Q251" s="5">
        <v>5.39</v>
      </c>
      <c r="R251" s="10">
        <f t="shared" si="124"/>
        <v>4.61</v>
      </c>
      <c r="S251" s="7">
        <f>LOOKUP(R251,{0,3.85,4.45,4.65,4.85,5.45,5.65,5.7,5.75,5.8,5.85,5.9,5.95,6,6.45,6.5,6.55,6.63,6.7,6.75,6.8},{0,10,20,30,40,50,60,62,64,66,68,70,72,74,76,78,80,85,90,95,100})</f>
        <v>20</v>
      </c>
      <c r="T251" s="5"/>
      <c r="U251" s="5"/>
      <c r="V251" s="5">
        <f t="shared" si="125"/>
        <v>20</v>
      </c>
      <c r="W251" s="5"/>
      <c r="X251" s="13">
        <f t="shared" si="126"/>
        <v>41.5</v>
      </c>
      <c r="Y251" s="13">
        <f t="shared" si="127"/>
        <v>59.2857142857143</v>
      </c>
    </row>
    <row r="252" ht="15.6" hidden="1" outlineLevel="2" spans="1:25">
      <c r="A252" s="5">
        <v>309</v>
      </c>
      <c r="B252" s="5">
        <v>8</v>
      </c>
      <c r="C252" s="9" t="s">
        <v>412</v>
      </c>
      <c r="D252" s="9" t="s">
        <v>12</v>
      </c>
      <c r="E252" s="5">
        <v>15</v>
      </c>
      <c r="F252" s="7">
        <f>LOOKUP(E252,{0,-1.8,-0.8,0.2,1.2,2.2,3.2,4.6,6,7.4,8.8,10.2,11.6,13,14.4,15.8,17.2,19.1,21,22.8,24.6},{0,10,20,30,40,50,60,62,64,66,68,70,72,74,76,78,80,85,90,95,100})</f>
        <v>76</v>
      </c>
      <c r="G252" s="5">
        <v>214</v>
      </c>
      <c r="H252" s="7">
        <f>LOOKUP(G252,{0,180,185,190,195,200,205,209,213,217,221,225,229,233,237,241,245,253,260,265,270},{0,10,20,30,40,50,60,62,64,66,68,70,72,74,76,78,80,85,90,95,100})</f>
        <v>64</v>
      </c>
      <c r="I252" s="5">
        <v>10</v>
      </c>
      <c r="J252" s="7">
        <f>LOOKUP(I252,{0,4,5,6,7,8,9,10,11,12,13,14,15,16,17,18},{0,10,20,30,40,50,60,64,68,72,76,80,85,90,95,100})</f>
        <v>64</v>
      </c>
      <c r="K252" s="5"/>
      <c r="L252" s="5"/>
      <c r="M252" s="5">
        <f t="shared" si="122"/>
        <v>64</v>
      </c>
      <c r="N252" s="5">
        <v>7</v>
      </c>
      <c r="O252" s="10">
        <f t="shared" si="123"/>
        <v>11</v>
      </c>
      <c r="P252" s="7">
        <f>LOOKUP(O252,{0,7.8,8,8.2,8.4,8.6,8.8,9,9.2,9.4,9.6,9.8,10,10.2,10.4,10.6,10.8,10.9,11,11.1,11.2},{0,10,20,30,40,50,60,62,64,66,68,70,72,74,76,78,80,85,90,95,100})</f>
        <v>90</v>
      </c>
      <c r="Q252" s="5">
        <v>5.39</v>
      </c>
      <c r="R252" s="10">
        <f t="shared" si="124"/>
        <v>4.61</v>
      </c>
      <c r="S252" s="7">
        <f>LOOKUP(R252,{0,3.85,4.45,4.65,4.85,5.45,5.65,5.7,5.75,5.8,5.85,5.9,5.95,6,6.45,6.5,6.55,6.63,6.7,6.75,6.8},{0,10,20,30,40,50,60,62,64,66,68,70,72,74,76,78,80,85,90,95,100})</f>
        <v>20</v>
      </c>
      <c r="T252" s="5"/>
      <c r="U252" s="5"/>
      <c r="V252" s="5">
        <f t="shared" si="125"/>
        <v>20</v>
      </c>
      <c r="W252" s="5"/>
      <c r="X252" s="13">
        <f t="shared" si="126"/>
        <v>42.4</v>
      </c>
      <c r="Y252" s="13">
        <f t="shared" si="127"/>
        <v>60.5714285714286</v>
      </c>
    </row>
    <row r="253" ht="15.6" hidden="1" outlineLevel="2" spans="1:25">
      <c r="A253" s="5">
        <v>309</v>
      </c>
      <c r="B253" s="5">
        <v>9</v>
      </c>
      <c r="C253" s="9" t="s">
        <v>413</v>
      </c>
      <c r="D253" s="9" t="s">
        <v>12</v>
      </c>
      <c r="E253" s="5">
        <v>2.5</v>
      </c>
      <c r="F253" s="7">
        <f>LOOKUP(E253,{0,-1.8,-0.8,0.2,1.2,2.2,3.2,4.6,6,7.4,8.8,10.2,11.6,13,14.4,15.8,17.2,19.1,21,22.8,24.6},{0,10,20,30,40,50,60,62,64,66,68,70,72,74,76,78,80,85,90,95,100})</f>
        <v>50</v>
      </c>
      <c r="G253" s="5">
        <v>190</v>
      </c>
      <c r="H253" s="7">
        <f>LOOKUP(G253,{0,180,185,190,195,200,205,209,213,217,221,225,229,233,237,241,245,253,260,265,270},{0,10,20,30,40,50,60,62,64,66,68,70,72,74,76,78,80,85,90,95,100})</f>
        <v>30</v>
      </c>
      <c r="I253" s="5">
        <v>1</v>
      </c>
      <c r="J253" s="7">
        <f>LOOKUP(I253,{0,4,5,6,7,8,9,10,11,12,13,14,15,16,17,18},{0,10,20,30,40,50,60,64,68,72,76,80,85,90,95,100})</f>
        <v>0</v>
      </c>
      <c r="K253" s="5"/>
      <c r="L253" s="5"/>
      <c r="M253" s="5">
        <f t="shared" si="122"/>
        <v>0</v>
      </c>
      <c r="N253" s="5">
        <v>8.3</v>
      </c>
      <c r="O253" s="10">
        <f t="shared" si="123"/>
        <v>9.7</v>
      </c>
      <c r="P253" s="7">
        <f>LOOKUP(O253,{0,7.8,8,8.2,8.4,8.6,8.8,9,9.2,9.4,9.6,9.8,10,10.2,10.4,10.6,10.8,10.9,11,11.1,11.2},{0,10,20,30,40,50,60,62,64,66,68,70,72,74,76,78,80,85,90,95,100})</f>
        <v>68</v>
      </c>
      <c r="Q253" s="5">
        <v>5.39</v>
      </c>
      <c r="R253" s="10">
        <f t="shared" si="124"/>
        <v>4.61</v>
      </c>
      <c r="S253" s="7">
        <f>LOOKUP(R253,{0,3.85,4.45,4.65,4.85,5.45,5.65,5.7,5.75,5.8,5.85,5.9,5.95,6,6.45,6.5,6.55,6.63,6.7,6.75,6.8},{0,10,20,30,40,50,60,62,64,66,68,70,72,74,76,78,80,85,90,95,100})</f>
        <v>20</v>
      </c>
      <c r="T253" s="5"/>
      <c r="U253" s="5"/>
      <c r="V253" s="5">
        <f t="shared" si="125"/>
        <v>20</v>
      </c>
      <c r="W253" s="5"/>
      <c r="X253" s="13">
        <f t="shared" si="126"/>
        <v>25.6</v>
      </c>
      <c r="Y253" s="13">
        <f t="shared" si="127"/>
        <v>36.5714285714286</v>
      </c>
    </row>
    <row r="254" ht="15.6" hidden="1" outlineLevel="2" spans="1:25">
      <c r="A254" s="5">
        <v>309</v>
      </c>
      <c r="B254" s="5">
        <v>10</v>
      </c>
      <c r="C254" s="9" t="s">
        <v>414</v>
      </c>
      <c r="D254" s="9" t="s">
        <v>12</v>
      </c>
      <c r="E254" s="5">
        <v>10.5</v>
      </c>
      <c r="F254" s="7">
        <f>LOOKUP(E254,{0,-1.8,-0.8,0.2,1.2,2.2,3.2,4.6,6,7.4,8.8,10.2,11.6,13,14.4,15.8,17.2,19.1,21,22.8,24.6},{0,10,20,30,40,50,60,62,64,66,68,70,72,74,76,78,80,85,90,95,100})</f>
        <v>70</v>
      </c>
      <c r="G254" s="5">
        <v>262</v>
      </c>
      <c r="H254" s="7">
        <f>LOOKUP(G254,{0,180,185,190,195,200,205,209,213,217,221,225,229,233,237,241,245,253,260,265,270},{0,10,20,30,40,50,60,62,64,66,68,70,72,74,76,78,80,85,90,95,100})</f>
        <v>90</v>
      </c>
      <c r="I254" s="5">
        <v>10</v>
      </c>
      <c r="J254" s="7">
        <f>LOOKUP(I254,{0,4,5,6,7,8,9,10,11,12,13,14,15,16,17,18},{0,10,20,30,40,50,60,64,68,72,76,80,85,90,95,100})</f>
        <v>64</v>
      </c>
      <c r="K254" s="5"/>
      <c r="L254" s="5"/>
      <c r="M254" s="5">
        <f t="shared" si="122"/>
        <v>64</v>
      </c>
      <c r="N254" s="5">
        <v>7.9</v>
      </c>
      <c r="O254" s="10">
        <f t="shared" si="123"/>
        <v>10.1</v>
      </c>
      <c r="P254" s="7">
        <f>LOOKUP(O254,{0,7.8,8,8.2,8.4,8.6,8.8,9,9.2,9.4,9.6,9.8,10,10.2,10.4,10.6,10.8,10.9,11,11.1,11.2},{0,10,20,30,40,50,60,62,64,66,68,70,72,74,76,78,80,85,90,95,100})</f>
        <v>72</v>
      </c>
      <c r="Q254" s="5">
        <v>5.39</v>
      </c>
      <c r="R254" s="10">
        <f t="shared" si="124"/>
        <v>4.61</v>
      </c>
      <c r="S254" s="7">
        <f>LOOKUP(R254,{0,3.85,4.45,4.65,4.85,5.45,5.65,5.7,5.75,5.8,5.85,5.9,5.95,6,6.45,6.5,6.55,6.63,6.7,6.75,6.8},{0,10,20,30,40,50,60,62,64,66,68,70,72,74,76,78,80,85,90,95,100})</f>
        <v>20</v>
      </c>
      <c r="T254" s="5"/>
      <c r="U254" s="5"/>
      <c r="V254" s="5">
        <f t="shared" si="125"/>
        <v>20</v>
      </c>
      <c r="W254" s="5"/>
      <c r="X254" s="13">
        <f t="shared" si="126"/>
        <v>40.8</v>
      </c>
      <c r="Y254" s="13">
        <f t="shared" si="127"/>
        <v>58.2857142857143</v>
      </c>
    </row>
    <row r="255" ht="15.6" hidden="1" outlineLevel="2" spans="1:25">
      <c r="A255" s="5">
        <v>309</v>
      </c>
      <c r="B255" s="5">
        <v>11</v>
      </c>
      <c r="C255" s="8" t="s">
        <v>416</v>
      </c>
      <c r="D255" s="9" t="s">
        <v>12</v>
      </c>
      <c r="E255" s="5">
        <v>14.5</v>
      </c>
      <c r="F255" s="7">
        <f>LOOKUP(E255,{0,-1.8,-0.8,0.2,1.2,2.2,3.2,4.6,6,7.4,8.8,10.2,11.6,13,14.4,15.8,17.2,19.1,21,22.8,24.6},{0,10,20,30,40,50,60,62,64,66,68,70,72,74,76,78,80,85,90,95,100})</f>
        <v>76</v>
      </c>
      <c r="G255" s="5">
        <v>255</v>
      </c>
      <c r="H255" s="7">
        <f>LOOKUP(G255,{0,180,185,190,195,200,205,209,213,217,221,225,229,233,237,241,245,253,260,265,270},{0,10,20,30,40,50,60,62,64,66,68,70,72,74,76,78,80,85,90,95,100})</f>
        <v>85</v>
      </c>
      <c r="I255" s="5">
        <v>5</v>
      </c>
      <c r="J255" s="7">
        <f>LOOKUP(I255,{0,4,5,6,7,8,9,10,11,12,13,14,15,16,17,18},{0,10,20,30,40,50,60,64,68,72,76,80,85,90,95,100})</f>
        <v>20</v>
      </c>
      <c r="K255" s="5"/>
      <c r="L255" s="5"/>
      <c r="M255" s="5">
        <f t="shared" si="122"/>
        <v>20</v>
      </c>
      <c r="N255" s="5">
        <v>7.2</v>
      </c>
      <c r="O255" s="10">
        <f t="shared" si="123"/>
        <v>10.8</v>
      </c>
      <c r="P255" s="7">
        <f>LOOKUP(O255,{0,7.8,8,8.2,8.4,8.6,8.8,9,9.2,9.4,9.6,9.8,10,10.2,10.4,10.6,10.8,10.9,11,11.1,11.2},{0,10,20,30,40,50,60,62,64,66,68,70,72,74,76,78,80,85,90,95,100})</f>
        <v>80</v>
      </c>
      <c r="Q255" s="5">
        <v>4.25</v>
      </c>
      <c r="R255" s="10">
        <f t="shared" si="124"/>
        <v>5.75</v>
      </c>
      <c r="S255" s="7">
        <f>LOOKUP(R255,{0,3.85,4.45,4.65,4.85,5.45,5.65,5.7,5.75,5.8,5.85,5.9,5.95,6,6.45,6.5,6.55,6.63,6.7,6.75,6.8},{0,10,20,30,40,50,60,62,64,66,68,70,72,74,76,78,80,85,90,95,100})</f>
        <v>64</v>
      </c>
      <c r="T255" s="5"/>
      <c r="U255" s="5"/>
      <c r="V255" s="5">
        <f t="shared" si="125"/>
        <v>64</v>
      </c>
      <c r="W255" s="5"/>
      <c r="X255" s="13">
        <f t="shared" si="126"/>
        <v>46.9</v>
      </c>
      <c r="Y255" s="13">
        <f t="shared" si="127"/>
        <v>67</v>
      </c>
    </row>
    <row r="256" ht="15.6" hidden="1" outlineLevel="2" spans="1:25">
      <c r="A256" s="5">
        <v>309</v>
      </c>
      <c r="B256" s="5">
        <v>12</v>
      </c>
      <c r="C256" s="9" t="s">
        <v>417</v>
      </c>
      <c r="D256" s="9" t="s">
        <v>12</v>
      </c>
      <c r="E256" s="5">
        <v>9.5</v>
      </c>
      <c r="F256" s="7">
        <f>LOOKUP(E256,{0,-1.8,-0.8,0.2,1.2,2.2,3.2,4.6,6,7.4,8.8,10.2,11.6,13,14.4,15.8,17.2,19.1,21,22.8,24.6},{0,10,20,30,40,50,60,62,64,66,68,70,72,74,76,78,80,85,90,95,100})</f>
        <v>68</v>
      </c>
      <c r="G256" s="5">
        <v>235</v>
      </c>
      <c r="H256" s="7">
        <f>LOOKUP(G256,{0,180,185,190,195,200,205,209,213,217,221,225,229,233,237,241,245,253,260,265,270},{0,10,20,30,40,50,60,62,64,66,68,70,72,74,76,78,80,85,90,95,100})</f>
        <v>74</v>
      </c>
      <c r="I256" s="5">
        <v>1</v>
      </c>
      <c r="J256" s="7">
        <f>LOOKUP(I256,{0,4,5,6,7,8,9,10,11,12,13,14,15,16,17,18},{0,10,20,30,40,50,60,64,68,72,76,80,85,90,95,100})</f>
        <v>0</v>
      </c>
      <c r="K256" s="5"/>
      <c r="L256" s="5"/>
      <c r="M256" s="5">
        <f t="shared" si="122"/>
        <v>0</v>
      </c>
      <c r="N256" s="5">
        <v>7.9</v>
      </c>
      <c r="O256" s="10">
        <f t="shared" si="123"/>
        <v>10.1</v>
      </c>
      <c r="P256" s="7">
        <f>LOOKUP(O256,{0,7.8,8,8.2,8.4,8.6,8.8,9,9.2,9.4,9.6,9.8,10,10.2,10.4,10.6,10.8,10.9,11,11.1,11.2},{0,10,20,30,40,50,60,62,64,66,68,70,72,74,76,78,80,85,90,95,100})</f>
        <v>72</v>
      </c>
      <c r="Q256" s="5">
        <v>4.22</v>
      </c>
      <c r="R256" s="10">
        <f t="shared" si="124"/>
        <v>5.78</v>
      </c>
      <c r="S256" s="7">
        <f>LOOKUP(R256,{0,3.85,4.45,4.65,4.85,5.45,5.65,5.7,5.75,5.8,5.85,5.9,5.95,6,6.45,6.5,6.55,6.63,6.7,6.75,6.8},{0,10,20,30,40,50,60,62,64,66,68,70,72,74,76,78,80,85,90,95,100})</f>
        <v>64</v>
      </c>
      <c r="T256" s="5"/>
      <c r="U256" s="5"/>
      <c r="V256" s="5">
        <f t="shared" si="125"/>
        <v>64</v>
      </c>
      <c r="W256" s="5"/>
      <c r="X256" s="13">
        <f t="shared" si="126"/>
        <v>41.4</v>
      </c>
      <c r="Y256" s="13">
        <f t="shared" si="127"/>
        <v>59.1428571428572</v>
      </c>
    </row>
    <row r="257" ht="15.6" hidden="1" outlineLevel="2" spans="1:25">
      <c r="A257" s="5">
        <v>309</v>
      </c>
      <c r="B257" s="5">
        <v>13</v>
      </c>
      <c r="C257" s="9" t="s">
        <v>418</v>
      </c>
      <c r="D257" s="9" t="s">
        <v>12</v>
      </c>
      <c r="E257" s="5">
        <v>12.5</v>
      </c>
      <c r="F257" s="7">
        <f>LOOKUP(E257,{0,-1.8,-0.8,0.2,1.2,2.2,3.2,4.6,6,7.4,8.8,10.2,11.6,13,14.4,15.8,17.2,19.1,21,22.8,24.6},{0,10,20,30,40,50,60,62,64,66,68,70,72,74,76,78,80,85,90,95,100})</f>
        <v>72</v>
      </c>
      <c r="G257" s="5">
        <v>225</v>
      </c>
      <c r="H257" s="7">
        <f>LOOKUP(G257,{0,180,185,190,195,200,205,209,213,217,221,225,229,233,237,241,245,253,260,265,270},{0,10,20,30,40,50,60,62,64,66,68,70,72,74,76,78,80,85,90,95,100})</f>
        <v>70</v>
      </c>
      <c r="I257" s="5">
        <v>11</v>
      </c>
      <c r="J257" s="7">
        <f>LOOKUP(I257,{0,4,5,6,7,8,9,10,11,12,13,14,15,16,17,18},{0,10,20,30,40,50,60,64,68,72,76,80,85,90,95,100})</f>
        <v>68</v>
      </c>
      <c r="K257" s="5"/>
      <c r="L257" s="5"/>
      <c r="M257" s="5">
        <f t="shared" si="122"/>
        <v>68</v>
      </c>
      <c r="N257" s="5">
        <v>7.8</v>
      </c>
      <c r="O257" s="10">
        <f t="shared" si="123"/>
        <v>10.2</v>
      </c>
      <c r="P257" s="7">
        <f>LOOKUP(O257,{0,7.8,8,8.2,8.4,8.6,8.8,9,9.2,9.4,9.6,9.8,10,10.2,10.4,10.6,10.8,10.9,11,11.1,11.2},{0,10,20,30,40,50,60,62,64,66,68,70,72,74,76,78,80,85,90,95,100})</f>
        <v>74</v>
      </c>
      <c r="Q257" s="5">
        <v>3.57</v>
      </c>
      <c r="R257" s="10">
        <f t="shared" si="124"/>
        <v>6.43</v>
      </c>
      <c r="S257" s="7">
        <f>LOOKUP(R257,{0,3.85,4.45,4.65,4.85,5.45,5.65,5.7,5.75,5.8,5.85,5.9,5.95,6,6.45,6.5,6.55,6.63,6.7,6.75,6.8},{0,10,20,30,40,50,60,62,64,66,68,70,72,74,76,78,80,85,90,95,100})</f>
        <v>74</v>
      </c>
      <c r="T257" s="5"/>
      <c r="U257" s="5"/>
      <c r="V257" s="5">
        <f t="shared" si="125"/>
        <v>74</v>
      </c>
      <c r="W257" s="5"/>
      <c r="X257" s="13">
        <f t="shared" si="126"/>
        <v>50.6</v>
      </c>
      <c r="Y257" s="13">
        <f t="shared" si="127"/>
        <v>72.2857142857143</v>
      </c>
    </row>
    <row r="258" ht="15.6" hidden="1" outlineLevel="2" spans="1:25">
      <c r="A258" s="5">
        <v>309</v>
      </c>
      <c r="B258" s="5">
        <v>14</v>
      </c>
      <c r="C258" s="9" t="s">
        <v>419</v>
      </c>
      <c r="D258" s="9" t="s">
        <v>12</v>
      </c>
      <c r="E258" s="5">
        <v>11.2</v>
      </c>
      <c r="F258" s="7">
        <f>LOOKUP(E258,{0,-1.8,-0.8,0.2,1.2,2.2,3.2,4.6,6,7.4,8.8,10.2,11.6,13,14.4,15.8,17.2,19.1,21,22.8,24.6},{0,10,20,30,40,50,60,62,64,66,68,70,72,74,76,78,80,85,90,95,100})</f>
        <v>70</v>
      </c>
      <c r="G258" s="5">
        <v>235</v>
      </c>
      <c r="H258" s="7">
        <f>LOOKUP(G258,{0,180,185,190,195,200,205,209,213,217,221,225,229,233,237,241,245,253,260,265,270},{0,10,20,30,40,50,60,62,64,66,68,70,72,74,76,78,80,85,90,95,100})</f>
        <v>74</v>
      </c>
      <c r="I258" s="5">
        <v>12</v>
      </c>
      <c r="J258" s="7">
        <f>LOOKUP(I258,{0,4,5,6,7,8,9,10,11,12,13,14,15,16,17,18},{0,10,20,30,40,50,60,64,68,72,76,80,85,90,95,100})</f>
        <v>72</v>
      </c>
      <c r="K258" s="5"/>
      <c r="L258" s="5"/>
      <c r="M258" s="5">
        <f t="shared" si="122"/>
        <v>72</v>
      </c>
      <c r="N258" s="5">
        <v>7.1</v>
      </c>
      <c r="O258" s="10">
        <f t="shared" si="123"/>
        <v>10.9</v>
      </c>
      <c r="P258" s="7">
        <f>LOOKUP(O258,{0,7.8,8,8.2,8.4,8.6,8.8,9,9.2,9.4,9.6,9.8,10,10.2,10.4,10.6,10.8,10.9,11,11.1,11.2},{0,10,20,30,40,50,60,62,64,66,68,70,72,74,76,78,80,85,90,95,100})</f>
        <v>85</v>
      </c>
      <c r="Q258" s="5">
        <v>4.1</v>
      </c>
      <c r="R258" s="10">
        <f t="shared" si="124"/>
        <v>5.9</v>
      </c>
      <c r="S258" s="7">
        <f>LOOKUP(R258,{0,3.85,4.45,4.65,4.85,5.45,5.65,5.7,5.75,5.8,5.85,5.9,5.95,6,6.45,6.5,6.55,6.63,6.7,6.75,6.8},{0,10,20,30,40,50,60,62,64,66,68,70,72,74,76,78,80,85,90,95,100})</f>
        <v>70</v>
      </c>
      <c r="T258" s="5"/>
      <c r="U258" s="5"/>
      <c r="V258" s="5">
        <f t="shared" si="125"/>
        <v>70</v>
      </c>
      <c r="W258" s="5"/>
      <c r="X258" s="13">
        <f t="shared" si="126"/>
        <v>52.6</v>
      </c>
      <c r="Y258" s="13">
        <f t="shared" si="127"/>
        <v>75.1428571428572</v>
      </c>
    </row>
    <row r="259" ht="15.6" hidden="1" outlineLevel="2" spans="1:25">
      <c r="A259" s="5">
        <v>309</v>
      </c>
      <c r="B259" s="5">
        <v>15</v>
      </c>
      <c r="C259" s="9" t="s">
        <v>420</v>
      </c>
      <c r="D259" s="9" t="s">
        <v>12</v>
      </c>
      <c r="E259" s="5">
        <v>17</v>
      </c>
      <c r="F259" s="7">
        <f>LOOKUP(E259,{0,-1.8,-0.8,0.2,1.2,2.2,3.2,4.6,6,7.4,8.8,10.2,11.6,13,14.4,15.8,17.2,19.1,21,22.8,24.6},{0,10,20,30,40,50,60,62,64,66,68,70,72,74,76,78,80,85,90,95,100})</f>
        <v>78</v>
      </c>
      <c r="G259" s="5">
        <v>250</v>
      </c>
      <c r="H259" s="7">
        <f>LOOKUP(G259,{0,180,185,190,195,200,205,209,213,217,221,225,229,233,237,241,245,253,260,265,270},{0,10,20,30,40,50,60,62,64,66,68,70,72,74,76,78,80,85,90,95,100})</f>
        <v>80</v>
      </c>
      <c r="I259" s="5">
        <v>10</v>
      </c>
      <c r="J259" s="7">
        <f>LOOKUP(I259,{0,4,5,6,7,8,9,10,11,12,13,14,15,16,17,18},{0,10,20,30,40,50,60,64,68,72,76,80,85,90,95,100})</f>
        <v>64</v>
      </c>
      <c r="K259" s="5"/>
      <c r="L259" s="5"/>
      <c r="M259" s="5">
        <f t="shared" si="122"/>
        <v>64</v>
      </c>
      <c r="N259" s="5">
        <v>6.9</v>
      </c>
      <c r="O259" s="10">
        <f t="shared" si="123"/>
        <v>11.1</v>
      </c>
      <c r="P259" s="7">
        <f>LOOKUP(O259,{0,7.8,8,8.2,8.4,8.6,8.8,9,9.2,9.4,9.6,9.8,10,10.2,10.4,10.6,10.8,10.9,11,11.1,11.2},{0,10,20,30,40,50,60,62,64,66,68,70,72,74,76,78,80,85,90,95,100})</f>
        <v>95</v>
      </c>
      <c r="Q259" s="5">
        <v>4.07</v>
      </c>
      <c r="R259" s="10">
        <f t="shared" si="124"/>
        <v>5.93</v>
      </c>
      <c r="S259" s="7">
        <f>LOOKUP(R259,{0,3.85,4.45,4.65,4.85,5.45,5.65,5.7,5.75,5.8,5.85,5.9,5.95,6,6.45,6.5,6.55,6.63,6.7,6.75,6.8},{0,10,20,30,40,50,60,62,64,66,68,70,72,74,76,78,80,85,90,95,100})</f>
        <v>70</v>
      </c>
      <c r="T259" s="5"/>
      <c r="U259" s="5"/>
      <c r="V259" s="5">
        <f t="shared" si="125"/>
        <v>70</v>
      </c>
      <c r="W259" s="5"/>
      <c r="X259" s="13">
        <f t="shared" si="126"/>
        <v>55.2</v>
      </c>
      <c r="Y259" s="13">
        <f t="shared" si="127"/>
        <v>78.8571428571429</v>
      </c>
    </row>
    <row r="260" ht="15.6" hidden="1" outlineLevel="2" spans="1:25">
      <c r="A260" s="5">
        <v>309</v>
      </c>
      <c r="B260" s="5">
        <v>16</v>
      </c>
      <c r="C260" s="9" t="s">
        <v>421</v>
      </c>
      <c r="D260" s="9" t="s">
        <v>12</v>
      </c>
      <c r="E260" s="5">
        <v>27.5</v>
      </c>
      <c r="F260" s="7">
        <f>LOOKUP(E260,{0,-1.8,-0.8,0.2,1.2,2.2,3.2,4.6,6,7.4,8.8,10.2,11.6,13,14.4,15.8,17.2,19.1,21,22.8,24.6},{0,10,20,30,40,50,60,62,64,66,68,70,72,74,76,78,80,85,90,95,100})</f>
        <v>100</v>
      </c>
      <c r="G260" s="5">
        <v>235</v>
      </c>
      <c r="H260" s="7">
        <f>LOOKUP(G260,{0,180,185,190,195,200,205,209,213,217,221,225,229,233,237,241,245,253,260,265,270},{0,10,20,30,40,50,60,62,64,66,68,70,72,74,76,78,80,85,90,95,100})</f>
        <v>74</v>
      </c>
      <c r="I260" s="5">
        <v>18</v>
      </c>
      <c r="J260" s="7">
        <f>LOOKUP(I260,{0,4,5,6,7,8,9,10,11,12,13,14,15,16,17,18},{0,10,20,30,40,50,60,64,68,72,76,80,85,90,95,100})</f>
        <v>100</v>
      </c>
      <c r="K260" s="5"/>
      <c r="L260" s="5"/>
      <c r="M260" s="5">
        <f t="shared" si="122"/>
        <v>100</v>
      </c>
      <c r="N260" s="5">
        <v>7.3</v>
      </c>
      <c r="O260" s="10">
        <f t="shared" si="123"/>
        <v>10.7</v>
      </c>
      <c r="P260" s="7">
        <f>LOOKUP(O260,{0,7.8,8,8.2,8.4,8.6,8.8,9,9.2,9.4,9.6,9.8,10,10.2,10.4,10.6,10.8,10.9,11,11.1,11.2},{0,10,20,30,40,50,60,62,64,66,68,70,72,74,76,78,80,85,90,95,100})</f>
        <v>78</v>
      </c>
      <c r="Q260" s="5">
        <v>4.15</v>
      </c>
      <c r="R260" s="10">
        <f t="shared" si="124"/>
        <v>5.85</v>
      </c>
      <c r="S260" s="7">
        <f>LOOKUP(R260,{0,3.85,4.45,4.65,4.85,5.45,5.65,5.7,5.75,5.8,5.85,5.9,5.95,6,6.45,6.5,6.55,6.63,6.7,6.75,6.8},{0,10,20,30,40,50,60,62,64,66,68,70,72,74,76,78,80,85,90,95,100})</f>
        <v>68</v>
      </c>
      <c r="T260" s="5"/>
      <c r="U260" s="5"/>
      <c r="V260" s="5">
        <f t="shared" si="125"/>
        <v>68</v>
      </c>
      <c r="W260" s="5"/>
      <c r="X260" s="13">
        <f t="shared" si="126"/>
        <v>56.6</v>
      </c>
      <c r="Y260" s="13">
        <f t="shared" si="127"/>
        <v>80.8571428571429</v>
      </c>
    </row>
    <row r="261" ht="15.6" hidden="1" outlineLevel="2" spans="1:25">
      <c r="A261" s="5">
        <v>309</v>
      </c>
      <c r="B261" s="5">
        <v>17</v>
      </c>
      <c r="C261" s="9" t="s">
        <v>422</v>
      </c>
      <c r="D261" s="9" t="s">
        <v>12</v>
      </c>
      <c r="E261" s="5">
        <v>9.4</v>
      </c>
      <c r="F261" s="7">
        <f>LOOKUP(E261,{0,-1.8,-0.8,0.2,1.2,2.2,3.2,4.6,6,7.4,8.8,10.2,11.6,13,14.4,15.8,17.2,19.1,21,22.8,24.6},{0,10,20,30,40,50,60,62,64,66,68,70,72,74,76,78,80,85,90,95,100})</f>
        <v>68</v>
      </c>
      <c r="G261" s="5">
        <v>225</v>
      </c>
      <c r="H261" s="7">
        <f>LOOKUP(G261,{0,180,185,190,195,200,205,209,213,217,221,225,229,233,237,241,245,253,260,265,270},{0,10,20,30,40,50,60,62,64,66,68,70,72,74,76,78,80,85,90,95,100})</f>
        <v>70</v>
      </c>
      <c r="I261" s="5">
        <v>2</v>
      </c>
      <c r="J261" s="7">
        <f>LOOKUP(I261,{0,4,5,6,7,8,9,10,11,12,13,14,15,16,17,18},{0,10,20,30,40,50,60,64,68,72,76,80,85,90,95,100})</f>
        <v>0</v>
      </c>
      <c r="K261" s="5"/>
      <c r="L261" s="5"/>
      <c r="M261" s="5">
        <f t="shared" si="122"/>
        <v>0</v>
      </c>
      <c r="N261" s="5">
        <v>8.5</v>
      </c>
      <c r="O261" s="10">
        <f t="shared" si="123"/>
        <v>9.5</v>
      </c>
      <c r="P261" s="7">
        <f>LOOKUP(O261,{0,7.8,8,8.2,8.4,8.6,8.8,9,9.2,9.4,9.6,9.8,10,10.2,10.4,10.6,10.8,10.9,11,11.1,11.2},{0,10,20,30,40,50,60,62,64,66,68,70,72,74,76,78,80,85,90,95,100})</f>
        <v>66</v>
      </c>
      <c r="Q261" s="5">
        <v>4.24</v>
      </c>
      <c r="R261" s="10">
        <f t="shared" si="124"/>
        <v>5.76</v>
      </c>
      <c r="S261" s="7">
        <f>LOOKUP(R261,{0,3.85,4.45,4.65,4.85,5.45,5.65,5.7,5.75,5.8,5.85,5.9,5.95,6,6.45,6.5,6.55,6.63,6.7,6.75,6.8},{0,10,20,30,40,50,60,62,64,66,68,70,72,74,76,78,80,85,90,95,100})</f>
        <v>64</v>
      </c>
      <c r="T261" s="5"/>
      <c r="U261" s="5"/>
      <c r="V261" s="5">
        <f t="shared" si="125"/>
        <v>64</v>
      </c>
      <c r="W261" s="5"/>
      <c r="X261" s="13">
        <f t="shared" si="126"/>
        <v>39.8</v>
      </c>
      <c r="Y261" s="13">
        <f t="shared" si="127"/>
        <v>56.8571428571429</v>
      </c>
    </row>
    <row r="262" ht="15.6" hidden="1" outlineLevel="2" spans="1:25">
      <c r="A262" s="5">
        <v>309</v>
      </c>
      <c r="B262" s="5">
        <v>18</v>
      </c>
      <c r="C262" s="9" t="s">
        <v>423</v>
      </c>
      <c r="D262" s="9" t="s">
        <v>12</v>
      </c>
      <c r="E262" s="5">
        <v>16.3</v>
      </c>
      <c r="F262" s="7">
        <f>LOOKUP(E262,{0,-1.8,-0.8,0.2,1.2,2.2,3.2,4.6,6,7.4,8.8,10.2,11.6,13,14.4,15.8,17.2,19.1,21,22.8,24.6},{0,10,20,30,40,50,60,62,64,66,68,70,72,74,76,78,80,85,90,95,100})</f>
        <v>78</v>
      </c>
      <c r="G262" s="5">
        <v>215</v>
      </c>
      <c r="H262" s="7">
        <f>LOOKUP(G262,{0,180,185,190,195,200,205,209,213,217,221,225,229,233,237,241,245,253,260,265,270},{0,10,20,30,40,50,60,62,64,66,68,70,72,74,76,78,80,85,90,95,100})</f>
        <v>64</v>
      </c>
      <c r="I262" s="5">
        <v>5</v>
      </c>
      <c r="J262" s="7">
        <f>LOOKUP(I262,{0,4,5,6,7,8,9,10,11,12,13,14,15,16,17,18},{0,10,20,30,40,50,60,64,68,72,76,80,85,90,95,100})</f>
        <v>20</v>
      </c>
      <c r="K262" s="5"/>
      <c r="L262" s="5"/>
      <c r="M262" s="5">
        <f t="shared" si="122"/>
        <v>20</v>
      </c>
      <c r="N262" s="5">
        <v>7.9</v>
      </c>
      <c r="O262" s="10">
        <f t="shared" si="123"/>
        <v>10.1</v>
      </c>
      <c r="P262" s="7">
        <f>LOOKUP(O262,{0,7.8,8,8.2,8.4,8.6,8.8,9,9.2,9.4,9.6,9.8,10,10.2,10.4,10.6,10.8,10.9,11,11.1,11.2},{0,10,20,30,40,50,60,62,64,66,68,70,72,74,76,78,80,85,90,95,100})</f>
        <v>72</v>
      </c>
      <c r="Q262" s="5">
        <v>4.27</v>
      </c>
      <c r="R262" s="10">
        <f t="shared" si="124"/>
        <v>5.73</v>
      </c>
      <c r="S262" s="7">
        <f>LOOKUP(R262,{0,3.85,4.45,4.65,4.85,5.45,5.65,5.7,5.75,5.8,5.85,5.9,5.95,6,6.45,6.5,6.55,6.63,6.7,6.75,6.8},{0,10,20,30,40,50,60,62,64,66,68,70,72,74,76,78,80,85,90,95,100})</f>
        <v>62</v>
      </c>
      <c r="T262" s="5"/>
      <c r="U262" s="5"/>
      <c r="V262" s="5">
        <f t="shared" si="125"/>
        <v>62</v>
      </c>
      <c r="W262" s="5"/>
      <c r="X262" s="13">
        <f t="shared" si="126"/>
        <v>43</v>
      </c>
      <c r="Y262" s="13">
        <f t="shared" si="127"/>
        <v>61.4285714285714</v>
      </c>
    </row>
    <row r="263" ht="15.6" hidden="1" outlineLevel="2" spans="1:25">
      <c r="A263" s="5">
        <v>309</v>
      </c>
      <c r="B263" s="5">
        <v>19</v>
      </c>
      <c r="C263" s="9" t="s">
        <v>424</v>
      </c>
      <c r="D263" s="9" t="s">
        <v>12</v>
      </c>
      <c r="E263" s="5">
        <v>14</v>
      </c>
      <c r="F263" s="7">
        <f>LOOKUP(E263,{0,-1.8,-0.8,0.2,1.2,2.2,3.2,4.6,6,7.4,8.8,10.2,11.6,13,14.4,15.8,17.2,19.1,21,22.8,24.6},{0,10,20,30,40,50,60,62,64,66,68,70,72,74,76,78,80,85,90,95,100})</f>
        <v>74</v>
      </c>
      <c r="G263" s="5">
        <v>253</v>
      </c>
      <c r="H263" s="7">
        <f>LOOKUP(G263,{0,180,185,190,195,200,205,209,213,217,221,225,229,233,237,241,245,253,260,265,270},{0,10,20,30,40,50,60,62,64,66,68,70,72,74,76,78,80,85,90,95,100})</f>
        <v>85</v>
      </c>
      <c r="I263" s="5">
        <v>18</v>
      </c>
      <c r="J263" s="7">
        <f>LOOKUP(I263,{0,4,5,6,7,8,9,10,11,12,13,14,15,16,17,18},{0,10,20,30,40,50,60,64,68,72,76,80,85,90,95,100})</f>
        <v>100</v>
      </c>
      <c r="K263" s="5"/>
      <c r="L263" s="5"/>
      <c r="M263" s="5">
        <f t="shared" si="122"/>
        <v>100</v>
      </c>
      <c r="N263" s="5">
        <v>7.3</v>
      </c>
      <c r="O263" s="10">
        <f t="shared" si="123"/>
        <v>10.7</v>
      </c>
      <c r="P263" s="7">
        <f>LOOKUP(O263,{0,7.8,8,8.2,8.4,8.6,8.8,9,9.2,9.4,9.6,9.8,10,10.2,10.4,10.6,10.8,10.9,11,11.1,11.2},{0,10,20,30,40,50,60,62,64,66,68,70,72,74,76,78,80,85,90,95,100})</f>
        <v>78</v>
      </c>
      <c r="Q263" s="5">
        <v>3.56</v>
      </c>
      <c r="R263" s="10">
        <f t="shared" si="124"/>
        <v>6.44</v>
      </c>
      <c r="S263" s="7">
        <f>LOOKUP(R263,{0,3.85,4.45,4.65,4.85,5.45,5.65,5.7,5.75,5.8,5.85,5.9,5.95,6,6.45,6.5,6.55,6.63,6.7,6.75,6.8},{0,10,20,30,40,50,60,62,64,66,68,70,72,74,76,78,80,85,90,95,100})</f>
        <v>74</v>
      </c>
      <c r="T263" s="5"/>
      <c r="U263" s="5"/>
      <c r="V263" s="5">
        <f t="shared" si="125"/>
        <v>74</v>
      </c>
      <c r="W263" s="5"/>
      <c r="X263" s="13">
        <f t="shared" si="126"/>
        <v>56.3</v>
      </c>
      <c r="Y263" s="13">
        <f t="shared" si="127"/>
        <v>80.4285714285714</v>
      </c>
    </row>
    <row r="264" ht="15.6" hidden="1" outlineLevel="2" spans="1:25">
      <c r="A264" s="5">
        <v>309</v>
      </c>
      <c r="B264" s="5">
        <v>20</v>
      </c>
      <c r="C264" s="9" t="s">
        <v>425</v>
      </c>
      <c r="D264" s="9" t="s">
        <v>12</v>
      </c>
      <c r="E264" s="5">
        <v>7</v>
      </c>
      <c r="F264" s="7">
        <f>LOOKUP(E264,{0,-1.8,-0.8,0.2,1.2,2.2,3.2,4.6,6,7.4,8.8,10.2,11.6,13,14.4,15.8,17.2,19.1,21,22.8,24.6},{0,10,20,30,40,50,60,62,64,66,68,70,72,74,76,78,80,85,90,95,100})</f>
        <v>64</v>
      </c>
      <c r="G264" s="5">
        <v>215</v>
      </c>
      <c r="H264" s="7">
        <f>LOOKUP(G264,{0,180,185,190,195,200,205,209,213,217,221,225,229,233,237,241,245,253,260,265,270},{0,10,20,30,40,50,60,62,64,66,68,70,72,74,76,78,80,85,90,95,100})</f>
        <v>64</v>
      </c>
      <c r="I264" s="5">
        <v>1</v>
      </c>
      <c r="J264" s="7">
        <f>LOOKUP(I264,{0,4,5,6,7,8,9,10,11,12,13,14,15,16,17,18},{0,10,20,30,40,50,60,64,68,72,76,80,85,90,95,100})</f>
        <v>0</v>
      </c>
      <c r="K264" s="5"/>
      <c r="L264" s="5"/>
      <c r="M264" s="5">
        <f t="shared" si="122"/>
        <v>0</v>
      </c>
      <c r="N264" s="5">
        <v>8.2</v>
      </c>
      <c r="O264" s="10">
        <f t="shared" si="123"/>
        <v>9.8</v>
      </c>
      <c r="P264" s="7">
        <f>LOOKUP(O264,{0,7.8,8,8.2,8.4,8.6,8.8,9,9.2,9.4,9.6,9.8,10,10.2,10.4,10.6,10.8,10.9,11,11.1,11.2},{0,10,20,30,40,50,60,62,64,66,68,70,72,74,76,78,80,85,90,95,100})</f>
        <v>70</v>
      </c>
      <c r="Q264" s="5">
        <v>5.24</v>
      </c>
      <c r="R264" s="10">
        <f t="shared" si="124"/>
        <v>4.76</v>
      </c>
      <c r="S264" s="7">
        <f>LOOKUP(R264,{0,3.85,4.45,4.65,4.85,5.45,5.65,5.7,5.75,5.8,5.85,5.9,5.95,6,6.45,6.5,6.55,6.63,6.7,6.75,6.8},{0,10,20,30,40,50,60,62,64,66,68,70,72,74,76,78,80,85,90,95,100})</f>
        <v>30</v>
      </c>
      <c r="T264" s="5"/>
      <c r="U264" s="5"/>
      <c r="V264" s="5">
        <f t="shared" si="125"/>
        <v>30</v>
      </c>
      <c r="W264" s="5"/>
      <c r="X264" s="13">
        <f t="shared" si="126"/>
        <v>32.8</v>
      </c>
      <c r="Y264" s="13">
        <f t="shared" si="127"/>
        <v>46.8571428571429</v>
      </c>
    </row>
    <row r="265" ht="15.6" hidden="1" outlineLevel="2" spans="1:25">
      <c r="A265" s="5">
        <v>309</v>
      </c>
      <c r="B265" s="5">
        <v>21</v>
      </c>
      <c r="C265" s="8" t="s">
        <v>427</v>
      </c>
      <c r="D265" s="9" t="s">
        <v>12</v>
      </c>
      <c r="E265" s="5">
        <v>1.6</v>
      </c>
      <c r="F265" s="7">
        <f>LOOKUP(E265,{0,-1.8,-0.8,0.2,1.2,2.2,3.2,4.6,6,7.4,8.8,10.2,11.6,13,14.4,15.8,17.2,19.1,21,22.8,24.6},{0,10,20,30,40,50,60,62,64,66,68,70,72,74,76,78,80,85,90,95,100})</f>
        <v>40</v>
      </c>
      <c r="G265" s="5">
        <v>160</v>
      </c>
      <c r="H265" s="7">
        <f>LOOKUP(G265,{0,180,185,190,195,200,205,209,213,217,221,225,229,233,237,241,245,253,260,265,270},{0,10,20,30,40,50,60,62,64,66,68,70,72,74,76,78,80,85,90,95,100})</f>
        <v>0</v>
      </c>
      <c r="I265" s="5">
        <v>0</v>
      </c>
      <c r="J265" s="7">
        <f>LOOKUP(I265,{0,4,5,6,7,8,9,10,11,12,13,14,15,16,17,18},{0,10,20,30,40,50,60,64,68,72,76,80,85,90,95,100})</f>
        <v>0</v>
      </c>
      <c r="K265" s="5"/>
      <c r="L265" s="5"/>
      <c r="M265" s="5">
        <f t="shared" si="122"/>
        <v>0</v>
      </c>
      <c r="N265" s="5">
        <v>7.7</v>
      </c>
      <c r="O265" s="10">
        <f t="shared" si="123"/>
        <v>10.3</v>
      </c>
      <c r="P265" s="7">
        <f>LOOKUP(O265,{0,7.8,8,8.2,8.4,8.6,8.8,9,9.2,9.4,9.6,9.8,10,10.2,10.4,10.6,10.8,10.9,11,11.1,11.2},{0,10,20,30,40,50,60,62,64,66,68,70,72,74,76,78,80,85,90,95,100})</f>
        <v>74</v>
      </c>
      <c r="Q265" s="5">
        <v>5.05</v>
      </c>
      <c r="R265" s="10">
        <f t="shared" si="124"/>
        <v>4.95</v>
      </c>
      <c r="S265" s="7">
        <f>LOOKUP(R265,{0,3.85,4.45,4.65,4.85,5.45,5.65,5.7,5.75,5.8,5.85,5.9,5.95,6,6.45,6.5,6.55,6.63,6.7,6.75,6.8},{0,10,20,30,40,50,60,62,64,66,68,70,72,74,76,78,80,85,90,95,100})</f>
        <v>40</v>
      </c>
      <c r="T265" s="5"/>
      <c r="U265" s="5"/>
      <c r="V265" s="5">
        <f t="shared" si="125"/>
        <v>40</v>
      </c>
      <c r="W265" s="5"/>
      <c r="X265" s="13">
        <f t="shared" si="126"/>
        <v>26.8</v>
      </c>
      <c r="Y265" s="13">
        <f t="shared" si="127"/>
        <v>38.2857142857143</v>
      </c>
    </row>
    <row r="266" ht="15.6" hidden="1" outlineLevel="2" spans="1:25">
      <c r="A266" s="5">
        <v>309</v>
      </c>
      <c r="B266" s="5">
        <v>22</v>
      </c>
      <c r="C266" s="5" t="s">
        <v>428</v>
      </c>
      <c r="D266" s="5" t="s">
        <v>12</v>
      </c>
      <c r="E266" s="5">
        <v>27</v>
      </c>
      <c r="F266" s="7">
        <f>LOOKUP(E266,{0,-1.8,-0.8,0.2,1.2,2.2,3.2,4.6,6,7.4,8.8,10.2,11.6,13,14.4,15.8,17.2,19.1,21,22.8,24.6},{0,10,20,30,40,50,60,62,64,66,68,70,72,74,76,78,80,85,90,95,100})</f>
        <v>100</v>
      </c>
      <c r="G266" s="5">
        <v>241</v>
      </c>
      <c r="H266" s="7">
        <f>LOOKUP(G266,{0,180,185,190,195,200,205,209,213,217,221,225,229,233,237,241,245,253,260,265,270},{0,10,20,30,40,50,60,62,64,66,68,70,72,74,76,78,80,85,90,95,100})</f>
        <v>78</v>
      </c>
      <c r="I266" s="5">
        <v>40</v>
      </c>
      <c r="J266" s="7">
        <f>LOOKUP(I266,{0,4,5,6,7,8,9,10,11,12,13,14,15,16,17,18},{0,10,20,30,40,50,60,64,68,72,76,80,85,90,95,100})</f>
        <v>100</v>
      </c>
      <c r="K266" s="5">
        <f>I266-18</f>
        <v>22</v>
      </c>
      <c r="L266" s="7">
        <f>LOOKUP(K266,{0,1,2,3,4,5,6,7,8,9,10},{0,1,2,3,4,5,6,7,8,9,10})</f>
        <v>10</v>
      </c>
      <c r="M266" s="5">
        <f t="shared" si="122"/>
        <v>110</v>
      </c>
      <c r="N266" s="5">
        <v>7.6</v>
      </c>
      <c r="O266" s="10">
        <f t="shared" si="123"/>
        <v>10.4</v>
      </c>
      <c r="P266" s="7">
        <f>LOOKUP(O266,{0,7.8,8,8.2,8.4,8.6,8.8,9,9.2,9.4,9.6,9.8,10,10.2,10.4,10.6,10.8,10.9,11,11.1,11.2},{0,10,20,30,40,50,60,62,64,66,68,70,72,74,76,78,80,85,90,95,100})</f>
        <v>76</v>
      </c>
      <c r="Q266" s="5">
        <v>4.1</v>
      </c>
      <c r="R266" s="10">
        <f t="shared" si="124"/>
        <v>5.9</v>
      </c>
      <c r="S266" s="7">
        <f>LOOKUP(R266,{0,3.85,4.45,4.65,4.85,5.45,5.65,5.7,5.75,5.8,5.85,5.9,5.95,6,6.45,6.5,6.55,6.63,6.7,6.75,6.8},{0,10,20,30,40,50,60,62,64,66,68,70,72,74,76,78,80,85,90,95,100})</f>
        <v>70</v>
      </c>
      <c r="T266" s="5"/>
      <c r="U266" s="5"/>
      <c r="V266" s="5">
        <f t="shared" si="125"/>
        <v>70</v>
      </c>
      <c r="W266" s="5"/>
      <c r="X266" s="13">
        <f t="shared" si="126"/>
        <v>57</v>
      </c>
      <c r="Y266" s="13">
        <f t="shared" si="127"/>
        <v>91.4285714285714</v>
      </c>
    </row>
    <row r="267" ht="15.6" hidden="1" outlineLevel="2" spans="1:25">
      <c r="A267" s="5">
        <v>309</v>
      </c>
      <c r="B267" s="5">
        <v>23</v>
      </c>
      <c r="C267" s="9" t="s">
        <v>429</v>
      </c>
      <c r="D267" s="9" t="s">
        <v>12</v>
      </c>
      <c r="E267" s="5">
        <v>15.4</v>
      </c>
      <c r="F267" s="7">
        <f>LOOKUP(E267,{0,-1.8,-0.8,0.2,1.2,2.2,3.2,4.6,6,7.4,8.8,10.2,11.6,13,14.4,15.8,17.2,19.1,21,22.8,24.6},{0,10,20,30,40,50,60,62,64,66,68,70,72,74,76,78,80,85,90,95,100})</f>
        <v>76</v>
      </c>
      <c r="G267" s="5">
        <v>226</v>
      </c>
      <c r="H267" s="7">
        <f>LOOKUP(G267,{0,180,185,190,195,200,205,209,213,217,221,225,229,233,237,241,245,253,260,265,270},{0,10,20,30,40,50,60,62,64,66,68,70,72,74,76,78,80,85,90,95,100})</f>
        <v>70</v>
      </c>
      <c r="I267" s="5">
        <v>14</v>
      </c>
      <c r="J267" s="7">
        <f>LOOKUP(I267,{0,4,5,6,7,8,9,10,11,12,13,14,15,16,17,18},{0,10,20,30,40,50,60,64,68,72,76,80,85,90,95,100})</f>
        <v>80</v>
      </c>
      <c r="K267" s="5"/>
      <c r="L267" s="5"/>
      <c r="M267" s="5">
        <f t="shared" si="122"/>
        <v>80</v>
      </c>
      <c r="N267" s="5">
        <v>7.7</v>
      </c>
      <c r="O267" s="10">
        <f t="shared" si="123"/>
        <v>10.3</v>
      </c>
      <c r="P267" s="7">
        <f>LOOKUP(O267,{0,7.8,8,8.2,8.4,8.6,8.8,9,9.2,9.4,9.6,9.8,10,10.2,10.4,10.6,10.8,10.9,11,11.1,11.2},{0,10,20,30,40,50,60,62,64,66,68,70,72,74,76,78,80,85,90,95,100})</f>
        <v>74</v>
      </c>
      <c r="Q267" s="5">
        <v>3.55</v>
      </c>
      <c r="R267" s="10">
        <f t="shared" si="124"/>
        <v>6.45</v>
      </c>
      <c r="S267" s="7">
        <f>LOOKUP(R267,{0,3.85,4.45,4.65,4.85,5.45,5.65,5.7,5.75,5.8,5.85,5.9,5.95,6,6.45,6.5,6.55,6.63,6.7,6.75,6.8},{0,10,20,30,40,50,60,62,64,66,68,70,72,74,76,78,80,85,90,95,100})</f>
        <v>76</v>
      </c>
      <c r="T267" s="5"/>
      <c r="U267" s="5"/>
      <c r="V267" s="5">
        <f t="shared" si="125"/>
        <v>76</v>
      </c>
      <c r="W267" s="5"/>
      <c r="X267" s="13">
        <f t="shared" si="126"/>
        <v>52.6</v>
      </c>
      <c r="Y267" s="13">
        <f t="shared" si="127"/>
        <v>75.1428571428572</v>
      </c>
    </row>
    <row r="268" ht="15.6" hidden="1" outlineLevel="2" spans="1:25">
      <c r="A268" s="5">
        <v>309</v>
      </c>
      <c r="B268" s="5">
        <v>24</v>
      </c>
      <c r="C268" s="9" t="s">
        <v>430</v>
      </c>
      <c r="D268" s="9" t="s">
        <v>12</v>
      </c>
      <c r="E268" s="5">
        <v>11</v>
      </c>
      <c r="F268" s="7">
        <f>LOOKUP(E268,{0,-1.8,-0.8,0.2,1.2,2.2,3.2,4.6,6,7.4,8.8,10.2,11.6,13,14.4,15.8,17.2,19.1,21,22.8,24.6},{0,10,20,30,40,50,60,62,64,66,68,70,72,74,76,78,80,85,90,95,100})</f>
        <v>70</v>
      </c>
      <c r="G268" s="5">
        <v>262</v>
      </c>
      <c r="H268" s="7">
        <f>LOOKUP(G268,{0,180,185,190,195,200,205,209,213,217,221,225,229,233,237,241,245,253,260,265,270},{0,10,20,30,40,50,60,62,64,66,68,70,72,74,76,78,80,85,90,95,100})</f>
        <v>90</v>
      </c>
      <c r="I268" s="5">
        <v>10</v>
      </c>
      <c r="J268" s="7">
        <f>LOOKUP(I268,{0,4,5,6,7,8,9,10,11,12,13,14,15,16,17,18},{0,10,20,30,40,50,60,64,68,72,76,80,85,90,95,100})</f>
        <v>64</v>
      </c>
      <c r="K268" s="5"/>
      <c r="L268" s="5"/>
      <c r="M268" s="5">
        <f t="shared" si="122"/>
        <v>64</v>
      </c>
      <c r="N268" s="5">
        <v>7.6</v>
      </c>
      <c r="O268" s="10">
        <f t="shared" si="123"/>
        <v>10.4</v>
      </c>
      <c r="P268" s="7">
        <f>LOOKUP(O268,{0,7.8,8,8.2,8.4,8.6,8.8,9,9.2,9.4,9.6,9.8,10,10.2,10.4,10.6,10.8,10.9,11,11.1,11.2},{0,10,20,30,40,50,60,62,64,66,68,70,72,74,76,78,80,85,90,95,100})</f>
        <v>76</v>
      </c>
      <c r="Q268" s="5">
        <v>4.36</v>
      </c>
      <c r="R268" s="10">
        <f t="shared" si="124"/>
        <v>5.64</v>
      </c>
      <c r="S268" s="7">
        <f>LOOKUP(R268,{0,3.85,4.45,4.65,4.85,5.45,5.65,5.7,5.75,5.8,5.85,5.9,5.95,6,6.45,6.5,6.55,6.63,6.7,6.75,6.8},{0,10,20,30,40,50,60,62,64,66,68,70,72,74,76,78,80,85,90,95,100})</f>
        <v>50</v>
      </c>
      <c r="T268" s="5"/>
      <c r="U268" s="5"/>
      <c r="V268" s="5">
        <f t="shared" si="125"/>
        <v>50</v>
      </c>
      <c r="W268" s="5"/>
      <c r="X268" s="13">
        <f t="shared" si="126"/>
        <v>47.6</v>
      </c>
      <c r="Y268" s="13">
        <f t="shared" si="127"/>
        <v>68</v>
      </c>
    </row>
    <row r="269" ht="15.6" hidden="1" outlineLevel="2" spans="1:25">
      <c r="A269" s="5">
        <v>309</v>
      </c>
      <c r="B269" s="5">
        <v>25</v>
      </c>
      <c r="C269" s="9" t="s">
        <v>431</v>
      </c>
      <c r="D269" s="9" t="s">
        <v>12</v>
      </c>
      <c r="E269" s="5"/>
      <c r="F269" s="7"/>
      <c r="G269" s="5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>
        <v>50</v>
      </c>
      <c r="X269" s="13"/>
      <c r="Y269" s="13">
        <v>50</v>
      </c>
    </row>
    <row r="270" ht="15.6" hidden="1" outlineLevel="2" spans="1:25">
      <c r="A270" s="5">
        <v>309</v>
      </c>
      <c r="B270" s="5">
        <v>26</v>
      </c>
      <c r="C270" s="5" t="s">
        <v>432</v>
      </c>
      <c r="D270" s="5" t="s">
        <v>12</v>
      </c>
      <c r="E270" s="5">
        <v>18.3</v>
      </c>
      <c r="F270" s="7">
        <f>LOOKUP(E270,{0,-1.8,-0.8,0.2,1.2,2.2,3.2,4.6,6,7.4,8.8,10.2,11.6,13,14.4,15.8,17.2,19.1,21,22.8,24.6},{0,10,20,30,40,50,60,62,64,66,68,70,72,74,76,78,80,85,90,95,100})</f>
        <v>80</v>
      </c>
      <c r="G270" s="5">
        <v>232</v>
      </c>
      <c r="H270" s="7">
        <f>LOOKUP(G270,{0,180,185,190,195,200,205,209,213,217,221,225,229,233,237,241,245,253,260,265,270},{0,10,20,30,40,50,60,62,64,66,68,70,72,74,76,78,80,85,90,95,100})</f>
        <v>72</v>
      </c>
      <c r="I270" s="5">
        <v>3</v>
      </c>
      <c r="J270" s="7">
        <f>LOOKUP(I270,{0,4,5,6,7,8,9,10,11,12,13,14,15,16,17,18},{0,10,20,30,40,50,60,64,68,72,76,80,85,90,95,100})</f>
        <v>0</v>
      </c>
      <c r="K270" s="5"/>
      <c r="L270" s="5"/>
      <c r="M270" s="5">
        <f t="shared" ref="M270:M273" si="128">J270+L270</f>
        <v>0</v>
      </c>
      <c r="N270" s="5">
        <v>6.8</v>
      </c>
      <c r="O270" s="10">
        <f t="shared" ref="O270:O273" si="129">18-N270</f>
        <v>11.2</v>
      </c>
      <c r="P270" s="7">
        <f>LOOKUP(O270,{0,7.8,8,8.2,8.4,8.6,8.8,9,9.2,9.4,9.6,9.8,10,10.2,10.4,10.6,10.8,10.9,11,11.1,11.2},{0,10,20,30,40,50,60,62,64,66,68,70,72,74,76,78,80,85,90,95,100})</f>
        <v>100</v>
      </c>
      <c r="Q270" s="5">
        <v>3.52</v>
      </c>
      <c r="R270" s="10">
        <f t="shared" ref="R270:R273" si="130">10-Q270</f>
        <v>6.48</v>
      </c>
      <c r="S270" s="7">
        <f>LOOKUP(R270,{0,3.85,4.45,4.65,4.85,5.45,5.65,5.7,5.75,5.8,5.85,5.9,5.95,6,6.45,6.5,6.55,6.63,6.7,6.75,6.8},{0,10,20,30,40,50,60,62,64,66,68,70,72,74,76,78,80,85,90,95,100})</f>
        <v>76</v>
      </c>
      <c r="T270" s="5"/>
      <c r="U270" s="5"/>
      <c r="V270" s="5">
        <f t="shared" ref="V270:V273" si="131">S270+U270</f>
        <v>76</v>
      </c>
      <c r="W270" s="5"/>
      <c r="X270" s="13">
        <f t="shared" ref="X270:X273" si="132">F270*0.1+H270*0.1+J270*0.1+P270*0.2+S270*0.2</f>
        <v>50.4</v>
      </c>
      <c r="Y270" s="13">
        <f t="shared" ref="Y270:Y273" si="133">X270/0.7+L270+U270</f>
        <v>72</v>
      </c>
    </row>
    <row r="271" ht="15.6" hidden="1" outlineLevel="2" spans="1:25">
      <c r="A271" s="5">
        <v>309</v>
      </c>
      <c r="B271" s="5">
        <v>27</v>
      </c>
      <c r="C271" s="9" t="s">
        <v>433</v>
      </c>
      <c r="D271" s="9" t="s">
        <v>12</v>
      </c>
      <c r="E271" s="5">
        <v>19</v>
      </c>
      <c r="F271" s="7">
        <f>LOOKUP(E271,{0,-1.8,-0.8,0.2,1.2,2.2,3.2,4.6,6,7.4,8.8,10.2,11.6,13,14.4,15.8,17.2,19.1,21,22.8,24.6},{0,10,20,30,40,50,60,62,64,66,68,70,72,74,76,78,80,85,90,95,100})</f>
        <v>80</v>
      </c>
      <c r="G271" s="5">
        <v>262</v>
      </c>
      <c r="H271" s="7">
        <f>LOOKUP(G271,{0,180,185,190,195,200,205,209,213,217,221,225,229,233,237,241,245,253,260,265,270},{0,10,20,30,40,50,60,62,64,66,68,70,72,74,76,78,80,85,90,95,100})</f>
        <v>90</v>
      </c>
      <c r="I271" s="5">
        <v>20</v>
      </c>
      <c r="J271" s="7">
        <f>LOOKUP(I271,{0,4,5,6,7,8,9,10,11,12,13,14,15,16,17,18},{0,10,20,30,40,50,60,64,68,72,76,80,85,90,95,100})</f>
        <v>100</v>
      </c>
      <c r="K271" s="5">
        <f>I271-18</f>
        <v>2</v>
      </c>
      <c r="L271" s="7">
        <f>LOOKUP(K271,{0,1,2,3,4,5,6,7,8,9,10},{0,1,2,3,4,5,6,7,8,9,10})</f>
        <v>2</v>
      </c>
      <c r="M271" s="5">
        <f t="shared" si="128"/>
        <v>102</v>
      </c>
      <c r="N271" s="5">
        <v>7.1</v>
      </c>
      <c r="O271" s="10">
        <f t="shared" si="129"/>
        <v>10.9</v>
      </c>
      <c r="P271" s="7">
        <f>LOOKUP(O271,{0,7.8,8,8.2,8.4,8.6,8.8,9,9.2,9.4,9.6,9.8,10,10.2,10.4,10.6,10.8,10.9,11,11.1,11.2},{0,10,20,30,40,50,60,62,64,66,68,70,72,74,76,78,80,85,90,95,100})</f>
        <v>85</v>
      </c>
      <c r="Q271" s="5">
        <v>3.28</v>
      </c>
      <c r="R271" s="10">
        <f t="shared" si="130"/>
        <v>6.72</v>
      </c>
      <c r="S271" s="7">
        <f>LOOKUP(R271,{0,3.85,4.45,4.65,4.85,5.45,5.65,5.7,5.75,5.8,5.85,5.9,5.95,6,6.45,6.5,6.55,6.63,6.7,6.75,6.8},{0,10,20,30,40,50,60,62,64,66,68,70,72,74,76,78,80,85,90,95,100})</f>
        <v>90</v>
      </c>
      <c r="T271" s="5"/>
      <c r="U271" s="5"/>
      <c r="V271" s="5">
        <f t="shared" si="131"/>
        <v>90</v>
      </c>
      <c r="W271" s="5"/>
      <c r="X271" s="13">
        <f t="shared" si="132"/>
        <v>62</v>
      </c>
      <c r="Y271" s="13">
        <f t="shared" si="133"/>
        <v>90.5714285714286</v>
      </c>
    </row>
    <row r="272" ht="15.6" hidden="1" outlineLevel="2" spans="1:25">
      <c r="A272" s="5">
        <v>309</v>
      </c>
      <c r="B272" s="5">
        <v>28</v>
      </c>
      <c r="C272" s="9" t="s">
        <v>434</v>
      </c>
      <c r="D272" s="9" t="s">
        <v>12</v>
      </c>
      <c r="E272" s="5">
        <v>6.3</v>
      </c>
      <c r="F272" s="7">
        <f>LOOKUP(E272,{0,-1.8,-0.8,0.2,1.2,2.2,3.2,4.6,6,7.4,8.8,10.2,11.6,13,14.4,15.8,17.2,19.1,21,22.8,24.6},{0,10,20,30,40,50,60,62,64,66,68,70,72,74,76,78,80,85,90,95,100})</f>
        <v>64</v>
      </c>
      <c r="G272" s="5">
        <v>211</v>
      </c>
      <c r="H272" s="7">
        <f>LOOKUP(G272,{0,180,185,190,195,200,205,209,213,217,221,225,229,233,237,241,245,253,260,265,270},{0,10,20,30,40,50,60,62,64,66,68,70,72,74,76,78,80,85,90,95,100})</f>
        <v>62</v>
      </c>
      <c r="I272" s="5">
        <v>0</v>
      </c>
      <c r="J272" s="7">
        <f>LOOKUP(I272,{0,4,5,6,7,8,9,10,11,12,13,14,15,16,17,18},{0,10,20,30,40,50,60,64,68,72,76,80,85,90,95,100})</f>
        <v>0</v>
      </c>
      <c r="K272" s="5"/>
      <c r="L272" s="5"/>
      <c r="M272" s="5">
        <f t="shared" si="128"/>
        <v>0</v>
      </c>
      <c r="N272" s="5">
        <v>8</v>
      </c>
      <c r="O272" s="10">
        <f t="shared" si="129"/>
        <v>10</v>
      </c>
      <c r="P272" s="7">
        <f>LOOKUP(O272,{0,7.8,8,8.2,8.4,8.6,8.8,9,9.2,9.4,9.6,9.8,10,10.2,10.4,10.6,10.8,10.9,11,11.1,11.2},{0,10,20,30,40,50,60,62,64,66,68,70,72,74,76,78,80,85,90,95,100})</f>
        <v>72</v>
      </c>
      <c r="Q272" s="5">
        <v>5.05</v>
      </c>
      <c r="R272" s="10">
        <f t="shared" si="130"/>
        <v>4.95</v>
      </c>
      <c r="S272" s="7">
        <f>LOOKUP(R272,{0,3.85,4.45,4.65,4.85,5.45,5.65,5.7,5.75,5.8,5.85,5.9,5.95,6,6.45,6.5,6.55,6.63,6.7,6.75,6.8},{0,10,20,30,40,50,60,62,64,66,68,70,72,74,76,78,80,85,90,95,100})</f>
        <v>40</v>
      </c>
      <c r="T272" s="5"/>
      <c r="U272" s="5"/>
      <c r="V272" s="5">
        <f t="shared" si="131"/>
        <v>40</v>
      </c>
      <c r="W272" s="5"/>
      <c r="X272" s="13">
        <f t="shared" si="132"/>
        <v>35</v>
      </c>
      <c r="Y272" s="13">
        <f t="shared" si="133"/>
        <v>50</v>
      </c>
    </row>
    <row r="273" ht="15.6" hidden="1" outlineLevel="2" spans="1:25">
      <c r="A273" s="5">
        <v>309</v>
      </c>
      <c r="B273" s="5">
        <v>29</v>
      </c>
      <c r="C273" s="9" t="s">
        <v>435</v>
      </c>
      <c r="D273" s="9" t="s">
        <v>12</v>
      </c>
      <c r="E273" s="5">
        <v>0.4</v>
      </c>
      <c r="F273" s="7">
        <f>LOOKUP(E273,{0,-1.8,-0.8,0.2,1.2,2.2,3.2,4.6,6,7.4,8.8,10.2,11.6,13,14.4,15.8,17.2,19.1,21,22.8,24.6},{0,10,20,30,40,50,60,62,64,66,68,70,72,74,76,78,80,85,90,95,100})</f>
        <v>30</v>
      </c>
      <c r="G273" s="5">
        <v>249</v>
      </c>
      <c r="H273" s="7">
        <f>LOOKUP(G273,{0,180,185,190,195,200,205,209,213,217,221,225,229,233,237,241,245,253,260,265,270},{0,10,20,30,40,50,60,62,64,66,68,70,72,74,76,78,80,85,90,95,100})</f>
        <v>80</v>
      </c>
      <c r="I273" s="5">
        <v>4</v>
      </c>
      <c r="J273" s="7">
        <f>LOOKUP(I273,{0,4,5,6,7,8,9,10,11,12,13,14,15,16,17,18},{0,10,20,30,40,50,60,64,68,72,76,80,85,90,95,100})</f>
        <v>10</v>
      </c>
      <c r="K273" s="5"/>
      <c r="L273" s="5"/>
      <c r="M273" s="5">
        <f t="shared" si="128"/>
        <v>10</v>
      </c>
      <c r="N273" s="5">
        <v>7</v>
      </c>
      <c r="O273" s="10">
        <f t="shared" si="129"/>
        <v>11</v>
      </c>
      <c r="P273" s="7">
        <f>LOOKUP(O273,{0,7.8,8,8.2,8.4,8.6,8.8,9,9.2,9.4,9.6,9.8,10,10.2,10.4,10.6,10.8,10.9,11,11.1,11.2},{0,10,20,30,40,50,60,62,64,66,68,70,72,74,76,78,80,85,90,95,100})</f>
        <v>90</v>
      </c>
      <c r="Q273" s="5">
        <v>9.16</v>
      </c>
      <c r="R273" s="10">
        <f t="shared" si="130"/>
        <v>0.84</v>
      </c>
      <c r="S273" s="7">
        <f>LOOKUP(R273,{0,3.85,4.45,4.65,4.85,5.45,5.65,5.7,5.75,5.8,5.85,5.9,5.95,6,6.45,6.5,6.55,6.63,6.7,6.75,6.8},{0,10,20,30,40,50,60,62,64,66,68,70,72,74,76,78,80,85,90,95,100})</f>
        <v>0</v>
      </c>
      <c r="T273" s="5"/>
      <c r="U273" s="5"/>
      <c r="V273" s="5">
        <f t="shared" si="131"/>
        <v>0</v>
      </c>
      <c r="W273" s="5"/>
      <c r="X273" s="13">
        <f t="shared" si="132"/>
        <v>30</v>
      </c>
      <c r="Y273" s="13">
        <f t="shared" si="133"/>
        <v>42.8571428571429</v>
      </c>
    </row>
    <row r="274" ht="15.6" hidden="1" outlineLevel="2" spans="1:25">
      <c r="A274" s="5">
        <v>309</v>
      </c>
      <c r="B274" s="5">
        <v>30</v>
      </c>
      <c r="C274" s="8" t="s">
        <v>437</v>
      </c>
      <c r="D274" s="9" t="s">
        <v>12</v>
      </c>
      <c r="E274" s="5"/>
      <c r="F274" s="7"/>
      <c r="G274" s="5"/>
      <c r="H274" s="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>
        <v>50</v>
      </c>
      <c r="X274" s="13"/>
      <c r="Y274" s="13">
        <v>50</v>
      </c>
    </row>
    <row r="275" ht="15.6" hidden="1" outlineLevel="2" spans="1:25">
      <c r="A275" s="5">
        <v>309</v>
      </c>
      <c r="B275" s="5">
        <v>31</v>
      </c>
      <c r="C275" s="9" t="s">
        <v>438</v>
      </c>
      <c r="D275" s="9" t="s">
        <v>12</v>
      </c>
      <c r="E275" s="5">
        <v>29</v>
      </c>
      <c r="F275" s="7">
        <f>LOOKUP(E275,{0,-1.8,-0.8,0.2,1.2,2.2,3.2,4.6,6,7.4,8.8,10.2,11.6,13,14.4,15.8,17.2,19.1,21,22.8,24.6},{0,10,20,30,40,50,60,62,64,66,68,70,72,74,76,78,80,85,90,95,100})</f>
        <v>100</v>
      </c>
      <c r="G275" s="5">
        <v>240</v>
      </c>
      <c r="H275" s="7">
        <f>LOOKUP(G275,{0,180,185,190,195,200,205,209,213,217,221,225,229,233,237,241,245,253,260,265,270},{0,10,20,30,40,50,60,62,64,66,68,70,72,74,76,78,80,85,90,95,100})</f>
        <v>76</v>
      </c>
      <c r="I275" s="5">
        <v>8</v>
      </c>
      <c r="J275" s="7">
        <f>LOOKUP(I275,{0,4,5,6,7,8,9,10,11,12,13,14,15,16,17,18},{0,10,20,30,40,50,60,64,68,72,76,80,85,90,95,100})</f>
        <v>50</v>
      </c>
      <c r="K275" s="5"/>
      <c r="L275" s="5"/>
      <c r="M275" s="5">
        <f t="shared" ref="M275:M288" si="134">J275+L275</f>
        <v>50</v>
      </c>
      <c r="N275" s="5">
        <v>6.9</v>
      </c>
      <c r="O275" s="10">
        <f t="shared" ref="O275:O288" si="135">18-N275</f>
        <v>11.1</v>
      </c>
      <c r="P275" s="7">
        <f>LOOKUP(O275,{0,7.8,8,8.2,8.4,8.6,8.8,9,9.2,9.4,9.6,9.8,10,10.2,10.4,10.6,10.8,10.9,11,11.1,11.2},{0,10,20,30,40,50,60,62,64,66,68,70,72,74,76,78,80,85,90,95,100})</f>
        <v>95</v>
      </c>
      <c r="Q275" s="5">
        <v>5.39</v>
      </c>
      <c r="R275" s="10">
        <f t="shared" ref="R275:R288" si="136">10-Q275</f>
        <v>4.61</v>
      </c>
      <c r="S275" s="7">
        <f>LOOKUP(R275,{0,3.85,4.45,4.65,4.85,5.45,5.65,5.7,5.75,5.8,5.85,5.9,5.95,6,6.45,6.5,6.55,6.63,6.7,6.75,6.8},{0,10,20,30,40,50,60,62,64,66,68,70,72,74,76,78,80,85,90,95,100})</f>
        <v>20</v>
      </c>
      <c r="T275" s="5"/>
      <c r="U275" s="5"/>
      <c r="V275" s="5">
        <f t="shared" ref="V275:V288" si="137">S275+U275</f>
        <v>20</v>
      </c>
      <c r="W275" s="5"/>
      <c r="X275" s="13">
        <f t="shared" ref="X275:X288" si="138">F275*0.1+H275*0.1+J275*0.1+P275*0.2+S275*0.2</f>
        <v>45.6</v>
      </c>
      <c r="Y275" s="13">
        <f t="shared" ref="Y275:Y288" si="139">X275/0.7+L275+U275</f>
        <v>65.1428571428572</v>
      </c>
    </row>
    <row r="276" ht="15.6" hidden="1" outlineLevel="2" spans="1:25">
      <c r="A276" s="5">
        <v>309</v>
      </c>
      <c r="B276" s="5">
        <v>32</v>
      </c>
      <c r="C276" s="9" t="s">
        <v>439</v>
      </c>
      <c r="D276" s="9" t="s">
        <v>12</v>
      </c>
      <c r="E276" s="5"/>
      <c r="F276" s="7"/>
      <c r="G276" s="5"/>
      <c r="H276" s="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>
        <v>50</v>
      </c>
      <c r="X276" s="13"/>
      <c r="Y276" s="13">
        <v>50</v>
      </c>
    </row>
    <row r="277" ht="15.6" hidden="1" outlineLevel="2" spans="1:25">
      <c r="A277" s="5">
        <v>309</v>
      </c>
      <c r="B277" s="5">
        <v>33</v>
      </c>
      <c r="C277" s="9" t="s">
        <v>440</v>
      </c>
      <c r="D277" s="9" t="s">
        <v>12</v>
      </c>
      <c r="E277" s="5">
        <v>15.5</v>
      </c>
      <c r="F277" s="7">
        <f>LOOKUP(E277,{0,-1.8,-0.8,0.2,1.2,2.2,3.2,4.6,6,7.4,8.8,10.2,11.6,13,14.4,15.8,17.2,19.1,21,22.8,24.6},{0,10,20,30,40,50,60,62,64,66,68,70,72,74,76,78,80,85,90,95,100})</f>
        <v>76</v>
      </c>
      <c r="G277" s="5">
        <v>230</v>
      </c>
      <c r="H277" s="7">
        <f>LOOKUP(G277,{0,180,185,190,195,200,205,209,213,217,221,225,229,233,237,241,245,253,260,265,270},{0,10,20,30,40,50,60,62,64,66,68,70,72,74,76,78,80,85,90,95,100})</f>
        <v>72</v>
      </c>
      <c r="I277" s="5">
        <v>2</v>
      </c>
      <c r="J277" s="7">
        <f>LOOKUP(I277,{0,4,5,6,7,8,9,10,11,12,13,14,15,16,17,18},{0,10,20,30,40,50,60,64,68,72,76,80,85,90,95,100})</f>
        <v>0</v>
      </c>
      <c r="K277" s="5"/>
      <c r="L277" s="5"/>
      <c r="M277" s="5">
        <f t="shared" si="134"/>
        <v>0</v>
      </c>
      <c r="N277" s="5">
        <v>9.1</v>
      </c>
      <c r="O277" s="10">
        <f t="shared" si="135"/>
        <v>8.9</v>
      </c>
      <c r="P277" s="7">
        <f>LOOKUP(O277,{0,7.8,8,8.2,8.4,8.6,8.8,9,9.2,9.4,9.6,9.8,10,10.2,10.4,10.6,10.8,10.9,11,11.1,11.2},{0,10,20,30,40,50,60,62,64,66,68,70,72,74,76,78,80,85,90,95,100})</f>
        <v>60</v>
      </c>
      <c r="Q277" s="5">
        <v>5.39</v>
      </c>
      <c r="R277" s="10">
        <f t="shared" si="136"/>
        <v>4.61</v>
      </c>
      <c r="S277" s="7">
        <f>LOOKUP(R277,{0,3.85,4.45,4.65,4.85,5.45,5.65,5.7,5.75,5.8,5.85,5.9,5.95,6,6.45,6.5,6.55,6.63,6.7,6.75,6.8},{0,10,20,30,40,50,60,62,64,66,68,70,72,74,76,78,80,85,90,95,100})</f>
        <v>20</v>
      </c>
      <c r="T277" s="5"/>
      <c r="U277" s="5"/>
      <c r="V277" s="5">
        <f t="shared" si="137"/>
        <v>20</v>
      </c>
      <c r="W277" s="5"/>
      <c r="X277" s="13">
        <f t="shared" si="138"/>
        <v>30.8</v>
      </c>
      <c r="Y277" s="13">
        <f t="shared" si="139"/>
        <v>44</v>
      </c>
    </row>
    <row r="278" ht="15.6" hidden="1" outlineLevel="2" spans="1:25">
      <c r="A278" s="5">
        <v>309</v>
      </c>
      <c r="B278" s="5">
        <v>34</v>
      </c>
      <c r="C278" s="9" t="s">
        <v>441</v>
      </c>
      <c r="D278" s="9" t="s">
        <v>12</v>
      </c>
      <c r="E278" s="5">
        <v>9.8</v>
      </c>
      <c r="F278" s="7">
        <f>LOOKUP(E278,{0,-1.8,-0.8,0.2,1.2,2.2,3.2,4.6,6,7.4,8.8,10.2,11.6,13,14.4,15.8,17.2,19.1,21,22.8,24.6},{0,10,20,30,40,50,60,62,64,66,68,70,72,74,76,78,80,85,90,95,100})</f>
        <v>68</v>
      </c>
      <c r="G278" s="5">
        <v>250</v>
      </c>
      <c r="H278" s="7">
        <f>LOOKUP(G278,{0,180,185,190,195,200,205,209,213,217,221,225,229,233,237,241,245,253,260,265,270},{0,10,20,30,40,50,60,62,64,66,68,70,72,74,76,78,80,85,90,95,100})</f>
        <v>80</v>
      </c>
      <c r="I278" s="5">
        <v>2</v>
      </c>
      <c r="J278" s="7">
        <f>LOOKUP(I278,{0,4,5,6,7,8,9,10,11,12,13,14,15,16,17,18},{0,10,20,30,40,50,60,64,68,72,76,80,85,90,95,100})</f>
        <v>0</v>
      </c>
      <c r="K278" s="5"/>
      <c r="L278" s="5"/>
      <c r="M278" s="5">
        <f t="shared" si="134"/>
        <v>0</v>
      </c>
      <c r="N278" s="5">
        <v>7.2</v>
      </c>
      <c r="O278" s="10">
        <f t="shared" si="135"/>
        <v>10.8</v>
      </c>
      <c r="P278" s="7">
        <f>LOOKUP(O278,{0,7.8,8,8.2,8.4,8.6,8.8,9,9.2,9.4,9.6,9.8,10,10.2,10.4,10.6,10.8,10.9,11,11.1,11.2},{0,10,20,30,40,50,60,62,64,66,68,70,72,74,76,78,80,85,90,95,100})</f>
        <v>80</v>
      </c>
      <c r="Q278" s="5">
        <v>3.29</v>
      </c>
      <c r="R278" s="10">
        <f t="shared" si="136"/>
        <v>6.71</v>
      </c>
      <c r="S278" s="7">
        <f>LOOKUP(R278,{0,3.85,4.45,4.65,4.85,5.45,5.65,5.7,5.75,5.8,5.85,5.9,5.95,6,6.45,6.5,6.55,6.63,6.7,6.75,6.8},{0,10,20,30,40,50,60,62,64,66,68,70,72,74,76,78,80,85,90,95,100})</f>
        <v>90</v>
      </c>
      <c r="T278" s="5"/>
      <c r="U278" s="5"/>
      <c r="V278" s="5">
        <f t="shared" si="137"/>
        <v>90</v>
      </c>
      <c r="W278" s="5"/>
      <c r="X278" s="13">
        <f t="shared" si="138"/>
        <v>48.8</v>
      </c>
      <c r="Y278" s="13">
        <f t="shared" si="139"/>
        <v>69.7142857142857</v>
      </c>
    </row>
    <row r="279" ht="15.6" hidden="1" outlineLevel="2" spans="1:25">
      <c r="A279" s="5">
        <v>309</v>
      </c>
      <c r="B279" s="5">
        <v>35</v>
      </c>
      <c r="C279" s="9" t="s">
        <v>442</v>
      </c>
      <c r="D279" s="9" t="s">
        <v>12</v>
      </c>
      <c r="E279" s="5">
        <v>2.8</v>
      </c>
      <c r="F279" s="7">
        <f>LOOKUP(E279,{0,-1.8,-0.8,0.2,1.2,2.2,3.2,4.6,6,7.4,8.8,10.2,11.6,13,14.4,15.8,17.2,19.1,21,22.8,24.6},{0,10,20,30,40,50,60,62,64,66,68,70,72,74,76,78,80,85,90,95,100})</f>
        <v>50</v>
      </c>
      <c r="G279" s="5">
        <v>195</v>
      </c>
      <c r="H279" s="7">
        <f>LOOKUP(G279,{0,180,185,190,195,200,205,209,213,217,221,225,229,233,237,241,245,253,260,265,270},{0,10,20,30,40,50,60,62,64,66,68,70,72,74,76,78,80,85,90,95,100})</f>
        <v>40</v>
      </c>
      <c r="I279" s="5">
        <v>6</v>
      </c>
      <c r="J279" s="7">
        <f>LOOKUP(I279,{0,4,5,6,7,8,9,10,11,12,13,14,15,16,17,18},{0,10,20,30,40,50,60,64,68,72,76,80,85,90,95,100})</f>
        <v>30</v>
      </c>
      <c r="K279" s="5"/>
      <c r="L279" s="5"/>
      <c r="M279" s="5">
        <f t="shared" si="134"/>
        <v>30</v>
      </c>
      <c r="N279" s="5">
        <v>8.8</v>
      </c>
      <c r="O279" s="10">
        <f t="shared" si="135"/>
        <v>9.2</v>
      </c>
      <c r="P279" s="7">
        <f>LOOKUP(O279,{0,7.8,8,8.2,8.4,8.6,8.8,9,9.2,9.4,9.6,9.8,10,10.2,10.4,10.6,10.8,10.9,11,11.1,11.2},{0,10,20,30,40,50,60,62,64,66,68,70,72,74,76,78,80,85,90,95,100})</f>
        <v>64</v>
      </c>
      <c r="Q279" s="5">
        <v>5.39</v>
      </c>
      <c r="R279" s="10">
        <f t="shared" si="136"/>
        <v>4.61</v>
      </c>
      <c r="S279" s="7">
        <f>LOOKUP(R279,{0,3.85,4.45,4.65,4.85,5.45,5.65,5.7,5.75,5.8,5.85,5.9,5.95,6,6.45,6.5,6.55,6.63,6.7,6.75,6.8},{0,10,20,30,40,50,60,62,64,66,68,70,72,74,76,78,80,85,90,95,100})</f>
        <v>20</v>
      </c>
      <c r="T279" s="5"/>
      <c r="U279" s="5"/>
      <c r="V279" s="5">
        <f t="shared" si="137"/>
        <v>20</v>
      </c>
      <c r="W279" s="5"/>
      <c r="X279" s="13">
        <f t="shared" si="138"/>
        <v>28.8</v>
      </c>
      <c r="Y279" s="13">
        <f t="shared" si="139"/>
        <v>41.1428571428571</v>
      </c>
    </row>
    <row r="280" ht="15.6" hidden="1" outlineLevel="2" spans="1:25">
      <c r="A280" s="5">
        <v>309</v>
      </c>
      <c r="B280" s="5">
        <v>36</v>
      </c>
      <c r="C280" s="9" t="s">
        <v>443</v>
      </c>
      <c r="D280" s="9" t="s">
        <v>12</v>
      </c>
      <c r="E280" s="5">
        <v>4.4</v>
      </c>
      <c r="F280" s="7">
        <f>LOOKUP(E280,{0,-1.8,-0.8,0.2,1.2,2.2,3.2,4.6,6,7.4,8.8,10.2,11.6,13,14.4,15.8,17.2,19.1,21,22.8,24.6},{0,10,20,30,40,50,60,62,64,66,68,70,72,74,76,78,80,85,90,95,100})</f>
        <v>60</v>
      </c>
      <c r="G280" s="5">
        <v>252</v>
      </c>
      <c r="H280" s="7">
        <f>LOOKUP(G280,{0,180,185,190,195,200,205,209,213,217,221,225,229,233,237,241,245,253,260,265,270},{0,10,20,30,40,50,60,62,64,66,68,70,72,74,76,78,80,85,90,95,100})</f>
        <v>80</v>
      </c>
      <c r="I280" s="5">
        <v>9</v>
      </c>
      <c r="J280" s="7">
        <f>LOOKUP(I280,{0,4,5,6,7,8,9,10,11,12,13,14,15,16,17,18},{0,10,20,30,40,50,60,64,68,72,76,80,85,90,95,100})</f>
        <v>60</v>
      </c>
      <c r="K280" s="5"/>
      <c r="L280" s="5"/>
      <c r="M280" s="5">
        <f t="shared" si="134"/>
        <v>60</v>
      </c>
      <c r="N280" s="5">
        <v>7.8</v>
      </c>
      <c r="O280" s="10">
        <f t="shared" si="135"/>
        <v>10.2</v>
      </c>
      <c r="P280" s="7">
        <f>LOOKUP(O280,{0,7.8,8,8.2,8.4,8.6,8.8,9,9.2,9.4,9.6,9.8,10,10.2,10.4,10.6,10.8,10.9,11,11.1,11.2},{0,10,20,30,40,50,60,62,64,66,68,70,72,74,76,78,80,85,90,95,100})</f>
        <v>74</v>
      </c>
      <c r="Q280" s="5">
        <v>4.21</v>
      </c>
      <c r="R280" s="10">
        <f t="shared" si="136"/>
        <v>5.79</v>
      </c>
      <c r="S280" s="7">
        <f>LOOKUP(R280,{0,3.85,4.45,4.65,4.85,5.45,5.65,5.7,5.75,5.8,5.85,5.9,5.95,6,6.45,6.5,6.55,6.63,6.7,6.75,6.8},{0,10,20,30,40,50,60,62,64,66,68,70,72,74,76,78,80,85,90,95,100})</f>
        <v>64</v>
      </c>
      <c r="T280" s="5"/>
      <c r="U280" s="5"/>
      <c r="V280" s="5">
        <f t="shared" si="137"/>
        <v>64</v>
      </c>
      <c r="W280" s="5"/>
      <c r="X280" s="13">
        <f t="shared" si="138"/>
        <v>47.6</v>
      </c>
      <c r="Y280" s="13">
        <f t="shared" si="139"/>
        <v>68</v>
      </c>
    </row>
    <row r="281" ht="15.6" hidden="1" outlineLevel="2" spans="1:25">
      <c r="A281" s="5">
        <v>309</v>
      </c>
      <c r="B281" s="5">
        <v>37</v>
      </c>
      <c r="C281" s="9" t="s">
        <v>444</v>
      </c>
      <c r="D281" s="9" t="s">
        <v>12</v>
      </c>
      <c r="E281" s="5">
        <v>1</v>
      </c>
      <c r="F281" s="7">
        <f>LOOKUP(E281,{0,-1.8,-0.8,0.2,1.2,2.2,3.2,4.6,6,7.4,8.8,10.2,11.6,13,14.4,15.8,17.2,19.1,21,22.8,24.6},{0,10,20,30,40,50,60,62,64,66,68,70,72,74,76,78,80,85,90,95,100})</f>
        <v>30</v>
      </c>
      <c r="G281" s="5">
        <v>225</v>
      </c>
      <c r="H281" s="7">
        <f>LOOKUP(G281,{0,180,185,190,195,200,205,209,213,217,221,225,229,233,237,241,245,253,260,265,270},{0,10,20,30,40,50,60,62,64,66,68,70,72,74,76,78,80,85,90,95,100})</f>
        <v>70</v>
      </c>
      <c r="I281" s="5">
        <v>8</v>
      </c>
      <c r="J281" s="7">
        <f>LOOKUP(I281,{0,4,5,6,7,8,9,10,11,12,13,14,15,16,17,18},{0,10,20,30,40,50,60,64,68,72,76,80,85,90,95,100})</f>
        <v>50</v>
      </c>
      <c r="K281" s="5"/>
      <c r="L281" s="5"/>
      <c r="M281" s="5">
        <f t="shared" si="134"/>
        <v>50</v>
      </c>
      <c r="N281" s="5">
        <v>9.4</v>
      </c>
      <c r="O281" s="10">
        <f t="shared" si="135"/>
        <v>8.6</v>
      </c>
      <c r="P281" s="7">
        <f>LOOKUP(O281,{0,7.8,8,8.2,8.4,8.6,8.8,9,9.2,9.4,9.6,9.8,10,10.2,10.4,10.6,10.8,10.9,11,11.1,11.2},{0,10,20,30,40,50,60,62,64,66,68,70,72,74,76,78,80,85,90,95,100})</f>
        <v>50</v>
      </c>
      <c r="Q281" s="5">
        <v>5.39</v>
      </c>
      <c r="R281" s="10">
        <f t="shared" si="136"/>
        <v>4.61</v>
      </c>
      <c r="S281" s="7">
        <f>LOOKUP(R281,{0,3.85,4.45,4.65,4.85,5.45,5.65,5.7,5.75,5.8,5.85,5.9,5.95,6,6.45,6.5,6.55,6.63,6.7,6.75,6.8},{0,10,20,30,40,50,60,62,64,66,68,70,72,74,76,78,80,85,90,95,100})</f>
        <v>20</v>
      </c>
      <c r="T281" s="5"/>
      <c r="U281" s="5"/>
      <c r="V281" s="5">
        <f t="shared" si="137"/>
        <v>20</v>
      </c>
      <c r="W281" s="5"/>
      <c r="X281" s="13">
        <f t="shared" si="138"/>
        <v>29</v>
      </c>
      <c r="Y281" s="13">
        <f t="shared" si="139"/>
        <v>41.4285714285714</v>
      </c>
    </row>
    <row r="282" ht="15.6" hidden="1" outlineLevel="2" spans="1:25">
      <c r="A282" s="5">
        <v>309</v>
      </c>
      <c r="B282" s="5">
        <v>38</v>
      </c>
      <c r="C282" s="9" t="s">
        <v>445</v>
      </c>
      <c r="D282" s="9" t="s">
        <v>12</v>
      </c>
      <c r="E282" s="5">
        <v>1</v>
      </c>
      <c r="F282" s="7">
        <f>LOOKUP(E282,{0,-1.8,-0.8,0.2,1.2,2.2,3.2,4.6,6,7.4,8.8,10.2,11.6,13,14.4,15.8,17.2,19.1,21,22.8,24.6},{0,10,20,30,40,50,60,62,64,66,68,70,72,74,76,78,80,85,90,95,100})</f>
        <v>30</v>
      </c>
      <c r="G282" s="5">
        <v>215</v>
      </c>
      <c r="H282" s="7">
        <f>LOOKUP(G282,{0,180,185,190,195,200,205,209,213,217,221,225,229,233,237,241,245,253,260,265,270},{0,10,20,30,40,50,60,62,64,66,68,70,72,74,76,78,80,85,90,95,100})</f>
        <v>64</v>
      </c>
      <c r="I282" s="5">
        <v>1</v>
      </c>
      <c r="J282" s="7">
        <f>LOOKUP(I282,{0,4,5,6,7,8,9,10,11,12,13,14,15,16,17,18},{0,10,20,30,40,50,60,64,68,72,76,80,85,90,95,100})</f>
        <v>0</v>
      </c>
      <c r="K282" s="5"/>
      <c r="L282" s="5"/>
      <c r="M282" s="5">
        <f t="shared" si="134"/>
        <v>0</v>
      </c>
      <c r="N282" s="5">
        <v>8.8</v>
      </c>
      <c r="O282" s="10">
        <f t="shared" si="135"/>
        <v>9.2</v>
      </c>
      <c r="P282" s="7">
        <f>LOOKUP(O282,{0,7.8,8,8.2,8.4,8.6,8.8,9,9.2,9.4,9.6,9.8,10,10.2,10.4,10.6,10.8,10.9,11,11.1,11.2},{0,10,20,30,40,50,60,62,64,66,68,70,72,74,76,78,80,85,90,95,100})</f>
        <v>64</v>
      </c>
      <c r="Q282" s="5">
        <v>5.39</v>
      </c>
      <c r="R282" s="10">
        <f t="shared" si="136"/>
        <v>4.61</v>
      </c>
      <c r="S282" s="7">
        <f>LOOKUP(R282,{0,3.85,4.45,4.65,4.85,5.45,5.65,5.7,5.75,5.8,5.85,5.9,5.95,6,6.45,6.5,6.55,6.63,6.7,6.75,6.8},{0,10,20,30,40,50,60,62,64,66,68,70,72,74,76,78,80,85,90,95,100})</f>
        <v>20</v>
      </c>
      <c r="T282" s="5"/>
      <c r="U282" s="5"/>
      <c r="V282" s="5">
        <f t="shared" si="137"/>
        <v>20</v>
      </c>
      <c r="W282" s="5"/>
      <c r="X282" s="13">
        <f t="shared" si="138"/>
        <v>26.2</v>
      </c>
      <c r="Y282" s="13">
        <f t="shared" si="139"/>
        <v>37.4285714285714</v>
      </c>
    </row>
    <row r="283" ht="15.6" outlineLevel="1" collapsed="1" spans="1:25">
      <c r="A283" s="6" t="s">
        <v>860</v>
      </c>
      <c r="B283" s="5"/>
      <c r="C283" s="9"/>
      <c r="D283" s="9"/>
      <c r="E283" s="5"/>
      <c r="F283" s="7">
        <f>SUBTOTAL(1,F245:F282)</f>
        <v>70.0882352941177</v>
      </c>
      <c r="G283" s="5"/>
      <c r="H283" s="7">
        <f>SUBTOTAL(1,H245:H282)</f>
        <v>71.3235294117647</v>
      </c>
      <c r="I283" s="5"/>
      <c r="J283" s="7">
        <f>SUBTOTAL(1,J245:J282)</f>
        <v>39.7647058823529</v>
      </c>
      <c r="K283" s="5"/>
      <c r="L283" s="5"/>
      <c r="M283" s="5">
        <f>SUBTOTAL(1,M245:M282)</f>
        <v>40.4117647058824</v>
      </c>
      <c r="N283" s="5"/>
      <c r="O283" s="10"/>
      <c r="P283" s="7">
        <f>SUBTOTAL(1,P245:P282)</f>
        <v>77.9705882352941</v>
      </c>
      <c r="Q283" s="5"/>
      <c r="R283" s="10"/>
      <c r="S283" s="7">
        <f>SUBTOTAL(1,S245:S282)</f>
        <v>48.0294117647059</v>
      </c>
      <c r="T283" s="5"/>
      <c r="U283" s="5"/>
      <c r="V283" s="5">
        <f>SUBTOTAL(1,V245:V282)</f>
        <v>48.0294117647059</v>
      </c>
      <c r="W283" s="5"/>
      <c r="X283" s="13">
        <f>SUBTOTAL(1,X245:X282)</f>
        <v>43.3176470588235</v>
      </c>
      <c r="Y283" s="13">
        <f>SUBTOTAL(1,Y245:Y282)</f>
        <v>61.2105263157895</v>
      </c>
    </row>
    <row r="284" ht="15.6" hidden="1" outlineLevel="2" spans="1:25">
      <c r="A284" s="5">
        <v>310</v>
      </c>
      <c r="B284" s="5">
        <v>1</v>
      </c>
      <c r="C284" s="8" t="s">
        <v>458</v>
      </c>
      <c r="D284" s="9" t="s">
        <v>12</v>
      </c>
      <c r="E284" s="5">
        <v>9.5</v>
      </c>
      <c r="F284" s="7">
        <f>LOOKUP(E284,{0,-1.8,-0.8,0.2,1.2,2.2,3.2,4.6,6,7.4,8.8,10.2,11.6,13,14.4,15.8,17.2,19.1,21,22.8,24.6},{0,10,20,30,40,50,60,62,64,66,68,70,72,74,76,78,80,85,90,95,100})</f>
        <v>68</v>
      </c>
      <c r="G284" s="5">
        <v>225</v>
      </c>
      <c r="H284" s="7">
        <f>LOOKUP(G284,{0,180,185,190,195,200,205,209,213,217,221,225,229,233,237,241,245,253,260,265,270},{0,10,20,30,40,50,60,62,64,66,68,70,72,74,76,78,80,85,90,95,100})</f>
        <v>70</v>
      </c>
      <c r="I284" s="5">
        <v>6</v>
      </c>
      <c r="J284" s="7">
        <f>LOOKUP(I284,{0,4,5,6,7,8,9,10,11,12,13,14,15,16,17,18},{0,10,20,30,40,50,60,64,68,72,76,80,85,90,95,100})</f>
        <v>30</v>
      </c>
      <c r="K284" s="5"/>
      <c r="L284" s="5"/>
      <c r="M284" s="5">
        <f t="shared" ref="M284:M289" si="140">J284+L284</f>
        <v>30</v>
      </c>
      <c r="N284" s="5">
        <v>7</v>
      </c>
      <c r="O284" s="10">
        <f t="shared" ref="O284:O289" si="141">18-N284</f>
        <v>11</v>
      </c>
      <c r="P284" s="7">
        <f>LOOKUP(O284,{0,7.8,8,8.2,8.4,8.6,8.8,9,9.2,9.4,9.6,9.8,10,10.2,10.4,10.6,10.8,10.9,11,11.1,11.2},{0,10,20,30,40,50,60,62,64,66,68,70,72,74,76,78,80,85,90,95,100})</f>
        <v>90</v>
      </c>
      <c r="Q284" s="5">
        <v>3.35</v>
      </c>
      <c r="R284" s="10">
        <f t="shared" ref="R284:R289" si="142">10-Q284</f>
        <v>6.65</v>
      </c>
      <c r="S284" s="7">
        <f>LOOKUP(R284,{0,3.85,4.45,4.65,4.85,5.45,5.65,5.7,5.75,5.8,5.85,5.9,5.95,6,6.45,6.5,6.55,6.63,6.7,6.75,6.8},{0,10,20,30,40,50,60,62,64,66,68,70,72,74,76,78,80,85,90,95,100})</f>
        <v>85</v>
      </c>
      <c r="T284" s="5"/>
      <c r="U284" s="5"/>
      <c r="V284" s="5">
        <f t="shared" ref="V284:V289" si="143">S284+U284</f>
        <v>85</v>
      </c>
      <c r="W284" s="5"/>
      <c r="X284" s="13">
        <f t="shared" ref="X284:X289" si="144">F284*0.1+H284*0.1+J284*0.1+P284*0.2+S284*0.2</f>
        <v>51.8</v>
      </c>
      <c r="Y284" s="13">
        <f t="shared" ref="Y284:Y289" si="145">X284/0.7+L284+U284</f>
        <v>74</v>
      </c>
    </row>
    <row r="285" ht="15.6" hidden="1" outlineLevel="2" spans="1:25">
      <c r="A285" s="5">
        <v>310</v>
      </c>
      <c r="B285" s="5">
        <v>2</v>
      </c>
      <c r="C285" s="9" t="s">
        <v>459</v>
      </c>
      <c r="D285" s="9" t="s">
        <v>12</v>
      </c>
      <c r="E285" s="5">
        <v>5.5</v>
      </c>
      <c r="F285" s="7">
        <f>LOOKUP(E285,{0,-1.8,-0.8,0.2,1.2,2.2,3.2,4.6,6,7.4,8.8,10.2,11.6,13,14.4,15.8,17.2,19.1,21,22.8,24.6},{0,10,20,30,40,50,60,62,64,66,68,70,72,74,76,78,80,85,90,95,100})</f>
        <v>62</v>
      </c>
      <c r="G285" s="5">
        <v>225</v>
      </c>
      <c r="H285" s="7">
        <f>LOOKUP(G285,{0,180,185,190,195,200,205,209,213,217,221,225,229,233,237,241,245,253,260,265,270},{0,10,20,30,40,50,60,62,64,66,68,70,72,74,76,78,80,85,90,95,100})</f>
        <v>70</v>
      </c>
      <c r="I285" s="5">
        <v>1</v>
      </c>
      <c r="J285" s="7">
        <f>LOOKUP(I285,{0,4,5,6,7,8,9,10,11,12,13,14,15,16,17,18},{0,10,20,30,40,50,60,64,68,72,76,80,85,90,95,100})</f>
        <v>0</v>
      </c>
      <c r="K285" s="5"/>
      <c r="L285" s="5"/>
      <c r="M285" s="5">
        <f t="shared" si="140"/>
        <v>0</v>
      </c>
      <c r="N285" s="5">
        <v>7.4</v>
      </c>
      <c r="O285" s="10">
        <f t="shared" si="141"/>
        <v>10.6</v>
      </c>
      <c r="P285" s="7">
        <f>LOOKUP(O285,{0,7.8,8,8.2,8.4,8.6,8.8,9,9.2,9.4,9.6,9.8,10,10.2,10.4,10.6,10.8,10.9,11,11.1,11.2},{0,10,20,30,40,50,60,62,64,66,68,70,72,74,76,78,80,85,90,95,100})</f>
        <v>78</v>
      </c>
      <c r="Q285" s="5">
        <v>4.02</v>
      </c>
      <c r="R285" s="10">
        <f t="shared" si="142"/>
        <v>5.98</v>
      </c>
      <c r="S285" s="7">
        <f>LOOKUP(R285,{0,3.85,4.45,4.65,4.85,5.45,5.65,5.7,5.75,5.8,5.85,5.9,5.95,6,6.45,6.5,6.55,6.63,6.7,6.75,6.8},{0,10,20,30,40,50,60,62,64,66,68,70,72,74,76,78,80,85,90,95,100})</f>
        <v>72</v>
      </c>
      <c r="T285" s="5"/>
      <c r="U285" s="5"/>
      <c r="V285" s="5">
        <f t="shared" si="143"/>
        <v>72</v>
      </c>
      <c r="W285" s="5"/>
      <c r="X285" s="13">
        <f t="shared" si="144"/>
        <v>43.2</v>
      </c>
      <c r="Y285" s="13">
        <f t="shared" si="145"/>
        <v>61.7142857142857</v>
      </c>
    </row>
    <row r="286" ht="15.6" hidden="1" outlineLevel="2" spans="1:25">
      <c r="A286" s="5">
        <v>310</v>
      </c>
      <c r="B286" s="5">
        <v>3</v>
      </c>
      <c r="C286" s="9" t="s">
        <v>460</v>
      </c>
      <c r="D286" s="9" t="s">
        <v>12</v>
      </c>
      <c r="E286" s="5">
        <v>7.5</v>
      </c>
      <c r="F286" s="7">
        <f>LOOKUP(E286,{0,-1.8,-0.8,0.2,1.2,2.2,3.2,4.6,6,7.4,8.8,10.2,11.6,13,14.4,15.8,17.2,19.1,21,22.8,24.6},{0,10,20,30,40,50,60,62,64,66,68,70,72,74,76,78,80,85,90,95,100})</f>
        <v>66</v>
      </c>
      <c r="G286" s="5">
        <v>235</v>
      </c>
      <c r="H286" s="7">
        <f>LOOKUP(G286,{0,180,185,190,195,200,205,209,213,217,221,225,229,233,237,241,245,253,260,265,270},{0,10,20,30,40,50,60,62,64,66,68,70,72,74,76,78,80,85,90,95,100})</f>
        <v>74</v>
      </c>
      <c r="I286" s="5">
        <v>1</v>
      </c>
      <c r="J286" s="7">
        <f>LOOKUP(I286,{0,4,5,6,7,8,9,10,11,12,13,14,15,16,17,18},{0,10,20,30,40,50,60,64,68,72,76,80,85,90,95,100})</f>
        <v>0</v>
      </c>
      <c r="K286" s="5"/>
      <c r="L286" s="5"/>
      <c r="M286" s="5">
        <f t="shared" si="140"/>
        <v>0</v>
      </c>
      <c r="N286" s="5">
        <v>7.5</v>
      </c>
      <c r="O286" s="10">
        <f t="shared" si="141"/>
        <v>10.5</v>
      </c>
      <c r="P286" s="7">
        <f>LOOKUP(O286,{0,7.8,8,8.2,8.4,8.6,8.8,9,9.2,9.4,9.6,9.8,10,10.2,10.4,10.6,10.8,10.9,11,11.1,11.2},{0,10,20,30,40,50,60,62,64,66,68,70,72,74,76,78,80,85,90,95,100})</f>
        <v>76</v>
      </c>
      <c r="Q286" s="5">
        <v>4.08</v>
      </c>
      <c r="R286" s="10">
        <f t="shared" si="142"/>
        <v>5.92</v>
      </c>
      <c r="S286" s="7">
        <f>LOOKUP(R286,{0,3.85,4.45,4.65,4.85,5.45,5.65,5.7,5.75,5.8,5.85,5.9,5.95,6,6.45,6.5,6.55,6.63,6.7,6.75,6.8},{0,10,20,30,40,50,60,62,64,66,68,70,72,74,76,78,80,85,90,95,100})</f>
        <v>70</v>
      </c>
      <c r="T286" s="5"/>
      <c r="U286" s="5"/>
      <c r="V286" s="5">
        <f t="shared" si="143"/>
        <v>70</v>
      </c>
      <c r="W286" s="5"/>
      <c r="X286" s="13">
        <f t="shared" si="144"/>
        <v>43.2</v>
      </c>
      <c r="Y286" s="13">
        <f t="shared" si="145"/>
        <v>61.7142857142857</v>
      </c>
    </row>
    <row r="287" ht="15.6" hidden="1" outlineLevel="2" spans="1:25">
      <c r="A287" s="5">
        <v>310</v>
      </c>
      <c r="B287" s="5">
        <v>4</v>
      </c>
      <c r="C287" s="5" t="s">
        <v>461</v>
      </c>
      <c r="D287" s="5" t="s">
        <v>12</v>
      </c>
      <c r="E287" s="5">
        <v>17</v>
      </c>
      <c r="F287" s="7">
        <f>LOOKUP(E287,{0,-1.8,-0.8,0.2,1.2,2.2,3.2,4.6,6,7.4,8.8,10.2,11.6,13,14.4,15.8,17.2,19.1,21,22.8,24.6},{0,10,20,30,40,50,60,62,64,66,68,70,72,74,76,78,80,85,90,95,100})</f>
        <v>78</v>
      </c>
      <c r="G287" s="5">
        <v>250</v>
      </c>
      <c r="H287" s="7">
        <f>LOOKUP(G287,{0,180,185,190,195,200,205,209,213,217,221,225,229,233,237,241,245,253,260,265,270},{0,10,20,30,40,50,60,62,64,66,68,70,72,74,76,78,80,85,90,95,100})</f>
        <v>80</v>
      </c>
      <c r="I287" s="5">
        <v>6</v>
      </c>
      <c r="J287" s="7">
        <f>LOOKUP(I287,{0,4,5,6,7,8,9,10,11,12,13,14,15,16,17,18},{0,10,20,30,40,50,60,64,68,72,76,80,85,90,95,100})</f>
        <v>30</v>
      </c>
      <c r="K287" s="5"/>
      <c r="L287" s="5"/>
      <c r="M287" s="5">
        <f t="shared" si="140"/>
        <v>30</v>
      </c>
      <c r="N287" s="5">
        <v>7.2</v>
      </c>
      <c r="O287" s="10">
        <f t="shared" si="141"/>
        <v>10.8</v>
      </c>
      <c r="P287" s="7">
        <f>LOOKUP(O287,{0,7.8,8,8.2,8.4,8.6,8.8,9,9.2,9.4,9.6,9.8,10,10.2,10.4,10.6,10.8,10.9,11,11.1,11.2},{0,10,20,30,40,50,60,62,64,66,68,70,72,74,76,78,80,85,90,95,100})</f>
        <v>80</v>
      </c>
      <c r="Q287" s="5">
        <v>3.59</v>
      </c>
      <c r="R287" s="10">
        <f t="shared" si="142"/>
        <v>6.41</v>
      </c>
      <c r="S287" s="7">
        <f>LOOKUP(R287,{0,3.85,4.45,4.65,4.85,5.45,5.65,5.7,5.75,5.8,5.85,5.9,5.95,6,6.45,6.5,6.55,6.63,6.7,6.75,6.8},{0,10,20,30,40,50,60,62,64,66,68,70,72,74,76,78,80,85,90,95,100})</f>
        <v>74</v>
      </c>
      <c r="T287" s="5"/>
      <c r="U287" s="5"/>
      <c r="V287" s="5">
        <f t="shared" si="143"/>
        <v>74</v>
      </c>
      <c r="W287" s="5"/>
      <c r="X287" s="13">
        <f t="shared" si="144"/>
        <v>49.6</v>
      </c>
      <c r="Y287" s="13">
        <f t="shared" si="145"/>
        <v>70.8571428571428</v>
      </c>
    </row>
    <row r="288" ht="15.6" hidden="1" outlineLevel="2" spans="1:25">
      <c r="A288" s="5">
        <v>310</v>
      </c>
      <c r="B288" s="5">
        <v>5</v>
      </c>
      <c r="C288" s="9" t="s">
        <v>462</v>
      </c>
      <c r="D288" s="9" t="s">
        <v>12</v>
      </c>
      <c r="E288" s="5">
        <v>5.5</v>
      </c>
      <c r="F288" s="7">
        <f>LOOKUP(E288,{0,-1.8,-0.8,0.2,1.2,2.2,3.2,4.6,6,7.4,8.8,10.2,11.6,13,14.4,15.8,17.2,19.1,21,22.8,24.6},{0,10,20,30,40,50,60,62,64,66,68,70,72,74,76,78,80,85,90,95,100})</f>
        <v>62</v>
      </c>
      <c r="G288" s="5">
        <v>245</v>
      </c>
      <c r="H288" s="7">
        <f>LOOKUP(G288,{0,180,185,190,195,200,205,209,213,217,221,225,229,233,237,241,245,253,260,265,270},{0,10,20,30,40,50,60,62,64,66,68,70,72,74,76,78,80,85,90,95,100})</f>
        <v>80</v>
      </c>
      <c r="I288" s="5">
        <v>9</v>
      </c>
      <c r="J288" s="7">
        <f>LOOKUP(I288,{0,4,5,6,7,8,9,10,11,12,13,14,15,16,17,18},{0,10,20,30,40,50,60,64,68,72,76,80,85,90,95,100})</f>
        <v>60</v>
      </c>
      <c r="K288" s="5"/>
      <c r="L288" s="5"/>
      <c r="M288" s="5">
        <f t="shared" si="140"/>
        <v>60</v>
      </c>
      <c r="N288" s="5">
        <v>7.3</v>
      </c>
      <c r="O288" s="10">
        <f t="shared" si="141"/>
        <v>10.7</v>
      </c>
      <c r="P288" s="7">
        <f>LOOKUP(O288,{0,7.8,8,8.2,8.4,8.6,8.8,9,9.2,9.4,9.6,9.8,10,10.2,10.4,10.6,10.8,10.9,11,11.1,11.2},{0,10,20,30,40,50,60,62,64,66,68,70,72,74,76,78,80,85,90,95,100})</f>
        <v>78</v>
      </c>
      <c r="Q288" s="5">
        <v>5.09</v>
      </c>
      <c r="R288" s="10">
        <f t="shared" si="142"/>
        <v>4.91</v>
      </c>
      <c r="S288" s="7">
        <f>LOOKUP(R288,{0,3.85,4.45,4.65,4.85,5.45,5.65,5.7,5.75,5.8,5.85,5.9,5.95,6,6.45,6.5,6.55,6.63,6.7,6.75,6.8},{0,10,20,30,40,50,60,62,64,66,68,70,72,74,76,78,80,85,90,95,100})</f>
        <v>40</v>
      </c>
      <c r="T288" s="5"/>
      <c r="U288" s="5"/>
      <c r="V288" s="5">
        <f t="shared" si="143"/>
        <v>40</v>
      </c>
      <c r="W288" s="5"/>
      <c r="X288" s="13">
        <f t="shared" si="144"/>
        <v>43.8</v>
      </c>
      <c r="Y288" s="13">
        <f t="shared" si="145"/>
        <v>62.5714285714286</v>
      </c>
    </row>
    <row r="289" ht="15.6" hidden="1" outlineLevel="2" spans="1:25">
      <c r="A289" s="5">
        <v>310</v>
      </c>
      <c r="B289" s="5">
        <v>6</v>
      </c>
      <c r="C289" s="9" t="s">
        <v>463</v>
      </c>
      <c r="D289" s="9" t="s">
        <v>12</v>
      </c>
      <c r="E289" s="5">
        <v>10</v>
      </c>
      <c r="F289" s="7">
        <f>LOOKUP(E289,{0,-1.8,-0.8,0.2,1.2,2.2,3.2,4.6,6,7.4,8.8,10.2,11.6,13,14.4,15.8,17.2,19.1,21,22.8,24.6},{0,10,20,30,40,50,60,62,64,66,68,70,72,74,76,78,80,85,90,95,100})</f>
        <v>68</v>
      </c>
      <c r="G289" s="5">
        <v>225</v>
      </c>
      <c r="H289" s="7">
        <f>LOOKUP(G289,{0,180,185,190,195,200,205,209,213,217,221,225,229,233,237,241,245,253,260,265,270},{0,10,20,30,40,50,60,62,64,66,68,70,72,74,76,78,80,85,90,95,100})</f>
        <v>70</v>
      </c>
      <c r="I289" s="5">
        <v>0</v>
      </c>
      <c r="J289" s="7">
        <f>LOOKUP(I289,{0,4,5,6,7,8,9,10,11,12,13,14,15,16,17,18},{0,10,20,30,40,50,60,64,68,72,76,80,85,90,95,100})</f>
        <v>0</v>
      </c>
      <c r="K289" s="5"/>
      <c r="L289" s="5"/>
      <c r="M289" s="5">
        <f t="shared" si="140"/>
        <v>0</v>
      </c>
      <c r="N289" s="5">
        <v>7.1</v>
      </c>
      <c r="O289" s="10">
        <f t="shared" si="141"/>
        <v>10.9</v>
      </c>
      <c r="P289" s="7">
        <f>LOOKUP(O289,{0,7.8,8,8.2,8.4,8.6,8.8,9,9.2,9.4,9.6,9.8,10,10.2,10.4,10.6,10.8,10.9,11,11.1,11.2},{0,10,20,30,40,50,60,62,64,66,68,70,72,74,76,78,80,85,90,95,100})</f>
        <v>85</v>
      </c>
      <c r="Q289" s="5">
        <v>6.21</v>
      </c>
      <c r="R289" s="10">
        <f t="shared" si="142"/>
        <v>3.79</v>
      </c>
      <c r="S289" s="7">
        <f>LOOKUP(R289,{0,3.85,4.45,4.65,4.85,5.45,5.65,5.7,5.75,5.8,5.85,5.9,5.95,6,6.45,6.5,6.55,6.63,6.7,6.75,6.8},{0,10,20,30,40,50,60,62,64,66,68,70,72,74,76,78,80,85,90,95,100})</f>
        <v>0</v>
      </c>
      <c r="T289" s="5"/>
      <c r="U289" s="5"/>
      <c r="V289" s="5">
        <f t="shared" si="143"/>
        <v>0</v>
      </c>
      <c r="W289" s="5"/>
      <c r="X289" s="13">
        <f t="shared" si="144"/>
        <v>30.8</v>
      </c>
      <c r="Y289" s="13">
        <f t="shared" si="145"/>
        <v>44</v>
      </c>
    </row>
    <row r="290" ht="15.6" hidden="1" outlineLevel="2" spans="1:25">
      <c r="A290" s="5">
        <v>310</v>
      </c>
      <c r="B290" s="5">
        <v>7</v>
      </c>
      <c r="C290" s="5" t="s">
        <v>464</v>
      </c>
      <c r="D290" s="5" t="s">
        <v>12</v>
      </c>
      <c r="E290" s="5"/>
      <c r="F290" s="7"/>
      <c r="G290" s="5"/>
      <c r="H290" s="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>
        <v>50</v>
      </c>
      <c r="X290" s="13"/>
      <c r="Y290" s="13">
        <v>50</v>
      </c>
    </row>
    <row r="291" ht="15.6" hidden="1" outlineLevel="2" spans="1:25">
      <c r="A291" s="5">
        <v>310</v>
      </c>
      <c r="B291" s="5">
        <v>8</v>
      </c>
      <c r="C291" s="9" t="s">
        <v>465</v>
      </c>
      <c r="D291" s="9" t="s">
        <v>12</v>
      </c>
      <c r="E291" s="5">
        <v>5</v>
      </c>
      <c r="F291" s="7">
        <f>LOOKUP(E291,{0,-1.8,-0.8,0.2,1.2,2.2,3.2,4.6,6,7.4,8.8,10.2,11.6,13,14.4,15.8,17.2,19.1,21,22.8,24.6},{0,10,20,30,40,50,60,62,64,66,68,70,72,74,76,78,80,85,90,95,100})</f>
        <v>62</v>
      </c>
      <c r="G291" s="5">
        <v>270</v>
      </c>
      <c r="H291" s="7">
        <f>LOOKUP(G291,{0,180,185,190,195,200,205,209,213,217,221,225,229,233,237,241,245,253,260,265,270},{0,10,20,30,40,50,60,62,64,66,68,70,72,74,76,78,80,85,90,95,100})</f>
        <v>100</v>
      </c>
      <c r="I291" s="5">
        <v>0</v>
      </c>
      <c r="J291" s="7">
        <f>LOOKUP(I291,{0,4,5,6,7,8,9,10,11,12,13,14,15,16,17,18},{0,10,20,30,40,50,60,64,68,72,76,80,85,90,95,100})</f>
        <v>0</v>
      </c>
      <c r="K291" s="5"/>
      <c r="L291" s="5"/>
      <c r="M291" s="5">
        <f t="shared" ref="M291:M315" si="146">J291+L291</f>
        <v>0</v>
      </c>
      <c r="N291" s="5">
        <v>6.9</v>
      </c>
      <c r="O291" s="10">
        <f t="shared" ref="O291:O315" si="147">18-N291</f>
        <v>11.1</v>
      </c>
      <c r="P291" s="7">
        <f>LOOKUP(O291,{0,7.8,8,8.2,8.4,8.6,8.8,9,9.2,9.4,9.6,9.8,10,10.2,10.4,10.6,10.8,10.9,11,11.1,11.2},{0,10,20,30,40,50,60,62,64,66,68,70,72,74,76,78,80,85,90,95,100})</f>
        <v>95</v>
      </c>
      <c r="Q291" s="5">
        <v>4.26</v>
      </c>
      <c r="R291" s="10">
        <f t="shared" ref="R291:R315" si="148">10-Q291</f>
        <v>5.74</v>
      </c>
      <c r="S291" s="7">
        <f>LOOKUP(R291,{0,3.85,4.45,4.65,4.85,5.45,5.65,5.7,5.75,5.8,5.85,5.9,5.95,6,6.45,6.5,6.55,6.63,6.7,6.75,6.8},{0,10,20,30,40,50,60,62,64,66,68,70,72,74,76,78,80,85,90,95,100})</f>
        <v>62</v>
      </c>
      <c r="T291" s="5"/>
      <c r="U291" s="5"/>
      <c r="V291" s="5">
        <f t="shared" ref="V291:V315" si="149">S291+U291</f>
        <v>62</v>
      </c>
      <c r="W291" s="5"/>
      <c r="X291" s="13">
        <f t="shared" ref="X291:X315" si="150">F291*0.1+H291*0.1+J291*0.1+P291*0.2+S291*0.2</f>
        <v>47.6</v>
      </c>
      <c r="Y291" s="13">
        <f t="shared" ref="Y291:Y315" si="151">X291/0.7+L291+U291</f>
        <v>68</v>
      </c>
    </row>
    <row r="292" ht="15.6" hidden="1" outlineLevel="2" spans="1:25">
      <c r="A292" s="5">
        <v>310</v>
      </c>
      <c r="B292" s="5">
        <v>9</v>
      </c>
      <c r="C292" s="9" t="s">
        <v>466</v>
      </c>
      <c r="D292" s="9" t="s">
        <v>12</v>
      </c>
      <c r="E292" s="5">
        <v>16.5</v>
      </c>
      <c r="F292" s="7">
        <f>LOOKUP(E292,{0,-1.8,-0.8,0.2,1.2,2.2,3.2,4.6,6,7.4,8.8,10.2,11.6,13,14.4,15.8,17.2,19.1,21,22.8,24.6},{0,10,20,30,40,50,60,62,64,66,68,70,72,74,76,78,80,85,90,95,100})</f>
        <v>78</v>
      </c>
      <c r="G292" s="5">
        <v>230</v>
      </c>
      <c r="H292" s="7">
        <f>LOOKUP(G292,{0,180,185,190,195,200,205,209,213,217,221,225,229,233,237,241,245,253,260,265,270},{0,10,20,30,40,50,60,62,64,66,68,70,72,74,76,78,80,85,90,95,100})</f>
        <v>72</v>
      </c>
      <c r="I292" s="5">
        <v>2</v>
      </c>
      <c r="J292" s="7">
        <f>LOOKUP(I292,{0,4,5,6,7,8,9,10,11,12,13,14,15,16,17,18},{0,10,20,30,40,50,60,64,68,72,76,80,85,90,95,100})</f>
        <v>0</v>
      </c>
      <c r="K292" s="5"/>
      <c r="L292" s="5"/>
      <c r="M292" s="5">
        <f t="shared" si="146"/>
        <v>0</v>
      </c>
      <c r="N292" s="5">
        <v>7.4</v>
      </c>
      <c r="O292" s="10">
        <f t="shared" si="147"/>
        <v>10.6</v>
      </c>
      <c r="P292" s="7">
        <f>LOOKUP(O292,{0,7.8,8,8.2,8.4,8.6,8.8,9,9.2,9.4,9.6,9.8,10,10.2,10.4,10.6,10.8,10.9,11,11.1,11.2},{0,10,20,30,40,50,60,62,64,66,68,70,72,74,76,78,80,85,90,95,100})</f>
        <v>78</v>
      </c>
      <c r="Q292" s="5">
        <v>4.26</v>
      </c>
      <c r="R292" s="10">
        <f t="shared" si="148"/>
        <v>5.74</v>
      </c>
      <c r="S292" s="7">
        <f>LOOKUP(R292,{0,3.85,4.45,4.65,4.85,5.45,5.65,5.7,5.75,5.8,5.85,5.9,5.95,6,6.45,6.5,6.55,6.63,6.7,6.75,6.8},{0,10,20,30,40,50,60,62,64,66,68,70,72,74,76,78,80,85,90,95,100})</f>
        <v>62</v>
      </c>
      <c r="T292" s="5"/>
      <c r="U292" s="5"/>
      <c r="V292" s="5">
        <f t="shared" si="149"/>
        <v>62</v>
      </c>
      <c r="W292" s="5"/>
      <c r="X292" s="13">
        <f t="shared" si="150"/>
        <v>43</v>
      </c>
      <c r="Y292" s="13">
        <f t="shared" si="151"/>
        <v>61.4285714285714</v>
      </c>
    </row>
    <row r="293" ht="15.6" hidden="1" outlineLevel="2" spans="1:25">
      <c r="A293" s="5">
        <v>310</v>
      </c>
      <c r="B293" s="5">
        <v>10</v>
      </c>
      <c r="C293" s="9" t="s">
        <v>467</v>
      </c>
      <c r="D293" s="9" t="s">
        <v>12</v>
      </c>
      <c r="E293" s="5">
        <v>22</v>
      </c>
      <c r="F293" s="7">
        <f>LOOKUP(E293,{0,-1.8,-0.8,0.2,1.2,2.2,3.2,4.6,6,7.4,8.8,10.2,11.6,13,14.4,15.8,17.2,19.1,21,22.8,24.6},{0,10,20,30,40,50,60,62,64,66,68,70,72,74,76,78,80,85,90,95,100})</f>
        <v>90</v>
      </c>
      <c r="G293" s="5">
        <v>270</v>
      </c>
      <c r="H293" s="7">
        <f>LOOKUP(G293,{0,180,185,190,195,200,205,209,213,217,221,225,229,233,237,241,245,253,260,265,270},{0,10,20,30,40,50,60,62,64,66,68,70,72,74,76,78,80,85,90,95,100})</f>
        <v>100</v>
      </c>
      <c r="I293" s="5">
        <v>30</v>
      </c>
      <c r="J293" s="7">
        <f>LOOKUP(I293,{0,4,5,6,7,8,9,10,11,12,13,14,15,16,17,18},{0,10,20,30,40,50,60,64,68,72,76,80,85,90,95,100})</f>
        <v>100</v>
      </c>
      <c r="K293" s="5">
        <f>I293-18</f>
        <v>12</v>
      </c>
      <c r="L293" s="7">
        <f>LOOKUP(K293,{0,1,2,3,4,5,6,7,8,9,10},{0,1,2,3,4,5,6,7,8,9,10})</f>
        <v>10</v>
      </c>
      <c r="M293" s="5">
        <f t="shared" si="146"/>
        <v>110</v>
      </c>
      <c r="N293" s="5">
        <v>6.8</v>
      </c>
      <c r="O293" s="10">
        <f t="shared" si="147"/>
        <v>11.2</v>
      </c>
      <c r="P293" s="7">
        <f>LOOKUP(O293,{0,7.8,8,8.2,8.4,8.6,8.8,9,9.2,9.4,9.6,9.8,10,10.2,10.4,10.6,10.8,10.9,11,11.1,11.2},{0,10,20,30,40,50,60,62,64,66,68,70,72,74,76,78,80,85,90,95,100})</f>
        <v>100</v>
      </c>
      <c r="Q293" s="5">
        <v>3.22</v>
      </c>
      <c r="R293" s="10">
        <f t="shared" si="148"/>
        <v>6.78</v>
      </c>
      <c r="S293" s="7">
        <f>LOOKUP(R293,{0,3.85,4.45,4.65,4.85,5.45,5.65,5.7,5.75,5.8,5.85,5.9,5.95,6,6.45,6.5,6.55,6.63,6.7,6.75,6.8},{0,10,20,30,40,50,60,62,64,66,68,70,72,74,76,78,80,85,90,95,100})</f>
        <v>95</v>
      </c>
      <c r="T293" s="5"/>
      <c r="U293" s="5"/>
      <c r="V293" s="5">
        <f t="shared" si="149"/>
        <v>95</v>
      </c>
      <c r="W293" s="5"/>
      <c r="X293" s="13">
        <f t="shared" si="150"/>
        <v>68</v>
      </c>
      <c r="Y293" s="13">
        <f t="shared" si="151"/>
        <v>107.142857142857</v>
      </c>
    </row>
    <row r="294" ht="15.6" hidden="1" outlineLevel="2" spans="1:25">
      <c r="A294" s="5">
        <v>310</v>
      </c>
      <c r="B294" s="5">
        <v>11</v>
      </c>
      <c r="C294" s="8" t="s">
        <v>469</v>
      </c>
      <c r="D294" s="9" t="s">
        <v>12</v>
      </c>
      <c r="E294" s="5">
        <v>0</v>
      </c>
      <c r="F294" s="7">
        <f>LOOKUP(E294,{0,-1.8,-0.8,0.2,1.2,2.2,3.2,4.6,6,7.4,8.8,10.2,11.6,13,14.4,15.8,17.2,19.1,21,22.8,24.6},{0,10,20,30,40,50,60,62,64,66,68,70,72,74,76,78,80,85,90,95,100})</f>
        <v>20</v>
      </c>
      <c r="G294" s="5">
        <v>185</v>
      </c>
      <c r="H294" s="7">
        <f>LOOKUP(G294,{0,180,185,190,195,200,205,209,213,217,221,225,229,233,237,241,245,253,260,265,270},{0,10,20,30,40,50,60,62,64,66,68,70,72,74,76,78,80,85,90,95,100})</f>
        <v>20</v>
      </c>
      <c r="I294" s="5">
        <v>1</v>
      </c>
      <c r="J294" s="7">
        <f>LOOKUP(I294,{0,4,5,6,7,8,9,10,11,12,13,14,15,16,17,18},{0,10,20,30,40,50,60,64,68,72,76,80,85,90,95,100})</f>
        <v>0</v>
      </c>
      <c r="K294" s="5"/>
      <c r="L294" s="5"/>
      <c r="M294" s="5">
        <f t="shared" si="146"/>
        <v>0</v>
      </c>
      <c r="N294" s="5">
        <v>8</v>
      </c>
      <c r="O294" s="10">
        <f t="shared" si="147"/>
        <v>10</v>
      </c>
      <c r="P294" s="7">
        <f>LOOKUP(O294,{0,7.8,8,8.2,8.4,8.6,8.8,9,9.2,9.4,9.6,9.8,10,10.2,10.4,10.6,10.8,10.9,11,11.1,11.2},{0,10,20,30,40,50,60,62,64,66,68,70,72,74,76,78,80,85,90,95,100})</f>
        <v>72</v>
      </c>
      <c r="Q294" s="5">
        <v>5.41</v>
      </c>
      <c r="R294" s="10">
        <f t="shared" si="148"/>
        <v>4.59</v>
      </c>
      <c r="S294" s="7">
        <f>LOOKUP(R294,{0,3.85,4.45,4.65,4.85,5.45,5.65,5.7,5.75,5.8,5.85,5.9,5.95,6,6.45,6.5,6.55,6.63,6.7,6.75,6.8},{0,10,20,30,40,50,60,62,64,66,68,70,72,74,76,78,80,85,90,95,100})</f>
        <v>20</v>
      </c>
      <c r="T294" s="5"/>
      <c r="U294" s="5"/>
      <c r="V294" s="5">
        <f t="shared" si="149"/>
        <v>20</v>
      </c>
      <c r="W294" s="5"/>
      <c r="X294" s="13">
        <f t="shared" si="150"/>
        <v>22.4</v>
      </c>
      <c r="Y294" s="13">
        <f t="shared" si="151"/>
        <v>32</v>
      </c>
    </row>
    <row r="295" ht="15.6" hidden="1" outlineLevel="2" spans="1:25">
      <c r="A295" s="5">
        <v>310</v>
      </c>
      <c r="B295" s="5">
        <v>12</v>
      </c>
      <c r="C295" s="9" t="s">
        <v>470</v>
      </c>
      <c r="D295" s="9" t="s">
        <v>12</v>
      </c>
      <c r="E295" s="5">
        <v>14.4</v>
      </c>
      <c r="F295" s="7">
        <f>LOOKUP(E295,{0,-1.8,-0.8,0.2,1.2,2.2,3.2,4.6,6,7.4,8.8,10.2,11.6,13,14.4,15.8,17.2,19.1,21,22.8,24.6},{0,10,20,30,40,50,60,62,64,66,68,70,72,74,76,78,80,85,90,95,100})</f>
        <v>76</v>
      </c>
      <c r="G295" s="5">
        <v>232</v>
      </c>
      <c r="H295" s="7">
        <f>LOOKUP(G295,{0,180,185,190,195,200,205,209,213,217,221,225,229,233,237,241,245,253,260,265,270},{0,10,20,30,40,50,60,62,64,66,68,70,72,74,76,78,80,85,90,95,100})</f>
        <v>72</v>
      </c>
      <c r="I295" s="5">
        <v>2</v>
      </c>
      <c r="J295" s="7">
        <f>LOOKUP(I295,{0,4,5,6,7,8,9,10,11,12,13,14,15,16,17,18},{0,10,20,30,40,50,60,64,68,72,76,80,85,90,95,100})</f>
        <v>0</v>
      </c>
      <c r="K295" s="5"/>
      <c r="L295" s="5"/>
      <c r="M295" s="5">
        <f t="shared" si="146"/>
        <v>0</v>
      </c>
      <c r="N295" s="5">
        <v>7.8</v>
      </c>
      <c r="O295" s="10">
        <f t="shared" si="147"/>
        <v>10.2</v>
      </c>
      <c r="P295" s="7">
        <f>LOOKUP(O295,{0,7.8,8,8.2,8.4,8.6,8.8,9,9.2,9.4,9.6,9.8,10,10.2,10.4,10.6,10.8,10.9,11,11.1,11.2},{0,10,20,30,40,50,60,62,64,66,68,70,72,74,76,78,80,85,90,95,100})</f>
        <v>74</v>
      </c>
      <c r="Q295" s="5">
        <v>6.33</v>
      </c>
      <c r="R295" s="10">
        <f t="shared" si="148"/>
        <v>3.67</v>
      </c>
      <c r="S295" s="7">
        <f>LOOKUP(R295,{0,3.85,4.45,4.65,4.85,5.45,5.65,5.7,5.75,5.8,5.85,5.9,5.95,6,6.45,6.5,6.55,6.63,6.7,6.75,6.8},{0,10,20,30,40,50,60,62,64,66,68,70,72,74,76,78,80,85,90,95,100})</f>
        <v>0</v>
      </c>
      <c r="T295" s="5"/>
      <c r="U295" s="5"/>
      <c r="V295" s="5">
        <f t="shared" si="149"/>
        <v>0</v>
      </c>
      <c r="W295" s="5"/>
      <c r="X295" s="13">
        <f t="shared" si="150"/>
        <v>29.6</v>
      </c>
      <c r="Y295" s="13">
        <f t="shared" si="151"/>
        <v>42.2857142857143</v>
      </c>
    </row>
    <row r="296" ht="15.6" hidden="1" outlineLevel="2" spans="1:25">
      <c r="A296" s="5">
        <v>310</v>
      </c>
      <c r="B296" s="5">
        <v>13</v>
      </c>
      <c r="C296" s="9" t="s">
        <v>471</v>
      </c>
      <c r="D296" s="9" t="s">
        <v>12</v>
      </c>
      <c r="E296" s="5">
        <v>17.5</v>
      </c>
      <c r="F296" s="7">
        <f>LOOKUP(E296,{0,-1.8,-0.8,0.2,1.2,2.2,3.2,4.6,6,7.4,8.8,10.2,11.6,13,14.4,15.8,17.2,19.1,21,22.8,24.6},{0,10,20,30,40,50,60,62,64,66,68,70,72,74,76,78,80,85,90,95,100})</f>
        <v>80</v>
      </c>
      <c r="G296" s="5">
        <v>260</v>
      </c>
      <c r="H296" s="7">
        <f>LOOKUP(G296,{0,180,185,190,195,200,205,209,213,217,221,225,229,233,237,241,245,253,260,265,270},{0,10,20,30,40,50,60,62,64,66,68,70,72,74,76,78,80,85,90,95,100})</f>
        <v>90</v>
      </c>
      <c r="I296" s="5">
        <v>4</v>
      </c>
      <c r="J296" s="7">
        <f>LOOKUP(I296,{0,4,5,6,7,8,9,10,11,12,13,14,15,16,17,18},{0,10,20,30,40,50,60,64,68,72,76,80,85,90,95,100})</f>
        <v>10</v>
      </c>
      <c r="K296" s="5"/>
      <c r="L296" s="5"/>
      <c r="M296" s="5">
        <f t="shared" si="146"/>
        <v>10</v>
      </c>
      <c r="N296" s="5">
        <v>7</v>
      </c>
      <c r="O296" s="10">
        <f t="shared" si="147"/>
        <v>11</v>
      </c>
      <c r="P296" s="7">
        <f>LOOKUP(O296,{0,7.8,8,8.2,8.4,8.6,8.8,9,9.2,9.4,9.6,9.8,10,10.2,10.4,10.6,10.8,10.9,11,11.1,11.2},{0,10,20,30,40,50,60,62,64,66,68,70,72,74,76,78,80,85,90,95,100})</f>
        <v>90</v>
      </c>
      <c r="Q296" s="5">
        <v>3.4</v>
      </c>
      <c r="R296" s="10">
        <f t="shared" si="148"/>
        <v>6.6</v>
      </c>
      <c r="S296" s="7">
        <f>LOOKUP(R296,{0,3.85,4.45,4.65,4.85,5.45,5.65,5.7,5.75,5.8,5.85,5.9,5.95,6,6.45,6.5,6.55,6.63,6.7,6.75,6.8},{0,10,20,30,40,50,60,62,64,66,68,70,72,74,76,78,80,85,90,95,100})</f>
        <v>80</v>
      </c>
      <c r="T296" s="5"/>
      <c r="U296" s="5"/>
      <c r="V296" s="5">
        <f t="shared" si="149"/>
        <v>80</v>
      </c>
      <c r="W296" s="5"/>
      <c r="X296" s="13">
        <f t="shared" si="150"/>
        <v>52</v>
      </c>
      <c r="Y296" s="13">
        <f t="shared" si="151"/>
        <v>74.2857142857143</v>
      </c>
    </row>
    <row r="297" ht="15.6" hidden="1" outlineLevel="2" spans="1:25">
      <c r="A297" s="5">
        <v>310</v>
      </c>
      <c r="B297" s="5">
        <v>14</v>
      </c>
      <c r="C297" s="9" t="s">
        <v>472</v>
      </c>
      <c r="D297" s="9" t="s">
        <v>12</v>
      </c>
      <c r="E297" s="5">
        <v>18</v>
      </c>
      <c r="F297" s="7">
        <f>LOOKUP(E297,{0,-1.8,-0.8,0.2,1.2,2.2,3.2,4.6,6,7.4,8.8,10.2,11.6,13,14.4,15.8,17.2,19.1,21,22.8,24.6},{0,10,20,30,40,50,60,62,64,66,68,70,72,74,76,78,80,85,90,95,100})</f>
        <v>80</v>
      </c>
      <c r="G297" s="5">
        <v>245</v>
      </c>
      <c r="H297" s="7">
        <f>LOOKUP(G297,{0,180,185,190,195,200,205,209,213,217,221,225,229,233,237,241,245,253,260,265,270},{0,10,20,30,40,50,60,62,64,66,68,70,72,74,76,78,80,85,90,95,100})</f>
        <v>80</v>
      </c>
      <c r="I297" s="5">
        <v>18</v>
      </c>
      <c r="J297" s="7">
        <f>LOOKUP(I297,{0,4,5,6,7,8,9,10,11,12,13,14,15,16,17,18},{0,10,20,30,40,50,60,64,68,72,76,80,85,90,95,100})</f>
        <v>100</v>
      </c>
      <c r="K297" s="5"/>
      <c r="L297" s="5"/>
      <c r="M297" s="5">
        <f t="shared" si="146"/>
        <v>100</v>
      </c>
      <c r="N297" s="5">
        <v>7.5</v>
      </c>
      <c r="O297" s="10">
        <f t="shared" si="147"/>
        <v>10.5</v>
      </c>
      <c r="P297" s="7">
        <f>LOOKUP(O297,{0,7.8,8,8.2,8.4,8.6,8.8,9,9.2,9.4,9.6,9.8,10,10.2,10.4,10.6,10.8,10.9,11,11.1,11.2},{0,10,20,30,40,50,60,62,64,66,68,70,72,74,76,78,80,85,90,95,100})</f>
        <v>76</v>
      </c>
      <c r="Q297" s="5">
        <v>3.46</v>
      </c>
      <c r="R297" s="10">
        <f t="shared" si="148"/>
        <v>6.54</v>
      </c>
      <c r="S297" s="7">
        <f>LOOKUP(R297,{0,3.85,4.45,4.65,4.85,5.45,5.65,5.7,5.75,5.8,5.85,5.9,5.95,6,6.45,6.5,6.55,6.63,6.7,6.75,6.8},{0,10,20,30,40,50,60,62,64,66,68,70,72,74,76,78,80,85,90,95,100})</f>
        <v>78</v>
      </c>
      <c r="T297" s="5"/>
      <c r="U297" s="5"/>
      <c r="V297" s="5">
        <f t="shared" si="149"/>
        <v>78</v>
      </c>
      <c r="W297" s="5"/>
      <c r="X297" s="13">
        <f t="shared" si="150"/>
        <v>56.8</v>
      </c>
      <c r="Y297" s="13">
        <f t="shared" si="151"/>
        <v>81.1428571428572</v>
      </c>
    </row>
    <row r="298" ht="15.6" hidden="1" outlineLevel="2" spans="1:25">
      <c r="A298" s="5">
        <v>310</v>
      </c>
      <c r="B298" s="5">
        <v>15</v>
      </c>
      <c r="C298" s="9" t="s">
        <v>473</v>
      </c>
      <c r="D298" s="9" t="s">
        <v>12</v>
      </c>
      <c r="E298" s="5">
        <v>11.6</v>
      </c>
      <c r="F298" s="7">
        <f>LOOKUP(E298,{0,-1.8,-0.8,0.2,1.2,2.2,3.2,4.6,6,7.4,8.8,10.2,11.6,13,14.4,15.8,17.2,19.1,21,22.8,24.6},{0,10,20,30,40,50,60,62,64,66,68,70,72,74,76,78,80,85,90,95,100})</f>
        <v>72</v>
      </c>
      <c r="G298" s="5">
        <v>200</v>
      </c>
      <c r="H298" s="7">
        <f>LOOKUP(G298,{0,180,185,190,195,200,205,209,213,217,221,225,229,233,237,241,245,253,260,265,270},{0,10,20,30,40,50,60,62,64,66,68,70,72,74,76,78,80,85,90,95,100})</f>
        <v>50</v>
      </c>
      <c r="I298" s="5">
        <v>0</v>
      </c>
      <c r="J298" s="7">
        <f>LOOKUP(I298,{0,4,5,6,7,8,9,10,11,12,13,14,15,16,17,18},{0,10,20,30,40,50,60,64,68,72,76,80,85,90,95,100})</f>
        <v>0</v>
      </c>
      <c r="K298" s="5"/>
      <c r="L298" s="5"/>
      <c r="M298" s="5">
        <f t="shared" si="146"/>
        <v>0</v>
      </c>
      <c r="N298" s="5">
        <v>9.5</v>
      </c>
      <c r="O298" s="10">
        <f t="shared" si="147"/>
        <v>8.5</v>
      </c>
      <c r="P298" s="7">
        <f>LOOKUP(O298,{0,7.8,8,8.2,8.4,8.6,8.8,9,9.2,9.4,9.6,9.8,10,10.2,10.4,10.6,10.8,10.9,11,11.1,11.2},{0,10,20,30,40,50,60,62,64,66,68,70,72,74,76,78,80,85,90,95,100})</f>
        <v>40</v>
      </c>
      <c r="Q298" s="5">
        <v>6.33</v>
      </c>
      <c r="R298" s="10">
        <f t="shared" si="148"/>
        <v>3.67</v>
      </c>
      <c r="S298" s="7">
        <f>LOOKUP(R298,{0,3.85,4.45,4.65,4.85,5.45,5.65,5.7,5.75,5.8,5.85,5.9,5.95,6,6.45,6.5,6.55,6.63,6.7,6.75,6.8},{0,10,20,30,40,50,60,62,64,66,68,70,72,74,76,78,80,85,90,95,100})</f>
        <v>0</v>
      </c>
      <c r="T298" s="5"/>
      <c r="U298" s="5"/>
      <c r="V298" s="5">
        <f t="shared" si="149"/>
        <v>0</v>
      </c>
      <c r="W298" s="5"/>
      <c r="X298" s="13">
        <f t="shared" si="150"/>
        <v>20.2</v>
      </c>
      <c r="Y298" s="13">
        <f t="shared" si="151"/>
        <v>28.8571428571429</v>
      </c>
    </row>
    <row r="299" ht="15.6" hidden="1" outlineLevel="2" spans="1:25">
      <c r="A299" s="5">
        <v>310</v>
      </c>
      <c r="B299" s="5">
        <v>16</v>
      </c>
      <c r="C299" s="9" t="s">
        <v>474</v>
      </c>
      <c r="D299" s="9" t="s">
        <v>12</v>
      </c>
      <c r="E299" s="5">
        <v>3.4</v>
      </c>
      <c r="F299" s="7">
        <f>LOOKUP(E299,{0,-1.8,-0.8,0.2,1.2,2.2,3.2,4.6,6,7.4,8.8,10.2,11.6,13,14.4,15.8,17.2,19.1,21,22.8,24.6},{0,10,20,30,40,50,60,62,64,66,68,70,72,74,76,78,80,85,90,95,100})</f>
        <v>60</v>
      </c>
      <c r="G299" s="5">
        <v>202</v>
      </c>
      <c r="H299" s="7">
        <f>LOOKUP(G299,{0,180,185,190,195,200,205,209,213,217,221,225,229,233,237,241,245,253,260,265,270},{0,10,20,30,40,50,60,62,64,66,68,70,72,74,76,78,80,85,90,95,100})</f>
        <v>50</v>
      </c>
      <c r="I299" s="5">
        <v>0</v>
      </c>
      <c r="J299" s="7">
        <f>LOOKUP(I299,{0,4,5,6,7,8,9,10,11,12,13,14,15,16,17,18},{0,10,20,30,40,50,60,64,68,72,76,80,85,90,95,100})</f>
        <v>0</v>
      </c>
      <c r="K299" s="5"/>
      <c r="L299" s="5"/>
      <c r="M299" s="5">
        <f t="shared" si="146"/>
        <v>0</v>
      </c>
      <c r="N299" s="5">
        <v>8.1</v>
      </c>
      <c r="O299" s="10">
        <f t="shared" si="147"/>
        <v>9.9</v>
      </c>
      <c r="P299" s="7">
        <f>LOOKUP(O299,{0,7.8,8,8.2,8.4,8.6,8.8,9,9.2,9.4,9.6,9.8,10,10.2,10.4,10.6,10.8,10.9,11,11.1,11.2},{0,10,20,30,40,50,60,62,64,66,68,70,72,74,76,78,80,85,90,95,100})</f>
        <v>70</v>
      </c>
      <c r="Q299" s="5">
        <v>6.3</v>
      </c>
      <c r="R299" s="10">
        <f t="shared" si="148"/>
        <v>3.7</v>
      </c>
      <c r="S299" s="7">
        <f>LOOKUP(R299,{0,3.85,4.45,4.65,4.85,5.45,5.65,5.7,5.75,5.8,5.85,5.9,5.95,6,6.45,6.5,6.55,6.63,6.7,6.75,6.8},{0,10,20,30,40,50,60,62,64,66,68,70,72,74,76,78,80,85,90,95,100})</f>
        <v>0</v>
      </c>
      <c r="T299" s="5"/>
      <c r="U299" s="5"/>
      <c r="V299" s="5">
        <f t="shared" si="149"/>
        <v>0</v>
      </c>
      <c r="W299" s="5"/>
      <c r="X299" s="13">
        <f t="shared" si="150"/>
        <v>25</v>
      </c>
      <c r="Y299" s="13">
        <f t="shared" si="151"/>
        <v>35.7142857142857</v>
      </c>
    </row>
    <row r="300" ht="15.6" hidden="1" outlineLevel="2" spans="1:25">
      <c r="A300" s="5">
        <v>310</v>
      </c>
      <c r="B300" s="5">
        <v>17</v>
      </c>
      <c r="C300" s="9" t="s">
        <v>475</v>
      </c>
      <c r="D300" s="9" t="s">
        <v>12</v>
      </c>
      <c r="E300" s="5">
        <v>9.4</v>
      </c>
      <c r="F300" s="7">
        <f>LOOKUP(E300,{0,-1.8,-0.8,0.2,1.2,2.2,3.2,4.6,6,7.4,8.8,10.2,11.6,13,14.4,15.8,17.2,19.1,21,22.8,24.6},{0,10,20,30,40,50,60,62,64,66,68,70,72,74,76,78,80,85,90,95,100})</f>
        <v>68</v>
      </c>
      <c r="G300" s="5">
        <v>212</v>
      </c>
      <c r="H300" s="7">
        <f>LOOKUP(G300,{0,180,185,190,195,200,205,209,213,217,221,225,229,233,237,241,245,253,260,265,270},{0,10,20,30,40,50,60,62,64,66,68,70,72,74,76,78,80,85,90,95,100})</f>
        <v>62</v>
      </c>
      <c r="I300" s="5">
        <v>0</v>
      </c>
      <c r="J300" s="7">
        <f>LOOKUP(I300,{0,4,5,6,7,8,9,10,11,12,13,14,15,16,17,18},{0,10,20,30,40,50,60,64,68,72,76,80,85,90,95,100})</f>
        <v>0</v>
      </c>
      <c r="K300" s="5"/>
      <c r="L300" s="5"/>
      <c r="M300" s="5">
        <f t="shared" si="146"/>
        <v>0</v>
      </c>
      <c r="N300" s="5">
        <v>8.4</v>
      </c>
      <c r="O300" s="10">
        <f t="shared" si="147"/>
        <v>9.6</v>
      </c>
      <c r="P300" s="7">
        <f>LOOKUP(O300,{0,7.8,8,8.2,8.4,8.6,8.8,9,9.2,9.4,9.6,9.8,10,10.2,10.4,10.6,10.8,10.9,11,11.1,11.2},{0,10,20,30,40,50,60,62,64,66,68,70,72,74,76,78,80,85,90,95,100})</f>
        <v>68</v>
      </c>
      <c r="Q300" s="5">
        <v>4.3</v>
      </c>
      <c r="R300" s="10">
        <f t="shared" si="148"/>
        <v>5.7</v>
      </c>
      <c r="S300" s="7">
        <f>LOOKUP(R300,{0,3.85,4.45,4.65,4.85,5.45,5.65,5.7,5.75,5.8,5.85,5.9,5.95,6,6.45,6.5,6.55,6.63,6.7,6.75,6.8},{0,10,20,30,40,50,60,62,64,66,68,70,72,74,76,78,80,85,90,95,100})</f>
        <v>62</v>
      </c>
      <c r="T300" s="5"/>
      <c r="U300" s="5"/>
      <c r="V300" s="5">
        <f t="shared" si="149"/>
        <v>62</v>
      </c>
      <c r="W300" s="5"/>
      <c r="X300" s="13">
        <f t="shared" si="150"/>
        <v>39</v>
      </c>
      <c r="Y300" s="13">
        <f t="shared" si="151"/>
        <v>55.7142857142857</v>
      </c>
    </row>
    <row r="301" ht="15.6" hidden="1" outlineLevel="2" spans="1:25">
      <c r="A301" s="5">
        <v>310</v>
      </c>
      <c r="B301" s="5">
        <v>18</v>
      </c>
      <c r="C301" s="9" t="s">
        <v>476</v>
      </c>
      <c r="D301" s="9" t="s">
        <v>12</v>
      </c>
      <c r="E301" s="5">
        <v>0.8</v>
      </c>
      <c r="F301" s="7">
        <f>LOOKUP(E301,{0,-1.8,-0.8,0.2,1.2,2.2,3.2,4.6,6,7.4,8.8,10.2,11.6,13,14.4,15.8,17.2,19.1,21,22.8,24.6},{0,10,20,30,40,50,60,62,64,66,68,70,72,74,76,78,80,85,90,95,100})</f>
        <v>30</v>
      </c>
      <c r="G301" s="5">
        <v>210</v>
      </c>
      <c r="H301" s="7">
        <f>LOOKUP(G301,{0,180,185,190,195,200,205,209,213,217,221,225,229,233,237,241,245,253,260,265,270},{0,10,20,30,40,50,60,62,64,66,68,70,72,74,76,78,80,85,90,95,100})</f>
        <v>62</v>
      </c>
      <c r="I301" s="5">
        <v>0</v>
      </c>
      <c r="J301" s="7">
        <f>LOOKUP(I301,{0,4,5,6,7,8,9,10,11,12,13,14,15,16,17,18},{0,10,20,30,40,50,60,64,68,72,76,80,85,90,95,100})</f>
        <v>0</v>
      </c>
      <c r="K301" s="5"/>
      <c r="L301" s="5"/>
      <c r="M301" s="5">
        <f t="shared" si="146"/>
        <v>0</v>
      </c>
      <c r="N301" s="5">
        <v>8.2</v>
      </c>
      <c r="O301" s="10">
        <f t="shared" si="147"/>
        <v>9.8</v>
      </c>
      <c r="P301" s="7">
        <f>LOOKUP(O301,{0,7.8,8,8.2,8.4,8.6,8.8,9,9.2,9.4,9.6,9.8,10,10.2,10.4,10.6,10.8,10.9,11,11.1,11.2},{0,10,20,30,40,50,60,62,64,66,68,70,72,74,76,78,80,85,90,95,100})</f>
        <v>70</v>
      </c>
      <c r="Q301" s="5">
        <v>6.33</v>
      </c>
      <c r="R301" s="10">
        <f t="shared" si="148"/>
        <v>3.67</v>
      </c>
      <c r="S301" s="7">
        <f>LOOKUP(R301,{0,3.85,4.45,4.65,4.85,5.45,5.65,5.7,5.75,5.8,5.85,5.9,5.95,6,6.45,6.5,6.55,6.63,6.7,6.75,6.8},{0,10,20,30,40,50,60,62,64,66,68,70,72,74,76,78,80,85,90,95,100})</f>
        <v>0</v>
      </c>
      <c r="T301" s="5"/>
      <c r="U301" s="5"/>
      <c r="V301" s="5">
        <f t="shared" si="149"/>
        <v>0</v>
      </c>
      <c r="W301" s="5"/>
      <c r="X301" s="13">
        <f t="shared" si="150"/>
        <v>23.2</v>
      </c>
      <c r="Y301" s="13">
        <f t="shared" si="151"/>
        <v>33.1428571428571</v>
      </c>
    </row>
    <row r="302" ht="15.6" hidden="1" outlineLevel="2" spans="1:25">
      <c r="A302" s="5">
        <v>310</v>
      </c>
      <c r="B302" s="5">
        <v>19</v>
      </c>
      <c r="C302" s="9" t="s">
        <v>477</v>
      </c>
      <c r="D302" s="9" t="s">
        <v>12</v>
      </c>
      <c r="E302" s="5">
        <v>13.5</v>
      </c>
      <c r="F302" s="7">
        <f>LOOKUP(E302,{0,-1.8,-0.8,0.2,1.2,2.2,3.2,4.6,6,7.4,8.8,10.2,11.6,13,14.4,15.8,17.2,19.1,21,22.8,24.6},{0,10,20,30,40,50,60,62,64,66,68,70,72,74,76,78,80,85,90,95,100})</f>
        <v>74</v>
      </c>
      <c r="G302" s="5">
        <v>262</v>
      </c>
      <c r="H302" s="7">
        <f>LOOKUP(G302,{0,180,185,190,195,200,205,209,213,217,221,225,229,233,237,241,245,253,260,265,270},{0,10,20,30,40,50,60,62,64,66,68,70,72,74,76,78,80,85,90,95,100})</f>
        <v>90</v>
      </c>
      <c r="I302" s="5">
        <v>4</v>
      </c>
      <c r="J302" s="7">
        <f>LOOKUP(I302,{0,4,5,6,7,8,9,10,11,12,13,14,15,16,17,18},{0,10,20,30,40,50,60,64,68,72,76,80,85,90,95,100})</f>
        <v>10</v>
      </c>
      <c r="K302" s="5"/>
      <c r="L302" s="5"/>
      <c r="M302" s="5">
        <f t="shared" si="146"/>
        <v>10</v>
      </c>
      <c r="N302" s="5">
        <v>7</v>
      </c>
      <c r="O302" s="10">
        <f t="shared" si="147"/>
        <v>11</v>
      </c>
      <c r="P302" s="7">
        <f>LOOKUP(O302,{0,7.8,8,8.2,8.4,8.6,8.8,9,9.2,9.4,9.6,9.8,10,10.2,10.4,10.6,10.8,10.9,11,11.1,11.2},{0,10,20,30,40,50,60,62,64,66,68,70,72,74,76,78,80,85,90,95,100})</f>
        <v>90</v>
      </c>
      <c r="Q302" s="5">
        <v>4.12</v>
      </c>
      <c r="R302" s="10">
        <f t="shared" si="148"/>
        <v>5.88</v>
      </c>
      <c r="S302" s="7">
        <f>LOOKUP(R302,{0,3.85,4.45,4.65,4.85,5.45,5.65,5.7,5.75,5.8,5.85,5.9,5.95,6,6.45,6.5,6.55,6.63,6.7,6.75,6.8},{0,10,20,30,40,50,60,62,64,66,68,70,72,74,76,78,80,85,90,95,100})</f>
        <v>68</v>
      </c>
      <c r="T302" s="5"/>
      <c r="U302" s="5"/>
      <c r="V302" s="5">
        <f t="shared" si="149"/>
        <v>68</v>
      </c>
      <c r="W302" s="5"/>
      <c r="X302" s="13">
        <f t="shared" si="150"/>
        <v>49</v>
      </c>
      <c r="Y302" s="13">
        <f t="shared" si="151"/>
        <v>70</v>
      </c>
    </row>
    <row r="303" ht="15.6" hidden="1" outlineLevel="2" spans="1:25">
      <c r="A303" s="5">
        <v>310</v>
      </c>
      <c r="B303" s="5">
        <v>20</v>
      </c>
      <c r="C303" s="9" t="s">
        <v>478</v>
      </c>
      <c r="D303" s="9" t="s">
        <v>12</v>
      </c>
      <c r="E303" s="5">
        <v>-4</v>
      </c>
      <c r="F303" s="7">
        <v>0</v>
      </c>
      <c r="G303" s="5">
        <v>263</v>
      </c>
      <c r="H303" s="7">
        <f>LOOKUP(G303,{0,180,185,190,195,200,205,209,213,217,221,225,229,233,237,241,245,253,260,265,270},{0,10,20,30,40,50,60,62,64,66,68,70,72,74,76,78,80,85,90,95,100})</f>
        <v>90</v>
      </c>
      <c r="I303" s="5">
        <v>3</v>
      </c>
      <c r="J303" s="7">
        <f>LOOKUP(I303,{0,4,5,6,7,8,9,10,11,12,13,14,15,16,17,18},{0,10,20,30,40,50,60,64,68,72,76,80,85,90,95,100})</f>
        <v>0</v>
      </c>
      <c r="K303" s="5"/>
      <c r="L303" s="5"/>
      <c r="M303" s="5">
        <f t="shared" si="146"/>
        <v>0</v>
      </c>
      <c r="N303" s="5">
        <v>8.1</v>
      </c>
      <c r="O303" s="10">
        <f t="shared" si="147"/>
        <v>9.9</v>
      </c>
      <c r="P303" s="7">
        <f>LOOKUP(O303,{0,7.8,8,8.2,8.4,8.6,8.8,9,9.2,9.4,9.6,9.8,10,10.2,10.4,10.6,10.8,10.9,11,11.1,11.2},{0,10,20,30,40,50,60,62,64,66,68,70,72,74,76,78,80,85,90,95,100})</f>
        <v>70</v>
      </c>
      <c r="Q303" s="5">
        <v>4.27</v>
      </c>
      <c r="R303" s="10">
        <f t="shared" si="148"/>
        <v>5.73</v>
      </c>
      <c r="S303" s="7">
        <f>LOOKUP(R303,{0,3.85,4.45,4.65,4.85,5.45,5.65,5.7,5.75,5.8,5.85,5.9,5.95,6,6.45,6.5,6.55,6.63,6.7,6.75,6.8},{0,10,20,30,40,50,60,62,64,66,68,70,72,74,76,78,80,85,90,95,100})</f>
        <v>62</v>
      </c>
      <c r="T303" s="5"/>
      <c r="U303" s="5"/>
      <c r="V303" s="5">
        <f t="shared" si="149"/>
        <v>62</v>
      </c>
      <c r="W303" s="5"/>
      <c r="X303" s="13">
        <f t="shared" si="150"/>
        <v>35.4</v>
      </c>
      <c r="Y303" s="13">
        <f t="shared" si="151"/>
        <v>50.5714285714286</v>
      </c>
    </row>
    <row r="304" ht="15.6" hidden="1" outlineLevel="2" spans="1:25">
      <c r="A304" s="5">
        <v>310</v>
      </c>
      <c r="B304" s="5">
        <v>21</v>
      </c>
      <c r="C304" s="8" t="s">
        <v>480</v>
      </c>
      <c r="D304" s="9" t="s">
        <v>12</v>
      </c>
      <c r="E304" s="5">
        <v>14</v>
      </c>
      <c r="F304" s="7">
        <f>LOOKUP(E304,{0,-1.8,-0.8,0.2,1.2,2.2,3.2,4.6,6,7.4,8.8,10.2,11.6,13,14.4,15.8,17.2,19.1,21,22.8,24.6},{0,10,20,30,40,50,60,62,64,66,68,70,72,74,76,78,80,85,90,95,100})</f>
        <v>74</v>
      </c>
      <c r="G304" s="5">
        <v>230</v>
      </c>
      <c r="H304" s="7">
        <f>LOOKUP(G304,{0,180,185,190,195,200,205,209,213,217,221,225,229,233,237,241,245,253,260,265,270},{0,10,20,30,40,50,60,62,64,66,68,70,72,74,76,78,80,85,90,95,100})</f>
        <v>72</v>
      </c>
      <c r="I304" s="5">
        <v>14</v>
      </c>
      <c r="J304" s="7">
        <f>LOOKUP(I304,{0,4,5,6,7,8,9,10,11,12,13,14,15,16,17,18},{0,10,20,30,40,50,60,64,68,72,76,80,85,90,95,100})</f>
        <v>80</v>
      </c>
      <c r="K304" s="5"/>
      <c r="L304" s="5"/>
      <c r="M304" s="5">
        <f t="shared" si="146"/>
        <v>80</v>
      </c>
      <c r="N304" s="5">
        <v>7.4</v>
      </c>
      <c r="O304" s="10">
        <f t="shared" si="147"/>
        <v>10.6</v>
      </c>
      <c r="P304" s="7">
        <f>LOOKUP(O304,{0,7.8,8,8.2,8.4,8.6,8.8,9,9.2,9.4,9.6,9.8,10,10.2,10.4,10.6,10.8,10.9,11,11.1,11.2},{0,10,20,30,40,50,60,62,64,66,68,70,72,74,76,78,80,85,90,95,100})</f>
        <v>78</v>
      </c>
      <c r="Q304" s="5">
        <v>6.12</v>
      </c>
      <c r="R304" s="10">
        <f t="shared" si="148"/>
        <v>3.88</v>
      </c>
      <c r="S304" s="7">
        <f>LOOKUP(R304,{0,3.85,4.45,4.65,4.85,5.45,5.65,5.7,5.75,5.8,5.85,5.9,5.95,6,6.45,6.5,6.55,6.63,6.7,6.75,6.8},{0,10,20,30,40,50,60,62,64,66,68,70,72,74,76,78,80,85,90,95,100})</f>
        <v>10</v>
      </c>
      <c r="T304" s="5"/>
      <c r="U304" s="5"/>
      <c r="V304" s="5">
        <f t="shared" si="149"/>
        <v>10</v>
      </c>
      <c r="W304" s="5"/>
      <c r="X304" s="13">
        <f t="shared" si="150"/>
        <v>40.2</v>
      </c>
      <c r="Y304" s="13">
        <f t="shared" si="151"/>
        <v>57.4285714285714</v>
      </c>
    </row>
    <row r="305" ht="15.6" hidden="1" outlineLevel="2" spans="1:25">
      <c r="A305" s="5">
        <v>310</v>
      </c>
      <c r="B305" s="5">
        <v>22</v>
      </c>
      <c r="C305" s="9" t="s">
        <v>481</v>
      </c>
      <c r="D305" s="9" t="s">
        <v>12</v>
      </c>
      <c r="E305" s="5">
        <v>13</v>
      </c>
      <c r="F305" s="7">
        <f>LOOKUP(E305,{0,-1.8,-0.8,0.2,1.2,2.2,3.2,4.6,6,7.4,8.8,10.2,11.6,13,14.4,15.8,17.2,19.1,21,22.8,24.6},{0,10,20,30,40,50,60,62,64,66,68,70,72,74,76,78,80,85,90,95,100})</f>
        <v>74</v>
      </c>
      <c r="G305" s="5">
        <v>230</v>
      </c>
      <c r="H305" s="7">
        <f>LOOKUP(G305,{0,180,185,190,195,200,205,209,213,217,221,225,229,233,237,241,245,253,260,265,270},{0,10,20,30,40,50,60,62,64,66,68,70,72,74,76,78,80,85,90,95,100})</f>
        <v>72</v>
      </c>
      <c r="I305" s="5">
        <v>6</v>
      </c>
      <c r="J305" s="7">
        <f>LOOKUP(I305,{0,4,5,6,7,8,9,10,11,12,13,14,15,16,17,18},{0,10,20,30,40,50,60,64,68,72,76,80,85,90,95,100})</f>
        <v>30</v>
      </c>
      <c r="K305" s="5"/>
      <c r="L305" s="5"/>
      <c r="M305" s="5">
        <f t="shared" si="146"/>
        <v>30</v>
      </c>
      <c r="N305" s="5">
        <v>7.6</v>
      </c>
      <c r="O305" s="10">
        <f t="shared" si="147"/>
        <v>10.4</v>
      </c>
      <c r="P305" s="7">
        <f>LOOKUP(O305,{0,7.8,8,8.2,8.4,8.6,8.8,9,9.2,9.4,9.6,9.8,10,10.2,10.4,10.6,10.8,10.9,11,11.1,11.2},{0,10,20,30,40,50,60,62,64,66,68,70,72,74,76,78,80,85,90,95,100})</f>
        <v>76</v>
      </c>
      <c r="Q305" s="5">
        <v>4.19</v>
      </c>
      <c r="R305" s="10">
        <f t="shared" si="148"/>
        <v>5.81</v>
      </c>
      <c r="S305" s="7">
        <f>LOOKUP(R305,{0,3.85,4.45,4.65,4.85,5.45,5.65,5.7,5.75,5.8,5.85,5.9,5.95,6,6.45,6.5,6.55,6.63,6.7,6.75,6.8},{0,10,20,30,40,50,60,62,64,66,68,70,72,74,76,78,80,85,90,95,100})</f>
        <v>66</v>
      </c>
      <c r="T305" s="5"/>
      <c r="U305" s="5"/>
      <c r="V305" s="5">
        <f t="shared" si="149"/>
        <v>66</v>
      </c>
      <c r="W305" s="5"/>
      <c r="X305" s="13">
        <f t="shared" si="150"/>
        <v>46</v>
      </c>
      <c r="Y305" s="13">
        <f t="shared" si="151"/>
        <v>65.7142857142857</v>
      </c>
    </row>
    <row r="306" ht="15.6" hidden="1" outlineLevel="2" spans="1:25">
      <c r="A306" s="5">
        <v>310</v>
      </c>
      <c r="B306" s="5">
        <v>23</v>
      </c>
      <c r="C306" s="9" t="s">
        <v>482</v>
      </c>
      <c r="D306" s="9" t="s">
        <v>12</v>
      </c>
      <c r="E306" s="5">
        <v>22.5</v>
      </c>
      <c r="F306" s="7">
        <f>LOOKUP(E306,{0,-1.8,-0.8,0.2,1.2,2.2,3.2,4.6,6,7.4,8.8,10.2,11.6,13,14.4,15.8,17.2,19.1,21,22.8,24.6},{0,10,20,30,40,50,60,62,64,66,68,70,72,74,76,78,80,85,90,95,100})</f>
        <v>90</v>
      </c>
      <c r="G306" s="5">
        <v>250</v>
      </c>
      <c r="H306" s="7">
        <f>LOOKUP(G306,{0,180,185,190,195,200,205,209,213,217,221,225,229,233,237,241,245,253,260,265,270},{0,10,20,30,40,50,60,62,64,66,68,70,72,74,76,78,80,85,90,95,100})</f>
        <v>80</v>
      </c>
      <c r="I306" s="5">
        <v>21</v>
      </c>
      <c r="J306" s="7">
        <f>LOOKUP(I306,{0,4,5,6,7,8,9,10,11,12,13,14,15,16,17,18},{0,10,20,30,40,50,60,64,68,72,76,80,85,90,95,100})</f>
        <v>100</v>
      </c>
      <c r="K306" s="5">
        <f>I306-18</f>
        <v>3</v>
      </c>
      <c r="L306" s="7">
        <f>LOOKUP(K306,{0,1,2,3,4,5,6,7,8,9,10},{0,1,2,3,4,5,6,7,8,9,10})</f>
        <v>3</v>
      </c>
      <c r="M306" s="5">
        <f t="shared" si="146"/>
        <v>103</v>
      </c>
      <c r="N306" s="5">
        <v>7.1</v>
      </c>
      <c r="O306" s="10">
        <f t="shared" si="147"/>
        <v>10.9</v>
      </c>
      <c r="P306" s="7">
        <f>LOOKUP(O306,{0,7.8,8,8.2,8.4,8.6,8.8,9,9.2,9.4,9.6,9.8,10,10.2,10.4,10.6,10.8,10.9,11,11.1,11.2},{0,10,20,30,40,50,60,62,64,66,68,70,72,74,76,78,80,85,90,95,100})</f>
        <v>85</v>
      </c>
      <c r="Q306" s="5">
        <v>3.41</v>
      </c>
      <c r="R306" s="10">
        <f t="shared" si="148"/>
        <v>6.59</v>
      </c>
      <c r="S306" s="7">
        <f>LOOKUP(R306,{0,3.85,4.45,4.65,4.85,5.45,5.65,5.7,5.75,5.8,5.85,5.9,5.95,6,6.45,6.5,6.55,6.63,6.7,6.75,6.8},{0,10,20,30,40,50,60,62,64,66,68,70,72,74,76,78,80,85,90,95,100})</f>
        <v>80</v>
      </c>
      <c r="T306" s="5"/>
      <c r="U306" s="5"/>
      <c r="V306" s="5">
        <f t="shared" si="149"/>
        <v>80</v>
      </c>
      <c r="W306" s="5"/>
      <c r="X306" s="13">
        <f t="shared" si="150"/>
        <v>60</v>
      </c>
      <c r="Y306" s="13">
        <f t="shared" si="151"/>
        <v>88.7142857142857</v>
      </c>
    </row>
    <row r="307" ht="15.6" hidden="1" outlineLevel="2" spans="1:25">
      <c r="A307" s="5">
        <v>310</v>
      </c>
      <c r="B307" s="5">
        <v>24</v>
      </c>
      <c r="C307" s="9" t="s">
        <v>483</v>
      </c>
      <c r="D307" s="9" t="s">
        <v>12</v>
      </c>
      <c r="E307" s="5">
        <v>26.5</v>
      </c>
      <c r="F307" s="7">
        <f>LOOKUP(E307,{0,-1.8,-0.8,0.2,1.2,2.2,3.2,4.6,6,7.4,8.8,10.2,11.6,13,14.4,15.8,17.2,19.1,21,22.8,24.6},{0,10,20,30,40,50,60,62,64,66,68,70,72,74,76,78,80,85,90,95,100})</f>
        <v>100</v>
      </c>
      <c r="G307" s="5">
        <v>232</v>
      </c>
      <c r="H307" s="7">
        <f>LOOKUP(G307,{0,180,185,190,195,200,205,209,213,217,221,225,229,233,237,241,245,253,260,265,270},{0,10,20,30,40,50,60,62,64,66,68,70,72,74,76,78,80,85,90,95,100})</f>
        <v>72</v>
      </c>
      <c r="I307" s="5">
        <v>7</v>
      </c>
      <c r="J307" s="7">
        <f>LOOKUP(I307,{0,4,5,6,7,8,9,10,11,12,13,14,15,16,17,18},{0,10,20,30,40,50,60,64,68,72,76,80,85,90,95,100})</f>
        <v>40</v>
      </c>
      <c r="K307" s="5"/>
      <c r="L307" s="5"/>
      <c r="M307" s="5">
        <f t="shared" si="146"/>
        <v>40</v>
      </c>
      <c r="N307" s="5">
        <v>7.7</v>
      </c>
      <c r="O307" s="10">
        <f t="shared" si="147"/>
        <v>10.3</v>
      </c>
      <c r="P307" s="7">
        <f>LOOKUP(O307,{0,7.8,8,8.2,8.4,8.6,8.8,9,9.2,9.4,9.6,9.8,10,10.2,10.4,10.6,10.8,10.9,11,11.1,11.2},{0,10,20,30,40,50,60,62,64,66,68,70,72,74,76,78,80,85,90,95,100})</f>
        <v>74</v>
      </c>
      <c r="Q307" s="5">
        <v>4.3</v>
      </c>
      <c r="R307" s="10">
        <f t="shared" si="148"/>
        <v>5.7</v>
      </c>
      <c r="S307" s="7">
        <f>LOOKUP(R307,{0,3.85,4.45,4.65,4.85,5.45,5.65,5.7,5.75,5.8,5.85,5.9,5.95,6,6.45,6.5,6.55,6.63,6.7,6.75,6.8},{0,10,20,30,40,50,60,62,64,66,68,70,72,74,76,78,80,85,90,95,100})</f>
        <v>62</v>
      </c>
      <c r="T307" s="5"/>
      <c r="U307" s="5"/>
      <c r="V307" s="5">
        <f t="shared" si="149"/>
        <v>62</v>
      </c>
      <c r="W307" s="5"/>
      <c r="X307" s="13">
        <f t="shared" si="150"/>
        <v>48.4</v>
      </c>
      <c r="Y307" s="13">
        <f t="shared" si="151"/>
        <v>69.1428571428571</v>
      </c>
    </row>
    <row r="308" ht="15.6" hidden="1" outlineLevel="2" spans="1:25">
      <c r="A308" s="5">
        <v>310</v>
      </c>
      <c r="B308" s="5">
        <v>25</v>
      </c>
      <c r="C308" s="9" t="s">
        <v>484</v>
      </c>
      <c r="D308" s="9" t="s">
        <v>12</v>
      </c>
      <c r="E308" s="5">
        <v>15</v>
      </c>
      <c r="F308" s="7">
        <f>LOOKUP(E308,{0,-1.8,-0.8,0.2,1.2,2.2,3.2,4.6,6,7.4,8.8,10.2,11.6,13,14.4,15.8,17.2,19.1,21,22.8,24.6},{0,10,20,30,40,50,60,62,64,66,68,70,72,74,76,78,80,85,90,95,100})</f>
        <v>76</v>
      </c>
      <c r="G308" s="5">
        <v>232</v>
      </c>
      <c r="H308" s="7">
        <f>LOOKUP(G308,{0,180,185,190,195,200,205,209,213,217,221,225,229,233,237,241,245,253,260,265,270},{0,10,20,30,40,50,60,62,64,66,68,70,72,74,76,78,80,85,90,95,100})</f>
        <v>72</v>
      </c>
      <c r="I308" s="5">
        <v>5</v>
      </c>
      <c r="J308" s="7">
        <f>LOOKUP(I308,{0,4,5,6,7,8,9,10,11,12,13,14,15,16,17,18},{0,10,20,30,40,50,60,64,68,72,76,80,85,90,95,100})</f>
        <v>20</v>
      </c>
      <c r="K308" s="5"/>
      <c r="L308" s="5"/>
      <c r="M308" s="5">
        <f t="shared" si="146"/>
        <v>20</v>
      </c>
      <c r="N308" s="5">
        <v>7</v>
      </c>
      <c r="O308" s="10">
        <f t="shared" si="147"/>
        <v>11</v>
      </c>
      <c r="P308" s="7">
        <f>LOOKUP(O308,{0,7.8,8,8.2,8.4,8.6,8.8,9,9.2,9.4,9.6,9.8,10,10.2,10.4,10.6,10.8,10.9,11,11.1,11.2},{0,10,20,30,40,50,60,62,64,66,68,70,72,74,76,78,80,85,90,95,100})</f>
        <v>90</v>
      </c>
      <c r="Q308" s="5">
        <v>3.33</v>
      </c>
      <c r="R308" s="10">
        <f t="shared" si="148"/>
        <v>6.67</v>
      </c>
      <c r="S308" s="7">
        <f>LOOKUP(R308,{0,3.85,4.45,4.65,4.85,5.45,5.65,5.7,5.75,5.8,5.85,5.9,5.95,6,6.45,6.5,6.55,6.63,6.7,6.75,6.8},{0,10,20,30,40,50,60,62,64,66,68,70,72,74,76,78,80,85,90,95,100})</f>
        <v>85</v>
      </c>
      <c r="T308" s="5"/>
      <c r="U308" s="5"/>
      <c r="V308" s="5">
        <f t="shared" si="149"/>
        <v>85</v>
      </c>
      <c r="W308" s="5"/>
      <c r="X308" s="13">
        <f t="shared" si="150"/>
        <v>51.8</v>
      </c>
      <c r="Y308" s="13">
        <f t="shared" si="151"/>
        <v>74</v>
      </c>
    </row>
    <row r="309" ht="15.6" hidden="1" outlineLevel="2" spans="1:25">
      <c r="A309" s="5">
        <v>310</v>
      </c>
      <c r="B309" s="5">
        <v>26</v>
      </c>
      <c r="C309" s="9" t="s">
        <v>485</v>
      </c>
      <c r="D309" s="9" t="s">
        <v>12</v>
      </c>
      <c r="E309" s="5">
        <v>18</v>
      </c>
      <c r="F309" s="7">
        <f>LOOKUP(E309,{0,-1.8,-0.8,0.2,1.2,2.2,3.2,4.6,6,7.4,8.8,10.2,11.6,13,14.4,15.8,17.2,19.1,21,22.8,24.6},{0,10,20,30,40,50,60,62,64,66,68,70,72,74,76,78,80,85,90,95,100})</f>
        <v>80</v>
      </c>
      <c r="G309" s="5">
        <v>238</v>
      </c>
      <c r="H309" s="7">
        <f>LOOKUP(G309,{0,180,185,190,195,200,205,209,213,217,221,225,229,233,237,241,245,253,260,265,270},{0,10,20,30,40,50,60,62,64,66,68,70,72,74,76,78,80,85,90,95,100})</f>
        <v>76</v>
      </c>
      <c r="I309" s="5">
        <v>18</v>
      </c>
      <c r="J309" s="7">
        <f>LOOKUP(I309,{0,4,5,6,7,8,9,10,11,12,13,14,15,16,17,18},{0,10,20,30,40,50,60,64,68,72,76,80,85,90,95,100})</f>
        <v>100</v>
      </c>
      <c r="K309" s="5"/>
      <c r="L309" s="5"/>
      <c r="M309" s="5">
        <f t="shared" si="146"/>
        <v>100</v>
      </c>
      <c r="N309" s="5">
        <v>8.9</v>
      </c>
      <c r="O309" s="10">
        <f t="shared" si="147"/>
        <v>9.1</v>
      </c>
      <c r="P309" s="7">
        <f>LOOKUP(O309,{0,7.8,8,8.2,8.4,8.6,8.8,9,9.2,9.4,9.6,9.8,10,10.2,10.4,10.6,10.8,10.9,11,11.1,11.2},{0,10,20,30,40,50,60,62,64,66,68,70,72,74,76,78,80,85,90,95,100})</f>
        <v>62</v>
      </c>
      <c r="Q309" s="5">
        <v>5.03</v>
      </c>
      <c r="R309" s="10">
        <f t="shared" si="148"/>
        <v>4.97</v>
      </c>
      <c r="S309" s="7">
        <f>LOOKUP(R309,{0,3.85,4.45,4.65,4.85,5.45,5.65,5.7,5.75,5.8,5.85,5.9,5.95,6,6.45,6.5,6.55,6.63,6.7,6.75,6.8},{0,10,20,30,40,50,60,62,64,66,68,70,72,74,76,78,80,85,90,95,100})</f>
        <v>40</v>
      </c>
      <c r="T309" s="5"/>
      <c r="U309" s="5"/>
      <c r="V309" s="5">
        <f t="shared" si="149"/>
        <v>40</v>
      </c>
      <c r="W309" s="5"/>
      <c r="X309" s="13">
        <f t="shared" si="150"/>
        <v>46</v>
      </c>
      <c r="Y309" s="13">
        <f t="shared" si="151"/>
        <v>65.7142857142857</v>
      </c>
    </row>
    <row r="310" ht="15.6" hidden="1" outlineLevel="2" spans="1:25">
      <c r="A310" s="5">
        <v>310</v>
      </c>
      <c r="B310" s="5">
        <v>27</v>
      </c>
      <c r="C310" s="9" t="s">
        <v>486</v>
      </c>
      <c r="D310" s="9" t="s">
        <v>12</v>
      </c>
      <c r="E310" s="5">
        <v>-8</v>
      </c>
      <c r="F310" s="7">
        <v>0</v>
      </c>
      <c r="G310" s="5">
        <v>210</v>
      </c>
      <c r="H310" s="7">
        <f>LOOKUP(G310,{0,180,185,190,195,200,205,209,213,217,221,225,229,233,237,241,245,253,260,265,270},{0,10,20,30,40,50,60,62,64,66,68,70,72,74,76,78,80,85,90,95,100})</f>
        <v>62</v>
      </c>
      <c r="I310" s="5">
        <v>0</v>
      </c>
      <c r="J310" s="7">
        <f>LOOKUP(I310,{0,4,5,6,7,8,9,10,11,12,13,14,15,16,17,18},{0,10,20,30,40,50,60,64,68,72,76,80,85,90,95,100})</f>
        <v>0</v>
      </c>
      <c r="K310" s="5"/>
      <c r="L310" s="5"/>
      <c r="M310" s="5">
        <f t="shared" si="146"/>
        <v>0</v>
      </c>
      <c r="N310" s="5">
        <v>7.7</v>
      </c>
      <c r="O310" s="10">
        <f t="shared" si="147"/>
        <v>10.3</v>
      </c>
      <c r="P310" s="7">
        <f>LOOKUP(O310,{0,7.8,8,8.2,8.4,8.6,8.8,9,9.2,9.4,9.6,9.8,10,10.2,10.4,10.6,10.8,10.9,11,11.1,11.2},{0,10,20,30,40,50,60,62,64,66,68,70,72,74,76,78,80,85,90,95,100})</f>
        <v>74</v>
      </c>
      <c r="Q310" s="5">
        <v>6.12</v>
      </c>
      <c r="R310" s="10">
        <f t="shared" si="148"/>
        <v>3.88</v>
      </c>
      <c r="S310" s="7">
        <f>LOOKUP(R310,{0,3.85,4.45,4.65,4.85,5.45,5.65,5.7,5.75,5.8,5.85,5.9,5.95,6,6.45,6.5,6.55,6.63,6.7,6.75,6.8},{0,10,20,30,40,50,60,62,64,66,68,70,72,74,76,78,80,85,90,95,100})</f>
        <v>10</v>
      </c>
      <c r="T310" s="5"/>
      <c r="U310" s="5"/>
      <c r="V310" s="5">
        <f t="shared" si="149"/>
        <v>10</v>
      </c>
      <c r="W310" s="5"/>
      <c r="X310" s="13">
        <f t="shared" si="150"/>
        <v>23</v>
      </c>
      <c r="Y310" s="13">
        <f t="shared" si="151"/>
        <v>32.8571428571429</v>
      </c>
    </row>
    <row r="311" ht="15.6" hidden="1" outlineLevel="2" spans="1:25">
      <c r="A311" s="5">
        <v>310</v>
      </c>
      <c r="B311" s="5">
        <v>28</v>
      </c>
      <c r="C311" s="9" t="s">
        <v>487</v>
      </c>
      <c r="D311" s="9" t="s">
        <v>12</v>
      </c>
      <c r="E311" s="5">
        <v>15.7</v>
      </c>
      <c r="F311" s="7">
        <f>LOOKUP(E311,{0,-1.8,-0.8,0.2,1.2,2.2,3.2,4.6,6,7.4,8.8,10.2,11.6,13,14.4,15.8,17.2,19.1,21,22.8,24.6},{0,10,20,30,40,50,60,62,64,66,68,70,72,74,76,78,80,85,90,95,100})</f>
        <v>76</v>
      </c>
      <c r="G311" s="5">
        <v>245</v>
      </c>
      <c r="H311" s="7">
        <f>LOOKUP(G311,{0,180,185,190,195,200,205,209,213,217,221,225,229,233,237,241,245,253,260,265,270},{0,10,20,30,40,50,60,62,64,66,68,70,72,74,76,78,80,85,90,95,100})</f>
        <v>80</v>
      </c>
      <c r="I311" s="5">
        <v>21</v>
      </c>
      <c r="J311" s="7">
        <f>LOOKUP(I311,{0,4,5,6,7,8,9,10,11,12,13,14,15,16,17,18},{0,10,20,30,40,50,60,64,68,72,76,80,85,90,95,100})</f>
        <v>100</v>
      </c>
      <c r="K311" s="5">
        <f>I311-18</f>
        <v>3</v>
      </c>
      <c r="L311" s="7">
        <f>LOOKUP(K311,{0,1,2,3,4,5,6,7,8,9,10},{0,1,2,3,4,5,6,7,8,9,10})</f>
        <v>3</v>
      </c>
      <c r="M311" s="5">
        <f t="shared" si="146"/>
        <v>103</v>
      </c>
      <c r="N311" s="5">
        <v>7.3</v>
      </c>
      <c r="O311" s="10">
        <f t="shared" si="147"/>
        <v>10.7</v>
      </c>
      <c r="P311" s="7">
        <f>LOOKUP(O311,{0,7.8,8,8.2,8.4,8.6,8.8,9,9.2,9.4,9.6,9.8,10,10.2,10.4,10.6,10.8,10.9,11,11.1,11.2},{0,10,20,30,40,50,60,62,64,66,68,70,72,74,76,78,80,85,90,95,100})</f>
        <v>78</v>
      </c>
      <c r="Q311" s="5">
        <v>4.24</v>
      </c>
      <c r="R311" s="10">
        <f t="shared" si="148"/>
        <v>5.76</v>
      </c>
      <c r="S311" s="7">
        <f>LOOKUP(R311,{0,3.85,4.45,4.65,4.85,5.45,5.65,5.7,5.75,5.8,5.85,5.9,5.95,6,6.45,6.5,6.55,6.63,6.7,6.75,6.8},{0,10,20,30,40,50,60,62,64,66,68,70,72,74,76,78,80,85,90,95,100})</f>
        <v>64</v>
      </c>
      <c r="T311" s="5"/>
      <c r="U311" s="5"/>
      <c r="V311" s="5">
        <f t="shared" si="149"/>
        <v>64</v>
      </c>
      <c r="W311" s="5"/>
      <c r="X311" s="13">
        <f t="shared" si="150"/>
        <v>54</v>
      </c>
      <c r="Y311" s="13">
        <f t="shared" si="151"/>
        <v>80.1428571428572</v>
      </c>
    </row>
    <row r="312" ht="15.6" hidden="1" outlineLevel="2" spans="1:25">
      <c r="A312" s="5">
        <v>310</v>
      </c>
      <c r="B312" s="5">
        <v>29</v>
      </c>
      <c r="C312" s="9" t="s">
        <v>488</v>
      </c>
      <c r="D312" s="9" t="s">
        <v>12</v>
      </c>
      <c r="E312" s="5">
        <v>22.5</v>
      </c>
      <c r="F312" s="7">
        <f>LOOKUP(E312,{0,-1.8,-0.8,0.2,1.2,2.2,3.2,4.6,6,7.4,8.8,10.2,11.6,13,14.4,15.8,17.2,19.1,21,22.8,24.6},{0,10,20,30,40,50,60,62,64,66,68,70,72,74,76,78,80,85,90,95,100})</f>
        <v>90</v>
      </c>
      <c r="G312" s="5">
        <v>230</v>
      </c>
      <c r="H312" s="7">
        <f>LOOKUP(G312,{0,180,185,190,195,200,205,209,213,217,221,225,229,233,237,241,245,253,260,265,270},{0,10,20,30,40,50,60,62,64,66,68,70,72,74,76,78,80,85,90,95,100})</f>
        <v>72</v>
      </c>
      <c r="I312" s="5">
        <v>3</v>
      </c>
      <c r="J312" s="7">
        <f>LOOKUP(I312,{0,4,5,6,7,8,9,10,11,12,13,14,15,16,17,18},{0,10,20,30,40,50,60,64,68,72,76,80,85,90,95,100})</f>
        <v>0</v>
      </c>
      <c r="K312" s="5"/>
      <c r="L312" s="5"/>
      <c r="M312" s="5">
        <f t="shared" si="146"/>
        <v>0</v>
      </c>
      <c r="N312" s="5">
        <v>7.5</v>
      </c>
      <c r="O312" s="10">
        <f t="shared" si="147"/>
        <v>10.5</v>
      </c>
      <c r="P312" s="7">
        <f>LOOKUP(O312,{0,7.8,8,8.2,8.4,8.6,8.8,9,9.2,9.4,9.6,9.8,10,10.2,10.4,10.6,10.8,10.9,11,11.1,11.2},{0,10,20,30,40,50,60,62,64,66,68,70,72,74,76,78,80,85,90,95,100})</f>
        <v>76</v>
      </c>
      <c r="Q312" s="5">
        <v>4.06</v>
      </c>
      <c r="R312" s="10">
        <f t="shared" si="148"/>
        <v>5.94</v>
      </c>
      <c r="S312" s="7">
        <f>LOOKUP(R312,{0,3.85,4.45,4.65,4.85,5.45,5.65,5.7,5.75,5.8,5.85,5.9,5.95,6,6.45,6.5,6.55,6.63,6.7,6.75,6.8},{0,10,20,30,40,50,60,62,64,66,68,70,72,74,76,78,80,85,90,95,100})</f>
        <v>70</v>
      </c>
      <c r="T312" s="5"/>
      <c r="U312" s="5"/>
      <c r="V312" s="5">
        <f t="shared" si="149"/>
        <v>70</v>
      </c>
      <c r="W312" s="5"/>
      <c r="X312" s="13">
        <f t="shared" si="150"/>
        <v>45.4</v>
      </c>
      <c r="Y312" s="13">
        <f t="shared" si="151"/>
        <v>64.8571428571429</v>
      </c>
    </row>
    <row r="313" ht="15.6" hidden="1" outlineLevel="2" spans="1:25">
      <c r="A313" s="5">
        <v>310</v>
      </c>
      <c r="B313" s="5">
        <v>30</v>
      </c>
      <c r="C313" s="9" t="s">
        <v>489</v>
      </c>
      <c r="D313" s="9" t="s">
        <v>12</v>
      </c>
      <c r="E313" s="5">
        <v>10.5</v>
      </c>
      <c r="F313" s="7">
        <f>LOOKUP(E313,{0,-1.8,-0.8,0.2,1.2,2.2,3.2,4.6,6,7.4,8.8,10.2,11.6,13,14.4,15.8,17.2,19.1,21,22.8,24.6},{0,10,20,30,40,50,60,62,64,66,68,70,72,74,76,78,80,85,90,95,100})</f>
        <v>70</v>
      </c>
      <c r="G313" s="5">
        <v>218</v>
      </c>
      <c r="H313" s="7">
        <f>LOOKUP(G313,{0,180,185,190,195,200,205,209,213,217,221,225,229,233,237,241,245,253,260,265,270},{0,10,20,30,40,50,60,62,64,66,68,70,72,74,76,78,80,85,90,95,100})</f>
        <v>66</v>
      </c>
      <c r="I313" s="5">
        <v>0</v>
      </c>
      <c r="J313" s="7">
        <f>LOOKUP(I313,{0,4,5,6,7,8,9,10,11,12,13,14,15,16,17,18},{0,10,20,30,40,50,60,64,68,72,76,80,85,90,95,100})</f>
        <v>0</v>
      </c>
      <c r="K313" s="5"/>
      <c r="L313" s="5"/>
      <c r="M313" s="5">
        <f t="shared" si="146"/>
        <v>0</v>
      </c>
      <c r="N313" s="5">
        <v>7.4</v>
      </c>
      <c r="O313" s="10">
        <f t="shared" si="147"/>
        <v>10.6</v>
      </c>
      <c r="P313" s="7">
        <f>LOOKUP(O313,{0,7.8,8,8.2,8.4,8.6,8.8,9,9.2,9.4,9.6,9.8,10,10.2,10.4,10.6,10.8,10.9,11,11.1,11.2},{0,10,20,30,40,50,60,62,64,66,68,70,72,74,76,78,80,85,90,95,100})</f>
        <v>78</v>
      </c>
      <c r="Q313" s="5">
        <v>4.24</v>
      </c>
      <c r="R313" s="10">
        <f t="shared" si="148"/>
        <v>5.76</v>
      </c>
      <c r="S313" s="7">
        <f>LOOKUP(R313,{0,3.85,4.45,4.65,4.85,5.45,5.65,5.7,5.75,5.8,5.85,5.9,5.95,6,6.45,6.5,6.55,6.63,6.7,6.75,6.8},{0,10,20,30,40,50,60,62,64,66,68,70,72,74,76,78,80,85,90,95,100})</f>
        <v>64</v>
      </c>
      <c r="T313" s="5"/>
      <c r="U313" s="5"/>
      <c r="V313" s="5">
        <f t="shared" si="149"/>
        <v>64</v>
      </c>
      <c r="W313" s="5"/>
      <c r="X313" s="13">
        <f t="shared" si="150"/>
        <v>42</v>
      </c>
      <c r="Y313" s="13">
        <f t="shared" si="151"/>
        <v>60</v>
      </c>
    </row>
    <row r="314" ht="15.6" hidden="1" outlineLevel="2" spans="1:25">
      <c r="A314" s="5">
        <v>310</v>
      </c>
      <c r="B314" s="5">
        <v>31</v>
      </c>
      <c r="C314" s="9" t="s">
        <v>490</v>
      </c>
      <c r="D314" s="9" t="s">
        <v>12</v>
      </c>
      <c r="E314" s="5">
        <v>11</v>
      </c>
      <c r="F314" s="7">
        <f>LOOKUP(E314,{0,-1.8,-0.8,0.2,1.2,2.2,3.2,4.6,6,7.4,8.8,10.2,11.6,13,14.4,15.8,17.2,19.1,21,22.8,24.6},{0,10,20,30,40,50,60,62,64,66,68,70,72,74,76,78,80,85,90,95,100})</f>
        <v>70</v>
      </c>
      <c r="G314" s="5">
        <v>245</v>
      </c>
      <c r="H314" s="7">
        <f>LOOKUP(G314,{0,180,185,190,195,200,205,209,213,217,221,225,229,233,237,241,245,253,260,265,270},{0,10,20,30,40,50,60,62,64,66,68,70,72,74,76,78,80,85,90,95,100})</f>
        <v>80</v>
      </c>
      <c r="I314" s="5">
        <v>10</v>
      </c>
      <c r="J314" s="7">
        <f>LOOKUP(I314,{0,4,5,6,7,8,9,10,11,12,13,14,15,16,17,18},{0,10,20,30,40,50,60,64,68,72,76,80,85,90,95,100})</f>
        <v>64</v>
      </c>
      <c r="K314" s="5"/>
      <c r="L314" s="5"/>
      <c r="M314" s="5">
        <f t="shared" si="146"/>
        <v>64</v>
      </c>
      <c r="N314" s="5">
        <v>8.2</v>
      </c>
      <c r="O314" s="10">
        <f t="shared" si="147"/>
        <v>9.8</v>
      </c>
      <c r="P314" s="7">
        <f>LOOKUP(O314,{0,7.8,8,8.2,8.4,8.6,8.8,9,9.2,9.4,9.6,9.8,10,10.2,10.4,10.6,10.8,10.9,11,11.1,11.2},{0,10,20,30,40,50,60,62,64,66,68,70,72,74,76,78,80,85,90,95,100})</f>
        <v>70</v>
      </c>
      <c r="Q314" s="5">
        <v>4.38</v>
      </c>
      <c r="R314" s="10">
        <f t="shared" si="148"/>
        <v>5.62</v>
      </c>
      <c r="S314" s="7">
        <f>LOOKUP(R314,{0,3.85,4.45,4.65,4.85,5.45,5.65,5.7,5.75,5.8,5.85,5.9,5.95,6,6.45,6.5,6.55,6.63,6.7,6.75,6.8},{0,10,20,30,40,50,60,62,64,66,68,70,72,74,76,78,80,85,90,95,100})</f>
        <v>50</v>
      </c>
      <c r="T314" s="5"/>
      <c r="U314" s="5"/>
      <c r="V314" s="5">
        <f t="shared" si="149"/>
        <v>50</v>
      </c>
      <c r="W314" s="5"/>
      <c r="X314" s="13">
        <f t="shared" si="150"/>
        <v>45.4</v>
      </c>
      <c r="Y314" s="13">
        <f t="shared" si="151"/>
        <v>64.8571428571429</v>
      </c>
    </row>
    <row r="315" ht="15.6" hidden="1" outlineLevel="2" spans="1:25">
      <c r="A315" s="5">
        <v>310</v>
      </c>
      <c r="B315" s="5">
        <v>32</v>
      </c>
      <c r="C315" s="8" t="s">
        <v>492</v>
      </c>
      <c r="D315" s="9" t="s">
        <v>12</v>
      </c>
      <c r="E315" s="5">
        <v>6</v>
      </c>
      <c r="F315" s="7">
        <f>LOOKUP(E315,{0,-1.8,-0.8,0.2,1.2,2.2,3.2,4.6,6,7.4,8.8,10.2,11.6,13,14.4,15.8,17.2,19.1,21,22.8,24.6},{0,10,20,30,40,50,60,62,64,66,68,70,72,74,76,78,80,85,90,95,100})</f>
        <v>64</v>
      </c>
      <c r="G315" s="5">
        <v>235</v>
      </c>
      <c r="H315" s="7">
        <f>LOOKUP(G315,{0,180,185,190,195,200,205,209,213,217,221,225,229,233,237,241,245,253,260,265,270},{0,10,20,30,40,50,60,62,64,66,68,70,72,74,76,78,80,85,90,95,100})</f>
        <v>74</v>
      </c>
      <c r="I315" s="5">
        <v>12</v>
      </c>
      <c r="J315" s="7">
        <f>LOOKUP(I315,{0,4,5,6,7,8,9,10,11,12,13,14,15,16,17,18},{0,10,20,30,40,50,60,64,68,72,76,80,85,90,95,100})</f>
        <v>72</v>
      </c>
      <c r="K315" s="5"/>
      <c r="L315" s="5"/>
      <c r="M315" s="5">
        <f t="shared" si="146"/>
        <v>72</v>
      </c>
      <c r="N315" s="5">
        <v>7.3</v>
      </c>
      <c r="O315" s="10">
        <f t="shared" si="147"/>
        <v>10.7</v>
      </c>
      <c r="P315" s="7">
        <f>LOOKUP(O315,{0,7.8,8,8.2,8.4,8.6,8.8,9,9.2,9.4,9.6,9.8,10,10.2,10.4,10.6,10.8,10.9,11,11.1,11.2},{0,10,20,30,40,50,60,62,64,66,68,70,72,74,76,78,80,85,90,95,100})</f>
        <v>78</v>
      </c>
      <c r="Q315" s="5">
        <v>3.36</v>
      </c>
      <c r="R315" s="10">
        <f t="shared" si="148"/>
        <v>6.64</v>
      </c>
      <c r="S315" s="7">
        <f>LOOKUP(R315,{0,3.85,4.45,4.65,4.85,5.45,5.65,5.7,5.75,5.8,5.85,5.9,5.95,6,6.45,6.5,6.55,6.63,6.7,6.75,6.8},{0,10,20,30,40,50,60,62,64,66,68,70,72,74,76,78,80,85,90,95,100})</f>
        <v>85</v>
      </c>
      <c r="T315" s="5"/>
      <c r="U315" s="5"/>
      <c r="V315" s="5">
        <f t="shared" si="149"/>
        <v>85</v>
      </c>
      <c r="W315" s="5"/>
      <c r="X315" s="13">
        <f t="shared" si="150"/>
        <v>53.6</v>
      </c>
      <c r="Y315" s="13">
        <f t="shared" si="151"/>
        <v>76.5714285714286</v>
      </c>
    </row>
    <row r="316" ht="15.6" hidden="1" outlineLevel="2" spans="1:26">
      <c r="A316" s="5">
        <v>310</v>
      </c>
      <c r="B316" s="5">
        <v>33</v>
      </c>
      <c r="C316" s="9" t="s">
        <v>493</v>
      </c>
      <c r="D316" s="9" t="s">
        <v>12</v>
      </c>
      <c r="E316" s="5"/>
      <c r="F316" s="7"/>
      <c r="G316" s="5"/>
      <c r="H316" s="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>
        <v>50</v>
      </c>
      <c r="X316" s="13"/>
      <c r="Y316" s="13">
        <v>50</v>
      </c>
      <c r="Z316" s="19"/>
    </row>
    <row r="317" ht="15.6" hidden="1" outlineLevel="2" spans="1:26">
      <c r="A317" s="5">
        <v>310</v>
      </c>
      <c r="B317" s="5">
        <v>34</v>
      </c>
      <c r="C317" s="9" t="s">
        <v>494</v>
      </c>
      <c r="D317" s="9" t="s">
        <v>12</v>
      </c>
      <c r="E317" s="5">
        <v>1</v>
      </c>
      <c r="F317" s="7">
        <f>LOOKUP(E317,{0,-1.8,-0.8,0.2,1.2,2.2,3.2,4.6,6,7.4,8.8,10.2,11.6,13,14.4,15.8,17.2,19.1,21,22.8,24.6},{0,10,20,30,40,50,60,62,64,66,68,70,72,74,76,78,80,85,90,95,100})</f>
        <v>30</v>
      </c>
      <c r="G317" s="5">
        <v>210</v>
      </c>
      <c r="H317" s="7">
        <f>LOOKUP(G317,{0,180,185,190,195,200,205,209,213,217,221,225,229,233,237,241,245,253,260,265,270},{0,10,20,30,40,50,60,62,64,66,68,70,72,74,76,78,80,85,90,95,100})</f>
        <v>62</v>
      </c>
      <c r="I317" s="5">
        <v>2</v>
      </c>
      <c r="J317" s="7">
        <f>LOOKUP(I317,{0,4,5,6,7,8,9,10,11,12,13,14,15,16,17,18},{0,10,20,30,40,50,60,64,68,72,76,80,85,90,95,100})</f>
        <v>0</v>
      </c>
      <c r="K317" s="5"/>
      <c r="L317" s="5"/>
      <c r="M317" s="5">
        <f t="shared" ref="M317:M325" si="152">J317+L317</f>
        <v>0</v>
      </c>
      <c r="N317" s="5">
        <v>7.3</v>
      </c>
      <c r="O317" s="10">
        <f t="shared" ref="O317:O325" si="153">18-N317</f>
        <v>10.7</v>
      </c>
      <c r="P317" s="7">
        <f>LOOKUP(O317,{0,7.8,8,8.2,8.4,8.6,8.8,9,9.2,9.4,9.6,9.8,10,10.2,10.4,10.6,10.8,10.9,11,11.1,11.2},{0,10,20,30,40,50,60,62,64,66,68,70,72,74,76,78,80,85,90,95,100})</f>
        <v>78</v>
      </c>
      <c r="Q317" s="5">
        <v>3.32</v>
      </c>
      <c r="R317" s="10">
        <f t="shared" ref="R317:R325" si="154">10-Q317</f>
        <v>6.68</v>
      </c>
      <c r="S317" s="7">
        <f>LOOKUP(R317,{0,3.85,4.45,4.65,4.85,5.45,5.65,5.7,5.75,5.8,5.85,5.9,5.95,6,6.45,6.5,6.55,6.63,6.7,6.75,6.8},{0,10,20,30,40,50,60,62,64,66,68,70,72,74,76,78,80,85,90,95,100})</f>
        <v>85</v>
      </c>
      <c r="T317" s="5"/>
      <c r="U317" s="5"/>
      <c r="V317" s="5">
        <f t="shared" ref="V317:V325" si="155">S317+U317</f>
        <v>85</v>
      </c>
      <c r="W317" s="5"/>
      <c r="X317" s="13">
        <f t="shared" ref="X317:X325" si="156">F317*0.1+H317*0.1+J317*0.1+P317*0.2+S317*0.2</f>
        <v>41.8</v>
      </c>
      <c r="Y317" s="13">
        <f t="shared" ref="Y317:Y325" si="157">X317/0.7+L317+U317</f>
        <v>59.7142857142857</v>
      </c>
      <c r="Z317" s="19"/>
    </row>
    <row r="318" ht="15.6" hidden="1" outlineLevel="2" spans="1:26">
      <c r="A318" s="5">
        <v>310</v>
      </c>
      <c r="B318" s="5">
        <v>35</v>
      </c>
      <c r="C318" s="9" t="s">
        <v>495</v>
      </c>
      <c r="D318" s="9" t="s">
        <v>12</v>
      </c>
      <c r="E318" s="5">
        <v>16.7</v>
      </c>
      <c r="F318" s="7">
        <f>LOOKUP(E318,{0,-1.8,-0.8,0.2,1.2,2.2,3.2,4.6,6,7.4,8.8,10.2,11.6,13,14.4,15.8,17.2,19.1,21,22.8,24.6},{0,10,20,30,40,50,60,62,64,66,68,70,72,74,76,78,80,85,90,95,100})</f>
        <v>78</v>
      </c>
      <c r="G318" s="5">
        <v>168</v>
      </c>
      <c r="H318" s="7">
        <f>LOOKUP(G318,{0,180,185,190,195,200,205,209,213,217,221,225,229,233,237,241,245,253,260,265,270},{0,10,20,30,40,50,60,62,64,66,68,70,72,74,76,78,80,85,90,95,100})</f>
        <v>0</v>
      </c>
      <c r="I318" s="5">
        <v>3</v>
      </c>
      <c r="J318" s="7">
        <f>LOOKUP(I318,{0,4,5,6,7,8,9,10,11,12,13,14,15,16,17,18},{0,10,20,30,40,50,60,64,68,72,76,80,85,90,95,100})</f>
        <v>0</v>
      </c>
      <c r="K318" s="5"/>
      <c r="L318" s="5"/>
      <c r="M318" s="5">
        <f t="shared" si="152"/>
        <v>0</v>
      </c>
      <c r="N318" s="5">
        <v>8.2</v>
      </c>
      <c r="O318" s="10">
        <f t="shared" si="153"/>
        <v>9.8</v>
      </c>
      <c r="P318" s="7">
        <f>LOOKUP(O318,{0,7.8,8,8.2,8.4,8.6,8.8,9,9.2,9.4,9.6,9.8,10,10.2,10.4,10.6,10.8,10.9,11,11.1,11.2},{0,10,20,30,40,50,60,62,64,66,68,70,72,74,76,78,80,85,90,95,100})</f>
        <v>70</v>
      </c>
      <c r="Q318" s="5">
        <v>4.11</v>
      </c>
      <c r="R318" s="10">
        <f t="shared" si="154"/>
        <v>5.89</v>
      </c>
      <c r="S318" s="7">
        <f>LOOKUP(R318,{0,3.85,4.45,4.65,4.85,5.45,5.65,5.7,5.75,5.8,5.85,5.9,5.95,6,6.45,6.5,6.55,6.63,6.7,6.75,6.8},{0,10,20,30,40,50,60,62,64,66,68,70,72,74,76,78,80,85,90,95,100})</f>
        <v>68</v>
      </c>
      <c r="T318" s="5"/>
      <c r="U318" s="5"/>
      <c r="V318" s="5">
        <f t="shared" si="155"/>
        <v>68</v>
      </c>
      <c r="W318" s="5"/>
      <c r="X318" s="13">
        <f t="shared" si="156"/>
        <v>35.4</v>
      </c>
      <c r="Y318" s="13">
        <f t="shared" si="157"/>
        <v>50.5714285714286</v>
      </c>
      <c r="Z318" s="19"/>
    </row>
    <row r="319" ht="15.6" hidden="1" outlineLevel="2" spans="1:26">
      <c r="A319" s="5">
        <v>310</v>
      </c>
      <c r="B319" s="5">
        <v>36</v>
      </c>
      <c r="C319" s="9" t="s">
        <v>496</v>
      </c>
      <c r="D319" s="9" t="s">
        <v>12</v>
      </c>
      <c r="E319" s="5">
        <v>11.2</v>
      </c>
      <c r="F319" s="7">
        <f>LOOKUP(E319,{0,-1.8,-0.8,0.2,1.2,2.2,3.2,4.6,6,7.4,8.8,10.2,11.6,13,14.4,15.8,17.2,19.1,21,22.8,24.6},{0,10,20,30,40,50,60,62,64,66,68,70,72,74,76,78,80,85,90,95,100})</f>
        <v>70</v>
      </c>
      <c r="G319" s="5">
        <v>215</v>
      </c>
      <c r="H319" s="7">
        <f>LOOKUP(G319,{0,180,185,190,195,200,205,209,213,217,221,225,229,233,237,241,245,253,260,265,270},{0,10,20,30,40,50,60,62,64,66,68,70,72,74,76,78,80,85,90,95,100})</f>
        <v>64</v>
      </c>
      <c r="I319" s="5">
        <v>6</v>
      </c>
      <c r="J319" s="7">
        <f>LOOKUP(I319,{0,4,5,6,7,8,9,10,11,12,13,14,15,16,17,18},{0,10,20,30,40,50,60,64,68,72,76,80,85,90,95,100})</f>
        <v>30</v>
      </c>
      <c r="K319" s="5"/>
      <c r="L319" s="5"/>
      <c r="M319" s="5">
        <f t="shared" si="152"/>
        <v>30</v>
      </c>
      <c r="N319" s="5">
        <v>7.7</v>
      </c>
      <c r="O319" s="10">
        <f t="shared" si="153"/>
        <v>10.3</v>
      </c>
      <c r="P319" s="7">
        <f>LOOKUP(O319,{0,7.8,8,8.2,8.4,8.6,8.8,9,9.2,9.4,9.6,9.8,10,10.2,10.4,10.6,10.8,10.9,11,11.1,11.2},{0,10,20,30,40,50,60,62,64,66,68,70,72,74,76,78,80,85,90,95,100})</f>
        <v>74</v>
      </c>
      <c r="Q319" s="5">
        <v>5.58</v>
      </c>
      <c r="R319" s="10">
        <f t="shared" si="154"/>
        <v>4.42</v>
      </c>
      <c r="S319" s="7">
        <f>LOOKUP(R319,{0,3.85,4.45,4.65,4.85,5.45,5.65,5.7,5.75,5.8,5.85,5.9,5.95,6,6.45,6.5,6.55,6.63,6.7,6.75,6.8},{0,10,20,30,40,50,60,62,64,66,68,70,72,74,76,78,80,85,90,95,100})</f>
        <v>10</v>
      </c>
      <c r="T319" s="5"/>
      <c r="U319" s="5"/>
      <c r="V319" s="5">
        <f t="shared" si="155"/>
        <v>10</v>
      </c>
      <c r="W319" s="5"/>
      <c r="X319" s="13">
        <f t="shared" si="156"/>
        <v>33.2</v>
      </c>
      <c r="Y319" s="13">
        <f t="shared" si="157"/>
        <v>47.4285714285714</v>
      </c>
      <c r="Z319" s="20"/>
    </row>
    <row r="320" ht="15.6" hidden="1" outlineLevel="2" spans="1:26">
      <c r="A320" s="5">
        <v>310</v>
      </c>
      <c r="B320" s="5">
        <v>37</v>
      </c>
      <c r="C320" s="9" t="s">
        <v>497</v>
      </c>
      <c r="D320" s="9" t="s">
        <v>12</v>
      </c>
      <c r="E320" s="5">
        <v>25.3</v>
      </c>
      <c r="F320" s="7">
        <f>LOOKUP(E320,{0,-1.8,-0.8,0.2,1.2,2.2,3.2,4.6,6,7.4,8.8,10.2,11.6,13,14.4,15.8,17.2,19.1,21,22.8,24.6},{0,10,20,30,40,50,60,62,64,66,68,70,72,74,76,78,80,85,90,95,100})</f>
        <v>100</v>
      </c>
      <c r="G320" s="5">
        <v>245</v>
      </c>
      <c r="H320" s="7">
        <f>LOOKUP(G320,{0,180,185,190,195,200,205,209,213,217,221,225,229,233,237,241,245,253,260,265,270},{0,10,20,30,40,50,60,62,64,66,68,70,72,74,76,78,80,85,90,95,100})</f>
        <v>80</v>
      </c>
      <c r="I320" s="5">
        <v>4</v>
      </c>
      <c r="J320" s="7">
        <f>LOOKUP(I320,{0,4,5,6,7,8,9,10,11,12,13,14,15,16,17,18},{0,10,20,30,40,50,60,64,68,72,76,80,85,90,95,100})</f>
        <v>10</v>
      </c>
      <c r="K320" s="5"/>
      <c r="L320" s="5"/>
      <c r="M320" s="5">
        <f t="shared" si="152"/>
        <v>10</v>
      </c>
      <c r="N320" s="5">
        <v>7.3</v>
      </c>
      <c r="O320" s="10">
        <f t="shared" si="153"/>
        <v>10.7</v>
      </c>
      <c r="P320" s="7">
        <f>LOOKUP(O320,{0,7.8,8,8.2,8.4,8.6,8.8,9,9.2,9.4,9.6,9.8,10,10.2,10.4,10.6,10.8,10.9,11,11.1,11.2},{0,10,20,30,40,50,60,62,64,66,68,70,72,74,76,78,80,85,90,95,100})</f>
        <v>78</v>
      </c>
      <c r="Q320" s="5">
        <v>3.58</v>
      </c>
      <c r="R320" s="10">
        <f t="shared" si="154"/>
        <v>6.42</v>
      </c>
      <c r="S320" s="7">
        <f>LOOKUP(R320,{0,3.85,4.45,4.65,4.85,5.45,5.65,5.7,5.75,5.8,5.85,5.9,5.95,6,6.45,6.5,6.55,6.63,6.7,6.75,6.8},{0,10,20,30,40,50,60,62,64,66,68,70,72,74,76,78,80,85,90,95,100})</f>
        <v>74</v>
      </c>
      <c r="T320" s="5"/>
      <c r="U320" s="5"/>
      <c r="V320" s="5">
        <f t="shared" si="155"/>
        <v>74</v>
      </c>
      <c r="W320" s="5"/>
      <c r="X320" s="13">
        <f t="shared" si="156"/>
        <v>49.4</v>
      </c>
      <c r="Y320" s="13">
        <f t="shared" si="157"/>
        <v>70.5714285714286</v>
      </c>
      <c r="Z320" s="19"/>
    </row>
    <row r="321" ht="15.6" hidden="1" outlineLevel="2" spans="1:26">
      <c r="A321" s="5">
        <v>310</v>
      </c>
      <c r="B321" s="5">
        <v>38</v>
      </c>
      <c r="C321" s="9" t="s">
        <v>498</v>
      </c>
      <c r="D321" s="9" t="s">
        <v>12</v>
      </c>
      <c r="E321" s="5">
        <v>20.6</v>
      </c>
      <c r="F321" s="7">
        <f>LOOKUP(E321,{0,-1.8,-0.8,0.2,1.2,2.2,3.2,4.6,6,7.4,8.8,10.2,11.6,13,14.4,15.8,17.2,19.1,21,22.8,24.6},{0,10,20,30,40,50,60,62,64,66,68,70,72,74,76,78,80,85,90,95,100})</f>
        <v>85</v>
      </c>
      <c r="G321" s="5">
        <v>215</v>
      </c>
      <c r="H321" s="7">
        <f>LOOKUP(G321,{0,180,185,190,195,200,205,209,213,217,221,225,229,233,237,241,245,253,260,265,270},{0,10,20,30,40,50,60,62,64,66,68,70,72,74,76,78,80,85,90,95,100})</f>
        <v>64</v>
      </c>
      <c r="I321" s="5">
        <v>1</v>
      </c>
      <c r="J321" s="7">
        <f>LOOKUP(I321,{0,4,5,6,7,8,9,10,11,12,13,14,15,16,17,18},{0,10,20,30,40,50,60,64,68,72,76,80,85,90,95,100})</f>
        <v>0</v>
      </c>
      <c r="K321" s="5"/>
      <c r="L321" s="16"/>
      <c r="M321" s="5">
        <f t="shared" si="152"/>
        <v>0</v>
      </c>
      <c r="N321" s="5">
        <v>7.8</v>
      </c>
      <c r="O321" s="10">
        <f t="shared" si="153"/>
        <v>10.2</v>
      </c>
      <c r="P321" s="7">
        <f>LOOKUP(O321,{0,7.8,8,8.2,8.4,8.6,8.8,9,9.2,9.4,9.6,9.8,10,10.2,10.4,10.6,10.8,10.9,11,11.1,11.2},{0,10,20,30,40,50,60,62,64,66,68,70,72,74,76,78,80,85,90,95,100})</f>
        <v>74</v>
      </c>
      <c r="Q321" s="5">
        <v>4.14</v>
      </c>
      <c r="R321" s="10">
        <f t="shared" si="154"/>
        <v>5.86</v>
      </c>
      <c r="S321" s="7">
        <f>LOOKUP(R321,{0,3.85,4.45,4.65,4.85,5.45,5.65,5.7,5.75,5.8,5.85,5.9,5.95,6,6.45,6.5,6.55,6.63,6.7,6.75,6.8},{0,10,20,30,40,50,60,62,64,66,68,70,72,74,76,78,80,85,90,95,100})</f>
        <v>68</v>
      </c>
      <c r="T321" s="5"/>
      <c r="U321" s="5"/>
      <c r="V321" s="5">
        <f t="shared" si="155"/>
        <v>68</v>
      </c>
      <c r="W321" s="5"/>
      <c r="X321" s="13">
        <f t="shared" si="156"/>
        <v>43.3</v>
      </c>
      <c r="Y321" s="13">
        <f t="shared" si="157"/>
        <v>61.8571428571429</v>
      </c>
      <c r="Z321" s="19"/>
    </row>
    <row r="322" ht="15.6" hidden="1" outlineLevel="2" spans="1:26">
      <c r="A322" s="5">
        <v>310</v>
      </c>
      <c r="B322" s="5">
        <v>39</v>
      </c>
      <c r="C322" s="9" t="s">
        <v>499</v>
      </c>
      <c r="D322" s="9" t="s">
        <v>12</v>
      </c>
      <c r="E322" s="5">
        <v>23</v>
      </c>
      <c r="F322" s="7">
        <f>LOOKUP(E322,{0,-1.8,-0.8,0.2,1.2,2.2,3.2,4.6,6,7.4,8.8,10.2,11.6,13,14.4,15.8,17.2,19.1,21,22.8,24.6},{0,10,20,30,40,50,60,62,64,66,68,70,72,74,76,78,80,85,90,95,100})</f>
        <v>95</v>
      </c>
      <c r="G322" s="5">
        <v>205</v>
      </c>
      <c r="H322" s="7">
        <f>LOOKUP(G322,{0,180,185,190,195,200,205,209,213,217,221,225,229,233,237,241,245,253,260,265,270},{0,10,20,30,40,50,60,62,64,66,68,70,72,74,76,78,80,85,90,95,100})</f>
        <v>60</v>
      </c>
      <c r="I322" s="5">
        <v>3</v>
      </c>
      <c r="J322" s="7">
        <f>LOOKUP(I322,{0,4,5,6,7,8,9,10,11,12,13,14,15,16,17,18},{0,10,20,30,40,50,60,64,68,72,76,80,85,90,95,100})</f>
        <v>0</v>
      </c>
      <c r="K322" s="5"/>
      <c r="L322" s="5"/>
      <c r="M322" s="5">
        <f t="shared" si="152"/>
        <v>0</v>
      </c>
      <c r="N322" s="5">
        <v>8</v>
      </c>
      <c r="O322" s="10">
        <f t="shared" si="153"/>
        <v>10</v>
      </c>
      <c r="P322" s="7">
        <f>LOOKUP(O322,{0,7.8,8,8.2,8.4,8.6,8.8,9,9.2,9.4,9.6,9.8,10,10.2,10.4,10.6,10.8,10.9,11,11.1,11.2},{0,10,20,30,40,50,60,62,64,66,68,70,72,74,76,78,80,85,90,95,100})</f>
        <v>72</v>
      </c>
      <c r="Q322" s="5">
        <v>3.48</v>
      </c>
      <c r="R322" s="10">
        <f t="shared" si="154"/>
        <v>6.52</v>
      </c>
      <c r="S322" s="7">
        <f>LOOKUP(R322,{0,3.85,4.45,4.65,4.85,5.45,5.65,5.7,5.75,5.8,5.85,5.9,5.95,6,6.45,6.5,6.55,6.63,6.7,6.75,6.8},{0,10,20,30,40,50,60,62,64,66,68,70,72,74,76,78,80,85,90,95,100})</f>
        <v>78</v>
      </c>
      <c r="T322" s="5"/>
      <c r="U322" s="5"/>
      <c r="V322" s="5">
        <f t="shared" si="155"/>
        <v>78</v>
      </c>
      <c r="W322" s="5"/>
      <c r="X322" s="13">
        <f t="shared" si="156"/>
        <v>45.5</v>
      </c>
      <c r="Y322" s="13">
        <f t="shared" si="157"/>
        <v>65</v>
      </c>
      <c r="Z322" s="19"/>
    </row>
    <row r="323" ht="15.6" hidden="1" outlineLevel="2" spans="1:26">
      <c r="A323" s="5">
        <v>310</v>
      </c>
      <c r="B323" s="5">
        <v>40</v>
      </c>
      <c r="C323" s="9" t="s">
        <v>500</v>
      </c>
      <c r="D323" s="9" t="s">
        <v>12</v>
      </c>
      <c r="E323" s="5">
        <v>6.4</v>
      </c>
      <c r="F323" s="7">
        <f>LOOKUP(E323,{0,-1.8,-0.8,0.2,1.2,2.2,3.2,4.6,6,7.4,8.8,10.2,11.6,13,14.4,15.8,17.2,19.1,21,22.8,24.6},{0,10,20,30,40,50,60,62,64,66,68,70,72,74,76,78,80,85,90,95,100})</f>
        <v>64</v>
      </c>
      <c r="G323" s="5">
        <v>200</v>
      </c>
      <c r="H323" s="7">
        <f>LOOKUP(G323,{0,180,185,190,195,200,205,209,213,217,221,225,229,233,237,241,245,253,260,265,270},{0,10,20,30,40,50,60,62,64,66,68,70,72,74,76,78,80,85,90,95,100})</f>
        <v>50</v>
      </c>
      <c r="I323" s="5">
        <v>0</v>
      </c>
      <c r="J323" s="7">
        <f>LOOKUP(I323,{0,4,5,6,7,8,9,10,11,12,13,14,15,16,17,18},{0,10,20,30,40,50,60,64,68,72,76,80,85,90,95,100})</f>
        <v>0</v>
      </c>
      <c r="K323" s="5"/>
      <c r="L323" s="5"/>
      <c r="M323" s="5">
        <f t="shared" si="152"/>
        <v>0</v>
      </c>
      <c r="N323" s="5">
        <v>7.4</v>
      </c>
      <c r="O323" s="10">
        <f t="shared" si="153"/>
        <v>10.6</v>
      </c>
      <c r="P323" s="7">
        <f>LOOKUP(O323,{0,7.8,8,8.2,8.4,8.6,8.8,9,9.2,9.4,9.6,9.8,10,10.2,10.4,10.6,10.8,10.9,11,11.1,11.2},{0,10,20,30,40,50,60,62,64,66,68,70,72,74,76,78,80,85,90,95,100})</f>
        <v>78</v>
      </c>
      <c r="Q323" s="5">
        <v>5.15</v>
      </c>
      <c r="R323" s="10">
        <f t="shared" si="154"/>
        <v>4.85</v>
      </c>
      <c r="S323" s="7">
        <f>LOOKUP(R323,{0,3.85,4.45,4.65,4.85,5.45,5.65,5.7,5.75,5.8,5.85,5.9,5.95,6,6.45,6.5,6.55,6.63,6.7,6.75,6.8},{0,10,20,30,40,50,60,62,64,66,68,70,72,74,76,78,80,85,90,95,100})</f>
        <v>40</v>
      </c>
      <c r="T323" s="5"/>
      <c r="U323" s="5"/>
      <c r="V323" s="5">
        <f t="shared" si="155"/>
        <v>40</v>
      </c>
      <c r="W323" s="5"/>
      <c r="X323" s="13">
        <f t="shared" si="156"/>
        <v>35</v>
      </c>
      <c r="Y323" s="13">
        <f t="shared" si="157"/>
        <v>50</v>
      </c>
      <c r="Z323" s="19"/>
    </row>
    <row r="324" ht="15.6" hidden="1" outlineLevel="2" spans="1:26">
      <c r="A324" s="5">
        <v>310</v>
      </c>
      <c r="B324" s="5">
        <v>41</v>
      </c>
      <c r="C324" s="9" t="s">
        <v>501</v>
      </c>
      <c r="D324" s="9" t="s">
        <v>12</v>
      </c>
      <c r="E324" s="5">
        <v>4.4</v>
      </c>
      <c r="F324" s="7">
        <f>LOOKUP(E324,{0,-1.8,-0.8,0.2,1.2,2.2,3.2,4.6,6,7.4,8.8,10.2,11.6,13,14.4,15.8,17.2,19.1,21,22.8,24.6},{0,10,20,30,40,50,60,62,64,66,68,70,72,74,76,78,80,85,90,95,100})</f>
        <v>60</v>
      </c>
      <c r="G324" s="5">
        <v>205</v>
      </c>
      <c r="H324" s="7">
        <f>LOOKUP(G324,{0,180,185,190,195,200,205,209,213,217,221,225,229,233,237,241,245,253,260,265,270},{0,10,20,30,40,50,60,62,64,66,68,70,72,74,76,78,80,85,90,95,100})</f>
        <v>60</v>
      </c>
      <c r="I324" s="5">
        <v>1</v>
      </c>
      <c r="J324" s="7">
        <f>LOOKUP(I324,{0,4,5,6,7,8,9,10,11,12,13,14,15,16,17,18},{0,10,20,30,40,50,60,64,68,72,76,80,85,90,95,100})</f>
        <v>0</v>
      </c>
      <c r="K324" s="5"/>
      <c r="L324" s="5"/>
      <c r="M324" s="5">
        <f t="shared" si="152"/>
        <v>0</v>
      </c>
      <c r="N324" s="5">
        <v>8.3</v>
      </c>
      <c r="O324" s="10">
        <f t="shared" si="153"/>
        <v>9.7</v>
      </c>
      <c r="P324" s="7">
        <f>LOOKUP(O324,{0,7.8,8,8.2,8.4,8.6,8.8,9,9.2,9.4,9.6,9.8,10,10.2,10.4,10.6,10.8,10.9,11,11.1,11.2},{0,10,20,30,40,50,60,62,64,66,68,70,72,74,76,78,80,85,90,95,100})</f>
        <v>68</v>
      </c>
      <c r="Q324" s="5">
        <v>4.38</v>
      </c>
      <c r="R324" s="10">
        <f t="shared" si="154"/>
        <v>5.62</v>
      </c>
      <c r="S324" s="7">
        <f>LOOKUP(R324,{0,3.85,4.45,4.65,4.85,5.45,5.65,5.7,5.75,5.8,5.85,5.9,5.95,6,6.45,6.5,6.55,6.63,6.7,6.75,6.8},{0,10,20,30,40,50,60,62,64,66,68,70,72,74,76,78,80,85,90,95,100})</f>
        <v>50</v>
      </c>
      <c r="T324" s="5"/>
      <c r="U324" s="5"/>
      <c r="V324" s="5">
        <f t="shared" si="155"/>
        <v>50</v>
      </c>
      <c r="W324" s="5"/>
      <c r="X324" s="13">
        <f t="shared" si="156"/>
        <v>35.6</v>
      </c>
      <c r="Y324" s="13">
        <f t="shared" si="157"/>
        <v>50.8571428571429</v>
      </c>
      <c r="Z324" s="19"/>
    </row>
    <row r="325" ht="15.6" hidden="1" outlineLevel="2" spans="1:26">
      <c r="A325" s="5">
        <v>310</v>
      </c>
      <c r="B325" s="5">
        <v>42</v>
      </c>
      <c r="C325" s="5" t="s">
        <v>502</v>
      </c>
      <c r="D325" s="5" t="s">
        <v>12</v>
      </c>
      <c r="E325" s="5">
        <v>2.5</v>
      </c>
      <c r="F325" s="7">
        <f>LOOKUP(E325,{0,-1.8,-0.8,0.2,1.2,2.2,3.2,4.6,6,7.4,8.8,10.2,11.6,13,14.4,15.8,17.2,19.1,21,22.8,24.6},{0,10,20,30,40,50,60,62,64,66,68,70,72,74,76,78,80,85,90,95,100})</f>
        <v>50</v>
      </c>
      <c r="G325" s="5">
        <v>220</v>
      </c>
      <c r="H325" s="7">
        <f>LOOKUP(G325,{0,180,185,190,195,200,205,209,213,217,221,225,229,233,237,241,245,253,260,265,270},{0,10,20,30,40,50,60,62,64,66,68,70,72,74,76,78,80,85,90,95,100})</f>
        <v>66</v>
      </c>
      <c r="I325" s="5">
        <v>4</v>
      </c>
      <c r="J325" s="7">
        <f>LOOKUP(I325,{0,4,5,6,7,8,9,10,11,12,13,14,15,16,17,18},{0,10,20,30,40,50,60,64,68,72,76,80,85,90,95,100})</f>
        <v>10</v>
      </c>
      <c r="K325" s="5"/>
      <c r="L325" s="5"/>
      <c r="M325" s="5">
        <f t="shared" si="152"/>
        <v>10</v>
      </c>
      <c r="N325" s="5">
        <v>7.6</v>
      </c>
      <c r="O325" s="10">
        <f t="shared" si="153"/>
        <v>10.4</v>
      </c>
      <c r="P325" s="7">
        <f>LOOKUP(O325,{0,7.8,8,8.2,8.4,8.6,8.8,9,9.2,9.4,9.6,9.8,10,10.2,10.4,10.6,10.8,10.9,11,11.1,11.2},{0,10,20,30,40,50,60,62,64,66,68,70,72,74,76,78,80,85,90,95,100})</f>
        <v>76</v>
      </c>
      <c r="Q325" s="5">
        <v>4.24</v>
      </c>
      <c r="R325" s="10">
        <f t="shared" si="154"/>
        <v>5.76</v>
      </c>
      <c r="S325" s="7">
        <f>LOOKUP(R325,{0,3.85,4.45,4.65,4.85,5.45,5.65,5.7,5.75,5.8,5.85,5.9,5.95,6,6.45,6.5,6.55,6.63,6.7,6.75,6.8},{0,10,20,30,40,50,60,62,64,66,68,70,72,74,76,78,80,85,90,95,100})</f>
        <v>64</v>
      </c>
      <c r="T325" s="5"/>
      <c r="U325" s="5"/>
      <c r="V325" s="5">
        <f t="shared" si="155"/>
        <v>64</v>
      </c>
      <c r="W325" s="5"/>
      <c r="X325" s="13">
        <f t="shared" si="156"/>
        <v>40.6</v>
      </c>
      <c r="Y325" s="13">
        <f t="shared" si="157"/>
        <v>58</v>
      </c>
      <c r="Z325" s="19"/>
    </row>
    <row r="326" ht="15.6" outlineLevel="1" collapsed="1" spans="1:26">
      <c r="A326" s="6" t="s">
        <v>861</v>
      </c>
      <c r="B326" s="5"/>
      <c r="C326" s="5"/>
      <c r="D326" s="5"/>
      <c r="E326" s="5"/>
      <c r="F326" s="7">
        <f>SUBTOTAL(1,F284:F325)</f>
        <v>67.25</v>
      </c>
      <c r="G326" s="5"/>
      <c r="H326" s="7">
        <f>SUBTOTAL(1,H284:H325)</f>
        <v>69.15</v>
      </c>
      <c r="I326" s="5"/>
      <c r="J326" s="7">
        <f>SUBTOTAL(1,J284:J325)</f>
        <v>24.9</v>
      </c>
      <c r="K326" s="5"/>
      <c r="L326" s="5"/>
      <c r="M326" s="5">
        <f>SUBTOTAL(1,M284:M325)</f>
        <v>25.3</v>
      </c>
      <c r="N326" s="5"/>
      <c r="O326" s="10"/>
      <c r="P326" s="7">
        <f>SUBTOTAL(1,P284:P325)</f>
        <v>76.675</v>
      </c>
      <c r="Q326" s="5"/>
      <c r="R326" s="10"/>
      <c r="S326" s="7">
        <f>SUBTOTAL(1,S284:S325)</f>
        <v>53.825</v>
      </c>
      <c r="T326" s="5"/>
      <c r="U326" s="5"/>
      <c r="V326" s="5">
        <f>SUBTOTAL(1,V284:V325)</f>
        <v>53.825</v>
      </c>
      <c r="W326" s="5"/>
      <c r="X326" s="13">
        <f>SUBTOTAL(1,X284:X325)</f>
        <v>42.23</v>
      </c>
      <c r="Y326" s="13">
        <f>SUBTOTAL(1,Y284:Y325)</f>
        <v>60.2176870748299</v>
      </c>
      <c r="Z326" s="19"/>
    </row>
    <row r="327" ht="15.6" hidden="1" outlineLevel="2" spans="1:26">
      <c r="A327" s="5">
        <v>311</v>
      </c>
      <c r="B327" s="5">
        <v>1</v>
      </c>
      <c r="C327" s="8" t="s">
        <v>514</v>
      </c>
      <c r="D327" s="9" t="s">
        <v>12</v>
      </c>
      <c r="E327" s="5">
        <v>0</v>
      </c>
      <c r="F327" s="7">
        <f>LOOKUP(E327,{0,-1.8,-0.8,0.2,1.2,2.2,3.2,4.6,6,7.4,8.8,10.2,11.6,13,14.4,15.8,17.2,19.1,21,22.8,24.6},{0,10,20,30,40,50,60,62,64,66,68,70,72,74,76,78,80,85,90,95,100})</f>
        <v>20</v>
      </c>
      <c r="G327" s="5">
        <v>246</v>
      </c>
      <c r="H327" s="7">
        <f>LOOKUP(G327,{0,180,185,190,195,200,205,209,213,217,221,225,229,233,237,241,245,253,260,265,270},{0,10,20,30,40,50,60,62,64,66,68,70,72,74,76,78,80,85,90,95,100})</f>
        <v>80</v>
      </c>
      <c r="I327" s="5">
        <v>3</v>
      </c>
      <c r="J327" s="7">
        <f>LOOKUP(I327,{0,4,5,6,7,8,9,10,11,12,13,14,15,16,17,18},{0,10,20,30,40,50,60,64,68,72,76,80,85,90,95,100})</f>
        <v>0</v>
      </c>
      <c r="K327" s="5"/>
      <c r="L327" s="5"/>
      <c r="M327" s="5">
        <f t="shared" ref="M327:M360" si="158">J327+L327</f>
        <v>0</v>
      </c>
      <c r="N327" s="5">
        <v>7.1</v>
      </c>
      <c r="O327" s="10">
        <f t="shared" ref="O327:O360" si="159">18-N327</f>
        <v>10.9</v>
      </c>
      <c r="P327" s="7">
        <f>LOOKUP(O327,{0,7.8,8,8.2,8.4,8.6,8.8,9,9.2,9.4,9.6,9.8,10,10.2,10.4,10.6,10.8,10.9,11,11.1,11.2},{0,10,20,30,40,50,60,62,64,66,68,70,72,74,76,78,80,85,90,95,100})</f>
        <v>85</v>
      </c>
      <c r="Q327" s="5">
        <v>4.34</v>
      </c>
      <c r="R327" s="10">
        <f t="shared" ref="R327:R360" si="160">10-Q327</f>
        <v>5.66</v>
      </c>
      <c r="S327" s="7">
        <f>LOOKUP(R327,{0,3.85,4.45,4.65,4.85,5.45,5.65,5.7,5.75,5.8,5.85,5.9,5.95,6,6.45,6.5,6.55,6.63,6.7,6.75,6.8},{0,10,20,30,40,50,60,62,64,66,68,70,72,74,76,78,80,85,90,95,100})</f>
        <v>60</v>
      </c>
      <c r="T327" s="5"/>
      <c r="U327" s="5"/>
      <c r="V327" s="5">
        <f t="shared" ref="V327:V360" si="161">S327+U327</f>
        <v>60</v>
      </c>
      <c r="W327" s="5"/>
      <c r="X327" s="13">
        <f t="shared" ref="X327:X360" si="162">F327*0.1+H327*0.1+J327*0.1+P327*0.2+S327*0.2</f>
        <v>39</v>
      </c>
      <c r="Y327" s="13">
        <f t="shared" ref="Y327:Y360" si="163">X327/0.7+L327+U327</f>
        <v>55.7142857142857</v>
      </c>
      <c r="Z327" s="20"/>
    </row>
    <row r="328" ht="15.6" hidden="1" outlineLevel="2" spans="1:26">
      <c r="A328" s="5">
        <v>311</v>
      </c>
      <c r="B328" s="5">
        <v>2</v>
      </c>
      <c r="C328" s="9" t="s">
        <v>515</v>
      </c>
      <c r="D328" s="9" t="s">
        <v>12</v>
      </c>
      <c r="E328" s="5">
        <v>19.5</v>
      </c>
      <c r="F328" s="7">
        <f>LOOKUP(E328,{0,-1.8,-0.8,0.2,1.2,2.2,3.2,4.6,6,7.4,8.8,10.2,11.6,13,14.4,15.8,17.2,19.1,21,22.8,24.6},{0,10,20,30,40,50,60,62,64,66,68,70,72,74,76,78,80,85,90,95,100})</f>
        <v>85</v>
      </c>
      <c r="G328" s="5">
        <v>260</v>
      </c>
      <c r="H328" s="7">
        <f>LOOKUP(G328,{0,180,185,190,195,200,205,209,213,217,221,225,229,233,237,241,245,253,260,265,270},{0,10,20,30,40,50,60,62,64,66,68,70,72,74,76,78,80,85,90,95,100})</f>
        <v>90</v>
      </c>
      <c r="I328" s="5">
        <v>4</v>
      </c>
      <c r="J328" s="7">
        <f>LOOKUP(I328,{0,4,5,6,7,8,9,10,11,12,13,14,15,16,17,18},{0,10,20,30,40,50,60,64,68,72,76,80,85,90,95,100})</f>
        <v>10</v>
      </c>
      <c r="K328" s="5"/>
      <c r="L328" s="5"/>
      <c r="M328" s="5">
        <f t="shared" si="158"/>
        <v>10</v>
      </c>
      <c r="N328" s="5">
        <v>7.4</v>
      </c>
      <c r="O328" s="10">
        <f t="shared" si="159"/>
        <v>10.6</v>
      </c>
      <c r="P328" s="7">
        <f>LOOKUP(O328,{0,7.8,8,8.2,8.4,8.6,8.8,9,9.2,9.4,9.6,9.8,10,10.2,10.4,10.6,10.8,10.9,11,11.1,11.2},{0,10,20,30,40,50,60,62,64,66,68,70,72,74,76,78,80,85,90,95,100})</f>
        <v>78</v>
      </c>
      <c r="Q328" s="5">
        <v>4.31</v>
      </c>
      <c r="R328" s="10">
        <f t="shared" si="160"/>
        <v>5.69</v>
      </c>
      <c r="S328" s="7">
        <f>LOOKUP(R328,{0,3.85,4.45,4.65,4.85,5.45,5.65,5.7,5.75,5.8,5.85,5.9,5.95,6,6.45,6.5,6.55,6.63,6.7,6.75,6.8},{0,10,20,30,40,50,60,62,64,66,68,70,72,74,76,78,80,85,90,95,100})</f>
        <v>60</v>
      </c>
      <c r="T328" s="5"/>
      <c r="U328" s="5"/>
      <c r="V328" s="5">
        <f t="shared" si="161"/>
        <v>60</v>
      </c>
      <c r="W328" s="5"/>
      <c r="X328" s="13">
        <f t="shared" si="162"/>
        <v>46.1</v>
      </c>
      <c r="Y328" s="13">
        <f t="shared" si="163"/>
        <v>65.8571428571429</v>
      </c>
      <c r="Z328" s="19"/>
    </row>
    <row r="329" ht="15.6" hidden="1" outlineLevel="2" spans="1:26">
      <c r="A329" s="5">
        <v>311</v>
      </c>
      <c r="B329" s="5">
        <v>3</v>
      </c>
      <c r="C329" s="9" t="s">
        <v>516</v>
      </c>
      <c r="D329" s="9" t="s">
        <v>12</v>
      </c>
      <c r="E329" s="5">
        <v>16</v>
      </c>
      <c r="F329" s="7">
        <f>LOOKUP(E329,{0,-1.8,-0.8,0.2,1.2,2.2,3.2,4.6,6,7.4,8.8,10.2,11.6,13,14.4,15.8,17.2,19.1,21,22.8,24.6},{0,10,20,30,40,50,60,62,64,66,68,70,72,74,76,78,80,85,90,95,100})</f>
        <v>78</v>
      </c>
      <c r="G329" s="5">
        <v>245</v>
      </c>
      <c r="H329" s="7">
        <f>LOOKUP(G329,{0,180,185,190,195,200,205,209,213,217,221,225,229,233,237,241,245,253,260,265,270},{0,10,20,30,40,50,60,62,64,66,68,70,72,74,76,78,80,85,90,95,100})</f>
        <v>80</v>
      </c>
      <c r="I329" s="5">
        <v>25</v>
      </c>
      <c r="J329" s="7">
        <f>LOOKUP(I329,{0,4,5,6,7,8,9,10,11,12,13,14,15,16,17,18},{0,10,20,30,40,50,60,64,68,72,76,80,85,90,95,100})</f>
        <v>100</v>
      </c>
      <c r="K329" s="5">
        <f>I329-18</f>
        <v>7</v>
      </c>
      <c r="L329" s="7">
        <f>LOOKUP(K329,{0,1,2,3,4,5,6,7,8,9,10},{0,1,2,3,4,5,6,7,8,9,10})</f>
        <v>7</v>
      </c>
      <c r="M329" s="5">
        <f t="shared" si="158"/>
        <v>107</v>
      </c>
      <c r="N329" s="5">
        <v>7.2</v>
      </c>
      <c r="O329" s="10">
        <f t="shared" si="159"/>
        <v>10.8</v>
      </c>
      <c r="P329" s="7">
        <f>LOOKUP(O329,{0,7.8,8,8.2,8.4,8.6,8.8,9,9.2,9.4,9.6,9.8,10,10.2,10.4,10.6,10.8,10.9,11,11.1,11.2},{0,10,20,30,40,50,60,62,64,66,68,70,72,74,76,78,80,85,90,95,100})</f>
        <v>80</v>
      </c>
      <c r="Q329" s="5">
        <v>4.25</v>
      </c>
      <c r="R329" s="10">
        <f t="shared" si="160"/>
        <v>5.75</v>
      </c>
      <c r="S329" s="7">
        <f>LOOKUP(R329,{0,3.85,4.45,4.65,4.85,5.45,5.65,5.7,5.75,5.8,5.85,5.9,5.95,6,6.45,6.5,6.55,6.63,6.7,6.75,6.8},{0,10,20,30,40,50,60,62,64,66,68,70,72,74,76,78,80,85,90,95,100})</f>
        <v>64</v>
      </c>
      <c r="T329" s="5"/>
      <c r="U329" s="5"/>
      <c r="V329" s="5">
        <f t="shared" si="161"/>
        <v>64</v>
      </c>
      <c r="W329" s="5"/>
      <c r="X329" s="13">
        <f t="shared" si="162"/>
        <v>54.6</v>
      </c>
      <c r="Y329" s="13">
        <f t="shared" si="163"/>
        <v>85</v>
      </c>
      <c r="Z329" s="19"/>
    </row>
    <row r="330" ht="15.6" hidden="1" outlineLevel="2" spans="1:26">
      <c r="A330" s="5">
        <v>311</v>
      </c>
      <c r="B330" s="5">
        <v>4</v>
      </c>
      <c r="C330" s="9" t="s">
        <v>517</v>
      </c>
      <c r="D330" s="9" t="s">
        <v>12</v>
      </c>
      <c r="E330" s="5">
        <v>7</v>
      </c>
      <c r="F330" s="7">
        <f>LOOKUP(E330,{0,-1.8,-0.8,0.2,1.2,2.2,3.2,4.6,6,7.4,8.8,10.2,11.6,13,14.4,15.8,17.2,19.1,21,22.8,24.6},{0,10,20,30,40,50,60,62,64,66,68,70,72,74,76,78,80,85,90,95,100})</f>
        <v>64</v>
      </c>
      <c r="G330" s="5">
        <v>235</v>
      </c>
      <c r="H330" s="7">
        <f>LOOKUP(G330,{0,180,185,190,195,200,205,209,213,217,221,225,229,233,237,241,245,253,260,265,270},{0,10,20,30,40,50,60,62,64,66,68,70,72,74,76,78,80,85,90,95,100})</f>
        <v>74</v>
      </c>
      <c r="I330" s="5">
        <v>1</v>
      </c>
      <c r="J330" s="7">
        <f>LOOKUP(I330,{0,4,5,6,7,8,9,10,11,12,13,14,15,16,17,18},{0,10,20,30,40,50,60,64,68,72,76,80,85,90,95,100})</f>
        <v>0</v>
      </c>
      <c r="K330" s="5"/>
      <c r="L330" s="5"/>
      <c r="M330" s="5">
        <f t="shared" si="158"/>
        <v>0</v>
      </c>
      <c r="N330" s="5">
        <v>8</v>
      </c>
      <c r="O330" s="10">
        <f t="shared" si="159"/>
        <v>10</v>
      </c>
      <c r="P330" s="7">
        <f>LOOKUP(O330,{0,7.8,8,8.2,8.4,8.6,8.8,9,9.2,9.4,9.6,9.8,10,10.2,10.4,10.6,10.8,10.9,11,11.1,11.2},{0,10,20,30,40,50,60,62,64,66,68,70,72,74,76,78,80,85,90,95,100})</f>
        <v>72</v>
      </c>
      <c r="Q330" s="5">
        <v>4.33</v>
      </c>
      <c r="R330" s="10">
        <f t="shared" si="160"/>
        <v>5.67</v>
      </c>
      <c r="S330" s="7">
        <f>LOOKUP(R330,{0,3.85,4.45,4.65,4.85,5.45,5.65,5.7,5.75,5.8,5.85,5.9,5.95,6,6.45,6.5,6.55,6.63,6.7,6.75,6.8},{0,10,20,30,40,50,60,62,64,66,68,70,72,74,76,78,80,85,90,95,100})</f>
        <v>60</v>
      </c>
      <c r="T330" s="5"/>
      <c r="U330" s="5"/>
      <c r="V330" s="5">
        <f t="shared" si="161"/>
        <v>60</v>
      </c>
      <c r="W330" s="5"/>
      <c r="X330" s="13">
        <f t="shared" si="162"/>
        <v>40.2</v>
      </c>
      <c r="Y330" s="13">
        <f t="shared" si="163"/>
        <v>57.4285714285714</v>
      </c>
      <c r="Z330" s="19"/>
    </row>
    <row r="331" ht="15.6" hidden="1" outlineLevel="2" spans="1:26">
      <c r="A331" s="5">
        <v>311</v>
      </c>
      <c r="B331" s="5">
        <v>5</v>
      </c>
      <c r="C331" s="9" t="s">
        <v>518</v>
      </c>
      <c r="D331" s="9" t="s">
        <v>12</v>
      </c>
      <c r="E331" s="5">
        <v>-6</v>
      </c>
      <c r="F331" s="7">
        <v>0</v>
      </c>
      <c r="G331" s="5">
        <v>220</v>
      </c>
      <c r="H331" s="7">
        <f>LOOKUP(G331,{0,180,185,190,195,200,205,209,213,217,221,225,229,233,237,241,245,253,260,265,270},{0,10,20,30,40,50,60,62,64,66,68,70,72,74,76,78,80,85,90,95,100})</f>
        <v>66</v>
      </c>
      <c r="I331" s="5">
        <v>0</v>
      </c>
      <c r="J331" s="7">
        <f>LOOKUP(I331,{0,4,5,6,7,8,9,10,11,12,13,14,15,16,17,18},{0,10,20,30,40,50,60,64,68,72,76,80,85,90,95,100})</f>
        <v>0</v>
      </c>
      <c r="K331" s="5"/>
      <c r="L331" s="5"/>
      <c r="M331" s="5">
        <f t="shared" si="158"/>
        <v>0</v>
      </c>
      <c r="N331" s="5">
        <v>7.5</v>
      </c>
      <c r="O331" s="10">
        <f t="shared" si="159"/>
        <v>10.5</v>
      </c>
      <c r="P331" s="7">
        <f>LOOKUP(O331,{0,7.8,8,8.2,8.4,8.6,8.8,9,9.2,9.4,9.6,9.8,10,10.2,10.4,10.6,10.8,10.9,11,11.1,11.2},{0,10,20,30,40,50,60,62,64,66,68,70,72,74,76,78,80,85,90,95,100})</f>
        <v>76</v>
      </c>
      <c r="Q331" s="5">
        <v>4.33</v>
      </c>
      <c r="R331" s="10">
        <f t="shared" si="160"/>
        <v>5.67</v>
      </c>
      <c r="S331" s="7">
        <f>LOOKUP(R331,{0,3.85,4.45,4.65,4.85,5.45,5.65,5.7,5.75,5.8,5.85,5.9,5.95,6,6.45,6.5,6.55,6.63,6.7,6.75,6.8},{0,10,20,30,40,50,60,62,64,66,68,70,72,74,76,78,80,85,90,95,100})</f>
        <v>60</v>
      </c>
      <c r="T331" s="5"/>
      <c r="U331" s="5"/>
      <c r="V331" s="5">
        <f t="shared" si="161"/>
        <v>60</v>
      </c>
      <c r="W331" s="5"/>
      <c r="X331" s="13">
        <f t="shared" si="162"/>
        <v>33.8</v>
      </c>
      <c r="Y331" s="13">
        <f t="shared" si="163"/>
        <v>48.2857142857143</v>
      </c>
      <c r="Z331" s="19"/>
    </row>
    <row r="332" ht="15.6" hidden="1" outlineLevel="2" spans="1:26">
      <c r="A332" s="5">
        <v>311</v>
      </c>
      <c r="B332" s="5">
        <v>6</v>
      </c>
      <c r="C332" s="9" t="s">
        <v>519</v>
      </c>
      <c r="D332" s="9" t="s">
        <v>12</v>
      </c>
      <c r="E332" s="5">
        <v>11</v>
      </c>
      <c r="F332" s="7">
        <f>LOOKUP(E332,{0,-1.8,-0.8,0.2,1.2,2.2,3.2,4.6,6,7.4,8.8,10.2,11.6,13,14.4,15.8,17.2,19.1,21,22.8,24.6},{0,10,20,30,40,50,60,62,64,66,68,70,72,74,76,78,80,85,90,95,100})</f>
        <v>70</v>
      </c>
      <c r="G332" s="5">
        <v>270</v>
      </c>
      <c r="H332" s="7">
        <f>LOOKUP(G332,{0,180,185,190,195,200,205,209,213,217,221,225,229,233,237,241,245,253,260,265,270},{0,10,20,30,40,50,60,62,64,66,68,70,72,74,76,78,80,85,90,95,100})</f>
        <v>100</v>
      </c>
      <c r="I332" s="5">
        <v>7</v>
      </c>
      <c r="J332" s="7">
        <f>LOOKUP(I332,{0,4,5,6,7,8,9,10,11,12,13,14,15,16,17,18},{0,10,20,30,40,50,60,64,68,72,76,80,85,90,95,100})</f>
        <v>40</v>
      </c>
      <c r="K332" s="5"/>
      <c r="L332" s="5"/>
      <c r="M332" s="5">
        <f t="shared" si="158"/>
        <v>40</v>
      </c>
      <c r="N332" s="5">
        <v>6.8</v>
      </c>
      <c r="O332" s="10">
        <f t="shared" si="159"/>
        <v>11.2</v>
      </c>
      <c r="P332" s="7">
        <f>LOOKUP(O332,{0,7.8,8,8.2,8.4,8.6,8.8,9,9.2,9.4,9.6,9.8,10,10.2,10.4,10.6,10.8,10.9,11,11.1,11.2},{0,10,20,30,40,50,60,62,64,66,68,70,72,74,76,78,80,85,90,95,100})</f>
        <v>100</v>
      </c>
      <c r="Q332" s="5">
        <v>4.47</v>
      </c>
      <c r="R332" s="10">
        <f t="shared" si="160"/>
        <v>5.53</v>
      </c>
      <c r="S332" s="7">
        <f>LOOKUP(R332,{0,3.85,4.45,4.65,4.85,5.45,5.65,5.7,5.75,5.8,5.85,5.9,5.95,6,6.45,6.5,6.55,6.63,6.7,6.75,6.8},{0,10,20,30,40,50,60,62,64,66,68,70,72,74,76,78,80,85,90,95,100})</f>
        <v>50</v>
      </c>
      <c r="T332" s="5"/>
      <c r="U332" s="5"/>
      <c r="V332" s="5">
        <f t="shared" si="161"/>
        <v>50</v>
      </c>
      <c r="W332" s="5"/>
      <c r="X332" s="13">
        <f t="shared" si="162"/>
        <v>51</v>
      </c>
      <c r="Y332" s="13">
        <f t="shared" si="163"/>
        <v>72.8571428571429</v>
      </c>
      <c r="Z332" s="19"/>
    </row>
    <row r="333" ht="15.6" hidden="1" outlineLevel="2" spans="1:26">
      <c r="A333" s="5">
        <v>311</v>
      </c>
      <c r="B333" s="5">
        <v>7</v>
      </c>
      <c r="C333" s="9" t="s">
        <v>520</v>
      </c>
      <c r="D333" s="9" t="s">
        <v>12</v>
      </c>
      <c r="E333" s="5">
        <v>5.5</v>
      </c>
      <c r="F333" s="7">
        <f>LOOKUP(E333,{0,-1.8,-0.8,0.2,1.2,2.2,3.2,4.6,6,7.4,8.8,10.2,11.6,13,14.4,15.8,17.2,19.1,21,22.8,24.6},{0,10,20,30,40,50,60,62,64,66,68,70,72,74,76,78,80,85,90,95,100})</f>
        <v>62</v>
      </c>
      <c r="G333" s="5">
        <v>225</v>
      </c>
      <c r="H333" s="7">
        <f>LOOKUP(G333,{0,180,185,190,195,200,205,209,213,217,221,225,229,233,237,241,245,253,260,265,270},{0,10,20,30,40,50,60,62,64,66,68,70,72,74,76,78,80,85,90,95,100})</f>
        <v>70</v>
      </c>
      <c r="I333" s="5">
        <v>20</v>
      </c>
      <c r="J333" s="7">
        <f>LOOKUP(I333,{0,4,5,6,7,8,9,10,11,12,13,14,15,16,17,18},{0,10,20,30,40,50,60,64,68,72,76,80,85,90,95,100})</f>
        <v>100</v>
      </c>
      <c r="K333" s="5">
        <f>I333-18</f>
        <v>2</v>
      </c>
      <c r="L333" s="7">
        <f>LOOKUP(K333,{0,1,2,3,4,5,6,7,8,9,10},{0,1,2,3,4,5,6,7,8,9,10})</f>
        <v>2</v>
      </c>
      <c r="M333" s="5">
        <f t="shared" si="158"/>
        <v>102</v>
      </c>
      <c r="N333" s="5">
        <v>6.6</v>
      </c>
      <c r="O333" s="10">
        <f t="shared" si="159"/>
        <v>11.4</v>
      </c>
      <c r="P333" s="7">
        <f>LOOKUP(O333,{0,7.8,8,8.2,8.4,8.6,8.8,9,9.2,9.4,9.6,9.8,10,10.2,10.4,10.6,10.8,10.9,11,11.1,11.2},{0,10,20,30,40,50,60,62,64,66,68,70,72,74,76,78,80,85,90,95,100})</f>
        <v>100</v>
      </c>
      <c r="Q333" s="5">
        <v>4.35</v>
      </c>
      <c r="R333" s="10">
        <f t="shared" si="160"/>
        <v>5.65</v>
      </c>
      <c r="S333" s="7">
        <f>LOOKUP(R333,{0,3.85,4.45,4.65,4.85,5.45,5.65,5.7,5.75,5.8,5.85,5.9,5.95,6,6.45,6.5,6.55,6.63,6.7,6.75,6.8},{0,10,20,30,40,50,60,62,64,66,68,70,72,74,76,78,80,85,90,95,100})</f>
        <v>60</v>
      </c>
      <c r="T333" s="5"/>
      <c r="U333" s="5"/>
      <c r="V333" s="5">
        <f t="shared" si="161"/>
        <v>60</v>
      </c>
      <c r="W333" s="5"/>
      <c r="X333" s="13">
        <f t="shared" si="162"/>
        <v>55.2</v>
      </c>
      <c r="Y333" s="13">
        <f t="shared" si="163"/>
        <v>80.8571428571429</v>
      </c>
      <c r="Z333" s="19"/>
    </row>
    <row r="334" ht="15.6" hidden="1" outlineLevel="2" spans="1:26">
      <c r="A334" s="5">
        <v>311</v>
      </c>
      <c r="B334" s="5">
        <v>8</v>
      </c>
      <c r="C334" s="9" t="s">
        <v>521</v>
      </c>
      <c r="D334" s="9" t="s">
        <v>12</v>
      </c>
      <c r="E334" s="5">
        <v>6.5</v>
      </c>
      <c r="F334" s="7">
        <f>LOOKUP(E334,{0,-1.8,-0.8,0.2,1.2,2.2,3.2,4.6,6,7.4,8.8,10.2,11.6,13,14.4,15.8,17.2,19.1,21,22.8,24.6},{0,10,20,30,40,50,60,62,64,66,68,70,72,74,76,78,80,85,90,95,100})</f>
        <v>64</v>
      </c>
      <c r="G334" s="5">
        <v>220</v>
      </c>
      <c r="H334" s="7">
        <f>LOOKUP(G334,{0,180,185,190,195,200,205,209,213,217,221,225,229,233,237,241,245,253,260,265,270},{0,10,20,30,40,50,60,62,64,66,68,70,72,74,76,78,80,85,90,95,100})</f>
        <v>66</v>
      </c>
      <c r="I334" s="5">
        <v>1</v>
      </c>
      <c r="J334" s="7">
        <f>LOOKUP(I334,{0,4,5,6,7,8,9,10,11,12,13,14,15,16,17,18},{0,10,20,30,40,50,60,64,68,72,76,80,85,90,95,100})</f>
        <v>0</v>
      </c>
      <c r="K334" s="5"/>
      <c r="L334" s="5"/>
      <c r="M334" s="5">
        <f t="shared" si="158"/>
        <v>0</v>
      </c>
      <c r="N334" s="5">
        <v>7.6</v>
      </c>
      <c r="O334" s="10">
        <f t="shared" si="159"/>
        <v>10.4</v>
      </c>
      <c r="P334" s="7">
        <f>LOOKUP(O334,{0,7.8,8,8.2,8.4,8.6,8.8,9,9.2,9.4,9.6,9.8,10,10.2,10.4,10.6,10.8,10.9,11,11.1,11.2},{0,10,20,30,40,50,60,62,64,66,68,70,72,74,76,78,80,85,90,95,100})</f>
        <v>76</v>
      </c>
      <c r="Q334" s="5">
        <v>5.28</v>
      </c>
      <c r="R334" s="10">
        <f t="shared" si="160"/>
        <v>4.72</v>
      </c>
      <c r="S334" s="7">
        <f>LOOKUP(R334,{0,3.85,4.45,4.65,4.85,5.45,5.65,5.7,5.75,5.8,5.85,5.9,5.95,6,6.45,6.5,6.55,6.63,6.7,6.75,6.8},{0,10,20,30,40,50,60,62,64,66,68,70,72,74,76,78,80,85,90,95,100})</f>
        <v>30</v>
      </c>
      <c r="T334" s="5"/>
      <c r="U334" s="5"/>
      <c r="V334" s="5">
        <f t="shared" si="161"/>
        <v>30</v>
      </c>
      <c r="W334" s="5"/>
      <c r="X334" s="13">
        <f t="shared" si="162"/>
        <v>34.2</v>
      </c>
      <c r="Y334" s="13">
        <f t="shared" si="163"/>
        <v>48.8571428571429</v>
      </c>
      <c r="Z334" s="19"/>
    </row>
    <row r="335" ht="15.6" hidden="1" outlineLevel="2" spans="1:26">
      <c r="A335" s="5">
        <v>311</v>
      </c>
      <c r="B335" s="5">
        <v>9</v>
      </c>
      <c r="C335" s="9" t="s">
        <v>522</v>
      </c>
      <c r="D335" s="9" t="s">
        <v>12</v>
      </c>
      <c r="E335" s="5">
        <v>9.7</v>
      </c>
      <c r="F335" s="7">
        <f>LOOKUP(E335,{0,-1.8,-0.8,0.2,1.2,2.2,3.2,4.6,6,7.4,8.8,10.2,11.6,13,14.4,15.8,17.2,19.1,21,22.8,24.6},{0,10,20,30,40,50,60,62,64,66,68,70,72,74,76,78,80,85,90,95,100})</f>
        <v>68</v>
      </c>
      <c r="G335" s="5">
        <v>240</v>
      </c>
      <c r="H335" s="7">
        <f>LOOKUP(G335,{0,180,185,190,195,200,205,209,213,217,221,225,229,233,237,241,245,253,260,265,270},{0,10,20,30,40,50,60,62,64,66,68,70,72,74,76,78,80,85,90,95,100})</f>
        <v>76</v>
      </c>
      <c r="I335" s="5">
        <v>16</v>
      </c>
      <c r="J335" s="7">
        <f>LOOKUP(I335,{0,4,5,6,7,8,9,10,11,12,13,14,15,16,17,18},{0,10,20,30,40,50,60,64,68,72,76,80,85,90,95,100})</f>
        <v>90</v>
      </c>
      <c r="K335" s="5"/>
      <c r="L335" s="5"/>
      <c r="M335" s="5">
        <f t="shared" si="158"/>
        <v>90</v>
      </c>
      <c r="N335" s="5">
        <v>7.5</v>
      </c>
      <c r="O335" s="10">
        <f t="shared" si="159"/>
        <v>10.5</v>
      </c>
      <c r="P335" s="7">
        <f>LOOKUP(O335,{0,7.8,8,8.2,8.4,8.6,8.8,9,9.2,9.4,9.6,9.8,10,10.2,10.4,10.6,10.8,10.9,11,11.1,11.2},{0,10,20,30,40,50,60,62,64,66,68,70,72,74,76,78,80,85,90,95,100})</f>
        <v>76</v>
      </c>
      <c r="Q335" s="5">
        <v>4.32</v>
      </c>
      <c r="R335" s="10">
        <f t="shared" si="160"/>
        <v>5.68</v>
      </c>
      <c r="S335" s="7">
        <f>LOOKUP(R335,{0,3.85,4.45,4.65,4.85,5.45,5.65,5.7,5.75,5.8,5.85,5.9,5.95,6,6.45,6.5,6.55,6.63,6.7,6.75,6.8},{0,10,20,30,40,50,60,62,64,66,68,70,72,74,76,78,80,85,90,95,100})</f>
        <v>60</v>
      </c>
      <c r="T335" s="5"/>
      <c r="U335" s="5"/>
      <c r="V335" s="5">
        <f t="shared" si="161"/>
        <v>60</v>
      </c>
      <c r="W335" s="5"/>
      <c r="X335" s="13">
        <f t="shared" si="162"/>
        <v>50.6</v>
      </c>
      <c r="Y335" s="13">
        <f t="shared" si="163"/>
        <v>72.2857142857143</v>
      </c>
      <c r="Z335" s="19"/>
    </row>
    <row r="336" ht="15.6" hidden="1" outlineLevel="2" spans="1:26">
      <c r="A336" s="5">
        <v>311</v>
      </c>
      <c r="B336" s="5">
        <v>10</v>
      </c>
      <c r="C336" s="9" t="s">
        <v>523</v>
      </c>
      <c r="D336" s="9" t="s">
        <v>12</v>
      </c>
      <c r="E336" s="5">
        <v>2</v>
      </c>
      <c r="F336" s="7">
        <f>LOOKUP(E336,{0,-1.8,-0.8,0.2,1.2,2.2,3.2,4.6,6,7.4,8.8,10.2,11.6,13,14.4,15.8,17.2,19.1,21,22.8,24.6},{0,10,20,30,40,50,60,62,64,66,68,70,72,74,76,78,80,85,90,95,100})</f>
        <v>40</v>
      </c>
      <c r="G336" s="5">
        <v>202</v>
      </c>
      <c r="H336" s="7">
        <f>LOOKUP(G336,{0,180,185,190,195,200,205,209,213,217,221,225,229,233,237,241,245,253,260,265,270},{0,10,20,30,40,50,60,62,64,66,68,70,72,74,76,78,80,85,90,95,100})</f>
        <v>50</v>
      </c>
      <c r="I336" s="5">
        <v>1</v>
      </c>
      <c r="J336" s="7">
        <f>LOOKUP(I336,{0,4,5,6,7,8,9,10,11,12,13,14,15,16,17,18},{0,10,20,30,40,50,60,64,68,72,76,80,85,90,95,100})</f>
        <v>0</v>
      </c>
      <c r="K336" s="5"/>
      <c r="L336" s="5"/>
      <c r="M336" s="5">
        <f t="shared" si="158"/>
        <v>0</v>
      </c>
      <c r="N336" s="5">
        <v>7.9</v>
      </c>
      <c r="O336" s="10">
        <f t="shared" si="159"/>
        <v>10.1</v>
      </c>
      <c r="P336" s="7">
        <f>LOOKUP(O336,{0,7.8,8,8.2,8.4,8.6,8.8,9,9.2,9.4,9.6,9.8,10,10.2,10.4,10.6,10.8,10.9,11,11.1,11.2},{0,10,20,30,40,50,60,62,64,66,68,70,72,74,76,78,80,85,90,95,100})</f>
        <v>72</v>
      </c>
      <c r="Q336" s="5">
        <v>4.46</v>
      </c>
      <c r="R336" s="10">
        <f t="shared" si="160"/>
        <v>5.54</v>
      </c>
      <c r="S336" s="7">
        <f>LOOKUP(R336,{0,3.85,4.45,4.65,4.85,5.45,5.65,5.7,5.75,5.8,5.85,5.9,5.95,6,6.45,6.5,6.55,6.63,6.7,6.75,6.8},{0,10,20,30,40,50,60,62,64,66,68,70,72,74,76,78,80,85,90,95,100})</f>
        <v>50</v>
      </c>
      <c r="T336" s="5"/>
      <c r="U336" s="5"/>
      <c r="V336" s="5">
        <f t="shared" si="161"/>
        <v>50</v>
      </c>
      <c r="W336" s="5"/>
      <c r="X336" s="13">
        <f t="shared" si="162"/>
        <v>33.4</v>
      </c>
      <c r="Y336" s="13">
        <f t="shared" si="163"/>
        <v>47.7142857142857</v>
      </c>
      <c r="Z336" s="19"/>
    </row>
    <row r="337" ht="15.6" hidden="1" outlineLevel="2" spans="1:26">
      <c r="A337" s="5">
        <v>311</v>
      </c>
      <c r="B337" s="5">
        <v>11</v>
      </c>
      <c r="C337" s="9" t="s">
        <v>524</v>
      </c>
      <c r="D337" s="9" t="s">
        <v>12</v>
      </c>
      <c r="E337" s="5">
        <v>10.5</v>
      </c>
      <c r="F337" s="7">
        <f>LOOKUP(E337,{0,-1.8,-0.8,0.2,1.2,2.2,3.2,4.6,6,7.4,8.8,10.2,11.6,13,14.4,15.8,17.2,19.1,21,22.8,24.6},{0,10,20,30,40,50,60,62,64,66,68,70,72,74,76,78,80,85,90,95,100})</f>
        <v>70</v>
      </c>
      <c r="G337" s="5">
        <v>210</v>
      </c>
      <c r="H337" s="7">
        <f>LOOKUP(G337,{0,180,185,190,195,200,205,209,213,217,221,225,229,233,237,241,245,253,260,265,270},{0,10,20,30,40,50,60,62,64,66,68,70,72,74,76,78,80,85,90,95,100})</f>
        <v>62</v>
      </c>
      <c r="I337" s="5">
        <v>5</v>
      </c>
      <c r="J337" s="7">
        <f>LOOKUP(I337,{0,4,5,6,7,8,9,10,11,12,13,14,15,16,17,18},{0,10,20,30,40,50,60,64,68,72,76,80,85,90,95,100})</f>
        <v>20</v>
      </c>
      <c r="K337" s="5"/>
      <c r="L337" s="5"/>
      <c r="M337" s="5">
        <f t="shared" si="158"/>
        <v>20</v>
      </c>
      <c r="N337" s="5">
        <v>8.1</v>
      </c>
      <c r="O337" s="10">
        <f t="shared" si="159"/>
        <v>9.9</v>
      </c>
      <c r="P337" s="7">
        <f>LOOKUP(O337,{0,7.8,8,8.2,8.4,8.6,8.8,9,9.2,9.4,9.6,9.8,10,10.2,10.4,10.6,10.8,10.9,11,11.1,11.2},{0,10,20,30,40,50,60,62,64,66,68,70,72,74,76,78,80,85,90,95,100})</f>
        <v>70</v>
      </c>
      <c r="Q337" s="5">
        <v>5.19</v>
      </c>
      <c r="R337" s="10">
        <f t="shared" si="160"/>
        <v>4.81</v>
      </c>
      <c r="S337" s="7">
        <f>LOOKUP(R337,{0,3.85,4.45,4.65,4.85,5.45,5.65,5.7,5.75,5.8,5.85,5.9,5.95,6,6.45,6.5,6.55,6.63,6.7,6.75,6.8},{0,10,20,30,40,50,60,62,64,66,68,70,72,74,76,78,80,85,90,95,100})</f>
        <v>30</v>
      </c>
      <c r="T337" s="5"/>
      <c r="U337" s="5"/>
      <c r="V337" s="5">
        <f t="shared" si="161"/>
        <v>30</v>
      </c>
      <c r="W337" s="5"/>
      <c r="X337" s="13">
        <f t="shared" si="162"/>
        <v>35.2</v>
      </c>
      <c r="Y337" s="13">
        <f t="shared" si="163"/>
        <v>50.2857142857143</v>
      </c>
      <c r="Z337" s="19"/>
    </row>
    <row r="338" ht="15.6" hidden="1" outlineLevel="2" spans="1:26">
      <c r="A338" s="5">
        <v>311</v>
      </c>
      <c r="B338" s="5">
        <v>12</v>
      </c>
      <c r="C338" s="9" t="s">
        <v>525</v>
      </c>
      <c r="D338" s="9" t="s">
        <v>12</v>
      </c>
      <c r="E338" s="5">
        <v>15</v>
      </c>
      <c r="F338" s="7">
        <f>LOOKUP(E338,{0,-1.8,-0.8,0.2,1.2,2.2,3.2,4.6,6,7.4,8.8,10.2,11.6,13,14.4,15.8,17.2,19.1,21,22.8,24.6},{0,10,20,30,40,50,60,62,64,66,68,70,72,74,76,78,80,85,90,95,100})</f>
        <v>76</v>
      </c>
      <c r="G338" s="5">
        <v>250</v>
      </c>
      <c r="H338" s="7">
        <f>LOOKUP(G338,{0,180,185,190,195,200,205,209,213,217,221,225,229,233,237,241,245,253,260,265,270},{0,10,20,30,40,50,60,62,64,66,68,70,72,74,76,78,80,85,90,95,100})</f>
        <v>80</v>
      </c>
      <c r="I338" s="5">
        <v>18</v>
      </c>
      <c r="J338" s="7">
        <f>LOOKUP(I338,{0,4,5,6,7,8,9,10,11,12,13,14,15,16,17,18},{0,10,20,30,40,50,60,64,68,72,76,80,85,90,95,100})</f>
        <v>100</v>
      </c>
      <c r="K338" s="5"/>
      <c r="L338" s="5"/>
      <c r="M338" s="5">
        <f t="shared" si="158"/>
        <v>100</v>
      </c>
      <c r="N338" s="5">
        <v>6.8</v>
      </c>
      <c r="O338" s="10">
        <f t="shared" si="159"/>
        <v>11.2</v>
      </c>
      <c r="P338" s="7">
        <f>LOOKUP(O338,{0,7.8,8,8.2,8.4,8.6,8.8,9,9.2,9.4,9.6,9.8,10,10.2,10.4,10.6,10.8,10.9,11,11.1,11.2},{0,10,20,30,40,50,60,62,64,66,68,70,72,74,76,78,80,85,90,95,100})</f>
        <v>100</v>
      </c>
      <c r="Q338" s="5">
        <v>4.16</v>
      </c>
      <c r="R338" s="10">
        <f t="shared" si="160"/>
        <v>5.84</v>
      </c>
      <c r="S338" s="7">
        <f>LOOKUP(R338,{0,3.85,4.45,4.65,4.85,5.45,5.65,5.7,5.75,5.8,5.85,5.9,5.95,6,6.45,6.5,6.55,6.63,6.7,6.75,6.8},{0,10,20,30,40,50,60,62,64,66,68,70,72,74,76,78,80,85,90,95,100})</f>
        <v>66</v>
      </c>
      <c r="T338" s="5"/>
      <c r="U338" s="5"/>
      <c r="V338" s="5">
        <f t="shared" si="161"/>
        <v>66</v>
      </c>
      <c r="W338" s="5"/>
      <c r="X338" s="13">
        <f t="shared" si="162"/>
        <v>58.8</v>
      </c>
      <c r="Y338" s="13">
        <f t="shared" si="163"/>
        <v>84</v>
      </c>
      <c r="Z338" s="19"/>
    </row>
    <row r="339" ht="15.6" hidden="1" outlineLevel="2" spans="1:26">
      <c r="A339" s="5">
        <v>311</v>
      </c>
      <c r="B339" s="5">
        <v>13</v>
      </c>
      <c r="C339" s="8" t="s">
        <v>527</v>
      </c>
      <c r="D339" s="9" t="s">
        <v>12</v>
      </c>
      <c r="E339" s="5">
        <v>15.6</v>
      </c>
      <c r="F339" s="7">
        <f>LOOKUP(E339,{0,-1.8,-0.8,0.2,1.2,2.2,3.2,4.6,6,7.4,8.8,10.2,11.6,13,14.4,15.8,17.2,19.1,21,22.8,24.6},{0,10,20,30,40,50,60,62,64,66,68,70,72,74,76,78,80,85,90,95,100})</f>
        <v>76</v>
      </c>
      <c r="G339" s="5">
        <v>268</v>
      </c>
      <c r="H339" s="7">
        <f>LOOKUP(G339,{0,180,185,190,195,200,205,209,213,217,221,225,229,233,237,241,245,253,260,265,270},{0,10,20,30,40,50,60,62,64,66,68,70,72,74,76,78,80,85,90,95,100})</f>
        <v>95</v>
      </c>
      <c r="I339" s="5">
        <v>9</v>
      </c>
      <c r="J339" s="7">
        <f>LOOKUP(I339,{0,4,5,6,7,8,9,10,11,12,13,14,15,16,17,18},{0,10,20,30,40,50,60,64,68,72,76,80,85,90,95,100})</f>
        <v>60</v>
      </c>
      <c r="K339" s="5"/>
      <c r="L339" s="5"/>
      <c r="M339" s="5">
        <f t="shared" si="158"/>
        <v>60</v>
      </c>
      <c r="N339" s="5">
        <v>6.8</v>
      </c>
      <c r="O339" s="10">
        <f t="shared" si="159"/>
        <v>11.2</v>
      </c>
      <c r="P339" s="7">
        <f>LOOKUP(O339,{0,7.8,8,8.2,8.4,8.6,8.8,9,9.2,9.4,9.6,9.8,10,10.2,10.4,10.6,10.8,10.9,11,11.1,11.2},{0,10,20,30,40,50,60,62,64,66,68,70,72,74,76,78,80,85,90,95,100})</f>
        <v>100</v>
      </c>
      <c r="Q339" s="5">
        <v>4.17</v>
      </c>
      <c r="R339" s="10">
        <f t="shared" si="160"/>
        <v>5.83</v>
      </c>
      <c r="S339" s="7">
        <f>LOOKUP(R339,{0,3.85,4.45,4.65,4.85,5.45,5.65,5.7,5.75,5.8,5.85,5.9,5.95,6,6.45,6.5,6.55,6.63,6.7,6.75,6.8},{0,10,20,30,40,50,60,62,64,66,68,70,72,74,76,78,80,85,90,95,100})</f>
        <v>66</v>
      </c>
      <c r="T339" s="5"/>
      <c r="U339" s="5"/>
      <c r="V339" s="5">
        <f t="shared" si="161"/>
        <v>66</v>
      </c>
      <c r="W339" s="5"/>
      <c r="X339" s="13">
        <f t="shared" si="162"/>
        <v>56.3</v>
      </c>
      <c r="Y339" s="13">
        <f t="shared" si="163"/>
        <v>80.4285714285714</v>
      </c>
      <c r="Z339" s="19"/>
    </row>
    <row r="340" ht="15.6" hidden="1" outlineLevel="2" spans="1:26">
      <c r="A340" s="5">
        <v>311</v>
      </c>
      <c r="B340" s="5">
        <v>14</v>
      </c>
      <c r="C340" s="9" t="s">
        <v>528</v>
      </c>
      <c r="D340" s="9" t="s">
        <v>12</v>
      </c>
      <c r="E340" s="5">
        <v>5</v>
      </c>
      <c r="F340" s="7">
        <f>LOOKUP(E340,{0,-1.8,-0.8,0.2,1.2,2.2,3.2,4.6,6,7.4,8.8,10.2,11.6,13,14.4,15.8,17.2,19.1,21,22.8,24.6},{0,10,20,30,40,50,60,62,64,66,68,70,72,74,76,78,80,85,90,95,100})</f>
        <v>62</v>
      </c>
      <c r="G340" s="5">
        <v>230</v>
      </c>
      <c r="H340" s="7">
        <f>LOOKUP(G340,{0,180,185,190,195,200,205,209,213,217,221,225,229,233,237,241,245,253,260,265,270},{0,10,20,30,40,50,60,62,64,66,68,70,72,74,76,78,80,85,90,95,100})</f>
        <v>72</v>
      </c>
      <c r="I340" s="5">
        <v>1</v>
      </c>
      <c r="J340" s="7">
        <f>LOOKUP(I340,{0,4,5,6,7,8,9,10,11,12,13,14,15,16,17,18},{0,10,20,30,40,50,60,64,68,72,76,80,85,90,95,100})</f>
        <v>0</v>
      </c>
      <c r="K340" s="5"/>
      <c r="L340" s="5"/>
      <c r="M340" s="5">
        <f t="shared" si="158"/>
        <v>0</v>
      </c>
      <c r="N340" s="5">
        <v>7.6</v>
      </c>
      <c r="O340" s="10">
        <f t="shared" si="159"/>
        <v>10.4</v>
      </c>
      <c r="P340" s="7">
        <f>LOOKUP(O340,{0,7.8,8,8.2,8.4,8.6,8.8,9,9.2,9.4,9.6,9.8,10,10.2,10.4,10.6,10.8,10.9,11,11.1,11.2},{0,10,20,30,40,50,60,62,64,66,68,70,72,74,76,78,80,85,90,95,100})</f>
        <v>76</v>
      </c>
      <c r="Q340" s="5">
        <v>4.33</v>
      </c>
      <c r="R340" s="10">
        <f t="shared" si="160"/>
        <v>5.67</v>
      </c>
      <c r="S340" s="7">
        <f>LOOKUP(R340,{0,3.85,4.45,4.65,4.85,5.45,5.65,5.7,5.75,5.8,5.85,5.9,5.95,6,6.45,6.5,6.55,6.63,6.7,6.75,6.8},{0,10,20,30,40,50,60,62,64,66,68,70,72,74,76,78,80,85,90,95,100})</f>
        <v>60</v>
      </c>
      <c r="T340" s="5"/>
      <c r="U340" s="5"/>
      <c r="V340" s="5">
        <f t="shared" si="161"/>
        <v>60</v>
      </c>
      <c r="W340" s="5"/>
      <c r="X340" s="13">
        <f t="shared" si="162"/>
        <v>40.6</v>
      </c>
      <c r="Y340" s="13">
        <f t="shared" si="163"/>
        <v>58</v>
      </c>
      <c r="Z340" s="19"/>
    </row>
    <row r="341" ht="15.6" hidden="1" outlineLevel="2" spans="1:26">
      <c r="A341" s="5">
        <v>311</v>
      </c>
      <c r="B341" s="5">
        <v>15</v>
      </c>
      <c r="C341" s="9" t="s">
        <v>529</v>
      </c>
      <c r="D341" s="9" t="s">
        <v>12</v>
      </c>
      <c r="E341" s="5">
        <v>10.7</v>
      </c>
      <c r="F341" s="7">
        <f>LOOKUP(E341,{0,-1.8,-0.8,0.2,1.2,2.2,3.2,4.6,6,7.4,8.8,10.2,11.6,13,14.4,15.8,17.2,19.1,21,22.8,24.6},{0,10,20,30,40,50,60,62,64,66,68,70,72,74,76,78,80,85,90,95,100})</f>
        <v>70</v>
      </c>
      <c r="G341" s="5">
        <v>220</v>
      </c>
      <c r="H341" s="7">
        <f>LOOKUP(G341,{0,180,185,190,195,200,205,209,213,217,221,225,229,233,237,241,245,253,260,265,270},{0,10,20,30,40,50,60,62,64,66,68,70,72,74,76,78,80,85,90,95,100})</f>
        <v>66</v>
      </c>
      <c r="I341" s="5">
        <v>1</v>
      </c>
      <c r="J341" s="7">
        <f>LOOKUP(I341,{0,4,5,6,7,8,9,10,11,12,13,14,15,16,17,18},{0,10,20,30,40,50,60,64,68,72,76,80,85,90,95,100})</f>
        <v>0</v>
      </c>
      <c r="K341" s="5"/>
      <c r="L341" s="5"/>
      <c r="M341" s="5">
        <f t="shared" si="158"/>
        <v>0</v>
      </c>
      <c r="N341" s="5">
        <v>7.8</v>
      </c>
      <c r="O341" s="10">
        <f t="shared" si="159"/>
        <v>10.2</v>
      </c>
      <c r="P341" s="7">
        <f>LOOKUP(O341,{0,7.8,8,8.2,8.4,8.6,8.8,9,9.2,9.4,9.6,9.8,10,10.2,10.4,10.6,10.8,10.9,11,11.1,11.2},{0,10,20,30,40,50,60,62,64,66,68,70,72,74,76,78,80,85,90,95,100})</f>
        <v>74</v>
      </c>
      <c r="Q341" s="5">
        <v>5.02</v>
      </c>
      <c r="R341" s="10">
        <f t="shared" si="160"/>
        <v>4.98</v>
      </c>
      <c r="S341" s="7">
        <f>LOOKUP(R341,{0,3.85,4.45,4.65,4.85,5.45,5.65,5.7,5.75,5.8,5.85,5.9,5.95,6,6.45,6.5,6.55,6.63,6.7,6.75,6.8},{0,10,20,30,40,50,60,62,64,66,68,70,72,74,76,78,80,85,90,95,100})</f>
        <v>40</v>
      </c>
      <c r="T341" s="5"/>
      <c r="U341" s="5"/>
      <c r="V341" s="5">
        <f t="shared" si="161"/>
        <v>40</v>
      </c>
      <c r="W341" s="5"/>
      <c r="X341" s="13">
        <f t="shared" si="162"/>
        <v>36.4</v>
      </c>
      <c r="Y341" s="13">
        <f t="shared" si="163"/>
        <v>52</v>
      </c>
      <c r="Z341" s="19"/>
    </row>
    <row r="342" ht="15.6" hidden="1" outlineLevel="2" spans="1:26">
      <c r="A342" s="5">
        <v>311</v>
      </c>
      <c r="B342" s="5">
        <v>16</v>
      </c>
      <c r="C342" s="9" t="s">
        <v>530</v>
      </c>
      <c r="D342" s="9" t="s">
        <v>12</v>
      </c>
      <c r="E342" s="5">
        <v>-5</v>
      </c>
      <c r="F342" s="7">
        <v>0</v>
      </c>
      <c r="G342" s="5">
        <v>225</v>
      </c>
      <c r="H342" s="7">
        <f>LOOKUP(G342,{0,180,185,190,195,200,205,209,213,217,221,225,229,233,237,241,245,253,260,265,270},{0,10,20,30,40,50,60,62,64,66,68,70,72,74,76,78,80,85,90,95,100})</f>
        <v>70</v>
      </c>
      <c r="I342" s="5">
        <v>5</v>
      </c>
      <c r="J342" s="7">
        <f>LOOKUP(I342,{0,4,5,6,7,8,9,10,11,12,13,14,15,16,17,18},{0,10,20,30,40,50,60,64,68,72,76,80,85,90,95,100})</f>
        <v>20</v>
      </c>
      <c r="K342" s="5"/>
      <c r="L342" s="5"/>
      <c r="M342" s="5">
        <f t="shared" si="158"/>
        <v>20</v>
      </c>
      <c r="N342" s="5">
        <v>7.1</v>
      </c>
      <c r="O342" s="10">
        <f t="shared" si="159"/>
        <v>10.9</v>
      </c>
      <c r="P342" s="7">
        <f>LOOKUP(O342,{0,7.8,8,8.2,8.4,8.6,8.8,9,9.2,9.4,9.6,9.8,10,10.2,10.4,10.6,10.8,10.9,11,11.1,11.2},{0,10,20,30,40,50,60,62,64,66,68,70,72,74,76,78,80,85,90,95,100})</f>
        <v>85</v>
      </c>
      <c r="Q342" s="5">
        <v>5.28</v>
      </c>
      <c r="R342" s="10">
        <f t="shared" si="160"/>
        <v>4.72</v>
      </c>
      <c r="S342" s="7">
        <f>LOOKUP(R342,{0,3.85,4.45,4.65,4.85,5.45,5.65,5.7,5.75,5.8,5.85,5.9,5.95,6,6.45,6.5,6.55,6.63,6.7,6.75,6.8},{0,10,20,30,40,50,60,62,64,66,68,70,72,74,76,78,80,85,90,95,100})</f>
        <v>30</v>
      </c>
      <c r="T342" s="5"/>
      <c r="U342" s="5"/>
      <c r="V342" s="5">
        <f t="shared" si="161"/>
        <v>30</v>
      </c>
      <c r="W342" s="5"/>
      <c r="X342" s="13">
        <f t="shared" si="162"/>
        <v>32</v>
      </c>
      <c r="Y342" s="13">
        <f t="shared" si="163"/>
        <v>45.7142857142857</v>
      </c>
      <c r="Z342" s="19"/>
    </row>
    <row r="343" ht="15.6" hidden="1" outlineLevel="2" spans="1:26">
      <c r="A343" s="5">
        <v>311</v>
      </c>
      <c r="B343" s="5">
        <v>17</v>
      </c>
      <c r="C343" s="9" t="s">
        <v>531</v>
      </c>
      <c r="D343" s="9" t="s">
        <v>12</v>
      </c>
      <c r="E343" s="5">
        <v>9.5</v>
      </c>
      <c r="F343" s="7">
        <f>LOOKUP(E343,{0,-1.8,-0.8,0.2,1.2,2.2,3.2,4.6,6,7.4,8.8,10.2,11.6,13,14.4,15.8,17.2,19.1,21,22.8,24.6},{0,10,20,30,40,50,60,62,64,66,68,70,72,74,76,78,80,85,90,95,100})</f>
        <v>68</v>
      </c>
      <c r="G343" s="5">
        <v>235</v>
      </c>
      <c r="H343" s="7">
        <f>LOOKUP(G343,{0,180,185,190,195,200,205,209,213,217,221,225,229,233,237,241,245,253,260,265,270},{0,10,20,30,40,50,60,62,64,66,68,70,72,74,76,78,80,85,90,95,100})</f>
        <v>74</v>
      </c>
      <c r="I343" s="5">
        <v>1</v>
      </c>
      <c r="J343" s="7">
        <f>LOOKUP(I343,{0,4,5,6,7,8,9,10,11,12,13,14,15,16,17,18},{0,10,20,30,40,50,60,64,68,72,76,80,85,90,95,100})</f>
        <v>0</v>
      </c>
      <c r="K343" s="5"/>
      <c r="L343" s="5"/>
      <c r="M343" s="5">
        <f t="shared" si="158"/>
        <v>0</v>
      </c>
      <c r="N343" s="5">
        <v>8.2</v>
      </c>
      <c r="O343" s="10">
        <f t="shared" si="159"/>
        <v>9.8</v>
      </c>
      <c r="P343" s="7">
        <f>LOOKUP(O343,{0,7.8,8,8.2,8.4,8.6,8.8,9,9.2,9.4,9.6,9.8,10,10.2,10.4,10.6,10.8,10.9,11,11.1,11.2},{0,10,20,30,40,50,60,62,64,66,68,70,72,74,76,78,80,85,90,95,100})</f>
        <v>70</v>
      </c>
      <c r="Q343" s="5">
        <v>5.28</v>
      </c>
      <c r="R343" s="10">
        <f t="shared" si="160"/>
        <v>4.72</v>
      </c>
      <c r="S343" s="7">
        <f>LOOKUP(R343,{0,3.85,4.45,4.65,4.85,5.45,5.65,5.7,5.75,5.8,5.85,5.9,5.95,6,6.45,6.5,6.55,6.63,6.7,6.75,6.8},{0,10,20,30,40,50,60,62,64,66,68,70,72,74,76,78,80,85,90,95,100})</f>
        <v>30</v>
      </c>
      <c r="T343" s="5"/>
      <c r="U343" s="5"/>
      <c r="V343" s="5">
        <f t="shared" si="161"/>
        <v>30</v>
      </c>
      <c r="W343" s="5"/>
      <c r="X343" s="13">
        <f t="shared" si="162"/>
        <v>34.2</v>
      </c>
      <c r="Y343" s="13">
        <f t="shared" si="163"/>
        <v>48.8571428571429</v>
      </c>
      <c r="Z343" s="19"/>
    </row>
    <row r="344" ht="15.6" hidden="1" outlineLevel="2" spans="1:26">
      <c r="A344" s="5">
        <v>311</v>
      </c>
      <c r="B344" s="5">
        <v>18</v>
      </c>
      <c r="C344" s="9" t="s">
        <v>532</v>
      </c>
      <c r="D344" s="9" t="s">
        <v>12</v>
      </c>
      <c r="E344" s="5">
        <v>2</v>
      </c>
      <c r="F344" s="7">
        <f>LOOKUP(E344,{0,-1.8,-0.8,0.2,1.2,2.2,3.2,4.6,6,7.4,8.8,10.2,11.6,13,14.4,15.8,17.2,19.1,21,22.8,24.6},{0,10,20,30,40,50,60,62,64,66,68,70,72,74,76,78,80,85,90,95,100})</f>
        <v>40</v>
      </c>
      <c r="G344" s="5">
        <v>245</v>
      </c>
      <c r="H344" s="7">
        <f>LOOKUP(G344,{0,180,185,190,195,200,205,209,213,217,221,225,229,233,237,241,245,253,260,265,270},{0,10,20,30,40,50,60,62,64,66,68,70,72,74,76,78,80,85,90,95,100})</f>
        <v>80</v>
      </c>
      <c r="I344" s="5">
        <v>18</v>
      </c>
      <c r="J344" s="7">
        <f>LOOKUP(I344,{0,4,5,6,7,8,9,10,11,12,13,14,15,16,17,18},{0,10,20,30,40,50,60,64,68,72,76,80,85,90,95,100})</f>
        <v>100</v>
      </c>
      <c r="K344" s="5"/>
      <c r="L344" s="5"/>
      <c r="M344" s="5">
        <f t="shared" si="158"/>
        <v>100</v>
      </c>
      <c r="N344" s="5">
        <v>7.5</v>
      </c>
      <c r="O344" s="10">
        <f t="shared" si="159"/>
        <v>10.5</v>
      </c>
      <c r="P344" s="7">
        <f>LOOKUP(O344,{0,7.8,8,8.2,8.4,8.6,8.8,9,9.2,9.4,9.6,9.8,10,10.2,10.4,10.6,10.8,10.9,11,11.1,11.2},{0,10,20,30,40,50,60,62,64,66,68,70,72,74,76,78,80,85,90,95,100})</f>
        <v>76</v>
      </c>
      <c r="Q344" s="5">
        <v>4.52</v>
      </c>
      <c r="R344" s="10">
        <f t="shared" si="160"/>
        <v>5.48</v>
      </c>
      <c r="S344" s="7">
        <f>LOOKUP(R344,{0,3.85,4.45,4.65,4.85,5.45,5.65,5.7,5.75,5.8,5.85,5.9,5.95,6,6.45,6.5,6.55,6.63,6.7,6.75,6.8},{0,10,20,30,40,50,60,62,64,66,68,70,72,74,76,78,80,85,90,95,100})</f>
        <v>50</v>
      </c>
      <c r="T344" s="5"/>
      <c r="U344" s="5"/>
      <c r="V344" s="5">
        <f t="shared" si="161"/>
        <v>50</v>
      </c>
      <c r="W344" s="5"/>
      <c r="X344" s="13">
        <f t="shared" si="162"/>
        <v>47.2</v>
      </c>
      <c r="Y344" s="13">
        <f t="shared" si="163"/>
        <v>67.4285714285714</v>
      </c>
      <c r="Z344" s="19"/>
    </row>
    <row r="345" ht="15.6" hidden="1" outlineLevel="2" spans="1:26">
      <c r="A345" s="5">
        <v>311</v>
      </c>
      <c r="B345" s="5">
        <v>19</v>
      </c>
      <c r="C345" s="9" t="s">
        <v>533</v>
      </c>
      <c r="D345" s="9" t="s">
        <v>12</v>
      </c>
      <c r="E345" s="5">
        <v>13</v>
      </c>
      <c r="F345" s="7">
        <f>LOOKUP(E345,{0,-1.8,-0.8,0.2,1.2,2.2,3.2,4.6,6,7.4,8.8,10.2,11.6,13,14.4,15.8,17.2,19.1,21,22.8,24.6},{0,10,20,30,40,50,60,62,64,66,68,70,72,74,76,78,80,85,90,95,100})</f>
        <v>74</v>
      </c>
      <c r="G345" s="5">
        <v>240</v>
      </c>
      <c r="H345" s="7">
        <f>LOOKUP(G345,{0,180,185,190,195,200,205,209,213,217,221,225,229,233,237,241,245,253,260,265,270},{0,10,20,30,40,50,60,62,64,66,68,70,72,74,76,78,80,85,90,95,100})</f>
        <v>76</v>
      </c>
      <c r="I345" s="5">
        <v>11</v>
      </c>
      <c r="J345" s="7">
        <f>LOOKUP(I345,{0,4,5,6,7,8,9,10,11,12,13,14,15,16,17,18},{0,10,20,30,40,50,60,64,68,72,76,80,85,90,95,100})</f>
        <v>68</v>
      </c>
      <c r="K345" s="5"/>
      <c r="L345" s="5"/>
      <c r="M345" s="5">
        <f t="shared" si="158"/>
        <v>68</v>
      </c>
      <c r="N345" s="5">
        <v>7.4</v>
      </c>
      <c r="O345" s="10">
        <f t="shared" si="159"/>
        <v>10.6</v>
      </c>
      <c r="P345" s="7">
        <f>LOOKUP(O345,{0,7.8,8,8.2,8.4,8.6,8.8,9,9.2,9.4,9.6,9.8,10,10.2,10.4,10.6,10.8,10.9,11,11.1,11.2},{0,10,20,30,40,50,60,62,64,66,68,70,72,74,76,78,80,85,90,95,100})</f>
        <v>78</v>
      </c>
      <c r="Q345" s="5">
        <v>4.32</v>
      </c>
      <c r="R345" s="10">
        <f t="shared" si="160"/>
        <v>5.68</v>
      </c>
      <c r="S345" s="7">
        <f>LOOKUP(R345,{0,3.85,4.45,4.65,4.85,5.45,5.65,5.7,5.75,5.8,5.85,5.9,5.95,6,6.45,6.5,6.55,6.63,6.7,6.75,6.8},{0,10,20,30,40,50,60,62,64,66,68,70,72,74,76,78,80,85,90,95,100})</f>
        <v>60</v>
      </c>
      <c r="T345" s="5"/>
      <c r="U345" s="5"/>
      <c r="V345" s="5">
        <f t="shared" si="161"/>
        <v>60</v>
      </c>
      <c r="W345" s="5"/>
      <c r="X345" s="13">
        <f t="shared" si="162"/>
        <v>49.4</v>
      </c>
      <c r="Y345" s="13">
        <f t="shared" si="163"/>
        <v>70.5714285714286</v>
      </c>
      <c r="Z345" s="19"/>
    </row>
    <row r="346" ht="15.6" hidden="1" outlineLevel="2" spans="1:26">
      <c r="A346" s="5">
        <v>311</v>
      </c>
      <c r="B346" s="5">
        <v>20</v>
      </c>
      <c r="C346" s="9" t="s">
        <v>534</v>
      </c>
      <c r="D346" s="9" t="s">
        <v>12</v>
      </c>
      <c r="E346" s="5">
        <v>4.2</v>
      </c>
      <c r="F346" s="7">
        <f>LOOKUP(E346,{0,-1.8,-0.8,0.2,1.2,2.2,3.2,4.6,6,7.4,8.8,10.2,11.6,13,14.4,15.8,17.2,19.1,21,22.8,24.6},{0,10,20,30,40,50,60,62,64,66,68,70,72,74,76,78,80,85,90,95,100})</f>
        <v>60</v>
      </c>
      <c r="G346" s="5">
        <v>235</v>
      </c>
      <c r="H346" s="7">
        <f>LOOKUP(G346,{0,180,185,190,195,200,205,209,213,217,221,225,229,233,237,241,245,253,260,265,270},{0,10,20,30,40,50,60,62,64,66,68,70,72,74,76,78,80,85,90,95,100})</f>
        <v>74</v>
      </c>
      <c r="I346" s="5">
        <v>6</v>
      </c>
      <c r="J346" s="7">
        <f>LOOKUP(I346,{0,4,5,6,7,8,9,10,11,12,13,14,15,16,17,18},{0,10,20,30,40,50,60,64,68,72,76,80,85,90,95,100})</f>
        <v>30</v>
      </c>
      <c r="K346" s="5"/>
      <c r="L346" s="5"/>
      <c r="M346" s="5">
        <f t="shared" si="158"/>
        <v>30</v>
      </c>
      <c r="N346" s="5">
        <v>7.7</v>
      </c>
      <c r="O346" s="10">
        <f t="shared" si="159"/>
        <v>10.3</v>
      </c>
      <c r="P346" s="7">
        <f>LOOKUP(O346,{0,7.8,8,8.2,8.4,8.6,8.8,9,9.2,9.4,9.6,9.8,10,10.2,10.4,10.6,10.8,10.9,11,11.1,11.2},{0,10,20,30,40,50,60,62,64,66,68,70,72,74,76,78,80,85,90,95,100})</f>
        <v>74</v>
      </c>
      <c r="Q346" s="5">
        <v>5.29</v>
      </c>
      <c r="R346" s="10">
        <f t="shared" si="160"/>
        <v>4.71</v>
      </c>
      <c r="S346" s="7">
        <f>LOOKUP(R346,{0,3.85,4.45,4.65,4.85,5.45,5.65,5.7,5.75,5.8,5.85,5.9,5.95,6,6.45,6.5,6.55,6.63,6.7,6.75,6.8},{0,10,20,30,40,50,60,62,64,66,68,70,72,74,76,78,80,85,90,95,100})</f>
        <v>30</v>
      </c>
      <c r="T346" s="5"/>
      <c r="U346" s="5"/>
      <c r="V346" s="5">
        <f t="shared" si="161"/>
        <v>30</v>
      </c>
      <c r="W346" s="5"/>
      <c r="X346" s="13">
        <f t="shared" si="162"/>
        <v>37.2</v>
      </c>
      <c r="Y346" s="13">
        <f t="shared" si="163"/>
        <v>53.1428571428572</v>
      </c>
      <c r="Z346" s="20"/>
    </row>
    <row r="347" ht="15.6" hidden="1" outlineLevel="2" spans="1:26">
      <c r="A347" s="5">
        <v>311</v>
      </c>
      <c r="B347" s="5">
        <v>21</v>
      </c>
      <c r="C347" s="9" t="s">
        <v>535</v>
      </c>
      <c r="D347" s="9" t="s">
        <v>12</v>
      </c>
      <c r="E347" s="5">
        <v>-4.9</v>
      </c>
      <c r="F347" s="7">
        <v>0</v>
      </c>
      <c r="G347" s="5">
        <v>215</v>
      </c>
      <c r="H347" s="7">
        <f>LOOKUP(G347,{0,180,185,190,195,200,205,209,213,217,221,225,229,233,237,241,245,253,260,265,270},{0,10,20,30,40,50,60,62,64,66,68,70,72,74,76,78,80,85,90,95,100})</f>
        <v>64</v>
      </c>
      <c r="I347" s="5">
        <v>18</v>
      </c>
      <c r="J347" s="7">
        <f>LOOKUP(I347,{0,4,5,6,7,8,9,10,11,12,13,14,15,16,17,18},{0,10,20,30,40,50,60,64,68,72,76,80,85,90,95,100})</f>
        <v>100</v>
      </c>
      <c r="K347" s="5"/>
      <c r="L347" s="16"/>
      <c r="M347" s="5">
        <f t="shared" si="158"/>
        <v>100</v>
      </c>
      <c r="N347" s="5">
        <v>7.6</v>
      </c>
      <c r="O347" s="10">
        <f t="shared" si="159"/>
        <v>10.4</v>
      </c>
      <c r="P347" s="7">
        <f>LOOKUP(O347,{0,7.8,8,8.2,8.4,8.6,8.8,9,9.2,9.4,9.6,9.8,10,10.2,10.4,10.6,10.8,10.9,11,11.1,11.2},{0,10,20,30,40,50,60,62,64,66,68,70,72,74,76,78,80,85,90,95,100})</f>
        <v>76</v>
      </c>
      <c r="Q347" s="5">
        <v>5.28</v>
      </c>
      <c r="R347" s="10">
        <f t="shared" si="160"/>
        <v>4.72</v>
      </c>
      <c r="S347" s="7">
        <f>LOOKUP(R347,{0,3.85,4.45,4.65,4.85,5.45,5.65,5.7,5.75,5.8,5.85,5.9,5.95,6,6.45,6.5,6.55,6.63,6.7,6.75,6.8},{0,10,20,30,40,50,60,62,64,66,68,70,72,74,76,78,80,85,90,95,100})</f>
        <v>30</v>
      </c>
      <c r="T347" s="5"/>
      <c r="U347" s="5"/>
      <c r="V347" s="5">
        <f t="shared" si="161"/>
        <v>30</v>
      </c>
      <c r="W347" s="5"/>
      <c r="X347" s="13">
        <f t="shared" si="162"/>
        <v>37.6</v>
      </c>
      <c r="Y347" s="13">
        <f t="shared" si="163"/>
        <v>53.7142857142857</v>
      </c>
      <c r="Z347" s="19"/>
    </row>
    <row r="348" ht="15.6" hidden="1" outlineLevel="2" spans="1:26">
      <c r="A348" s="5">
        <v>311</v>
      </c>
      <c r="B348" s="5">
        <v>22</v>
      </c>
      <c r="C348" s="9" t="s">
        <v>536</v>
      </c>
      <c r="D348" s="9" t="s">
        <v>12</v>
      </c>
      <c r="E348" s="5">
        <v>7</v>
      </c>
      <c r="F348" s="7">
        <f>LOOKUP(E348,{0,-1.8,-0.8,0.2,1.2,2.2,3.2,4.6,6,7.4,8.8,10.2,11.6,13,14.4,15.8,17.2,19.1,21,22.8,24.6},{0,10,20,30,40,50,60,62,64,66,68,70,72,74,76,78,80,85,90,95,100})</f>
        <v>64</v>
      </c>
      <c r="G348" s="5">
        <v>242</v>
      </c>
      <c r="H348" s="7">
        <f>LOOKUP(G348,{0,180,185,190,195,200,205,209,213,217,221,225,229,233,237,241,245,253,260,265,270},{0,10,20,30,40,50,60,62,64,66,68,70,72,74,76,78,80,85,90,95,100})</f>
        <v>78</v>
      </c>
      <c r="I348" s="5">
        <v>2</v>
      </c>
      <c r="J348" s="7">
        <f>LOOKUP(I348,{0,4,5,6,7,8,9,10,11,12,13,14,15,16,17,18},{0,10,20,30,40,50,60,64,68,72,76,80,85,90,95,100})</f>
        <v>0</v>
      </c>
      <c r="K348" s="5"/>
      <c r="L348" s="5"/>
      <c r="M348" s="5">
        <f t="shared" si="158"/>
        <v>0</v>
      </c>
      <c r="N348" s="5">
        <v>7.4</v>
      </c>
      <c r="O348" s="10">
        <f t="shared" si="159"/>
        <v>10.6</v>
      </c>
      <c r="P348" s="7">
        <f>LOOKUP(O348,{0,7.8,8,8.2,8.4,8.6,8.8,9,9.2,9.4,9.6,9.8,10,10.2,10.4,10.6,10.8,10.9,11,11.1,11.2},{0,10,20,30,40,50,60,62,64,66,68,70,72,74,76,78,80,85,90,95,100})</f>
        <v>78</v>
      </c>
      <c r="Q348" s="5">
        <v>5.3</v>
      </c>
      <c r="R348" s="10">
        <f t="shared" si="160"/>
        <v>4.7</v>
      </c>
      <c r="S348" s="7">
        <f>LOOKUP(R348,{0,3.85,4.45,4.65,4.85,5.45,5.65,5.7,5.75,5.8,5.85,5.9,5.95,6,6.45,6.5,6.55,6.63,6.7,6.75,6.8},{0,10,20,30,40,50,60,62,64,66,68,70,72,74,76,78,80,85,90,95,100})</f>
        <v>30</v>
      </c>
      <c r="T348" s="5"/>
      <c r="U348" s="5"/>
      <c r="V348" s="5">
        <f t="shared" si="161"/>
        <v>30</v>
      </c>
      <c r="W348" s="5"/>
      <c r="X348" s="13">
        <f t="shared" si="162"/>
        <v>35.8</v>
      </c>
      <c r="Y348" s="13">
        <f t="shared" si="163"/>
        <v>51.1428571428572</v>
      </c>
      <c r="Z348" s="19"/>
    </row>
    <row r="349" ht="15.6" hidden="1" outlineLevel="2" spans="1:26">
      <c r="A349" s="5">
        <v>311</v>
      </c>
      <c r="B349" s="5">
        <v>23</v>
      </c>
      <c r="C349" s="9" t="s">
        <v>537</v>
      </c>
      <c r="D349" s="9" t="s">
        <v>12</v>
      </c>
      <c r="E349" s="5">
        <v>5.5</v>
      </c>
      <c r="F349" s="7">
        <f>LOOKUP(E349,{0,-1.8,-0.8,0.2,1.2,2.2,3.2,4.6,6,7.4,8.8,10.2,11.6,13,14.4,15.8,17.2,19.1,21,22.8,24.6},{0,10,20,30,40,50,60,62,64,66,68,70,72,74,76,78,80,85,90,95,100})</f>
        <v>62</v>
      </c>
      <c r="G349" s="5">
        <v>238</v>
      </c>
      <c r="H349" s="7">
        <f>LOOKUP(G349,{0,180,185,190,195,200,205,209,213,217,221,225,229,233,237,241,245,253,260,265,270},{0,10,20,30,40,50,60,62,64,66,68,70,72,74,76,78,80,85,90,95,100})</f>
        <v>76</v>
      </c>
      <c r="I349" s="5">
        <v>1</v>
      </c>
      <c r="J349" s="7">
        <f>LOOKUP(I349,{0,4,5,6,7,8,9,10,11,12,13,14,15,16,17,18},{0,10,20,30,40,50,60,64,68,72,76,80,85,90,95,100})</f>
        <v>0</v>
      </c>
      <c r="K349" s="5"/>
      <c r="L349" s="5"/>
      <c r="M349" s="5">
        <f t="shared" si="158"/>
        <v>0</v>
      </c>
      <c r="N349" s="5">
        <v>7.5</v>
      </c>
      <c r="O349" s="10">
        <f t="shared" si="159"/>
        <v>10.5</v>
      </c>
      <c r="P349" s="7">
        <f>LOOKUP(O349,{0,7.8,8,8.2,8.4,8.6,8.8,9,9.2,9.4,9.6,9.8,10,10.2,10.4,10.6,10.8,10.9,11,11.1,11.2},{0,10,20,30,40,50,60,62,64,66,68,70,72,74,76,78,80,85,90,95,100})</f>
        <v>76</v>
      </c>
      <c r="Q349" s="5">
        <v>4.33</v>
      </c>
      <c r="R349" s="10">
        <f t="shared" si="160"/>
        <v>5.67</v>
      </c>
      <c r="S349" s="7">
        <f>LOOKUP(R349,{0,3.85,4.45,4.65,4.85,5.45,5.65,5.7,5.75,5.8,5.85,5.9,5.95,6,6.45,6.5,6.55,6.63,6.7,6.75,6.8},{0,10,20,30,40,50,60,62,64,66,68,70,72,74,76,78,80,85,90,95,100})</f>
        <v>60</v>
      </c>
      <c r="T349" s="5"/>
      <c r="U349" s="5"/>
      <c r="V349" s="5">
        <f t="shared" si="161"/>
        <v>60</v>
      </c>
      <c r="W349" s="5"/>
      <c r="X349" s="13">
        <f t="shared" si="162"/>
        <v>41</v>
      </c>
      <c r="Y349" s="13">
        <f t="shared" si="163"/>
        <v>58.5714285714286</v>
      </c>
      <c r="Z349" s="19"/>
    </row>
    <row r="350" ht="15.6" hidden="1" outlineLevel="2" spans="1:26">
      <c r="A350" s="5">
        <v>311</v>
      </c>
      <c r="B350" s="5">
        <v>24</v>
      </c>
      <c r="C350" s="9" t="s">
        <v>538</v>
      </c>
      <c r="D350" s="9" t="s">
        <v>12</v>
      </c>
      <c r="E350" s="5">
        <v>11</v>
      </c>
      <c r="F350" s="7">
        <f>LOOKUP(E350,{0,-1.8,-0.8,0.2,1.2,2.2,3.2,4.6,6,7.4,8.8,10.2,11.6,13,14.4,15.8,17.2,19.1,21,22.8,24.6},{0,10,20,30,40,50,60,62,64,66,68,70,72,74,76,78,80,85,90,95,100})</f>
        <v>70</v>
      </c>
      <c r="G350" s="5">
        <v>228</v>
      </c>
      <c r="H350" s="7">
        <f>LOOKUP(G350,{0,180,185,190,195,200,205,209,213,217,221,225,229,233,237,241,245,253,260,265,270},{0,10,20,30,40,50,60,62,64,66,68,70,72,74,76,78,80,85,90,95,100})</f>
        <v>70</v>
      </c>
      <c r="I350" s="5">
        <v>15</v>
      </c>
      <c r="J350" s="7">
        <f>LOOKUP(I350,{0,4,5,6,7,8,9,10,11,12,13,14,15,16,17,18},{0,10,20,30,40,50,60,64,68,72,76,80,85,90,95,100})</f>
        <v>85</v>
      </c>
      <c r="K350" s="5"/>
      <c r="L350" s="5"/>
      <c r="M350" s="5">
        <f t="shared" si="158"/>
        <v>85</v>
      </c>
      <c r="N350" s="5">
        <v>7.4</v>
      </c>
      <c r="O350" s="10">
        <f t="shared" si="159"/>
        <v>10.6</v>
      </c>
      <c r="P350" s="7">
        <f>LOOKUP(O350,{0,7.8,8,8.2,8.4,8.6,8.8,9,9.2,9.4,9.6,9.8,10,10.2,10.4,10.6,10.8,10.9,11,11.1,11.2},{0,10,20,30,40,50,60,62,64,66,68,70,72,74,76,78,80,85,90,95,100})</f>
        <v>78</v>
      </c>
      <c r="Q350" s="5">
        <v>4.18</v>
      </c>
      <c r="R350" s="10">
        <f t="shared" si="160"/>
        <v>5.82</v>
      </c>
      <c r="S350" s="7">
        <f>LOOKUP(R350,{0,3.85,4.45,4.65,4.85,5.45,5.65,5.7,5.75,5.8,5.85,5.9,5.95,6,6.45,6.5,6.55,6.63,6.7,6.75,6.8},{0,10,20,30,40,50,60,62,64,66,68,70,72,74,76,78,80,85,90,95,100})</f>
        <v>66</v>
      </c>
      <c r="T350" s="5"/>
      <c r="U350" s="5"/>
      <c r="V350" s="5">
        <f t="shared" si="161"/>
        <v>66</v>
      </c>
      <c r="W350" s="5"/>
      <c r="X350" s="13">
        <f t="shared" si="162"/>
        <v>51.3</v>
      </c>
      <c r="Y350" s="13">
        <f t="shared" si="163"/>
        <v>73.2857142857143</v>
      </c>
      <c r="Z350" s="19"/>
    </row>
    <row r="351" ht="15.6" hidden="1" outlineLevel="2" spans="1:26">
      <c r="A351" s="5">
        <v>311</v>
      </c>
      <c r="B351" s="5">
        <v>25</v>
      </c>
      <c r="C351" s="8" t="s">
        <v>540</v>
      </c>
      <c r="D351" s="9" t="s">
        <v>12</v>
      </c>
      <c r="E351" s="5">
        <v>9.5</v>
      </c>
      <c r="F351" s="7">
        <f>LOOKUP(E351,{0,-1.8,-0.8,0.2,1.2,2.2,3.2,4.6,6,7.4,8.8,10.2,11.6,13,14.4,15.8,17.2,19.1,21,22.8,24.6},{0,10,20,30,40,50,60,62,64,66,68,70,72,74,76,78,80,85,90,95,100})</f>
        <v>68</v>
      </c>
      <c r="G351" s="5">
        <v>210</v>
      </c>
      <c r="H351" s="7">
        <f>LOOKUP(G351,{0,180,185,190,195,200,205,209,213,217,221,225,229,233,237,241,245,253,260,265,270},{0,10,20,30,40,50,60,62,64,66,68,70,72,74,76,78,80,85,90,95,100})</f>
        <v>62</v>
      </c>
      <c r="I351" s="5">
        <v>1</v>
      </c>
      <c r="J351" s="7">
        <f>LOOKUP(I351,{0,4,5,6,7,8,9,10,11,12,13,14,15,16,17,18},{0,10,20,30,40,50,60,64,68,72,76,80,85,90,95,100})</f>
        <v>0</v>
      </c>
      <c r="K351" s="5"/>
      <c r="L351" s="5"/>
      <c r="M351" s="5">
        <f t="shared" si="158"/>
        <v>0</v>
      </c>
      <c r="N351" s="5">
        <v>7.8</v>
      </c>
      <c r="O351" s="10">
        <f t="shared" si="159"/>
        <v>10.2</v>
      </c>
      <c r="P351" s="7">
        <f>LOOKUP(O351,{0,7.8,8,8.2,8.4,8.6,8.8,9,9.2,9.4,9.6,9.8,10,10.2,10.4,10.6,10.8,10.9,11,11.1,11.2},{0,10,20,30,40,50,60,62,64,66,68,70,72,74,76,78,80,85,90,95,100})</f>
        <v>74</v>
      </c>
      <c r="Q351" s="5">
        <v>5.27</v>
      </c>
      <c r="R351" s="10">
        <f t="shared" si="160"/>
        <v>4.73</v>
      </c>
      <c r="S351" s="7">
        <f>LOOKUP(R351,{0,3.85,4.45,4.65,4.85,5.45,5.65,5.7,5.75,5.8,5.85,5.9,5.95,6,6.45,6.5,6.55,6.63,6.7,6.75,6.8},{0,10,20,30,40,50,60,62,64,66,68,70,72,74,76,78,80,85,90,95,100})</f>
        <v>30</v>
      </c>
      <c r="T351" s="5"/>
      <c r="U351" s="5"/>
      <c r="V351" s="5">
        <f t="shared" si="161"/>
        <v>30</v>
      </c>
      <c r="W351" s="5"/>
      <c r="X351" s="13">
        <f t="shared" si="162"/>
        <v>33.8</v>
      </c>
      <c r="Y351" s="13">
        <f t="shared" si="163"/>
        <v>48.2857142857143</v>
      </c>
      <c r="Z351" s="19"/>
    </row>
    <row r="352" ht="15.6" hidden="1" outlineLevel="2" spans="1:26">
      <c r="A352" s="5">
        <v>311</v>
      </c>
      <c r="B352" s="5">
        <v>26</v>
      </c>
      <c r="C352" s="9" t="s">
        <v>541</v>
      </c>
      <c r="D352" s="9" t="s">
        <v>12</v>
      </c>
      <c r="E352" s="5">
        <v>20.5</v>
      </c>
      <c r="F352" s="7">
        <f>LOOKUP(E352,{0,-1.8,-0.8,0.2,1.2,2.2,3.2,4.6,6,7.4,8.8,10.2,11.6,13,14.4,15.8,17.2,19.1,21,22.8,24.6},{0,10,20,30,40,50,60,62,64,66,68,70,72,74,76,78,80,85,90,95,100})</f>
        <v>85</v>
      </c>
      <c r="G352" s="5">
        <v>225</v>
      </c>
      <c r="H352" s="7">
        <f>LOOKUP(G352,{0,180,185,190,195,200,205,209,213,217,221,225,229,233,237,241,245,253,260,265,270},{0,10,20,30,40,50,60,62,64,66,68,70,72,74,76,78,80,85,90,95,100})</f>
        <v>70</v>
      </c>
      <c r="I352" s="5">
        <v>12</v>
      </c>
      <c r="J352" s="7">
        <f>LOOKUP(I352,{0,4,5,6,7,8,9,10,11,12,13,14,15,16,17,18},{0,10,20,30,40,50,60,64,68,72,76,80,85,90,95,100})</f>
        <v>72</v>
      </c>
      <c r="K352" s="5"/>
      <c r="L352" s="16"/>
      <c r="M352" s="5">
        <f t="shared" si="158"/>
        <v>72</v>
      </c>
      <c r="N352" s="5">
        <v>7.5</v>
      </c>
      <c r="O352" s="10">
        <f t="shared" si="159"/>
        <v>10.5</v>
      </c>
      <c r="P352" s="7">
        <f>LOOKUP(O352,{0,7.8,8,8.2,8.4,8.6,8.8,9,9.2,9.4,9.6,9.8,10,10.2,10.4,10.6,10.8,10.9,11,11.1,11.2},{0,10,20,30,40,50,60,62,64,66,68,70,72,74,76,78,80,85,90,95,100})</f>
        <v>76</v>
      </c>
      <c r="Q352" s="5">
        <v>5.19</v>
      </c>
      <c r="R352" s="10">
        <f t="shared" si="160"/>
        <v>4.81</v>
      </c>
      <c r="S352" s="7">
        <f>LOOKUP(R352,{0,3.85,4.45,4.65,4.85,5.45,5.65,5.7,5.75,5.8,5.85,5.9,5.95,6,6.45,6.5,6.55,6.63,6.7,6.75,6.8},{0,10,20,30,40,50,60,62,64,66,68,70,72,74,76,78,80,85,90,95,100})</f>
        <v>30</v>
      </c>
      <c r="T352" s="5"/>
      <c r="U352" s="5"/>
      <c r="V352" s="5">
        <f t="shared" si="161"/>
        <v>30</v>
      </c>
      <c r="W352" s="5"/>
      <c r="X352" s="13">
        <f t="shared" si="162"/>
        <v>43.9</v>
      </c>
      <c r="Y352" s="13">
        <f t="shared" si="163"/>
        <v>62.7142857142857</v>
      </c>
      <c r="Z352" s="19"/>
    </row>
    <row r="353" ht="15.6" hidden="1" outlineLevel="2" spans="1:26">
      <c r="A353" s="5">
        <v>311</v>
      </c>
      <c r="B353" s="5">
        <v>27</v>
      </c>
      <c r="C353" s="9" t="s">
        <v>542</v>
      </c>
      <c r="D353" s="9" t="s">
        <v>12</v>
      </c>
      <c r="E353" s="5">
        <v>15</v>
      </c>
      <c r="F353" s="7">
        <f>LOOKUP(E353,{0,-1.8,-0.8,0.2,1.2,2.2,3.2,4.6,6,7.4,8.8,10.2,11.6,13,14.4,15.8,17.2,19.1,21,22.8,24.6},{0,10,20,30,40,50,60,62,64,66,68,70,72,74,76,78,80,85,90,95,100})</f>
        <v>76</v>
      </c>
      <c r="G353" s="5">
        <v>235</v>
      </c>
      <c r="H353" s="7">
        <f>LOOKUP(G353,{0,180,185,190,195,200,205,209,213,217,221,225,229,233,237,241,245,253,260,265,270},{0,10,20,30,40,50,60,62,64,66,68,70,72,74,76,78,80,85,90,95,100})</f>
        <v>74</v>
      </c>
      <c r="I353" s="5">
        <v>16</v>
      </c>
      <c r="J353" s="7">
        <f>LOOKUP(I353,{0,4,5,6,7,8,9,10,11,12,13,14,15,16,17,18},{0,10,20,30,40,50,60,64,68,72,76,80,85,90,95,100})</f>
        <v>90</v>
      </c>
      <c r="K353" s="5"/>
      <c r="L353" s="16"/>
      <c r="M353" s="5">
        <f t="shared" si="158"/>
        <v>90</v>
      </c>
      <c r="N353" s="5">
        <v>7</v>
      </c>
      <c r="O353" s="10">
        <f t="shared" si="159"/>
        <v>11</v>
      </c>
      <c r="P353" s="7">
        <f>LOOKUP(O353,{0,7.8,8,8.2,8.4,8.6,8.8,9,9.2,9.4,9.6,9.8,10,10.2,10.4,10.6,10.8,10.9,11,11.1,11.2},{0,10,20,30,40,50,60,62,64,66,68,70,72,74,76,78,80,85,90,95,100})</f>
        <v>90</v>
      </c>
      <c r="Q353" s="5">
        <v>4.04</v>
      </c>
      <c r="R353" s="10">
        <f t="shared" si="160"/>
        <v>5.96</v>
      </c>
      <c r="S353" s="7">
        <f>LOOKUP(R353,{0,3.85,4.45,4.65,4.85,5.45,5.65,5.7,5.75,5.8,5.85,5.9,5.95,6,6.45,6.5,6.55,6.63,6.7,6.75,6.8},{0,10,20,30,40,50,60,62,64,66,68,70,72,74,76,78,80,85,90,95,100})</f>
        <v>72</v>
      </c>
      <c r="T353" s="5"/>
      <c r="U353" s="5"/>
      <c r="V353" s="5">
        <f t="shared" si="161"/>
        <v>72</v>
      </c>
      <c r="W353" s="5"/>
      <c r="X353" s="13">
        <f t="shared" si="162"/>
        <v>56.4</v>
      </c>
      <c r="Y353" s="13">
        <f t="shared" si="163"/>
        <v>80.5714285714286</v>
      </c>
      <c r="Z353" s="19"/>
    </row>
    <row r="354" ht="15.6" hidden="1" outlineLevel="2" spans="1:26">
      <c r="A354" s="5">
        <v>311</v>
      </c>
      <c r="B354" s="5">
        <v>28</v>
      </c>
      <c r="C354" s="9" t="s">
        <v>543</v>
      </c>
      <c r="D354" s="9" t="s">
        <v>12</v>
      </c>
      <c r="E354" s="5">
        <v>15.5</v>
      </c>
      <c r="F354" s="7">
        <f>LOOKUP(E354,{0,-1.8,-0.8,0.2,1.2,2.2,3.2,4.6,6,7.4,8.8,10.2,11.6,13,14.4,15.8,17.2,19.1,21,22.8,24.6},{0,10,20,30,40,50,60,62,64,66,68,70,72,74,76,78,80,85,90,95,100})</f>
        <v>76</v>
      </c>
      <c r="G354" s="5">
        <v>215</v>
      </c>
      <c r="H354" s="7">
        <f>LOOKUP(G354,{0,180,185,190,195,200,205,209,213,217,221,225,229,233,237,241,245,253,260,265,270},{0,10,20,30,40,50,60,62,64,66,68,70,72,74,76,78,80,85,90,95,100})</f>
        <v>64</v>
      </c>
      <c r="I354" s="5">
        <v>0</v>
      </c>
      <c r="J354" s="7">
        <f>LOOKUP(I354,{0,4,5,6,7,8,9,10,11,12,13,14,15,16,17,18},{0,10,20,30,40,50,60,64,68,72,76,80,85,90,95,100})</f>
        <v>0</v>
      </c>
      <c r="K354" s="5"/>
      <c r="L354" s="5"/>
      <c r="M354" s="5">
        <f t="shared" si="158"/>
        <v>0</v>
      </c>
      <c r="N354" s="5">
        <v>7.9</v>
      </c>
      <c r="O354" s="10">
        <f t="shared" si="159"/>
        <v>10.1</v>
      </c>
      <c r="P354" s="7">
        <f>LOOKUP(O354,{0,7.8,8,8.2,8.4,8.6,8.8,9,9.2,9.4,9.6,9.8,10,10.2,10.4,10.6,10.8,10.9,11,11.1,11.2},{0,10,20,30,40,50,60,62,64,66,68,70,72,74,76,78,80,85,90,95,100})</f>
        <v>72</v>
      </c>
      <c r="Q354" s="5">
        <v>4.29</v>
      </c>
      <c r="R354" s="10">
        <f t="shared" si="160"/>
        <v>5.71</v>
      </c>
      <c r="S354" s="7">
        <f>LOOKUP(R354,{0,3.85,4.45,4.65,4.85,5.45,5.65,5.7,5.75,5.8,5.85,5.9,5.95,6,6.45,6.5,6.55,6.63,6.7,6.75,6.8},{0,10,20,30,40,50,60,62,64,66,68,70,72,74,76,78,80,85,90,95,100})</f>
        <v>62</v>
      </c>
      <c r="T354" s="5"/>
      <c r="U354" s="5"/>
      <c r="V354" s="5">
        <f t="shared" si="161"/>
        <v>62</v>
      </c>
      <c r="W354" s="5"/>
      <c r="X354" s="13">
        <f t="shared" si="162"/>
        <v>40.8</v>
      </c>
      <c r="Y354" s="13">
        <f t="shared" si="163"/>
        <v>58.2857142857143</v>
      </c>
      <c r="Z354" s="19"/>
    </row>
    <row r="355" ht="15.6" hidden="1" outlineLevel="2" spans="1:26">
      <c r="A355" s="5">
        <v>311</v>
      </c>
      <c r="B355" s="5">
        <v>29</v>
      </c>
      <c r="C355" s="5" t="s">
        <v>544</v>
      </c>
      <c r="D355" s="21" t="s">
        <v>12</v>
      </c>
      <c r="E355" s="5">
        <v>11</v>
      </c>
      <c r="F355" s="7">
        <f>LOOKUP(E355,{0,-1.8,-0.8,0.2,1.2,2.2,3.2,4.6,6,7.4,8.8,10.2,11.6,13,14.4,15.8,17.2,19.1,21,22.8,24.6},{0,10,20,30,40,50,60,62,64,66,68,70,72,74,76,78,80,85,90,95,100})</f>
        <v>70</v>
      </c>
      <c r="G355" s="5">
        <v>230</v>
      </c>
      <c r="H355" s="7">
        <f>LOOKUP(G355,{0,180,185,190,195,200,205,209,213,217,221,225,229,233,237,241,245,253,260,265,270},{0,10,20,30,40,50,60,62,64,66,68,70,72,74,76,78,80,85,90,95,100})</f>
        <v>72</v>
      </c>
      <c r="I355" s="5">
        <v>27</v>
      </c>
      <c r="J355" s="7">
        <f>LOOKUP(I355,{0,4,5,6,7,8,9,10,11,12,13,14,15,16,17,18},{0,10,20,30,40,50,60,64,68,72,76,80,85,90,95,100})</f>
        <v>100</v>
      </c>
      <c r="K355" s="5">
        <f t="shared" ref="K355:K360" si="164">I355-18</f>
        <v>9</v>
      </c>
      <c r="L355" s="7">
        <f>LOOKUP(K355,{0,1,2,3,4,5,6,7,8,9,10},{0,1,2,3,4,5,6,7,8,9,10})</f>
        <v>9</v>
      </c>
      <c r="M355" s="5">
        <f t="shared" si="158"/>
        <v>109</v>
      </c>
      <c r="N355" s="5">
        <v>7.1</v>
      </c>
      <c r="O355" s="10">
        <f t="shared" si="159"/>
        <v>10.9</v>
      </c>
      <c r="P355" s="7">
        <f>LOOKUP(O355,{0,7.8,8,8.2,8.4,8.6,8.8,9,9.2,9.4,9.6,9.8,10,10.2,10.4,10.6,10.8,10.9,11,11.1,11.2},{0,10,20,30,40,50,60,62,64,66,68,70,72,74,76,78,80,85,90,95,100})</f>
        <v>85</v>
      </c>
      <c r="Q355" s="5">
        <v>3.44</v>
      </c>
      <c r="R355" s="10">
        <f t="shared" si="160"/>
        <v>6.56</v>
      </c>
      <c r="S355" s="7">
        <f>LOOKUP(R355,{0,3.85,4.45,4.65,4.85,5.45,5.65,5.7,5.75,5.8,5.85,5.9,5.95,6,6.45,6.5,6.55,6.63,6.7,6.75,6.8},{0,10,20,30,40,50,60,62,64,66,68,70,72,74,76,78,80,85,90,95,100})</f>
        <v>80</v>
      </c>
      <c r="T355" s="5"/>
      <c r="U355" s="5"/>
      <c r="V355" s="5">
        <f t="shared" si="161"/>
        <v>80</v>
      </c>
      <c r="W355" s="5"/>
      <c r="X355" s="13">
        <f t="shared" si="162"/>
        <v>57.2</v>
      </c>
      <c r="Y355" s="13">
        <f t="shared" si="163"/>
        <v>90.7142857142857</v>
      </c>
      <c r="Z355" s="19"/>
    </row>
    <row r="356" ht="15.6" hidden="1" outlineLevel="2" spans="1:26">
      <c r="A356" s="5">
        <v>311</v>
      </c>
      <c r="B356" s="5">
        <v>30</v>
      </c>
      <c r="C356" s="5" t="s">
        <v>545</v>
      </c>
      <c r="D356" s="5" t="s">
        <v>12</v>
      </c>
      <c r="E356" s="5">
        <v>30.5</v>
      </c>
      <c r="F356" s="7">
        <f>LOOKUP(E356,{0,-1.8,-0.8,0.2,1.2,2.2,3.2,4.6,6,7.4,8.8,10.2,11.6,13,14.4,15.8,17.2,19.1,21,22.8,24.6},{0,10,20,30,40,50,60,62,64,66,68,70,72,74,76,78,80,85,90,95,100})</f>
        <v>100</v>
      </c>
      <c r="G356" s="5">
        <v>215</v>
      </c>
      <c r="H356" s="7">
        <f>LOOKUP(G356,{0,180,185,190,195,200,205,209,213,217,221,225,229,233,237,241,245,253,260,265,270},{0,10,20,30,40,50,60,62,64,66,68,70,72,74,76,78,80,85,90,95,100})</f>
        <v>64</v>
      </c>
      <c r="I356" s="5">
        <v>20</v>
      </c>
      <c r="J356" s="7">
        <f>LOOKUP(I356,{0,4,5,6,7,8,9,10,11,12,13,14,15,16,17,18},{0,10,20,30,40,50,60,64,68,72,76,80,85,90,95,100})</f>
        <v>100</v>
      </c>
      <c r="K356" s="5">
        <f t="shared" si="164"/>
        <v>2</v>
      </c>
      <c r="L356" s="7">
        <f>LOOKUP(K356,{0,1,2,3,4,5,6,7,8,9,10},{0,1,2,3,4,5,6,7,8,9,10})</f>
        <v>2</v>
      </c>
      <c r="M356" s="5">
        <f t="shared" si="158"/>
        <v>102</v>
      </c>
      <c r="N356" s="5">
        <v>7.6</v>
      </c>
      <c r="O356" s="10">
        <f t="shared" si="159"/>
        <v>10.4</v>
      </c>
      <c r="P356" s="7">
        <f>LOOKUP(O356,{0,7.8,8,8.2,8.4,8.6,8.8,9,9.2,9.4,9.6,9.8,10,10.2,10.4,10.6,10.8,10.9,11,11.1,11.2},{0,10,20,30,40,50,60,62,64,66,68,70,72,74,76,78,80,85,90,95,100})</f>
        <v>76</v>
      </c>
      <c r="Q356" s="5">
        <v>3.45</v>
      </c>
      <c r="R356" s="10">
        <f t="shared" si="160"/>
        <v>6.55</v>
      </c>
      <c r="S356" s="7">
        <f>LOOKUP(R356,{0,3.85,4.45,4.65,4.85,5.45,5.65,5.7,5.75,5.8,5.85,5.9,5.95,6,6.45,6.5,6.55,6.63,6.7,6.75,6.8},{0,10,20,30,40,50,60,62,64,66,68,70,72,74,76,78,80,85,90,95,100})</f>
        <v>80</v>
      </c>
      <c r="T356" s="5"/>
      <c r="U356" s="5"/>
      <c r="V356" s="5">
        <f t="shared" si="161"/>
        <v>80</v>
      </c>
      <c r="W356" s="5"/>
      <c r="X356" s="13">
        <f t="shared" si="162"/>
        <v>57.6</v>
      </c>
      <c r="Y356" s="13">
        <f t="shared" si="163"/>
        <v>84.2857142857143</v>
      </c>
      <c r="Z356" s="19"/>
    </row>
    <row r="357" ht="15.6" hidden="1" outlineLevel="2" spans="1:26">
      <c r="A357" s="5">
        <v>311</v>
      </c>
      <c r="B357" s="5">
        <v>31</v>
      </c>
      <c r="C357" s="9" t="s">
        <v>546</v>
      </c>
      <c r="D357" s="9" t="s">
        <v>12</v>
      </c>
      <c r="E357" s="5">
        <v>0</v>
      </c>
      <c r="F357" s="7">
        <f>LOOKUP(E357,{0,-1.8,-0.8,0.2,1.2,2.2,3.2,4.6,6,7.4,8.8,10.2,11.6,13,14.4,15.8,17.2,19.1,21,22.8,24.6},{0,10,20,30,40,50,60,62,64,66,68,70,72,74,76,78,80,85,90,95,100})</f>
        <v>20</v>
      </c>
      <c r="G357" s="5">
        <v>225</v>
      </c>
      <c r="H357" s="7">
        <f>LOOKUP(G357,{0,180,185,190,195,200,205,209,213,217,221,225,229,233,237,241,245,253,260,265,270},{0,10,20,30,40,50,60,62,64,66,68,70,72,74,76,78,80,85,90,95,100})</f>
        <v>70</v>
      </c>
      <c r="I357" s="5">
        <v>0</v>
      </c>
      <c r="J357" s="7">
        <f>LOOKUP(I357,{0,4,5,6,7,8,9,10,11,12,13,14,15,16,17,18},{0,10,20,30,40,50,60,64,68,72,76,80,85,90,95,100})</f>
        <v>0</v>
      </c>
      <c r="K357" s="5"/>
      <c r="L357" s="5"/>
      <c r="M357" s="5">
        <f t="shared" si="158"/>
        <v>0</v>
      </c>
      <c r="N357" s="5">
        <v>7.4</v>
      </c>
      <c r="O357" s="10">
        <f t="shared" si="159"/>
        <v>10.6</v>
      </c>
      <c r="P357" s="7">
        <f>LOOKUP(O357,{0,7.8,8,8.2,8.4,8.6,8.8,9,9.2,9.4,9.6,9.8,10,10.2,10.4,10.6,10.8,10.9,11,11.1,11.2},{0,10,20,30,40,50,60,62,64,66,68,70,72,74,76,78,80,85,90,95,100})</f>
        <v>78</v>
      </c>
      <c r="Q357" s="5">
        <v>5.27</v>
      </c>
      <c r="R357" s="10">
        <f t="shared" si="160"/>
        <v>4.73</v>
      </c>
      <c r="S357" s="7">
        <f>LOOKUP(R357,{0,3.85,4.45,4.65,4.85,5.45,5.65,5.7,5.75,5.8,5.85,5.9,5.95,6,6.45,6.5,6.55,6.63,6.7,6.75,6.8},{0,10,20,30,40,50,60,62,64,66,68,70,72,74,76,78,80,85,90,95,100})</f>
        <v>30</v>
      </c>
      <c r="T357" s="5"/>
      <c r="U357" s="5"/>
      <c r="V357" s="5">
        <f t="shared" si="161"/>
        <v>30</v>
      </c>
      <c r="W357" s="5"/>
      <c r="X357" s="13">
        <f t="shared" si="162"/>
        <v>30.6</v>
      </c>
      <c r="Y357" s="13">
        <f t="shared" si="163"/>
        <v>43.7142857142857</v>
      </c>
      <c r="Z357" s="19"/>
    </row>
    <row r="358" ht="15.6" hidden="1" outlineLevel="2" spans="1:26">
      <c r="A358" s="5">
        <v>311</v>
      </c>
      <c r="B358" s="5">
        <v>32</v>
      </c>
      <c r="C358" s="9" t="s">
        <v>547</v>
      </c>
      <c r="D358" s="9" t="s">
        <v>12</v>
      </c>
      <c r="E358" s="5">
        <v>11.5</v>
      </c>
      <c r="F358" s="7">
        <f>LOOKUP(E358,{0,-1.8,-0.8,0.2,1.2,2.2,3.2,4.6,6,7.4,8.8,10.2,11.6,13,14.4,15.8,17.2,19.1,21,22.8,24.6},{0,10,20,30,40,50,60,62,64,66,68,70,72,74,76,78,80,85,90,95,100})</f>
        <v>70</v>
      </c>
      <c r="G358" s="5">
        <v>210</v>
      </c>
      <c r="H358" s="7">
        <f>LOOKUP(G358,{0,180,185,190,195,200,205,209,213,217,221,225,229,233,237,241,245,253,260,265,270},{0,10,20,30,40,50,60,62,64,66,68,70,72,74,76,78,80,85,90,95,100})</f>
        <v>62</v>
      </c>
      <c r="I358" s="5">
        <v>0</v>
      </c>
      <c r="J358" s="7">
        <f>LOOKUP(I358,{0,4,5,6,7,8,9,10,11,12,13,14,15,16,17,18},{0,10,20,30,40,50,60,64,68,72,76,80,85,90,95,100})</f>
        <v>0</v>
      </c>
      <c r="K358" s="5"/>
      <c r="L358" s="5"/>
      <c r="M358" s="5">
        <f t="shared" si="158"/>
        <v>0</v>
      </c>
      <c r="N358" s="5">
        <v>8.5</v>
      </c>
      <c r="O358" s="10">
        <f t="shared" si="159"/>
        <v>9.5</v>
      </c>
      <c r="P358" s="7">
        <f>LOOKUP(O358,{0,7.8,8,8.2,8.4,8.6,8.8,9,9.2,9.4,9.6,9.8,10,10.2,10.4,10.6,10.8,10.9,11,11.1,11.2},{0,10,20,30,40,50,60,62,64,66,68,70,72,74,76,78,80,85,90,95,100})</f>
        <v>66</v>
      </c>
      <c r="Q358" s="5">
        <v>4.37</v>
      </c>
      <c r="R358" s="10">
        <f t="shared" si="160"/>
        <v>5.63</v>
      </c>
      <c r="S358" s="7">
        <f>LOOKUP(R358,{0,3.85,4.45,4.65,4.85,5.45,5.65,5.7,5.75,5.8,5.85,5.9,5.95,6,6.45,6.5,6.55,6.63,6.7,6.75,6.8},{0,10,20,30,40,50,60,62,64,66,68,70,72,74,76,78,80,85,90,95,100})</f>
        <v>50</v>
      </c>
      <c r="T358" s="5"/>
      <c r="U358" s="5"/>
      <c r="V358" s="5">
        <f t="shared" si="161"/>
        <v>50</v>
      </c>
      <c r="W358" s="5"/>
      <c r="X358" s="13">
        <f t="shared" si="162"/>
        <v>36.4</v>
      </c>
      <c r="Y358" s="13">
        <f t="shared" si="163"/>
        <v>52</v>
      </c>
      <c r="Z358" s="19"/>
    </row>
    <row r="359" ht="15.6" hidden="1" outlineLevel="2" spans="1:26">
      <c r="A359" s="5">
        <v>311</v>
      </c>
      <c r="B359" s="5">
        <v>33</v>
      </c>
      <c r="C359" s="5" t="s">
        <v>548</v>
      </c>
      <c r="D359" s="5" t="s">
        <v>12</v>
      </c>
      <c r="E359" s="5">
        <v>7.5</v>
      </c>
      <c r="F359" s="7">
        <f>LOOKUP(E359,{0,-1.8,-0.8,0.2,1.2,2.2,3.2,4.6,6,7.4,8.8,10.2,11.6,13,14.4,15.8,17.2,19.1,21,22.8,24.6},{0,10,20,30,40,50,60,62,64,66,68,70,72,74,76,78,80,85,90,95,100})</f>
        <v>66</v>
      </c>
      <c r="G359" s="5">
        <v>270</v>
      </c>
      <c r="H359" s="7">
        <f>LOOKUP(G359,{0,180,185,190,195,200,205,209,213,217,221,225,229,233,237,241,245,253,260,265,270},{0,10,20,30,40,50,60,62,64,66,68,70,72,74,76,78,80,85,90,95,100})</f>
        <v>100</v>
      </c>
      <c r="I359" s="5">
        <v>28</v>
      </c>
      <c r="J359" s="7">
        <f>LOOKUP(I359,{0,4,5,6,7,8,9,10,11,12,13,14,15,16,17,18},{0,10,20,30,40,50,60,64,68,72,76,80,85,90,95,100})</f>
        <v>100</v>
      </c>
      <c r="K359" s="5">
        <f t="shared" si="164"/>
        <v>10</v>
      </c>
      <c r="L359" s="7">
        <f>LOOKUP(K359,{0,1,2,3,4,5,6,7,8,9,10},{0,1,2,3,4,5,6,7,8,9,10})</f>
        <v>10</v>
      </c>
      <c r="M359" s="5">
        <f t="shared" si="158"/>
        <v>110</v>
      </c>
      <c r="N359" s="5">
        <v>6.8</v>
      </c>
      <c r="O359" s="10">
        <f t="shared" si="159"/>
        <v>11.2</v>
      </c>
      <c r="P359" s="7">
        <f>LOOKUP(O359,{0,7.8,8,8.2,8.4,8.6,8.8,9,9.2,9.4,9.6,9.8,10,10.2,10.4,10.6,10.8,10.9,11,11.1,11.2},{0,10,20,30,40,50,60,62,64,66,68,70,72,74,76,78,80,85,90,95,100})</f>
        <v>100</v>
      </c>
      <c r="Q359" s="5">
        <v>3.43</v>
      </c>
      <c r="R359" s="10">
        <f t="shared" si="160"/>
        <v>6.57</v>
      </c>
      <c r="S359" s="7">
        <f>LOOKUP(R359,{0,3.85,4.45,4.65,4.85,5.45,5.65,5.7,5.75,5.8,5.85,5.9,5.95,6,6.45,6.5,6.55,6.63,6.7,6.75,6.8},{0,10,20,30,40,50,60,62,64,66,68,70,72,74,76,78,80,85,90,95,100})</f>
        <v>80</v>
      </c>
      <c r="T359" s="5"/>
      <c r="U359" s="5"/>
      <c r="V359" s="5">
        <f t="shared" si="161"/>
        <v>80</v>
      </c>
      <c r="W359" s="5"/>
      <c r="X359" s="13">
        <f t="shared" si="162"/>
        <v>62.6</v>
      </c>
      <c r="Y359" s="13">
        <f t="shared" si="163"/>
        <v>99.4285714285714</v>
      </c>
      <c r="Z359" s="19"/>
    </row>
    <row r="360" ht="15.6" hidden="1" outlineLevel="2" spans="1:26">
      <c r="A360" s="5">
        <v>311</v>
      </c>
      <c r="B360" s="5">
        <v>34</v>
      </c>
      <c r="C360" s="9" t="s">
        <v>549</v>
      </c>
      <c r="D360" s="9" t="s">
        <v>12</v>
      </c>
      <c r="E360" s="5">
        <v>14</v>
      </c>
      <c r="F360" s="7">
        <f>LOOKUP(E360,{0,-1.8,-0.8,0.2,1.2,2.2,3.2,4.6,6,7.4,8.8,10.2,11.6,13,14.4,15.8,17.2,19.1,21,22.8,24.6},{0,10,20,30,40,50,60,62,64,66,68,70,72,74,76,78,80,85,90,95,100})</f>
        <v>74</v>
      </c>
      <c r="G360" s="5">
        <v>230</v>
      </c>
      <c r="H360" s="7">
        <f>LOOKUP(G360,{0,180,185,190,195,200,205,209,213,217,221,225,229,233,237,241,245,253,260,265,270},{0,10,20,30,40,50,60,62,64,66,68,70,72,74,76,78,80,85,90,95,100})</f>
        <v>72</v>
      </c>
      <c r="I360" s="5">
        <v>35</v>
      </c>
      <c r="J360" s="7">
        <f>LOOKUP(I360,{0,4,5,6,7,8,9,10,11,12,13,14,15,16,17,18},{0,10,20,30,40,50,60,64,68,72,76,80,85,90,95,100})</f>
        <v>100</v>
      </c>
      <c r="K360" s="5">
        <f t="shared" si="164"/>
        <v>17</v>
      </c>
      <c r="L360" s="7">
        <f>LOOKUP(K360,{0,1,2,3,4,5,6,7,8,9,10},{0,1,2,3,4,5,6,7,8,9,10})</f>
        <v>10</v>
      </c>
      <c r="M360" s="5">
        <f t="shared" si="158"/>
        <v>110</v>
      </c>
      <c r="N360" s="5">
        <v>7.7</v>
      </c>
      <c r="O360" s="10">
        <f t="shared" si="159"/>
        <v>10.3</v>
      </c>
      <c r="P360" s="7">
        <f>LOOKUP(O360,{0,7.8,8,8.2,8.4,8.6,8.8,9,9.2,9.4,9.6,9.8,10,10.2,10.4,10.6,10.8,10.9,11,11.1,11.2},{0,10,20,30,40,50,60,62,64,66,68,70,72,74,76,78,80,85,90,95,100})</f>
        <v>74</v>
      </c>
      <c r="Q360" s="5">
        <v>4.48</v>
      </c>
      <c r="R360" s="10">
        <f t="shared" si="160"/>
        <v>5.52</v>
      </c>
      <c r="S360" s="7">
        <f>LOOKUP(R360,{0,3.85,4.45,4.65,4.85,5.45,5.65,5.7,5.75,5.8,5.85,5.9,5.95,6,6.45,6.5,6.55,6.63,6.7,6.75,6.8},{0,10,20,30,40,50,60,62,64,66,68,70,72,74,76,78,80,85,90,95,100})</f>
        <v>50</v>
      </c>
      <c r="T360" s="5"/>
      <c r="U360" s="5"/>
      <c r="V360" s="5">
        <f t="shared" si="161"/>
        <v>50</v>
      </c>
      <c r="W360" s="5"/>
      <c r="X360" s="13">
        <f t="shared" si="162"/>
        <v>49.4</v>
      </c>
      <c r="Y360" s="13">
        <f t="shared" si="163"/>
        <v>80.5714285714286</v>
      </c>
      <c r="Z360" s="19"/>
    </row>
    <row r="361" ht="15.6" hidden="1" outlineLevel="2" spans="1:26">
      <c r="A361" s="5">
        <v>311</v>
      </c>
      <c r="B361" s="5">
        <v>35</v>
      </c>
      <c r="C361" s="9" t="s">
        <v>550</v>
      </c>
      <c r="D361" s="9" t="s">
        <v>12</v>
      </c>
      <c r="E361" s="5"/>
      <c r="F361" s="7"/>
      <c r="G361" s="5"/>
      <c r="H361" s="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>
        <v>50</v>
      </c>
      <c r="X361" s="13"/>
      <c r="Y361" s="13">
        <v>50</v>
      </c>
      <c r="Z361" s="20"/>
    </row>
    <row r="362" ht="15.6" hidden="1" outlineLevel="2" spans="1:26">
      <c r="A362" s="5">
        <v>311</v>
      </c>
      <c r="B362" s="5">
        <v>36</v>
      </c>
      <c r="C362" s="9" t="s">
        <v>551</v>
      </c>
      <c r="D362" s="9" t="s">
        <v>12</v>
      </c>
      <c r="E362" s="5">
        <v>15.5</v>
      </c>
      <c r="F362" s="7">
        <f>LOOKUP(E362,{0,-1.8,-0.8,0.2,1.2,2.2,3.2,4.6,6,7.4,8.8,10.2,11.6,13,14.4,15.8,17.2,19.1,21,22.8,24.6},{0,10,20,30,40,50,60,62,64,66,68,70,72,74,76,78,80,85,90,95,100})</f>
        <v>76</v>
      </c>
      <c r="G362" s="5">
        <v>210</v>
      </c>
      <c r="H362" s="7">
        <f>LOOKUP(G362,{0,180,185,190,195,200,205,209,213,217,221,225,229,233,237,241,245,253,260,265,270},{0,10,20,30,40,50,60,62,64,66,68,70,72,74,76,78,80,85,90,95,100})</f>
        <v>62</v>
      </c>
      <c r="I362" s="5">
        <v>3</v>
      </c>
      <c r="J362" s="7">
        <f>LOOKUP(I362,{0,4,5,6,7,8,9,10,11,12,13,14,15,16,17,18},{0,10,20,30,40,50,60,64,68,72,76,80,85,90,95,100})</f>
        <v>0</v>
      </c>
      <c r="K362" s="5"/>
      <c r="L362" s="5"/>
      <c r="M362" s="5">
        <f t="shared" ref="M362:M375" si="165">J362+L362</f>
        <v>0</v>
      </c>
      <c r="N362" s="5">
        <v>8.6</v>
      </c>
      <c r="O362" s="10">
        <f t="shared" ref="O362:O375" si="166">18-N362</f>
        <v>9.4</v>
      </c>
      <c r="P362" s="7">
        <f>LOOKUP(O362,{0,7.8,8,8.2,8.4,8.6,8.8,9,9.2,9.4,9.6,9.8,10,10.2,10.4,10.6,10.8,10.9,11,11.1,11.2},{0,10,20,30,40,50,60,62,64,66,68,70,72,74,76,78,80,85,90,95,100})</f>
        <v>66</v>
      </c>
      <c r="Q362" s="5">
        <v>5.18</v>
      </c>
      <c r="R362" s="10">
        <f t="shared" ref="R362:R375" si="167">10-Q362</f>
        <v>4.82</v>
      </c>
      <c r="S362" s="7">
        <f>LOOKUP(R362,{0,3.85,4.45,4.65,4.85,5.45,5.65,5.7,5.75,5.8,5.85,5.9,5.95,6,6.45,6.5,6.55,6.63,6.7,6.75,6.8},{0,10,20,30,40,50,60,62,64,66,68,70,72,74,76,78,80,85,90,95,100})</f>
        <v>30</v>
      </c>
      <c r="T362" s="5"/>
      <c r="U362" s="5"/>
      <c r="V362" s="5">
        <f t="shared" ref="V362:V375" si="168">S362+U362</f>
        <v>30</v>
      </c>
      <c r="W362" s="5"/>
      <c r="X362" s="13">
        <f t="shared" ref="X362:X375" si="169">F362*0.1+H362*0.1+J362*0.1+P362*0.2+S362*0.2</f>
        <v>33</v>
      </c>
      <c r="Y362" s="13">
        <f t="shared" ref="Y362:Y375" si="170">X362/0.7+L362+U362</f>
        <v>47.1428571428571</v>
      </c>
      <c r="Z362" s="19"/>
    </row>
    <row r="363" ht="15.6" hidden="1" outlineLevel="2" spans="1:26">
      <c r="A363" s="5">
        <v>311</v>
      </c>
      <c r="B363" s="5">
        <v>37</v>
      </c>
      <c r="C363" s="8" t="s">
        <v>553</v>
      </c>
      <c r="D363" s="9" t="s">
        <v>12</v>
      </c>
      <c r="E363" s="5">
        <v>16.7</v>
      </c>
      <c r="F363" s="7">
        <f>LOOKUP(E363,{0,-1.8,-0.8,0.2,1.2,2.2,3.2,4.6,6,7.4,8.8,10.2,11.6,13,14.4,15.8,17.2,19.1,21,22.8,24.6},{0,10,20,30,40,50,60,62,64,66,68,70,72,74,76,78,80,85,90,95,100})</f>
        <v>78</v>
      </c>
      <c r="G363" s="5">
        <v>300</v>
      </c>
      <c r="H363" s="7">
        <f>LOOKUP(G363,{0,180,185,190,195,200,205,209,213,217,221,225,229,233,237,241,245,253,260,265,270},{0,10,20,30,40,50,60,62,64,66,68,70,72,74,76,78,80,85,90,95,100})</f>
        <v>100</v>
      </c>
      <c r="I363" s="5">
        <v>11</v>
      </c>
      <c r="J363" s="7">
        <f>LOOKUP(I363,{0,4,5,6,7,8,9,10,11,12,13,14,15,16,17,18},{0,10,20,30,40,50,60,64,68,72,76,80,85,90,95,100})</f>
        <v>68</v>
      </c>
      <c r="K363" s="5"/>
      <c r="L363" s="5"/>
      <c r="M363" s="5">
        <f t="shared" si="165"/>
        <v>68</v>
      </c>
      <c r="N363" s="5">
        <v>6.2</v>
      </c>
      <c r="O363" s="10">
        <f t="shared" si="166"/>
        <v>11.8</v>
      </c>
      <c r="P363" s="7">
        <f>LOOKUP(O363,{0,7.8,8,8.2,8.4,8.6,8.8,9,9.2,9.4,9.6,9.8,10,10.2,10.4,10.6,10.8,10.9,11,11.1,11.2},{0,10,20,30,40,50,60,62,64,66,68,70,72,74,76,78,80,85,90,95,100})</f>
        <v>100</v>
      </c>
      <c r="Q363" s="5">
        <v>3.29</v>
      </c>
      <c r="R363" s="10">
        <f t="shared" si="167"/>
        <v>6.71</v>
      </c>
      <c r="S363" s="7">
        <f>LOOKUP(R363,{0,3.85,4.45,4.65,4.85,5.45,5.65,5.7,5.75,5.8,5.85,5.9,5.95,6,6.45,6.5,6.55,6.63,6.7,6.75,6.8},{0,10,20,30,40,50,60,62,64,66,68,70,72,74,76,78,80,85,90,95,100})</f>
        <v>90</v>
      </c>
      <c r="T363" s="5"/>
      <c r="U363" s="5"/>
      <c r="V363" s="5">
        <f t="shared" si="168"/>
        <v>90</v>
      </c>
      <c r="W363" s="5"/>
      <c r="X363" s="13">
        <f t="shared" si="169"/>
        <v>62.6</v>
      </c>
      <c r="Y363" s="13">
        <f t="shared" si="170"/>
        <v>89.4285714285714</v>
      </c>
      <c r="Z363" s="19"/>
    </row>
    <row r="364" ht="15.6" hidden="1" outlineLevel="2" spans="1:26">
      <c r="A364" s="5">
        <v>311</v>
      </c>
      <c r="B364" s="5">
        <v>38</v>
      </c>
      <c r="C364" s="9" t="s">
        <v>554</v>
      </c>
      <c r="D364" s="9" t="s">
        <v>12</v>
      </c>
      <c r="E364" s="5">
        <v>6.8</v>
      </c>
      <c r="F364" s="7">
        <f>LOOKUP(E364,{0,-1.8,-0.8,0.2,1.2,2.2,3.2,4.6,6,7.4,8.8,10.2,11.6,13,14.4,15.8,17.2,19.1,21,22.8,24.6},{0,10,20,30,40,50,60,62,64,66,68,70,72,74,76,78,80,85,90,95,100})</f>
        <v>64</v>
      </c>
      <c r="G364" s="5">
        <v>208</v>
      </c>
      <c r="H364" s="7">
        <f>LOOKUP(G364,{0,180,185,190,195,200,205,209,213,217,221,225,229,233,237,241,245,253,260,265,270},{0,10,20,30,40,50,60,62,64,66,68,70,72,74,76,78,80,85,90,95,100})</f>
        <v>60</v>
      </c>
      <c r="I364" s="5">
        <v>10</v>
      </c>
      <c r="J364" s="7">
        <f>LOOKUP(I364,{0,4,5,6,7,8,9,10,11,12,13,14,15,16,17,18},{0,10,20,30,40,50,60,64,68,72,76,80,85,90,95,100})</f>
        <v>64</v>
      </c>
      <c r="K364" s="5"/>
      <c r="L364" s="5"/>
      <c r="M364" s="5">
        <f t="shared" si="165"/>
        <v>64</v>
      </c>
      <c r="N364" s="5">
        <v>8.1</v>
      </c>
      <c r="O364" s="10">
        <f t="shared" si="166"/>
        <v>9.9</v>
      </c>
      <c r="P364" s="7">
        <f>LOOKUP(O364,{0,7.8,8,8.2,8.4,8.6,8.8,9,9.2,9.4,9.6,9.8,10,10.2,10.4,10.6,10.8,10.9,11,11.1,11.2},{0,10,20,30,40,50,60,62,64,66,68,70,72,74,76,78,80,85,90,95,100})</f>
        <v>70</v>
      </c>
      <c r="Q364" s="5">
        <v>4.48</v>
      </c>
      <c r="R364" s="10">
        <f t="shared" si="167"/>
        <v>5.52</v>
      </c>
      <c r="S364" s="7">
        <f>LOOKUP(R364,{0,3.85,4.45,4.65,4.85,5.45,5.65,5.7,5.75,5.8,5.85,5.9,5.95,6,6.45,6.5,6.55,6.63,6.7,6.75,6.8},{0,10,20,30,40,50,60,62,64,66,68,70,72,74,76,78,80,85,90,95,100})</f>
        <v>50</v>
      </c>
      <c r="T364" s="5"/>
      <c r="U364" s="5"/>
      <c r="V364" s="5">
        <f t="shared" si="168"/>
        <v>50</v>
      </c>
      <c r="W364" s="5"/>
      <c r="X364" s="13">
        <f t="shared" si="169"/>
        <v>42.8</v>
      </c>
      <c r="Y364" s="13">
        <f t="shared" si="170"/>
        <v>61.1428571428571</v>
      </c>
      <c r="Z364" s="19"/>
    </row>
    <row r="365" ht="15.6" hidden="1" outlineLevel="2" spans="1:26">
      <c r="A365" s="5">
        <v>311</v>
      </c>
      <c r="B365" s="5">
        <v>39</v>
      </c>
      <c r="C365" s="9" t="s">
        <v>555</v>
      </c>
      <c r="D365" s="9" t="s">
        <v>12</v>
      </c>
      <c r="E365" s="5">
        <v>-6</v>
      </c>
      <c r="F365" s="7">
        <v>0</v>
      </c>
      <c r="G365" s="5">
        <v>255</v>
      </c>
      <c r="H365" s="7">
        <f>LOOKUP(G365,{0,180,185,190,195,200,205,209,213,217,221,225,229,233,237,241,245,253,260,265,270},{0,10,20,30,40,50,60,62,64,66,68,70,72,74,76,78,80,85,90,95,100})</f>
        <v>85</v>
      </c>
      <c r="I365" s="5">
        <v>11</v>
      </c>
      <c r="J365" s="7">
        <f>LOOKUP(I365,{0,4,5,6,7,8,9,10,11,12,13,14,15,16,17,18},{0,10,20,30,40,50,60,64,68,72,76,80,85,90,95,100})</f>
        <v>68</v>
      </c>
      <c r="K365" s="5"/>
      <c r="L365" s="5"/>
      <c r="M365" s="5">
        <f t="shared" si="165"/>
        <v>68</v>
      </c>
      <c r="N365" s="5">
        <v>6.6</v>
      </c>
      <c r="O365" s="10">
        <f t="shared" si="166"/>
        <v>11.4</v>
      </c>
      <c r="P365" s="7">
        <f>LOOKUP(O365,{0,7.8,8,8.2,8.4,8.6,8.8,9,9.2,9.4,9.6,9.8,10,10.2,10.4,10.6,10.8,10.9,11,11.1,11.2},{0,10,20,30,40,50,60,62,64,66,68,70,72,74,76,78,80,85,90,95,100})</f>
        <v>100</v>
      </c>
      <c r="Q365" s="5">
        <v>3.41</v>
      </c>
      <c r="R365" s="10">
        <f t="shared" si="167"/>
        <v>6.59</v>
      </c>
      <c r="S365" s="7">
        <f>LOOKUP(R365,{0,3.85,4.45,4.65,4.85,5.45,5.65,5.7,5.75,5.8,5.85,5.9,5.95,6,6.45,6.5,6.55,6.63,6.7,6.75,6.8},{0,10,20,30,40,50,60,62,64,66,68,70,72,74,76,78,80,85,90,95,100})</f>
        <v>80</v>
      </c>
      <c r="T365" s="5"/>
      <c r="U365" s="5"/>
      <c r="V365" s="5">
        <f t="shared" si="168"/>
        <v>80</v>
      </c>
      <c r="W365" s="5"/>
      <c r="X365" s="13">
        <f t="shared" si="169"/>
        <v>51.3</v>
      </c>
      <c r="Y365" s="13">
        <f t="shared" si="170"/>
        <v>73.2857142857143</v>
      </c>
      <c r="Z365" s="19"/>
    </row>
    <row r="366" ht="15.6" hidden="1" outlineLevel="2" spans="1:26">
      <c r="A366" s="5">
        <v>311</v>
      </c>
      <c r="B366" s="5">
        <v>40</v>
      </c>
      <c r="C366" s="9" t="s">
        <v>556</v>
      </c>
      <c r="D366" s="9" t="s">
        <v>12</v>
      </c>
      <c r="E366" s="5">
        <v>-12</v>
      </c>
      <c r="F366" s="7">
        <v>0</v>
      </c>
      <c r="G366" s="5">
        <v>204</v>
      </c>
      <c r="H366" s="7">
        <f>LOOKUP(G366,{0,180,185,190,195,200,205,209,213,217,221,225,229,233,237,241,245,253,260,265,270},{0,10,20,30,40,50,60,62,64,66,68,70,72,74,76,78,80,85,90,95,100})</f>
        <v>50</v>
      </c>
      <c r="I366" s="5">
        <v>0</v>
      </c>
      <c r="J366" s="7">
        <f>LOOKUP(I366,{0,4,5,6,7,8,9,10,11,12,13,14,15,16,17,18},{0,10,20,30,40,50,60,64,68,72,76,80,85,90,95,100})</f>
        <v>0</v>
      </c>
      <c r="K366" s="5"/>
      <c r="L366" s="5"/>
      <c r="M366" s="5">
        <f t="shared" si="165"/>
        <v>0</v>
      </c>
      <c r="N366" s="5">
        <v>8.1</v>
      </c>
      <c r="O366" s="10">
        <f t="shared" si="166"/>
        <v>9.9</v>
      </c>
      <c r="P366" s="7">
        <f>LOOKUP(O366,{0,7.8,8,8.2,8.4,8.6,8.8,9,9.2,9.4,9.6,9.8,10,10.2,10.4,10.6,10.8,10.9,11,11.1,11.2},{0,10,20,30,40,50,60,62,64,66,68,70,72,74,76,78,80,85,90,95,100})</f>
        <v>70</v>
      </c>
      <c r="Q366" s="5">
        <v>4.48</v>
      </c>
      <c r="R366" s="10">
        <f t="shared" si="167"/>
        <v>5.52</v>
      </c>
      <c r="S366" s="7">
        <f>LOOKUP(R366,{0,3.85,4.45,4.65,4.85,5.45,5.65,5.7,5.75,5.8,5.85,5.9,5.95,6,6.45,6.5,6.55,6.63,6.7,6.75,6.8},{0,10,20,30,40,50,60,62,64,66,68,70,72,74,76,78,80,85,90,95,100})</f>
        <v>50</v>
      </c>
      <c r="T366" s="5"/>
      <c r="U366" s="5"/>
      <c r="V366" s="5">
        <f t="shared" si="168"/>
        <v>50</v>
      </c>
      <c r="W366" s="5"/>
      <c r="X366" s="13">
        <f t="shared" si="169"/>
        <v>29</v>
      </c>
      <c r="Y366" s="13">
        <f t="shared" si="170"/>
        <v>41.4285714285714</v>
      </c>
      <c r="Z366" s="19"/>
    </row>
    <row r="367" ht="15.6" hidden="1" outlineLevel="2" spans="1:26">
      <c r="A367" s="5">
        <v>311</v>
      </c>
      <c r="B367" s="5">
        <v>41</v>
      </c>
      <c r="C367" s="9" t="s">
        <v>557</v>
      </c>
      <c r="D367" s="9" t="s">
        <v>12</v>
      </c>
      <c r="E367" s="5">
        <v>17</v>
      </c>
      <c r="F367" s="7">
        <f>LOOKUP(E367,{0,-1.8,-0.8,0.2,1.2,2.2,3.2,4.6,6,7.4,8.8,10.2,11.6,13,14.4,15.8,17.2,19.1,21,22.8,24.6},{0,10,20,30,40,50,60,62,64,66,68,70,72,74,76,78,80,85,90,95,100})</f>
        <v>78</v>
      </c>
      <c r="G367" s="5">
        <v>239</v>
      </c>
      <c r="H367" s="7">
        <f>LOOKUP(G367,{0,180,185,190,195,200,205,209,213,217,221,225,229,233,237,241,245,253,260,265,270},{0,10,20,30,40,50,60,62,64,66,68,70,72,74,76,78,80,85,90,95,100})</f>
        <v>76</v>
      </c>
      <c r="I367" s="5">
        <v>6</v>
      </c>
      <c r="J367" s="7">
        <f>LOOKUP(I367,{0,4,5,6,7,8,9,10,11,12,13,14,15,16,17,18},{0,10,20,30,40,50,60,64,68,72,76,80,85,90,95,100})</f>
        <v>30</v>
      </c>
      <c r="K367" s="5"/>
      <c r="L367" s="5"/>
      <c r="M367" s="5">
        <f t="shared" si="165"/>
        <v>30</v>
      </c>
      <c r="N367" s="5">
        <v>7.4</v>
      </c>
      <c r="O367" s="10">
        <f t="shared" si="166"/>
        <v>10.6</v>
      </c>
      <c r="P367" s="7">
        <f>LOOKUP(O367,{0,7.8,8,8.2,8.4,8.6,8.8,9,9.2,9.4,9.6,9.8,10,10.2,10.4,10.6,10.8,10.9,11,11.1,11.2},{0,10,20,30,40,50,60,62,64,66,68,70,72,74,76,78,80,85,90,95,100})</f>
        <v>78</v>
      </c>
      <c r="Q367" s="5">
        <v>4.48</v>
      </c>
      <c r="R367" s="10">
        <f t="shared" si="167"/>
        <v>5.52</v>
      </c>
      <c r="S367" s="7">
        <f>LOOKUP(R367,{0,3.85,4.45,4.65,4.85,5.45,5.65,5.7,5.75,5.8,5.85,5.9,5.95,6,6.45,6.5,6.55,6.63,6.7,6.75,6.8},{0,10,20,30,40,50,60,62,64,66,68,70,72,74,76,78,80,85,90,95,100})</f>
        <v>50</v>
      </c>
      <c r="T367" s="5"/>
      <c r="U367" s="5"/>
      <c r="V367" s="5">
        <f t="shared" si="168"/>
        <v>50</v>
      </c>
      <c r="W367" s="5"/>
      <c r="X367" s="13">
        <f t="shared" si="169"/>
        <v>44</v>
      </c>
      <c r="Y367" s="13">
        <f t="shared" si="170"/>
        <v>62.8571428571429</v>
      </c>
      <c r="Z367" s="19"/>
    </row>
    <row r="368" ht="15.6" hidden="1" outlineLevel="2" spans="1:26">
      <c r="A368" s="5">
        <v>311</v>
      </c>
      <c r="B368" s="5">
        <v>42</v>
      </c>
      <c r="C368" s="9" t="s">
        <v>558</v>
      </c>
      <c r="D368" s="9" t="s">
        <v>12</v>
      </c>
      <c r="E368" s="5">
        <v>10.4</v>
      </c>
      <c r="F368" s="7">
        <f>LOOKUP(E368,{0,-1.8,-0.8,0.2,1.2,2.2,3.2,4.6,6,7.4,8.8,10.2,11.6,13,14.4,15.8,17.2,19.1,21,22.8,24.6},{0,10,20,30,40,50,60,62,64,66,68,70,72,74,76,78,80,85,90,95,100})</f>
        <v>70</v>
      </c>
      <c r="G368" s="5">
        <v>237</v>
      </c>
      <c r="H368" s="7">
        <f>LOOKUP(G368,{0,180,185,190,195,200,205,209,213,217,221,225,229,233,237,241,245,253,260,265,270},{0,10,20,30,40,50,60,62,64,66,68,70,72,74,76,78,80,85,90,95,100})</f>
        <v>76</v>
      </c>
      <c r="I368" s="5">
        <v>11</v>
      </c>
      <c r="J368" s="7">
        <f>LOOKUP(I368,{0,4,5,6,7,8,9,10,11,12,13,14,15,16,17,18},{0,10,20,30,40,50,60,64,68,72,76,80,85,90,95,100})</f>
        <v>68</v>
      </c>
      <c r="K368" s="5"/>
      <c r="L368" s="5"/>
      <c r="M368" s="5">
        <f t="shared" si="165"/>
        <v>68</v>
      </c>
      <c r="N368" s="5">
        <v>7.4</v>
      </c>
      <c r="O368" s="10">
        <f t="shared" si="166"/>
        <v>10.6</v>
      </c>
      <c r="P368" s="7">
        <f>LOOKUP(O368,{0,7.8,8,8.2,8.4,8.6,8.8,9,9.2,9.4,9.6,9.8,10,10.2,10.4,10.6,10.8,10.9,11,11.1,11.2},{0,10,20,30,40,50,60,62,64,66,68,70,72,74,76,78,80,85,90,95,100})</f>
        <v>78</v>
      </c>
      <c r="Q368" s="5">
        <v>4.14</v>
      </c>
      <c r="R368" s="10">
        <f t="shared" si="167"/>
        <v>5.86</v>
      </c>
      <c r="S368" s="7">
        <f>LOOKUP(R368,{0,3.85,4.45,4.65,4.85,5.45,5.65,5.7,5.75,5.8,5.85,5.9,5.95,6,6.45,6.5,6.55,6.63,6.7,6.75,6.8},{0,10,20,30,40,50,60,62,64,66,68,70,72,74,76,78,80,85,90,95,100})</f>
        <v>68</v>
      </c>
      <c r="T368" s="5"/>
      <c r="U368" s="5"/>
      <c r="V368" s="5">
        <f t="shared" si="168"/>
        <v>68</v>
      </c>
      <c r="W368" s="5"/>
      <c r="X368" s="13">
        <f t="shared" si="169"/>
        <v>50.6</v>
      </c>
      <c r="Y368" s="13">
        <f t="shared" si="170"/>
        <v>72.2857142857143</v>
      </c>
      <c r="Z368" s="19"/>
    </row>
    <row r="369" ht="15.6" hidden="1" outlineLevel="2" spans="1:26">
      <c r="A369" s="5">
        <v>311</v>
      </c>
      <c r="B369" s="5">
        <v>43</v>
      </c>
      <c r="C369" s="9" t="s">
        <v>559</v>
      </c>
      <c r="D369" s="9" t="s">
        <v>12</v>
      </c>
      <c r="E369" s="5">
        <v>-5.5</v>
      </c>
      <c r="F369" s="7">
        <v>0</v>
      </c>
      <c r="G369" s="5">
        <v>280</v>
      </c>
      <c r="H369" s="7">
        <f>LOOKUP(G369,{0,180,185,190,195,200,205,209,213,217,221,225,229,233,237,241,245,253,260,265,270},{0,10,20,30,40,50,60,62,64,66,68,70,72,74,76,78,80,85,90,95,100})</f>
        <v>100</v>
      </c>
      <c r="I369" s="5">
        <v>7</v>
      </c>
      <c r="J369" s="7">
        <f>LOOKUP(I369,{0,4,5,6,7,8,9,10,11,12,13,14,15,16,17,18},{0,10,20,30,40,50,60,64,68,72,76,80,85,90,95,100})</f>
        <v>40</v>
      </c>
      <c r="K369" s="5"/>
      <c r="L369" s="5"/>
      <c r="M369" s="5">
        <f t="shared" si="165"/>
        <v>40</v>
      </c>
      <c r="N369" s="5">
        <v>6.9</v>
      </c>
      <c r="O369" s="10">
        <f t="shared" si="166"/>
        <v>11.1</v>
      </c>
      <c r="P369" s="7">
        <f>LOOKUP(O369,{0,7.8,8,8.2,8.4,8.6,8.8,9,9.2,9.4,9.6,9.8,10,10.2,10.4,10.6,10.8,10.9,11,11.1,11.2},{0,10,20,30,40,50,60,62,64,66,68,70,72,74,76,78,80,85,90,95,100})</f>
        <v>95</v>
      </c>
      <c r="Q369" s="5">
        <v>4.48</v>
      </c>
      <c r="R369" s="10">
        <f t="shared" si="167"/>
        <v>5.52</v>
      </c>
      <c r="S369" s="7">
        <f>LOOKUP(R369,{0,3.85,4.45,4.65,4.85,5.45,5.65,5.7,5.75,5.8,5.85,5.9,5.95,6,6.45,6.5,6.55,6.63,6.7,6.75,6.8},{0,10,20,30,40,50,60,62,64,66,68,70,72,74,76,78,80,85,90,95,100})</f>
        <v>50</v>
      </c>
      <c r="T369" s="5"/>
      <c r="U369" s="5"/>
      <c r="V369" s="5">
        <f t="shared" si="168"/>
        <v>50</v>
      </c>
      <c r="W369" s="5"/>
      <c r="X369" s="13">
        <f t="shared" si="169"/>
        <v>43</v>
      </c>
      <c r="Y369" s="13">
        <f t="shared" si="170"/>
        <v>61.4285714285714</v>
      </c>
      <c r="Z369" s="19"/>
    </row>
    <row r="370" ht="15.6" hidden="1" outlineLevel="2" spans="1:26">
      <c r="A370" s="5">
        <v>311</v>
      </c>
      <c r="B370" s="5">
        <v>44</v>
      </c>
      <c r="C370" s="9" t="s">
        <v>560</v>
      </c>
      <c r="D370" s="9" t="s">
        <v>12</v>
      </c>
      <c r="E370" s="5">
        <v>10</v>
      </c>
      <c r="F370" s="7">
        <f>LOOKUP(E370,{0,-1.8,-0.8,0.2,1.2,2.2,3.2,4.6,6,7.4,8.8,10.2,11.6,13,14.4,15.8,17.2,19.1,21,22.8,24.6},{0,10,20,30,40,50,60,62,64,66,68,70,72,74,76,78,80,85,90,95,100})</f>
        <v>68</v>
      </c>
      <c r="G370" s="5">
        <v>241</v>
      </c>
      <c r="H370" s="7">
        <f>LOOKUP(G370,{0,180,185,190,195,200,205,209,213,217,221,225,229,233,237,241,245,253,260,265,270},{0,10,20,30,40,50,60,62,64,66,68,70,72,74,76,78,80,85,90,95,100})</f>
        <v>78</v>
      </c>
      <c r="I370" s="5">
        <v>11</v>
      </c>
      <c r="J370" s="7">
        <f>LOOKUP(I370,{0,4,5,6,7,8,9,10,11,12,13,14,15,16,17,18},{0,10,20,30,40,50,60,64,68,72,76,80,85,90,95,100})</f>
        <v>68</v>
      </c>
      <c r="K370" s="5"/>
      <c r="L370" s="5"/>
      <c r="M370" s="5">
        <f t="shared" si="165"/>
        <v>68</v>
      </c>
      <c r="N370" s="5">
        <v>7.7</v>
      </c>
      <c r="O370" s="10">
        <f t="shared" si="166"/>
        <v>10.3</v>
      </c>
      <c r="P370" s="7">
        <f>LOOKUP(O370,{0,7.8,8,8.2,8.4,8.6,8.8,9,9.2,9.4,9.6,9.8,10,10.2,10.4,10.6,10.8,10.9,11,11.1,11.2},{0,10,20,30,40,50,60,62,64,66,68,70,72,74,76,78,80,85,90,95,100})</f>
        <v>74</v>
      </c>
      <c r="Q370" s="5">
        <v>4.22</v>
      </c>
      <c r="R370" s="10">
        <f t="shared" si="167"/>
        <v>5.78</v>
      </c>
      <c r="S370" s="7">
        <f>LOOKUP(R370,{0,3.85,4.45,4.65,4.85,5.45,5.65,5.7,5.75,5.8,5.85,5.9,5.95,6,6.45,6.5,6.55,6.63,6.7,6.75,6.8},{0,10,20,30,40,50,60,62,64,66,68,70,72,74,76,78,80,85,90,95,100})</f>
        <v>64</v>
      </c>
      <c r="T370" s="5"/>
      <c r="U370" s="5"/>
      <c r="V370" s="5">
        <f t="shared" si="168"/>
        <v>64</v>
      </c>
      <c r="W370" s="5"/>
      <c r="X370" s="13">
        <f t="shared" si="169"/>
        <v>49</v>
      </c>
      <c r="Y370" s="13">
        <f t="shared" si="170"/>
        <v>70</v>
      </c>
      <c r="Z370" s="19"/>
    </row>
    <row r="371" ht="15.6" hidden="1" outlineLevel="2" spans="1:26">
      <c r="A371" s="5">
        <v>311</v>
      </c>
      <c r="B371" s="5">
        <v>45</v>
      </c>
      <c r="C371" s="9" t="s">
        <v>561</v>
      </c>
      <c r="D371" s="9" t="s">
        <v>12</v>
      </c>
      <c r="E371" s="5">
        <v>-11</v>
      </c>
      <c r="F371" s="7">
        <v>0</v>
      </c>
      <c r="G371" s="5">
        <v>206</v>
      </c>
      <c r="H371" s="7">
        <f>LOOKUP(G371,{0,180,185,190,195,200,205,209,213,217,221,225,229,233,237,241,245,253,260,265,270},{0,10,20,30,40,50,60,62,64,66,68,70,72,74,76,78,80,85,90,95,100})</f>
        <v>60</v>
      </c>
      <c r="I371" s="5">
        <v>1</v>
      </c>
      <c r="J371" s="7">
        <f>LOOKUP(I371,{0,4,5,6,7,8,9,10,11,12,13,14,15,16,17,18},{0,10,20,30,40,50,60,64,68,72,76,80,85,90,95,100})</f>
        <v>0</v>
      </c>
      <c r="K371" s="5"/>
      <c r="L371" s="5"/>
      <c r="M371" s="5">
        <f t="shared" si="165"/>
        <v>0</v>
      </c>
      <c r="N371" s="5">
        <v>7.1</v>
      </c>
      <c r="O371" s="10">
        <f t="shared" si="166"/>
        <v>10.9</v>
      </c>
      <c r="P371" s="7">
        <f>LOOKUP(O371,{0,7.8,8,8.2,8.4,8.6,8.8,9,9.2,9.4,9.6,9.8,10,10.2,10.4,10.6,10.8,10.9,11,11.1,11.2},{0,10,20,30,40,50,60,62,64,66,68,70,72,74,76,78,80,85,90,95,100})</f>
        <v>85</v>
      </c>
      <c r="Q371" s="5">
        <v>4.29</v>
      </c>
      <c r="R371" s="10">
        <f t="shared" si="167"/>
        <v>5.71</v>
      </c>
      <c r="S371" s="7">
        <f>LOOKUP(R371,{0,3.85,4.45,4.65,4.85,5.45,5.65,5.7,5.75,5.8,5.85,5.9,5.95,6,6.45,6.5,6.55,6.63,6.7,6.75,6.8},{0,10,20,30,40,50,60,62,64,66,68,70,72,74,76,78,80,85,90,95,100})</f>
        <v>62</v>
      </c>
      <c r="T371" s="5"/>
      <c r="U371" s="5"/>
      <c r="V371" s="5">
        <f t="shared" si="168"/>
        <v>62</v>
      </c>
      <c r="W371" s="5"/>
      <c r="X371" s="13">
        <f t="shared" si="169"/>
        <v>35.4</v>
      </c>
      <c r="Y371" s="13">
        <f t="shared" si="170"/>
        <v>50.5714285714286</v>
      </c>
      <c r="Z371" s="19"/>
    </row>
    <row r="372" ht="15.6" hidden="1" outlineLevel="2" spans="1:26">
      <c r="A372" s="5">
        <v>311</v>
      </c>
      <c r="B372" s="5">
        <v>46</v>
      </c>
      <c r="C372" s="9" t="s">
        <v>562</v>
      </c>
      <c r="D372" s="9" t="s">
        <v>12</v>
      </c>
      <c r="E372" s="5">
        <v>16</v>
      </c>
      <c r="F372" s="7">
        <f>LOOKUP(E372,{0,-1.8,-0.8,0.2,1.2,2.2,3.2,4.6,6,7.4,8.8,10.2,11.6,13,14.4,15.8,17.2,19.1,21,22.8,24.6},{0,10,20,30,40,50,60,62,64,66,68,70,72,74,76,78,80,85,90,95,100})</f>
        <v>78</v>
      </c>
      <c r="G372" s="5">
        <v>270</v>
      </c>
      <c r="H372" s="7">
        <f>LOOKUP(G372,{0,180,185,190,195,200,205,209,213,217,221,225,229,233,237,241,245,253,260,265,270},{0,10,20,30,40,50,60,62,64,66,68,70,72,74,76,78,80,85,90,95,100})</f>
        <v>100</v>
      </c>
      <c r="I372" s="5">
        <v>20</v>
      </c>
      <c r="J372" s="7">
        <f>LOOKUP(I372,{0,4,5,6,7,8,9,10,11,12,13,14,15,16,17,18},{0,10,20,30,40,50,60,64,68,72,76,80,85,90,95,100})</f>
        <v>100</v>
      </c>
      <c r="K372" s="5">
        <f>I372-18</f>
        <v>2</v>
      </c>
      <c r="L372" s="7">
        <f>LOOKUP(K372,{0,1,2,3,4,5,6,7,8,9,10},{0,1,2,3,4,5,6,7,8,9,10})</f>
        <v>2</v>
      </c>
      <c r="M372" s="5">
        <f t="shared" si="165"/>
        <v>102</v>
      </c>
      <c r="N372" s="5">
        <v>6.6</v>
      </c>
      <c r="O372" s="10">
        <f t="shared" si="166"/>
        <v>11.4</v>
      </c>
      <c r="P372" s="7">
        <f>LOOKUP(O372,{0,7.8,8,8.2,8.4,8.6,8.8,9,9.2,9.4,9.6,9.8,10,10.2,10.4,10.6,10.8,10.9,11,11.1,11.2},{0,10,20,30,40,50,60,62,64,66,68,70,72,74,76,78,80,85,90,95,100})</f>
        <v>100</v>
      </c>
      <c r="Q372" s="5">
        <v>4.09</v>
      </c>
      <c r="R372" s="10">
        <f t="shared" si="167"/>
        <v>5.91</v>
      </c>
      <c r="S372" s="7">
        <f>LOOKUP(R372,{0,3.85,4.45,4.65,4.85,5.45,5.65,5.7,5.75,5.8,5.85,5.9,5.95,6,6.45,6.5,6.55,6.63,6.7,6.75,6.8},{0,10,20,30,40,50,60,62,64,66,68,70,72,74,76,78,80,85,90,95,100})</f>
        <v>70</v>
      </c>
      <c r="T372" s="5"/>
      <c r="U372" s="5"/>
      <c r="V372" s="5">
        <f t="shared" si="168"/>
        <v>70</v>
      </c>
      <c r="W372" s="5"/>
      <c r="X372" s="13">
        <f t="shared" si="169"/>
        <v>61.8</v>
      </c>
      <c r="Y372" s="13">
        <f t="shared" si="170"/>
        <v>90.2857142857143</v>
      </c>
      <c r="Z372" s="19"/>
    </row>
    <row r="373" ht="15.6" hidden="1" outlineLevel="2" spans="1:26">
      <c r="A373" s="5">
        <v>311</v>
      </c>
      <c r="B373" s="5">
        <v>47</v>
      </c>
      <c r="C373" s="9" t="s">
        <v>563</v>
      </c>
      <c r="D373" s="9" t="s">
        <v>12</v>
      </c>
      <c r="E373" s="5">
        <v>2.3</v>
      </c>
      <c r="F373" s="7">
        <f>LOOKUP(E373,{0,-1.8,-0.8,0.2,1.2,2.2,3.2,4.6,6,7.4,8.8,10.2,11.6,13,14.4,15.8,17.2,19.1,21,22.8,24.6},{0,10,20,30,40,50,60,62,64,66,68,70,72,74,76,78,80,85,90,95,100})</f>
        <v>50</v>
      </c>
      <c r="G373" s="5">
        <v>210</v>
      </c>
      <c r="H373" s="7">
        <f>LOOKUP(G373,{0,180,185,190,195,200,205,209,213,217,221,225,229,233,237,241,245,253,260,265,270},{0,10,20,30,40,50,60,62,64,66,68,70,72,74,76,78,80,85,90,95,100})</f>
        <v>62</v>
      </c>
      <c r="I373" s="5">
        <v>1</v>
      </c>
      <c r="J373" s="7">
        <f>LOOKUP(I373,{0,4,5,6,7,8,9,10,11,12,13,14,15,16,17,18},{0,10,20,30,40,50,60,64,68,72,76,80,85,90,95,100})</f>
        <v>0</v>
      </c>
      <c r="K373" s="5"/>
      <c r="L373" s="5"/>
      <c r="M373" s="5">
        <f t="shared" si="165"/>
        <v>0</v>
      </c>
      <c r="N373" s="5">
        <v>7.4</v>
      </c>
      <c r="O373" s="10">
        <f t="shared" si="166"/>
        <v>10.6</v>
      </c>
      <c r="P373" s="7">
        <f>LOOKUP(O373,{0,7.8,8,8.2,8.4,8.6,8.8,9,9.2,9.4,9.6,9.8,10,10.2,10.4,10.6,10.8,10.9,11,11.1,11.2},{0,10,20,30,40,50,60,62,64,66,68,70,72,74,76,78,80,85,90,95,100})</f>
        <v>78</v>
      </c>
      <c r="Q373" s="5">
        <v>5.06</v>
      </c>
      <c r="R373" s="10">
        <f t="shared" si="167"/>
        <v>4.94</v>
      </c>
      <c r="S373" s="7">
        <f>LOOKUP(R373,{0,3.85,4.45,4.65,4.85,5.45,5.65,5.7,5.75,5.8,5.85,5.9,5.95,6,6.45,6.5,6.55,6.63,6.7,6.75,6.8},{0,10,20,30,40,50,60,62,64,66,68,70,72,74,76,78,80,85,90,95,100})</f>
        <v>40</v>
      </c>
      <c r="T373" s="5"/>
      <c r="U373" s="5"/>
      <c r="V373" s="5">
        <f t="shared" si="168"/>
        <v>40</v>
      </c>
      <c r="W373" s="5"/>
      <c r="X373" s="13">
        <f t="shared" si="169"/>
        <v>34.8</v>
      </c>
      <c r="Y373" s="13">
        <f t="shared" si="170"/>
        <v>49.7142857142857</v>
      </c>
      <c r="Z373" s="19"/>
    </row>
    <row r="374" ht="15.6" hidden="1" outlineLevel="2" spans="1:26">
      <c r="A374" s="5">
        <v>311</v>
      </c>
      <c r="B374" s="5">
        <v>48</v>
      </c>
      <c r="C374" s="9" t="s">
        <v>564</v>
      </c>
      <c r="D374" s="9" t="s">
        <v>12</v>
      </c>
      <c r="E374" s="5">
        <v>17</v>
      </c>
      <c r="F374" s="7">
        <f>LOOKUP(E374,{0,-1.8,-0.8,0.2,1.2,2.2,3.2,4.6,6,7.4,8.8,10.2,11.6,13,14.4,15.8,17.2,19.1,21,22.8,24.6},{0,10,20,30,40,50,60,62,64,66,68,70,72,74,76,78,80,85,90,95,100})</f>
        <v>78</v>
      </c>
      <c r="G374" s="5">
        <v>269</v>
      </c>
      <c r="H374" s="7">
        <f>LOOKUP(G374,{0,180,185,190,195,200,205,209,213,217,221,225,229,233,237,241,245,253,260,265,270},{0,10,20,30,40,50,60,62,64,66,68,70,72,74,76,78,80,85,90,95,100})</f>
        <v>95</v>
      </c>
      <c r="I374" s="5">
        <v>3</v>
      </c>
      <c r="J374" s="7">
        <f>LOOKUP(I374,{0,4,5,6,7,8,9,10,11,12,13,14,15,16,17,18},{0,10,20,30,40,50,60,64,68,72,76,80,85,90,95,100})</f>
        <v>0</v>
      </c>
      <c r="K374" s="5"/>
      <c r="L374" s="5"/>
      <c r="M374" s="5">
        <f t="shared" si="165"/>
        <v>0</v>
      </c>
      <c r="N374" s="5">
        <v>7</v>
      </c>
      <c r="O374" s="10">
        <f t="shared" si="166"/>
        <v>11</v>
      </c>
      <c r="P374" s="7">
        <f>LOOKUP(O374,{0,7.8,8,8.2,8.4,8.6,8.8,9,9.2,9.4,9.6,9.8,10,10.2,10.4,10.6,10.8,10.9,11,11.1,11.2},{0,10,20,30,40,50,60,62,64,66,68,70,72,74,76,78,80,85,90,95,100})</f>
        <v>90</v>
      </c>
      <c r="Q374" s="5">
        <v>4.48</v>
      </c>
      <c r="R374" s="10">
        <f t="shared" si="167"/>
        <v>5.52</v>
      </c>
      <c r="S374" s="7">
        <f>LOOKUP(R374,{0,3.85,4.45,4.65,4.85,5.45,5.65,5.7,5.75,5.8,5.85,5.9,5.95,6,6.45,6.5,6.55,6.63,6.7,6.75,6.8},{0,10,20,30,40,50,60,62,64,66,68,70,72,74,76,78,80,85,90,95,100})</f>
        <v>50</v>
      </c>
      <c r="T374" s="5"/>
      <c r="U374" s="5"/>
      <c r="V374" s="5">
        <f t="shared" si="168"/>
        <v>50</v>
      </c>
      <c r="W374" s="5"/>
      <c r="X374" s="13">
        <f t="shared" si="169"/>
        <v>45.3</v>
      </c>
      <c r="Y374" s="13">
        <f t="shared" si="170"/>
        <v>64.7142857142857</v>
      </c>
      <c r="Z374" s="19"/>
    </row>
    <row r="375" ht="15.6" outlineLevel="1" collapsed="1" spans="1:26">
      <c r="A375" s="6" t="s">
        <v>862</v>
      </c>
      <c r="B375" s="5"/>
      <c r="C375" s="9"/>
      <c r="D375" s="9"/>
      <c r="E375" s="5"/>
      <c r="F375" s="7">
        <f>SUBTOTAL(1,F327:F374)</f>
        <v>57.1914893617021</v>
      </c>
      <c r="G375" s="5"/>
      <c r="H375" s="7">
        <f>SUBTOTAL(1,H327:H374)</f>
        <v>74.531914893617</v>
      </c>
      <c r="I375" s="5"/>
      <c r="J375" s="7">
        <f>SUBTOTAL(1,J327:J374)</f>
        <v>42.3617021276596</v>
      </c>
      <c r="K375" s="5"/>
      <c r="L375" s="5"/>
      <c r="M375" s="5">
        <f>SUBTOTAL(1,M327:M374)</f>
        <v>43.2553191489362</v>
      </c>
      <c r="N375" s="5"/>
      <c r="O375" s="10"/>
      <c r="P375" s="7">
        <f>SUBTOTAL(1,P327:P374)</f>
        <v>80.8723404255319</v>
      </c>
      <c r="Q375" s="5"/>
      <c r="R375" s="10"/>
      <c r="S375" s="7">
        <f>SUBTOTAL(1,S327:S374)</f>
        <v>53.6170212765957</v>
      </c>
      <c r="T375" s="5"/>
      <c r="U375" s="5"/>
      <c r="V375" s="5">
        <f>SUBTOTAL(1,V327:V374)</f>
        <v>53.6170212765957</v>
      </c>
      <c r="W375" s="5"/>
      <c r="X375" s="13">
        <f>SUBTOTAL(1,X327:X374)</f>
        <v>44.3063829787234</v>
      </c>
      <c r="Y375" s="13">
        <f>SUBTOTAL(1,Y327:Y374)</f>
        <v>63.8928571428571</v>
      </c>
      <c r="Z375" s="19"/>
    </row>
    <row r="376" ht="15.6" hidden="1" outlineLevel="2" spans="1:26">
      <c r="A376" s="5">
        <v>312</v>
      </c>
      <c r="B376" s="5">
        <v>1</v>
      </c>
      <c r="C376" s="8" t="s">
        <v>574</v>
      </c>
      <c r="D376" s="9" t="s">
        <v>12</v>
      </c>
      <c r="E376" s="5">
        <v>12.5</v>
      </c>
      <c r="F376" s="7">
        <f>LOOKUP(E376,{0,-1.8,-0.8,0.2,1.2,2.2,3.2,4.6,6,7.4,8.8,10.2,11.6,13,14.4,15.8,17.2,19.1,21,22.8,24.6},{0,10,20,30,40,50,60,62,64,66,68,70,72,74,76,78,80,85,90,95,100})</f>
        <v>72</v>
      </c>
      <c r="G376" s="5">
        <v>195</v>
      </c>
      <c r="H376" s="7">
        <f>LOOKUP(G376,{0,180,185,190,195,200,205,209,213,217,221,225,229,233,237,241,245,253,260,265,270},{0,10,20,30,40,50,60,62,64,66,68,70,72,74,76,78,80,85,90,95,100})</f>
        <v>40</v>
      </c>
      <c r="I376" s="5">
        <v>0</v>
      </c>
      <c r="J376" s="7">
        <f>LOOKUP(I376,{0,4,5,6,7,8,9,10,11,12,13,14,15,16,17,18},{0,10,20,30,40,50,60,64,68,72,76,80,85,90,95,100})</f>
        <v>0</v>
      </c>
      <c r="K376" s="5"/>
      <c r="L376" s="5"/>
      <c r="M376" s="5">
        <f>J376+L376</f>
        <v>0</v>
      </c>
      <c r="N376" s="5">
        <v>7.9</v>
      </c>
      <c r="O376" s="10">
        <f>18-N376</f>
        <v>10.1</v>
      </c>
      <c r="P376" s="7">
        <f>LOOKUP(O376,{0,7.8,8,8.2,8.4,8.6,8.8,9,9.2,9.4,9.6,9.8,10,10.2,10.4,10.6,10.8,10.9,11,11.1,11.2},{0,10,20,30,40,50,60,62,64,66,68,70,72,74,76,78,80,85,90,95,100})</f>
        <v>72</v>
      </c>
      <c r="Q376" s="5">
        <v>5.5</v>
      </c>
      <c r="R376" s="10">
        <f>10-Q376</f>
        <v>4.5</v>
      </c>
      <c r="S376" s="7">
        <f>LOOKUP(R376,{0,3.85,4.45,4.65,4.85,5.45,5.65,5.7,5.75,5.8,5.85,5.9,5.95,6,6.45,6.5,6.55,6.63,6.7,6.75,6.8},{0,10,20,30,40,50,60,62,64,66,68,70,72,74,76,78,80,85,90,95,100})</f>
        <v>20</v>
      </c>
      <c r="T376" s="5"/>
      <c r="U376" s="5"/>
      <c r="V376" s="5">
        <f>S376+U376</f>
        <v>20</v>
      </c>
      <c r="W376" s="5"/>
      <c r="X376" s="13">
        <f>F376*0.1+H376*0.1+J376*0.1+P376*0.2+S376*0.2</f>
        <v>29.6</v>
      </c>
      <c r="Y376" s="13">
        <f>X376/0.7+L376+U376</f>
        <v>42.2857142857143</v>
      </c>
      <c r="Z376" s="19"/>
    </row>
    <row r="377" ht="15.6" hidden="1" outlineLevel="2" spans="1:26">
      <c r="A377" s="5">
        <v>312</v>
      </c>
      <c r="B377" s="5">
        <v>2</v>
      </c>
      <c r="C377" s="9" t="s">
        <v>575</v>
      </c>
      <c r="D377" s="9" t="s">
        <v>12</v>
      </c>
      <c r="E377" s="5"/>
      <c r="F377" s="7"/>
      <c r="G377" s="5"/>
      <c r="H377" s="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>
        <v>50</v>
      </c>
      <c r="X377" s="13"/>
      <c r="Y377" s="13">
        <v>50</v>
      </c>
      <c r="Z377" s="19"/>
    </row>
    <row r="378" ht="15.6" hidden="1" outlineLevel="2" spans="1:26">
      <c r="A378" s="5">
        <v>312</v>
      </c>
      <c r="B378" s="5">
        <v>3</v>
      </c>
      <c r="C378" s="9" t="s">
        <v>576</v>
      </c>
      <c r="D378" s="9" t="s">
        <v>12</v>
      </c>
      <c r="E378" s="5"/>
      <c r="F378" s="7"/>
      <c r="G378" s="5"/>
      <c r="H378" s="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>
        <v>50</v>
      </c>
      <c r="X378" s="13"/>
      <c r="Y378" s="13">
        <v>50</v>
      </c>
      <c r="Z378" s="19"/>
    </row>
    <row r="379" ht="15.6" hidden="1" outlineLevel="2" spans="1:26">
      <c r="A379" s="5">
        <v>312</v>
      </c>
      <c r="B379" s="5">
        <v>4</v>
      </c>
      <c r="C379" s="9" t="s">
        <v>577</v>
      </c>
      <c r="D379" s="9" t="s">
        <v>12</v>
      </c>
      <c r="E379" s="5">
        <v>10.8</v>
      </c>
      <c r="F379" s="7">
        <f>LOOKUP(E379,{0,-1.8,-0.8,0.2,1.2,2.2,3.2,4.6,6,7.4,8.8,10.2,11.6,13,14.4,15.8,17.2,19.1,21,22.8,24.6},{0,10,20,30,40,50,60,62,64,66,68,70,72,74,76,78,80,85,90,95,100})</f>
        <v>70</v>
      </c>
      <c r="G379" s="5">
        <v>225</v>
      </c>
      <c r="H379" s="7">
        <f>LOOKUP(G379,{0,180,185,190,195,200,205,209,213,217,221,225,229,233,237,241,245,253,260,265,270},{0,10,20,30,40,50,60,62,64,66,68,70,72,74,76,78,80,85,90,95,100})</f>
        <v>70</v>
      </c>
      <c r="I379" s="5">
        <v>19</v>
      </c>
      <c r="J379" s="7">
        <f>LOOKUP(I379,{0,4,5,6,7,8,9,10,11,12,13,14,15,16,17,18},{0,10,20,30,40,50,60,64,68,72,76,80,85,90,95,100})</f>
        <v>100</v>
      </c>
      <c r="K379" s="5">
        <f>I379-18</f>
        <v>1</v>
      </c>
      <c r="L379" s="7">
        <f>LOOKUP(K379,{0,1,2,3,4,5,6,7,8,9,10},{0,1,2,3,4,5,6,7,8,9,10})</f>
        <v>1</v>
      </c>
      <c r="M379" s="5">
        <f t="shared" ref="M379:M403" si="171">J379+L379</f>
        <v>101</v>
      </c>
      <c r="N379" s="5">
        <v>8.1</v>
      </c>
      <c r="O379" s="10">
        <f t="shared" ref="O379:O403" si="172">18-N379</f>
        <v>9.9</v>
      </c>
      <c r="P379" s="7">
        <f>LOOKUP(O379,{0,7.8,8,8.2,8.4,8.6,8.8,9,9.2,9.4,9.6,9.8,10,10.2,10.4,10.6,10.8,10.9,11,11.1,11.2},{0,10,20,30,40,50,60,62,64,66,68,70,72,74,76,78,80,85,90,95,100})</f>
        <v>70</v>
      </c>
      <c r="Q379" s="5">
        <v>5.05</v>
      </c>
      <c r="R379" s="10">
        <f t="shared" ref="R379:R403" si="173">10-Q379</f>
        <v>4.95</v>
      </c>
      <c r="S379" s="7">
        <f>LOOKUP(R379,{0,3.85,4.45,4.65,4.85,5.45,5.65,5.7,5.75,5.8,5.85,5.9,5.95,6,6.45,6.5,6.55,6.63,6.7,6.75,6.8},{0,10,20,30,40,50,60,62,64,66,68,70,72,74,76,78,80,85,90,95,100})</f>
        <v>40</v>
      </c>
      <c r="T379" s="5"/>
      <c r="U379" s="5"/>
      <c r="V379" s="5">
        <f t="shared" ref="V379:V403" si="174">S379+U379</f>
        <v>40</v>
      </c>
      <c r="W379" s="5"/>
      <c r="X379" s="13">
        <f t="shared" ref="X379:X403" si="175">F379*0.1+H379*0.1+J379*0.1+P379*0.2+S379*0.2</f>
        <v>46</v>
      </c>
      <c r="Y379" s="13">
        <f t="shared" ref="Y379:Y403" si="176">X379/0.7+L379+U379</f>
        <v>66.7142857142857</v>
      </c>
      <c r="Z379" s="19"/>
    </row>
    <row r="380" ht="15.6" hidden="1" outlineLevel="2" spans="1:26">
      <c r="A380" s="5">
        <v>312</v>
      </c>
      <c r="B380" s="5">
        <v>5</v>
      </c>
      <c r="C380" s="9" t="s">
        <v>578</v>
      </c>
      <c r="D380" s="9" t="s">
        <v>12</v>
      </c>
      <c r="E380" s="5">
        <v>9</v>
      </c>
      <c r="F380" s="7">
        <f>LOOKUP(E380,{0,-1.8,-0.8,0.2,1.2,2.2,3.2,4.6,6,7.4,8.8,10.2,11.6,13,14.4,15.8,17.2,19.1,21,22.8,24.6},{0,10,20,30,40,50,60,62,64,66,68,70,72,74,76,78,80,85,90,95,100})</f>
        <v>68</v>
      </c>
      <c r="G380" s="5">
        <v>260</v>
      </c>
      <c r="H380" s="7">
        <f>LOOKUP(G380,{0,180,185,190,195,200,205,209,213,217,221,225,229,233,237,241,245,253,260,265,270},{0,10,20,30,40,50,60,62,64,66,68,70,72,74,76,78,80,85,90,95,100})</f>
        <v>90</v>
      </c>
      <c r="I380" s="5">
        <v>19</v>
      </c>
      <c r="J380" s="7">
        <f>LOOKUP(I380,{0,4,5,6,7,8,9,10,11,12,13,14,15,16,17,18},{0,10,20,30,40,50,60,64,68,72,76,80,85,90,95,100})</f>
        <v>100</v>
      </c>
      <c r="K380" s="5">
        <f>I380-18</f>
        <v>1</v>
      </c>
      <c r="L380" s="7">
        <f>LOOKUP(K380,{0,1,2,3,4,5,6,7,8,9,10},{0,1,2,3,4,5,6,7,8,9,10})</f>
        <v>1</v>
      </c>
      <c r="M380" s="5">
        <f t="shared" si="171"/>
        <v>101</v>
      </c>
      <c r="N380" s="5">
        <v>7.4</v>
      </c>
      <c r="O380" s="10">
        <f t="shared" si="172"/>
        <v>10.6</v>
      </c>
      <c r="P380" s="7">
        <f>LOOKUP(O380,{0,7.8,8,8.2,8.4,8.6,8.8,9,9.2,9.4,9.6,9.8,10,10.2,10.4,10.6,10.8,10.9,11,11.1,11.2},{0,10,20,30,40,50,60,62,64,66,68,70,72,74,76,78,80,85,90,95,100})</f>
        <v>78</v>
      </c>
      <c r="Q380" s="5">
        <v>4.09</v>
      </c>
      <c r="R380" s="10">
        <f t="shared" si="173"/>
        <v>5.91</v>
      </c>
      <c r="S380" s="7">
        <f>LOOKUP(R380,{0,3.85,4.45,4.65,4.85,5.45,5.65,5.7,5.75,5.8,5.85,5.9,5.95,6,6.45,6.5,6.55,6.63,6.7,6.75,6.8},{0,10,20,30,40,50,60,62,64,66,68,70,72,74,76,78,80,85,90,95,100})</f>
        <v>70</v>
      </c>
      <c r="T380" s="5"/>
      <c r="U380" s="5"/>
      <c r="V380" s="5">
        <f t="shared" si="174"/>
        <v>70</v>
      </c>
      <c r="W380" s="5"/>
      <c r="X380" s="13">
        <f t="shared" si="175"/>
        <v>55.4</v>
      </c>
      <c r="Y380" s="13">
        <f t="shared" si="176"/>
        <v>80.1428571428572</v>
      </c>
      <c r="Z380" s="20"/>
    </row>
    <row r="381" ht="15.6" hidden="1" outlineLevel="2" spans="1:26">
      <c r="A381" s="5">
        <v>312</v>
      </c>
      <c r="B381" s="5">
        <v>6</v>
      </c>
      <c r="C381" s="9" t="s">
        <v>579</v>
      </c>
      <c r="D381" s="9" t="s">
        <v>12</v>
      </c>
      <c r="E381" s="5">
        <v>9</v>
      </c>
      <c r="F381" s="7">
        <f>LOOKUP(E381,{0,-1.8,-0.8,0.2,1.2,2.2,3.2,4.6,6,7.4,8.8,10.2,11.6,13,14.4,15.8,17.2,19.1,21,22.8,24.6},{0,10,20,30,40,50,60,62,64,66,68,70,72,74,76,78,80,85,90,95,100})</f>
        <v>68</v>
      </c>
      <c r="G381" s="5">
        <v>220</v>
      </c>
      <c r="H381" s="7">
        <f>LOOKUP(G381,{0,180,185,190,195,200,205,209,213,217,221,225,229,233,237,241,245,253,260,265,270},{0,10,20,30,40,50,60,62,64,66,68,70,72,74,76,78,80,85,90,95,100})</f>
        <v>66</v>
      </c>
      <c r="I381" s="5">
        <v>4</v>
      </c>
      <c r="J381" s="7">
        <f>LOOKUP(I381,{0,4,5,6,7,8,9,10,11,12,13,14,15,16,17,18},{0,10,20,30,40,50,60,64,68,72,76,80,85,90,95,100})</f>
        <v>10</v>
      </c>
      <c r="K381" s="5"/>
      <c r="L381" s="5"/>
      <c r="M381" s="5">
        <f t="shared" si="171"/>
        <v>10</v>
      </c>
      <c r="N381" s="5">
        <v>7.2</v>
      </c>
      <c r="O381" s="10">
        <f t="shared" si="172"/>
        <v>10.8</v>
      </c>
      <c r="P381" s="7">
        <f>LOOKUP(O381,{0,7.8,8,8.2,8.4,8.6,8.8,9,9.2,9.4,9.6,9.8,10,10.2,10.4,10.6,10.8,10.9,11,11.1,11.2},{0,10,20,30,40,50,60,62,64,66,68,70,72,74,76,78,80,85,90,95,100})</f>
        <v>80</v>
      </c>
      <c r="Q381" s="5">
        <v>5.07</v>
      </c>
      <c r="R381" s="10">
        <f t="shared" si="173"/>
        <v>4.93</v>
      </c>
      <c r="S381" s="7">
        <f>LOOKUP(R381,{0,3.85,4.45,4.65,4.85,5.45,5.65,5.7,5.75,5.8,5.85,5.9,5.95,6,6.45,6.5,6.55,6.63,6.7,6.75,6.8},{0,10,20,30,40,50,60,62,64,66,68,70,72,74,76,78,80,85,90,95,100})</f>
        <v>40</v>
      </c>
      <c r="T381" s="5"/>
      <c r="U381" s="5"/>
      <c r="V381" s="5">
        <f t="shared" si="174"/>
        <v>40</v>
      </c>
      <c r="W381" s="5"/>
      <c r="X381" s="13">
        <f t="shared" si="175"/>
        <v>38.4</v>
      </c>
      <c r="Y381" s="13">
        <f t="shared" si="176"/>
        <v>54.8571428571429</v>
      </c>
      <c r="Z381" s="19"/>
    </row>
    <row r="382" ht="15.6" hidden="1" outlineLevel="2" spans="1:26">
      <c r="A382" s="5">
        <v>312</v>
      </c>
      <c r="B382" s="5">
        <v>7</v>
      </c>
      <c r="C382" s="9" t="s">
        <v>580</v>
      </c>
      <c r="D382" s="9" t="s">
        <v>12</v>
      </c>
      <c r="E382" s="5">
        <v>9</v>
      </c>
      <c r="F382" s="7">
        <f>LOOKUP(E382,{0,-1.8,-0.8,0.2,1.2,2.2,3.2,4.6,6,7.4,8.8,10.2,11.6,13,14.4,15.8,17.2,19.1,21,22.8,24.6},{0,10,20,30,40,50,60,62,64,66,68,70,72,74,76,78,80,85,90,95,100})</f>
        <v>68</v>
      </c>
      <c r="G382" s="5">
        <v>200</v>
      </c>
      <c r="H382" s="7">
        <f>LOOKUP(G382,{0,180,185,190,195,200,205,209,213,217,221,225,229,233,237,241,245,253,260,265,270},{0,10,20,30,40,50,60,62,64,66,68,70,72,74,76,78,80,85,90,95,100})</f>
        <v>50</v>
      </c>
      <c r="I382" s="5">
        <v>0</v>
      </c>
      <c r="J382" s="7">
        <f>LOOKUP(I382,{0,4,5,6,7,8,9,10,11,12,13,14,15,16,17,18},{0,10,20,30,40,50,60,64,68,72,76,80,85,90,95,100})</f>
        <v>0</v>
      </c>
      <c r="K382" s="5"/>
      <c r="L382" s="5"/>
      <c r="M382" s="5">
        <f t="shared" si="171"/>
        <v>0</v>
      </c>
      <c r="N382" s="5">
        <v>6.8</v>
      </c>
      <c r="O382" s="10">
        <f t="shared" si="172"/>
        <v>11.2</v>
      </c>
      <c r="P382" s="7">
        <f>LOOKUP(O382,{0,7.8,8,8.2,8.4,8.6,8.8,9,9.2,9.4,9.6,9.8,10,10.2,10.4,10.6,10.8,10.9,11,11.1,11.2},{0,10,20,30,40,50,60,62,64,66,68,70,72,74,76,78,80,85,90,95,100})</f>
        <v>100</v>
      </c>
      <c r="Q382" s="5">
        <v>5.5</v>
      </c>
      <c r="R382" s="10">
        <f t="shared" si="173"/>
        <v>4.5</v>
      </c>
      <c r="S382" s="7">
        <f>LOOKUP(R382,{0,3.85,4.45,4.65,4.85,5.45,5.65,5.7,5.75,5.8,5.85,5.9,5.95,6,6.45,6.5,6.55,6.63,6.7,6.75,6.8},{0,10,20,30,40,50,60,62,64,66,68,70,72,74,76,78,80,85,90,95,100})</f>
        <v>20</v>
      </c>
      <c r="T382" s="5"/>
      <c r="U382" s="5"/>
      <c r="V382" s="5">
        <f t="shared" si="174"/>
        <v>20</v>
      </c>
      <c r="W382" s="5"/>
      <c r="X382" s="13">
        <f t="shared" si="175"/>
        <v>35.8</v>
      </c>
      <c r="Y382" s="13">
        <f t="shared" si="176"/>
        <v>51.1428571428571</v>
      </c>
      <c r="Z382" s="19"/>
    </row>
    <row r="383" ht="15.6" hidden="1" outlineLevel="2" spans="1:26">
      <c r="A383" s="5">
        <v>312</v>
      </c>
      <c r="B383" s="5">
        <v>8</v>
      </c>
      <c r="C383" s="9" t="s">
        <v>581</v>
      </c>
      <c r="D383" s="9" t="s">
        <v>12</v>
      </c>
      <c r="E383" s="5">
        <v>15.3</v>
      </c>
      <c r="F383" s="7">
        <f>LOOKUP(E383,{0,-1.8,-0.8,0.2,1.2,2.2,3.2,4.6,6,7.4,8.8,10.2,11.6,13,14.4,15.8,17.2,19.1,21,22.8,24.6},{0,10,20,30,40,50,60,62,64,66,68,70,72,74,76,78,80,85,90,95,100})</f>
        <v>76</v>
      </c>
      <c r="G383" s="5">
        <v>255</v>
      </c>
      <c r="H383" s="7">
        <f>LOOKUP(G383,{0,180,185,190,195,200,205,209,213,217,221,225,229,233,237,241,245,253,260,265,270},{0,10,20,30,40,50,60,62,64,66,68,70,72,74,76,78,80,85,90,95,100})</f>
        <v>85</v>
      </c>
      <c r="I383" s="5">
        <v>14</v>
      </c>
      <c r="J383" s="7">
        <f>LOOKUP(I383,{0,4,5,6,7,8,9,10,11,12,13,14,15,16,17,18},{0,10,20,30,40,50,60,64,68,72,76,80,85,90,95,100})</f>
        <v>80</v>
      </c>
      <c r="K383" s="5"/>
      <c r="L383" s="5"/>
      <c r="M383" s="5">
        <f t="shared" si="171"/>
        <v>80</v>
      </c>
      <c r="N383" s="5">
        <v>7.8</v>
      </c>
      <c r="O383" s="10">
        <f t="shared" si="172"/>
        <v>10.2</v>
      </c>
      <c r="P383" s="7">
        <f>LOOKUP(O383,{0,7.8,8,8.2,8.4,8.6,8.8,9,9.2,9.4,9.6,9.8,10,10.2,10.4,10.6,10.8,10.9,11,11.1,11.2},{0,10,20,30,40,50,60,62,64,66,68,70,72,74,76,78,80,85,90,95,100})</f>
        <v>74</v>
      </c>
      <c r="Q383" s="5">
        <v>3.24</v>
      </c>
      <c r="R383" s="10">
        <f t="shared" si="173"/>
        <v>6.76</v>
      </c>
      <c r="S383" s="7">
        <f>LOOKUP(R383,{0,3.85,4.45,4.65,4.85,5.45,5.65,5.7,5.75,5.8,5.85,5.9,5.95,6,6.45,6.5,6.55,6.63,6.7,6.75,6.8},{0,10,20,30,40,50,60,62,64,66,68,70,72,74,76,78,80,85,90,95,100})</f>
        <v>95</v>
      </c>
      <c r="T383" s="5"/>
      <c r="U383" s="5"/>
      <c r="V383" s="5">
        <f t="shared" si="174"/>
        <v>95</v>
      </c>
      <c r="W383" s="5"/>
      <c r="X383" s="13">
        <f t="shared" si="175"/>
        <v>57.9</v>
      </c>
      <c r="Y383" s="13">
        <f t="shared" si="176"/>
        <v>82.7142857142857</v>
      </c>
      <c r="Z383" s="19"/>
    </row>
    <row r="384" ht="15.6" hidden="1" outlineLevel="2" spans="1:26">
      <c r="A384" s="5">
        <v>312</v>
      </c>
      <c r="B384" s="5">
        <v>9</v>
      </c>
      <c r="C384" s="9" t="s">
        <v>582</v>
      </c>
      <c r="D384" s="9" t="s">
        <v>12</v>
      </c>
      <c r="E384" s="5">
        <v>8</v>
      </c>
      <c r="F384" s="7">
        <f>LOOKUP(E384,{0,-1.8,-0.8,0.2,1.2,2.2,3.2,4.6,6,7.4,8.8,10.2,11.6,13,14.4,15.8,17.2,19.1,21,22.8,24.6},{0,10,20,30,40,50,60,62,64,66,68,70,72,74,76,78,80,85,90,95,100})</f>
        <v>66</v>
      </c>
      <c r="G384" s="5">
        <v>230</v>
      </c>
      <c r="H384" s="7">
        <f>LOOKUP(G384,{0,180,185,190,195,200,205,209,213,217,221,225,229,233,237,241,245,253,260,265,270},{0,10,20,30,40,50,60,62,64,66,68,70,72,74,76,78,80,85,90,95,100})</f>
        <v>72</v>
      </c>
      <c r="I384" s="5">
        <v>16</v>
      </c>
      <c r="J384" s="7">
        <f>LOOKUP(I384,{0,4,5,6,7,8,9,10,11,12,13,14,15,16,17,18},{0,10,20,30,40,50,60,64,68,72,76,80,85,90,95,100})</f>
        <v>90</v>
      </c>
      <c r="K384" s="5"/>
      <c r="L384" s="5"/>
      <c r="M384" s="5">
        <f t="shared" si="171"/>
        <v>90</v>
      </c>
      <c r="N384" s="5">
        <v>7.8</v>
      </c>
      <c r="O384" s="10">
        <f t="shared" si="172"/>
        <v>10.2</v>
      </c>
      <c r="P384" s="7">
        <f>LOOKUP(O384,{0,7.8,8,8.2,8.4,8.6,8.8,9,9.2,9.4,9.6,9.8,10,10.2,10.4,10.6,10.8,10.9,11,11.1,11.2},{0,10,20,30,40,50,60,62,64,66,68,70,72,74,76,78,80,85,90,95,100})</f>
        <v>74</v>
      </c>
      <c r="Q384" s="5">
        <v>5.17</v>
      </c>
      <c r="R384" s="10">
        <f t="shared" si="173"/>
        <v>4.83</v>
      </c>
      <c r="S384" s="7">
        <f>LOOKUP(R384,{0,3.85,4.45,4.65,4.85,5.45,5.65,5.7,5.75,5.8,5.85,5.9,5.95,6,6.45,6.5,6.55,6.63,6.7,6.75,6.8},{0,10,20,30,40,50,60,62,64,66,68,70,72,74,76,78,80,85,90,95,100})</f>
        <v>30</v>
      </c>
      <c r="T384" s="5"/>
      <c r="U384" s="5"/>
      <c r="V384" s="5">
        <f t="shared" si="174"/>
        <v>30</v>
      </c>
      <c r="W384" s="5"/>
      <c r="X384" s="13">
        <f t="shared" si="175"/>
        <v>43.6</v>
      </c>
      <c r="Y384" s="13">
        <f t="shared" si="176"/>
        <v>62.2857142857143</v>
      </c>
      <c r="Z384" s="19"/>
    </row>
    <row r="385" ht="15.6" hidden="1" outlineLevel="2" spans="1:26">
      <c r="A385" s="5">
        <v>312</v>
      </c>
      <c r="B385" s="5">
        <v>10</v>
      </c>
      <c r="C385" s="9" t="s">
        <v>583</v>
      </c>
      <c r="D385" s="9" t="s">
        <v>12</v>
      </c>
      <c r="E385" s="5">
        <v>18.5</v>
      </c>
      <c r="F385" s="7">
        <f>LOOKUP(E385,{0,-1.8,-0.8,0.2,1.2,2.2,3.2,4.6,6,7.4,8.8,10.2,11.6,13,14.4,15.8,17.2,19.1,21,22.8,24.6},{0,10,20,30,40,50,60,62,64,66,68,70,72,74,76,78,80,85,90,95,100})</f>
        <v>80</v>
      </c>
      <c r="G385" s="5">
        <v>250</v>
      </c>
      <c r="H385" s="7">
        <f>LOOKUP(G385,{0,180,185,190,195,200,205,209,213,217,221,225,229,233,237,241,245,253,260,265,270},{0,10,20,30,40,50,60,62,64,66,68,70,72,74,76,78,80,85,90,95,100})</f>
        <v>80</v>
      </c>
      <c r="I385" s="5">
        <v>5</v>
      </c>
      <c r="J385" s="7">
        <f>LOOKUP(I385,{0,4,5,6,7,8,9,10,11,12,13,14,15,16,17,18},{0,10,20,30,40,50,60,64,68,72,76,80,85,90,95,100})</f>
        <v>20</v>
      </c>
      <c r="K385" s="5"/>
      <c r="L385" s="5"/>
      <c r="M385" s="5">
        <f t="shared" si="171"/>
        <v>20</v>
      </c>
      <c r="N385" s="5">
        <v>7</v>
      </c>
      <c r="O385" s="10">
        <f t="shared" si="172"/>
        <v>11</v>
      </c>
      <c r="P385" s="7">
        <f>LOOKUP(O385,{0,7.8,8,8.2,8.4,8.6,8.8,9,9.2,9.4,9.6,9.8,10,10.2,10.4,10.6,10.8,10.9,11,11.1,11.2},{0,10,20,30,40,50,60,62,64,66,68,70,72,74,76,78,80,85,90,95,100})</f>
        <v>90</v>
      </c>
      <c r="Q385" s="5">
        <v>5.5</v>
      </c>
      <c r="R385" s="10">
        <f t="shared" si="173"/>
        <v>4.5</v>
      </c>
      <c r="S385" s="7">
        <f>LOOKUP(R385,{0,3.85,4.45,4.65,4.85,5.45,5.65,5.7,5.75,5.8,5.85,5.9,5.95,6,6.45,6.5,6.55,6.63,6.7,6.75,6.8},{0,10,20,30,40,50,60,62,64,66,68,70,72,74,76,78,80,85,90,95,100})</f>
        <v>20</v>
      </c>
      <c r="T385" s="5"/>
      <c r="U385" s="5"/>
      <c r="V385" s="5">
        <f t="shared" si="174"/>
        <v>20</v>
      </c>
      <c r="W385" s="5"/>
      <c r="X385" s="13">
        <f t="shared" si="175"/>
        <v>40</v>
      </c>
      <c r="Y385" s="13">
        <f t="shared" si="176"/>
        <v>57.1428571428571</v>
      </c>
      <c r="Z385" s="19"/>
    </row>
    <row r="386" ht="15.6" hidden="1" outlineLevel="2" spans="1:26">
      <c r="A386" s="5">
        <v>312</v>
      </c>
      <c r="B386" s="5">
        <v>11</v>
      </c>
      <c r="C386" s="9" t="s">
        <v>584</v>
      </c>
      <c r="D386" s="9" t="s">
        <v>12</v>
      </c>
      <c r="E386" s="5">
        <v>8.7</v>
      </c>
      <c r="F386" s="7">
        <f>LOOKUP(E386,{0,-1.8,-0.8,0.2,1.2,2.2,3.2,4.6,6,7.4,8.8,10.2,11.6,13,14.4,15.8,17.2,19.1,21,22.8,24.6},{0,10,20,30,40,50,60,62,64,66,68,70,72,74,76,78,80,85,90,95,100})</f>
        <v>66</v>
      </c>
      <c r="G386" s="5">
        <v>205</v>
      </c>
      <c r="H386" s="7">
        <f>LOOKUP(G386,{0,180,185,190,195,200,205,209,213,217,221,225,229,233,237,241,245,253,260,265,270},{0,10,20,30,40,50,60,62,64,66,68,70,72,74,76,78,80,85,90,95,100})</f>
        <v>60</v>
      </c>
      <c r="I386" s="5">
        <v>5</v>
      </c>
      <c r="J386" s="7">
        <f>LOOKUP(I386,{0,4,5,6,7,8,9,10,11,12,13,14,15,16,17,18},{0,10,20,30,40,50,60,64,68,72,76,80,85,90,95,100})</f>
        <v>20</v>
      </c>
      <c r="K386" s="5"/>
      <c r="L386" s="5"/>
      <c r="M386" s="5">
        <f t="shared" si="171"/>
        <v>20</v>
      </c>
      <c r="N386" s="5">
        <v>7.5</v>
      </c>
      <c r="O386" s="10">
        <f t="shared" si="172"/>
        <v>10.5</v>
      </c>
      <c r="P386" s="7">
        <f>LOOKUP(O386,{0,7.8,8,8.2,8.4,8.6,8.8,9,9.2,9.4,9.6,9.8,10,10.2,10.4,10.6,10.8,10.9,11,11.1,11.2},{0,10,20,30,40,50,60,62,64,66,68,70,72,74,76,78,80,85,90,95,100})</f>
        <v>76</v>
      </c>
      <c r="Q386" s="5">
        <v>5.42</v>
      </c>
      <c r="R386" s="10">
        <f t="shared" si="173"/>
        <v>4.58</v>
      </c>
      <c r="S386" s="7">
        <f>LOOKUP(R386,{0,3.85,4.45,4.65,4.85,5.45,5.65,5.7,5.75,5.8,5.85,5.9,5.95,6,6.45,6.5,6.55,6.63,6.7,6.75,6.8},{0,10,20,30,40,50,60,62,64,66,68,70,72,74,76,78,80,85,90,95,100})</f>
        <v>20</v>
      </c>
      <c r="T386" s="5"/>
      <c r="U386" s="5"/>
      <c r="V386" s="5">
        <f t="shared" si="174"/>
        <v>20</v>
      </c>
      <c r="W386" s="5"/>
      <c r="X386" s="13">
        <f t="shared" si="175"/>
        <v>33.8</v>
      </c>
      <c r="Y386" s="13">
        <f t="shared" si="176"/>
        <v>48.2857142857143</v>
      </c>
      <c r="Z386" s="19"/>
    </row>
    <row r="387" ht="15.6" hidden="1" outlineLevel="2" spans="1:26">
      <c r="A387" s="5">
        <v>312</v>
      </c>
      <c r="B387" s="5">
        <v>12</v>
      </c>
      <c r="C387" s="8" t="s">
        <v>586</v>
      </c>
      <c r="D387" s="9" t="s">
        <v>12</v>
      </c>
      <c r="E387" s="5">
        <v>9</v>
      </c>
      <c r="F387" s="7">
        <f>LOOKUP(E387,{0,-1.8,-0.8,0.2,1.2,2.2,3.2,4.6,6,7.4,8.8,10.2,11.6,13,14.4,15.8,17.2,19.1,21,22.8,24.6},{0,10,20,30,40,50,60,62,64,66,68,70,72,74,76,78,80,85,90,95,100})</f>
        <v>68</v>
      </c>
      <c r="G387" s="5">
        <v>228</v>
      </c>
      <c r="H387" s="7">
        <f>LOOKUP(G387,{0,180,185,190,195,200,205,209,213,217,221,225,229,233,237,241,245,253,260,265,270},{0,10,20,30,40,50,60,62,64,66,68,70,72,74,76,78,80,85,90,95,100})</f>
        <v>70</v>
      </c>
      <c r="I387" s="5">
        <v>11</v>
      </c>
      <c r="J387" s="7">
        <f>LOOKUP(I387,{0,4,5,6,7,8,9,10,11,12,13,14,15,16,17,18},{0,10,20,30,40,50,60,64,68,72,76,80,85,90,95,100})</f>
        <v>68</v>
      </c>
      <c r="K387" s="5"/>
      <c r="L387" s="5"/>
      <c r="M387" s="5">
        <f t="shared" si="171"/>
        <v>68</v>
      </c>
      <c r="N387" s="5">
        <v>7.7</v>
      </c>
      <c r="O387" s="10">
        <f t="shared" si="172"/>
        <v>10.3</v>
      </c>
      <c r="P387" s="7">
        <f>LOOKUP(O387,{0,7.8,8,8.2,8.4,8.6,8.8,9,9.2,9.4,9.6,9.8,10,10.2,10.4,10.6,10.8,10.9,11,11.1,11.2},{0,10,20,30,40,50,60,62,64,66,68,70,72,74,76,78,80,85,90,95,100})</f>
        <v>74</v>
      </c>
      <c r="Q387" s="5">
        <v>5.18</v>
      </c>
      <c r="R387" s="10">
        <f t="shared" si="173"/>
        <v>4.82</v>
      </c>
      <c r="S387" s="7">
        <f>LOOKUP(R387,{0,3.85,4.45,4.65,4.85,5.45,5.65,5.7,5.75,5.8,5.85,5.9,5.95,6,6.45,6.5,6.55,6.63,6.7,6.75,6.8},{0,10,20,30,40,50,60,62,64,66,68,70,72,74,76,78,80,85,90,95,100})</f>
        <v>30</v>
      </c>
      <c r="T387" s="5"/>
      <c r="U387" s="5"/>
      <c r="V387" s="5">
        <f t="shared" si="174"/>
        <v>30</v>
      </c>
      <c r="W387" s="5"/>
      <c r="X387" s="13">
        <f t="shared" si="175"/>
        <v>41.4</v>
      </c>
      <c r="Y387" s="13">
        <f t="shared" si="176"/>
        <v>59.1428571428572</v>
      </c>
      <c r="Z387" s="19"/>
    </row>
    <row r="388" ht="15.6" hidden="1" outlineLevel="2" spans="1:26">
      <c r="A388" s="5">
        <v>312</v>
      </c>
      <c r="B388" s="5">
        <v>13</v>
      </c>
      <c r="C388" s="9" t="s">
        <v>587</v>
      </c>
      <c r="D388" s="9" t="s">
        <v>12</v>
      </c>
      <c r="E388" s="5">
        <v>8</v>
      </c>
      <c r="F388" s="7">
        <f>LOOKUP(E388,{0,-1.8,-0.8,0.2,1.2,2.2,3.2,4.6,6,7.4,8.8,10.2,11.6,13,14.4,15.8,17.2,19.1,21,22.8,24.6},{0,10,20,30,40,50,60,62,64,66,68,70,72,74,76,78,80,85,90,95,100})</f>
        <v>66</v>
      </c>
      <c r="G388" s="5">
        <v>265</v>
      </c>
      <c r="H388" s="7">
        <f>LOOKUP(G388,{0,180,185,190,195,200,205,209,213,217,221,225,229,233,237,241,245,253,260,265,270},{0,10,20,30,40,50,60,62,64,66,68,70,72,74,76,78,80,85,90,95,100})</f>
        <v>95</v>
      </c>
      <c r="I388" s="5">
        <v>8</v>
      </c>
      <c r="J388" s="7">
        <f>LOOKUP(I388,{0,4,5,6,7,8,9,10,11,12,13,14,15,16,17,18},{0,10,20,30,40,50,60,64,68,72,76,80,85,90,95,100})</f>
        <v>50</v>
      </c>
      <c r="K388" s="5"/>
      <c r="L388" s="5"/>
      <c r="M388" s="5">
        <f t="shared" si="171"/>
        <v>50</v>
      </c>
      <c r="N388" s="5">
        <v>7.3</v>
      </c>
      <c r="O388" s="10">
        <f t="shared" si="172"/>
        <v>10.7</v>
      </c>
      <c r="P388" s="7">
        <f>LOOKUP(O388,{0,7.8,8,8.2,8.4,8.6,8.8,9,9.2,9.4,9.6,9.8,10,10.2,10.4,10.6,10.8,10.9,11,11.1,11.2},{0,10,20,30,40,50,60,62,64,66,68,70,72,74,76,78,80,85,90,95,100})</f>
        <v>78</v>
      </c>
      <c r="Q388" s="5">
        <v>5.17</v>
      </c>
      <c r="R388" s="10">
        <f t="shared" si="173"/>
        <v>4.83</v>
      </c>
      <c r="S388" s="7">
        <f>LOOKUP(R388,{0,3.85,4.45,4.65,4.85,5.45,5.65,5.7,5.75,5.8,5.85,5.9,5.95,6,6.45,6.5,6.55,6.63,6.7,6.75,6.8},{0,10,20,30,40,50,60,62,64,66,68,70,72,74,76,78,80,85,90,95,100})</f>
        <v>30</v>
      </c>
      <c r="T388" s="5"/>
      <c r="U388" s="5"/>
      <c r="V388" s="5">
        <f t="shared" si="174"/>
        <v>30</v>
      </c>
      <c r="W388" s="5"/>
      <c r="X388" s="13">
        <f t="shared" si="175"/>
        <v>42.7</v>
      </c>
      <c r="Y388" s="13">
        <f t="shared" si="176"/>
        <v>61</v>
      </c>
      <c r="Z388" s="19"/>
    </row>
    <row r="389" ht="15.6" hidden="1" outlineLevel="2" spans="1:26">
      <c r="A389" s="5">
        <v>312</v>
      </c>
      <c r="B389" s="5">
        <v>14</v>
      </c>
      <c r="C389" s="9" t="s">
        <v>588</v>
      </c>
      <c r="D389" s="9" t="s">
        <v>12</v>
      </c>
      <c r="E389" s="5">
        <v>13</v>
      </c>
      <c r="F389" s="7">
        <f>LOOKUP(E389,{0,-1.8,-0.8,0.2,1.2,2.2,3.2,4.6,6,7.4,8.8,10.2,11.6,13,14.4,15.8,17.2,19.1,21,22.8,24.6},{0,10,20,30,40,50,60,62,64,66,68,70,72,74,76,78,80,85,90,95,100})</f>
        <v>74</v>
      </c>
      <c r="G389" s="5">
        <v>210</v>
      </c>
      <c r="H389" s="7">
        <f>LOOKUP(G389,{0,180,185,190,195,200,205,209,213,217,221,225,229,233,237,241,245,253,260,265,270},{0,10,20,30,40,50,60,62,64,66,68,70,72,74,76,78,80,85,90,95,100})</f>
        <v>62</v>
      </c>
      <c r="I389" s="5">
        <v>5</v>
      </c>
      <c r="J389" s="7">
        <f>LOOKUP(I389,{0,4,5,6,7,8,9,10,11,12,13,14,15,16,17,18},{0,10,20,30,40,50,60,64,68,72,76,80,85,90,95,100})</f>
        <v>20</v>
      </c>
      <c r="K389" s="5"/>
      <c r="L389" s="5"/>
      <c r="M389" s="5">
        <f t="shared" si="171"/>
        <v>20</v>
      </c>
      <c r="N389" s="5">
        <v>8.3</v>
      </c>
      <c r="O389" s="10">
        <f t="shared" si="172"/>
        <v>9.7</v>
      </c>
      <c r="P389" s="7">
        <f>LOOKUP(O389,{0,7.8,8,8.2,8.4,8.6,8.8,9,9.2,9.4,9.6,9.8,10,10.2,10.4,10.6,10.8,10.9,11,11.1,11.2},{0,10,20,30,40,50,60,62,64,66,68,70,72,74,76,78,80,85,90,95,100})</f>
        <v>68</v>
      </c>
      <c r="Q389" s="5">
        <v>4.15</v>
      </c>
      <c r="R389" s="10">
        <f t="shared" si="173"/>
        <v>5.85</v>
      </c>
      <c r="S389" s="7">
        <f>LOOKUP(R389,{0,3.85,4.45,4.65,4.85,5.45,5.65,5.7,5.75,5.8,5.85,5.9,5.95,6,6.45,6.5,6.55,6.63,6.7,6.75,6.8},{0,10,20,30,40,50,60,62,64,66,68,70,72,74,76,78,80,85,90,95,100})</f>
        <v>68</v>
      </c>
      <c r="T389" s="5"/>
      <c r="U389" s="5"/>
      <c r="V389" s="5">
        <f t="shared" si="174"/>
        <v>68</v>
      </c>
      <c r="W389" s="5"/>
      <c r="X389" s="13">
        <f t="shared" si="175"/>
        <v>42.8</v>
      </c>
      <c r="Y389" s="13">
        <f t="shared" si="176"/>
        <v>61.1428571428572</v>
      </c>
      <c r="Z389" s="19"/>
    </row>
    <row r="390" ht="15.6" hidden="1" outlineLevel="2" spans="1:26">
      <c r="A390" s="5">
        <v>312</v>
      </c>
      <c r="B390" s="5">
        <v>15</v>
      </c>
      <c r="C390" s="9" t="s">
        <v>589</v>
      </c>
      <c r="D390" s="9" t="s">
        <v>12</v>
      </c>
      <c r="E390" s="5">
        <v>12</v>
      </c>
      <c r="F390" s="7">
        <f>LOOKUP(E390,{0,-1.8,-0.8,0.2,1.2,2.2,3.2,4.6,6,7.4,8.8,10.2,11.6,13,14.4,15.8,17.2,19.1,21,22.8,24.6},{0,10,20,30,40,50,60,62,64,66,68,70,72,74,76,78,80,85,90,95,100})</f>
        <v>72</v>
      </c>
      <c r="G390" s="5">
        <v>235</v>
      </c>
      <c r="H390" s="7">
        <f>LOOKUP(G390,{0,180,185,190,195,200,205,209,213,217,221,225,229,233,237,241,245,253,260,265,270},{0,10,20,30,40,50,60,62,64,66,68,70,72,74,76,78,80,85,90,95,100})</f>
        <v>74</v>
      </c>
      <c r="I390" s="5">
        <v>0</v>
      </c>
      <c r="J390" s="7">
        <f>LOOKUP(I390,{0,4,5,6,7,8,9,10,11,12,13,14,15,16,17,18},{0,10,20,30,40,50,60,64,68,72,76,80,85,90,95,100})</f>
        <v>0</v>
      </c>
      <c r="K390" s="5"/>
      <c r="L390" s="5"/>
      <c r="M390" s="5">
        <f t="shared" si="171"/>
        <v>0</v>
      </c>
      <c r="N390" s="5">
        <v>7.2</v>
      </c>
      <c r="O390" s="10">
        <f t="shared" si="172"/>
        <v>10.8</v>
      </c>
      <c r="P390" s="7">
        <f>LOOKUP(O390,{0,7.8,8,8.2,8.4,8.6,8.8,9,9.2,9.4,9.6,9.8,10,10.2,10.4,10.6,10.8,10.9,11,11.1,11.2},{0,10,20,30,40,50,60,62,64,66,68,70,72,74,76,78,80,85,90,95,100})</f>
        <v>80</v>
      </c>
      <c r="Q390" s="5">
        <v>4.11</v>
      </c>
      <c r="R390" s="10">
        <f t="shared" si="173"/>
        <v>5.89</v>
      </c>
      <c r="S390" s="7">
        <f>LOOKUP(R390,{0,3.85,4.45,4.65,4.85,5.45,5.65,5.7,5.75,5.8,5.85,5.9,5.95,6,6.45,6.5,6.55,6.63,6.7,6.75,6.8},{0,10,20,30,40,50,60,62,64,66,68,70,72,74,76,78,80,85,90,95,100})</f>
        <v>68</v>
      </c>
      <c r="T390" s="5"/>
      <c r="U390" s="5"/>
      <c r="V390" s="5">
        <f t="shared" si="174"/>
        <v>68</v>
      </c>
      <c r="W390" s="5"/>
      <c r="X390" s="13">
        <f t="shared" si="175"/>
        <v>44.2</v>
      </c>
      <c r="Y390" s="13">
        <f t="shared" si="176"/>
        <v>63.1428571428572</v>
      </c>
      <c r="Z390" s="19"/>
    </row>
    <row r="391" ht="15.6" hidden="1" outlineLevel="2" spans="1:26">
      <c r="A391" s="5">
        <v>312</v>
      </c>
      <c r="B391" s="5">
        <v>16</v>
      </c>
      <c r="C391" s="9" t="s">
        <v>590</v>
      </c>
      <c r="D391" s="9" t="s">
        <v>12</v>
      </c>
      <c r="E391" s="5">
        <v>18</v>
      </c>
      <c r="F391" s="7">
        <f>LOOKUP(E391,{0,-1.8,-0.8,0.2,1.2,2.2,3.2,4.6,6,7.4,8.8,10.2,11.6,13,14.4,15.8,17.2,19.1,21,22.8,24.6},{0,10,20,30,40,50,60,62,64,66,68,70,72,74,76,78,80,85,90,95,100})</f>
        <v>80</v>
      </c>
      <c r="G391" s="5">
        <v>245</v>
      </c>
      <c r="H391" s="7">
        <f>LOOKUP(G391,{0,180,185,190,195,200,205,209,213,217,221,225,229,233,237,241,245,253,260,265,270},{0,10,20,30,40,50,60,62,64,66,68,70,72,74,76,78,80,85,90,95,100})</f>
        <v>80</v>
      </c>
      <c r="I391" s="5">
        <v>24</v>
      </c>
      <c r="J391" s="7">
        <f>LOOKUP(I391,{0,4,5,6,7,8,9,10,11,12,13,14,15,16,17,18},{0,10,20,30,40,50,60,64,68,72,76,80,85,90,95,100})</f>
        <v>100</v>
      </c>
      <c r="K391" s="5">
        <f t="shared" ref="K391:K396" si="177">I391-18</f>
        <v>6</v>
      </c>
      <c r="L391" s="7">
        <f>LOOKUP(K391,{0,1,2,3,4,5,6,7,8,9,10},{0,1,2,3,4,5,6,7,8,9,10})</f>
        <v>6</v>
      </c>
      <c r="M391" s="5">
        <f t="shared" si="171"/>
        <v>106</v>
      </c>
      <c r="N391" s="5">
        <v>7.2</v>
      </c>
      <c r="O391" s="10">
        <f t="shared" si="172"/>
        <v>10.8</v>
      </c>
      <c r="P391" s="7">
        <f>LOOKUP(O391,{0,7.8,8,8.2,8.4,8.6,8.8,9,9.2,9.4,9.6,9.8,10,10.2,10.4,10.6,10.8,10.9,11,11.1,11.2},{0,10,20,30,40,50,60,62,64,66,68,70,72,74,76,78,80,85,90,95,100})</f>
        <v>80</v>
      </c>
      <c r="Q391" s="5">
        <v>3.23</v>
      </c>
      <c r="R391" s="10">
        <f t="shared" si="173"/>
        <v>6.77</v>
      </c>
      <c r="S391" s="7">
        <f>LOOKUP(R391,{0,3.85,4.45,4.65,4.85,5.45,5.65,5.7,5.75,5.8,5.85,5.9,5.95,6,6.45,6.5,6.55,6.63,6.7,6.75,6.8},{0,10,20,30,40,50,60,62,64,66,68,70,72,74,76,78,80,85,90,95,100})</f>
        <v>95</v>
      </c>
      <c r="T391" s="5"/>
      <c r="U391" s="5"/>
      <c r="V391" s="5">
        <f t="shared" si="174"/>
        <v>95</v>
      </c>
      <c r="W391" s="5"/>
      <c r="X391" s="13">
        <f t="shared" si="175"/>
        <v>61</v>
      </c>
      <c r="Y391" s="13">
        <f t="shared" si="176"/>
        <v>93.1428571428572</v>
      </c>
      <c r="Z391" s="19"/>
    </row>
    <row r="392" ht="15.6" hidden="1" outlineLevel="2" spans="1:26">
      <c r="A392" s="5">
        <v>312</v>
      </c>
      <c r="B392" s="5">
        <v>17</v>
      </c>
      <c r="C392" s="9" t="s">
        <v>591</v>
      </c>
      <c r="D392" s="9" t="s">
        <v>12</v>
      </c>
      <c r="E392" s="5">
        <v>3</v>
      </c>
      <c r="F392" s="7">
        <f>LOOKUP(E392,{0,-1.8,-0.8,0.2,1.2,2.2,3.2,4.6,6,7.4,8.8,10.2,11.6,13,14.4,15.8,17.2,19.1,21,22.8,24.6},{0,10,20,30,40,50,60,62,64,66,68,70,72,74,76,78,80,85,90,95,100})</f>
        <v>50</v>
      </c>
      <c r="G392" s="5">
        <v>190</v>
      </c>
      <c r="H392" s="7">
        <f>LOOKUP(G392,{0,180,185,190,195,200,205,209,213,217,221,225,229,233,237,241,245,253,260,265,270},{0,10,20,30,40,50,60,62,64,66,68,70,72,74,76,78,80,85,90,95,100})</f>
        <v>30</v>
      </c>
      <c r="I392" s="5">
        <v>10</v>
      </c>
      <c r="J392" s="7">
        <f>LOOKUP(I392,{0,4,5,6,7,8,9,10,11,12,13,14,15,16,17,18},{0,10,20,30,40,50,60,64,68,72,76,80,85,90,95,100})</f>
        <v>64</v>
      </c>
      <c r="K392" s="5"/>
      <c r="L392" s="5"/>
      <c r="M392" s="5">
        <f t="shared" si="171"/>
        <v>64</v>
      </c>
      <c r="N392" s="5">
        <v>7.8</v>
      </c>
      <c r="O392" s="10">
        <f t="shared" si="172"/>
        <v>10.2</v>
      </c>
      <c r="P392" s="7">
        <f>LOOKUP(O392,{0,7.8,8,8.2,8.4,8.6,8.8,9,9.2,9.4,9.6,9.8,10,10.2,10.4,10.6,10.8,10.9,11,11.1,11.2},{0,10,20,30,40,50,60,62,64,66,68,70,72,74,76,78,80,85,90,95,100})</f>
        <v>74</v>
      </c>
      <c r="Q392" s="5">
        <v>5.5</v>
      </c>
      <c r="R392" s="10">
        <f t="shared" si="173"/>
        <v>4.5</v>
      </c>
      <c r="S392" s="7">
        <f>LOOKUP(R392,{0,3.85,4.45,4.65,4.85,5.45,5.65,5.7,5.75,5.8,5.85,5.9,5.95,6,6.45,6.5,6.55,6.63,6.7,6.75,6.8},{0,10,20,30,40,50,60,62,64,66,68,70,72,74,76,78,80,85,90,95,100})</f>
        <v>20</v>
      </c>
      <c r="T392" s="5"/>
      <c r="U392" s="5"/>
      <c r="V392" s="5">
        <f t="shared" si="174"/>
        <v>20</v>
      </c>
      <c r="W392" s="5"/>
      <c r="X392" s="13">
        <f t="shared" si="175"/>
        <v>33.2</v>
      </c>
      <c r="Y392" s="13">
        <f t="shared" si="176"/>
        <v>47.4285714285714</v>
      </c>
      <c r="Z392" s="19"/>
    </row>
    <row r="393" ht="15.6" hidden="1" outlineLevel="2" spans="1:26">
      <c r="A393" s="5">
        <v>312</v>
      </c>
      <c r="B393" s="5">
        <v>18</v>
      </c>
      <c r="C393" s="9" t="s">
        <v>592</v>
      </c>
      <c r="D393" s="9" t="s">
        <v>12</v>
      </c>
      <c r="E393" s="5">
        <v>12</v>
      </c>
      <c r="F393" s="7">
        <f>LOOKUP(E393,{0,-1.8,-0.8,0.2,1.2,2.2,3.2,4.6,6,7.4,8.8,10.2,11.6,13,14.4,15.8,17.2,19.1,21,22.8,24.6},{0,10,20,30,40,50,60,62,64,66,68,70,72,74,76,78,80,85,90,95,100})</f>
        <v>72</v>
      </c>
      <c r="G393" s="5">
        <v>265</v>
      </c>
      <c r="H393" s="7">
        <f>LOOKUP(G393,{0,180,185,190,195,200,205,209,213,217,221,225,229,233,237,241,245,253,260,265,270},{0,10,20,30,40,50,60,62,64,66,68,70,72,74,76,78,80,85,90,95,100})</f>
        <v>95</v>
      </c>
      <c r="I393" s="5">
        <v>30</v>
      </c>
      <c r="J393" s="7">
        <f>LOOKUP(I393,{0,4,5,6,7,8,9,10,11,12,13,14,15,16,17,18},{0,10,20,30,40,50,60,64,68,72,76,80,85,90,95,100})</f>
        <v>100</v>
      </c>
      <c r="K393" s="5">
        <f t="shared" si="177"/>
        <v>12</v>
      </c>
      <c r="L393" s="7">
        <f>LOOKUP(K393,{0,1,2,3,4,5,6,7,8,9,10},{0,1,2,3,4,5,6,7,8,9,10})</f>
        <v>10</v>
      </c>
      <c r="M393" s="5">
        <f t="shared" si="171"/>
        <v>110</v>
      </c>
      <c r="N393" s="5">
        <v>7.5</v>
      </c>
      <c r="O393" s="10">
        <f t="shared" si="172"/>
        <v>10.5</v>
      </c>
      <c r="P393" s="7">
        <f>LOOKUP(O393,{0,7.8,8,8.2,8.4,8.6,8.8,9,9.2,9.4,9.6,9.8,10,10.2,10.4,10.6,10.8,10.9,11,11.1,11.2},{0,10,20,30,40,50,60,62,64,66,68,70,72,74,76,78,80,85,90,95,100})</f>
        <v>76</v>
      </c>
      <c r="Q393" s="5">
        <v>4.46</v>
      </c>
      <c r="R393" s="10">
        <f t="shared" si="173"/>
        <v>5.54</v>
      </c>
      <c r="S393" s="7">
        <f>LOOKUP(R393,{0,3.85,4.45,4.65,4.85,5.45,5.65,5.7,5.75,5.8,5.85,5.9,5.95,6,6.45,6.5,6.55,6.63,6.7,6.75,6.8},{0,10,20,30,40,50,60,62,64,66,68,70,72,74,76,78,80,85,90,95,100})</f>
        <v>50</v>
      </c>
      <c r="T393" s="5"/>
      <c r="U393" s="5"/>
      <c r="V393" s="5">
        <f t="shared" si="174"/>
        <v>50</v>
      </c>
      <c r="W393" s="5"/>
      <c r="X393" s="13">
        <f t="shared" si="175"/>
        <v>51.9</v>
      </c>
      <c r="Y393" s="13">
        <f t="shared" si="176"/>
        <v>84.1428571428571</v>
      </c>
      <c r="Z393" s="19"/>
    </row>
    <row r="394" ht="15.6" hidden="1" outlineLevel="2" spans="1:26">
      <c r="A394" s="5">
        <v>312</v>
      </c>
      <c r="B394" s="5">
        <v>19</v>
      </c>
      <c r="C394" s="5" t="s">
        <v>593</v>
      </c>
      <c r="D394" s="5" t="s">
        <v>12</v>
      </c>
      <c r="E394" s="5">
        <v>13</v>
      </c>
      <c r="F394" s="7">
        <f>LOOKUP(E394,{0,-1.8,-0.8,0.2,1.2,2.2,3.2,4.6,6,7.4,8.8,10.2,11.6,13,14.4,15.8,17.2,19.1,21,22.8,24.6},{0,10,20,30,40,50,60,62,64,66,68,70,72,74,76,78,80,85,90,95,100})</f>
        <v>74</v>
      </c>
      <c r="G394" s="5">
        <v>260</v>
      </c>
      <c r="H394" s="7">
        <f>LOOKUP(G394,{0,180,185,190,195,200,205,209,213,217,221,225,229,233,237,241,245,253,260,265,270},{0,10,20,30,40,50,60,62,64,66,68,70,72,74,76,78,80,85,90,95,100})</f>
        <v>90</v>
      </c>
      <c r="I394" s="5">
        <v>17</v>
      </c>
      <c r="J394" s="7">
        <f>LOOKUP(I394,{0,4,5,6,7,8,9,10,11,12,13,14,15,16,17,18},{0,10,20,30,40,50,60,64,68,72,76,80,85,90,95,100})</f>
        <v>95</v>
      </c>
      <c r="K394" s="5"/>
      <c r="L394" s="5"/>
      <c r="M394" s="5">
        <f t="shared" si="171"/>
        <v>95</v>
      </c>
      <c r="N394" s="5">
        <v>6.9</v>
      </c>
      <c r="O394" s="10">
        <f t="shared" si="172"/>
        <v>11.1</v>
      </c>
      <c r="P394" s="7">
        <f>LOOKUP(O394,{0,7.8,8,8.2,8.4,8.6,8.8,9,9.2,9.4,9.6,9.8,10,10.2,10.4,10.6,10.8,10.9,11,11.1,11.2},{0,10,20,30,40,50,60,62,64,66,68,70,72,74,76,78,80,85,90,95,100})</f>
        <v>95</v>
      </c>
      <c r="Q394" s="5">
        <v>4.52</v>
      </c>
      <c r="R394" s="10">
        <f t="shared" si="173"/>
        <v>5.48</v>
      </c>
      <c r="S394" s="7">
        <f>LOOKUP(R394,{0,3.85,4.45,4.65,4.85,5.45,5.65,5.7,5.75,5.8,5.85,5.9,5.95,6,6.45,6.5,6.55,6.63,6.7,6.75,6.8},{0,10,20,30,40,50,60,62,64,66,68,70,72,74,76,78,80,85,90,95,100})</f>
        <v>50</v>
      </c>
      <c r="T394" s="5"/>
      <c r="U394" s="5"/>
      <c r="V394" s="5">
        <f t="shared" si="174"/>
        <v>50</v>
      </c>
      <c r="W394" s="5"/>
      <c r="X394" s="13">
        <f t="shared" si="175"/>
        <v>54.9</v>
      </c>
      <c r="Y394" s="13">
        <f t="shared" si="176"/>
        <v>78.4285714285714</v>
      </c>
      <c r="Z394" s="19"/>
    </row>
    <row r="395" ht="15.6" hidden="1" outlineLevel="2" spans="1:26">
      <c r="A395" s="5">
        <v>312</v>
      </c>
      <c r="B395" s="5">
        <v>20</v>
      </c>
      <c r="C395" s="9" t="s">
        <v>594</v>
      </c>
      <c r="D395" s="9" t="s">
        <v>12</v>
      </c>
      <c r="E395" s="5">
        <v>27.5</v>
      </c>
      <c r="F395" s="7">
        <f>LOOKUP(E395,{0,-1.8,-0.8,0.2,1.2,2.2,3.2,4.6,6,7.4,8.8,10.2,11.6,13,14.4,15.8,17.2,19.1,21,22.8,24.6},{0,10,20,30,40,50,60,62,64,66,68,70,72,74,76,78,80,85,90,95,100})</f>
        <v>100</v>
      </c>
      <c r="G395" s="5">
        <v>240</v>
      </c>
      <c r="H395" s="7">
        <f>LOOKUP(G395,{0,180,185,190,195,200,205,209,213,217,221,225,229,233,237,241,245,253,260,265,270},{0,10,20,30,40,50,60,62,64,66,68,70,72,74,76,78,80,85,90,95,100})</f>
        <v>76</v>
      </c>
      <c r="I395" s="5">
        <v>3</v>
      </c>
      <c r="J395" s="7">
        <f>LOOKUP(I395,{0,4,5,6,7,8,9,10,11,12,13,14,15,16,17,18},{0,10,20,30,40,50,60,64,68,72,76,80,85,90,95,100})</f>
        <v>0</v>
      </c>
      <c r="K395" s="5"/>
      <c r="L395" s="5"/>
      <c r="M395" s="5">
        <f t="shared" si="171"/>
        <v>0</v>
      </c>
      <c r="N395" s="5">
        <v>6.9</v>
      </c>
      <c r="O395" s="10">
        <f t="shared" si="172"/>
        <v>11.1</v>
      </c>
      <c r="P395" s="7">
        <f>LOOKUP(O395,{0,7.8,8,8.2,8.4,8.6,8.8,9,9.2,9.4,9.6,9.8,10,10.2,10.4,10.6,10.8,10.9,11,11.1,11.2},{0,10,20,30,40,50,60,62,64,66,68,70,72,74,76,78,80,85,90,95,100})</f>
        <v>95</v>
      </c>
      <c r="Q395" s="5">
        <v>4.47</v>
      </c>
      <c r="R395" s="10">
        <f t="shared" si="173"/>
        <v>5.53</v>
      </c>
      <c r="S395" s="7">
        <f>LOOKUP(R395,{0,3.85,4.45,4.65,4.85,5.45,5.65,5.7,5.75,5.8,5.85,5.9,5.95,6,6.45,6.5,6.55,6.63,6.7,6.75,6.8},{0,10,20,30,40,50,60,62,64,66,68,70,72,74,76,78,80,85,90,95,100})</f>
        <v>50</v>
      </c>
      <c r="T395" s="5"/>
      <c r="U395" s="5"/>
      <c r="V395" s="5">
        <f t="shared" si="174"/>
        <v>50</v>
      </c>
      <c r="W395" s="5"/>
      <c r="X395" s="13">
        <f t="shared" si="175"/>
        <v>46.6</v>
      </c>
      <c r="Y395" s="13">
        <f t="shared" si="176"/>
        <v>66.5714285714286</v>
      </c>
      <c r="Z395" s="19"/>
    </row>
    <row r="396" ht="15.6" hidden="1" outlineLevel="2" spans="1:26">
      <c r="A396" s="5">
        <v>312</v>
      </c>
      <c r="B396" s="5">
        <v>21</v>
      </c>
      <c r="C396" s="9" t="s">
        <v>595</v>
      </c>
      <c r="D396" s="9" t="s">
        <v>12</v>
      </c>
      <c r="E396" s="5">
        <v>23.5</v>
      </c>
      <c r="F396" s="7">
        <f>LOOKUP(E396,{0,-1.8,-0.8,0.2,1.2,2.2,3.2,4.6,6,7.4,8.8,10.2,11.6,13,14.4,15.8,17.2,19.1,21,22.8,24.6},{0,10,20,30,40,50,60,62,64,66,68,70,72,74,76,78,80,85,90,95,100})</f>
        <v>95</v>
      </c>
      <c r="G396" s="5">
        <v>254</v>
      </c>
      <c r="H396" s="7">
        <f>LOOKUP(G396,{0,180,185,190,195,200,205,209,213,217,221,225,229,233,237,241,245,253,260,265,270},{0,10,20,30,40,50,60,62,64,66,68,70,72,74,76,78,80,85,90,95,100})</f>
        <v>85</v>
      </c>
      <c r="I396" s="5">
        <v>26</v>
      </c>
      <c r="J396" s="7">
        <f>LOOKUP(I396,{0,4,5,6,7,8,9,10,11,12,13,14,15,16,17,18},{0,10,20,30,40,50,60,64,68,72,76,80,85,90,95,100})</f>
        <v>100</v>
      </c>
      <c r="K396" s="5">
        <f t="shared" si="177"/>
        <v>8</v>
      </c>
      <c r="L396" s="7">
        <f>LOOKUP(K396,{0,1,2,3,4,5,6,7,8,9,10},{0,1,2,3,4,5,6,7,8,9,10})</f>
        <v>8</v>
      </c>
      <c r="M396" s="5">
        <f t="shared" si="171"/>
        <v>108</v>
      </c>
      <c r="N396" s="5">
        <v>6.9</v>
      </c>
      <c r="O396" s="10">
        <f t="shared" si="172"/>
        <v>11.1</v>
      </c>
      <c r="P396" s="7">
        <f>LOOKUP(O396,{0,7.8,8,8.2,8.4,8.6,8.8,9,9.2,9.4,9.6,9.8,10,10.2,10.4,10.6,10.8,10.9,11,11.1,11.2},{0,10,20,30,40,50,60,62,64,66,68,70,72,74,76,78,80,85,90,95,100})</f>
        <v>95</v>
      </c>
      <c r="Q396" s="5">
        <v>3.55</v>
      </c>
      <c r="R396" s="10">
        <f t="shared" si="173"/>
        <v>6.45</v>
      </c>
      <c r="S396" s="7">
        <f>LOOKUP(R396,{0,3.85,4.45,4.65,4.85,5.45,5.65,5.7,5.75,5.8,5.85,5.9,5.95,6,6.45,6.5,6.55,6.63,6.7,6.75,6.8},{0,10,20,30,40,50,60,62,64,66,68,70,72,74,76,78,80,85,90,95,100})</f>
        <v>76</v>
      </c>
      <c r="T396" s="5"/>
      <c r="U396" s="5"/>
      <c r="V396" s="5">
        <f t="shared" si="174"/>
        <v>76</v>
      </c>
      <c r="W396" s="5"/>
      <c r="X396" s="13">
        <f t="shared" si="175"/>
        <v>62.2</v>
      </c>
      <c r="Y396" s="13">
        <f t="shared" si="176"/>
        <v>96.8571428571429</v>
      </c>
      <c r="Z396" s="19"/>
    </row>
    <row r="397" ht="15.6" hidden="1" outlineLevel="2" spans="1:26">
      <c r="A397" s="5">
        <v>312</v>
      </c>
      <c r="B397" s="5">
        <v>22</v>
      </c>
      <c r="C397" s="9" t="s">
        <v>596</v>
      </c>
      <c r="D397" s="9" t="s">
        <v>12</v>
      </c>
      <c r="E397" s="5">
        <v>13</v>
      </c>
      <c r="F397" s="7">
        <f>LOOKUP(E397,{0,-1.8,-0.8,0.2,1.2,2.2,3.2,4.6,6,7.4,8.8,10.2,11.6,13,14.4,15.8,17.2,19.1,21,22.8,24.6},{0,10,20,30,40,50,60,62,64,66,68,70,72,74,76,78,80,85,90,95,100})</f>
        <v>74</v>
      </c>
      <c r="G397" s="5">
        <v>235</v>
      </c>
      <c r="H397" s="7">
        <f>LOOKUP(G397,{0,180,185,190,195,200,205,209,213,217,221,225,229,233,237,241,245,253,260,265,270},{0,10,20,30,40,50,60,62,64,66,68,70,72,74,76,78,80,85,90,95,100})</f>
        <v>74</v>
      </c>
      <c r="I397" s="5">
        <v>12</v>
      </c>
      <c r="J397" s="7">
        <f>LOOKUP(I397,{0,4,5,6,7,8,9,10,11,12,13,14,15,16,17,18},{0,10,20,30,40,50,60,64,68,72,76,80,85,90,95,100})</f>
        <v>72</v>
      </c>
      <c r="K397" s="5"/>
      <c r="L397" s="5"/>
      <c r="M397" s="5">
        <f t="shared" si="171"/>
        <v>72</v>
      </c>
      <c r="N397" s="5">
        <v>7.5</v>
      </c>
      <c r="O397" s="10">
        <f t="shared" si="172"/>
        <v>10.5</v>
      </c>
      <c r="P397" s="7">
        <f>LOOKUP(O397,{0,7.8,8,8.2,8.4,8.6,8.8,9,9.2,9.4,9.6,9.8,10,10.2,10.4,10.6,10.8,10.9,11,11.1,11.2},{0,10,20,30,40,50,60,62,64,66,68,70,72,74,76,78,80,85,90,95,100})</f>
        <v>76</v>
      </c>
      <c r="Q397" s="5">
        <v>4.48</v>
      </c>
      <c r="R397" s="10">
        <f t="shared" si="173"/>
        <v>5.52</v>
      </c>
      <c r="S397" s="7">
        <f>LOOKUP(R397,{0,3.85,4.45,4.65,4.85,5.45,5.65,5.7,5.75,5.8,5.85,5.9,5.95,6,6.45,6.5,6.55,6.63,6.7,6.75,6.8},{0,10,20,30,40,50,60,62,64,66,68,70,72,74,76,78,80,85,90,95,100})</f>
        <v>50</v>
      </c>
      <c r="T397" s="5"/>
      <c r="U397" s="5"/>
      <c r="V397" s="5">
        <f t="shared" si="174"/>
        <v>50</v>
      </c>
      <c r="W397" s="5"/>
      <c r="X397" s="13">
        <f t="shared" si="175"/>
        <v>47.2</v>
      </c>
      <c r="Y397" s="13">
        <f t="shared" si="176"/>
        <v>67.4285714285714</v>
      </c>
      <c r="Z397" s="20"/>
    </row>
    <row r="398" ht="15.6" hidden="1" outlineLevel="2" spans="1:26">
      <c r="A398" s="5">
        <v>312</v>
      </c>
      <c r="B398" s="5">
        <v>23</v>
      </c>
      <c r="C398" s="8" t="s">
        <v>598</v>
      </c>
      <c r="D398" s="9" t="s">
        <v>12</v>
      </c>
      <c r="E398" s="5">
        <v>21</v>
      </c>
      <c r="F398" s="7">
        <f>LOOKUP(E398,{0,-1.8,-0.8,0.2,1.2,2.2,3.2,4.6,6,7.4,8.8,10.2,11.6,13,14.4,15.8,17.2,19.1,21,22.8,24.6},{0,10,20,30,40,50,60,62,64,66,68,70,72,74,76,78,80,85,90,95,100})</f>
        <v>90</v>
      </c>
      <c r="G398" s="5">
        <v>252</v>
      </c>
      <c r="H398" s="7">
        <f>LOOKUP(G398,{0,180,185,190,195,200,205,209,213,217,221,225,229,233,237,241,245,253,260,265,270},{0,10,20,30,40,50,60,62,64,66,68,70,72,74,76,78,80,85,90,95,100})</f>
        <v>80</v>
      </c>
      <c r="I398" s="5">
        <v>4</v>
      </c>
      <c r="J398" s="7">
        <f>LOOKUP(I398,{0,4,5,6,7,8,9,10,11,12,13,14,15,16,17,18},{0,10,20,30,40,50,60,64,68,72,76,80,85,90,95,100})</f>
        <v>10</v>
      </c>
      <c r="K398" s="5"/>
      <c r="L398" s="5"/>
      <c r="M398" s="5">
        <f t="shared" si="171"/>
        <v>10</v>
      </c>
      <c r="N398" s="5">
        <v>7.5</v>
      </c>
      <c r="O398" s="10">
        <f t="shared" si="172"/>
        <v>10.5</v>
      </c>
      <c r="P398" s="7">
        <f>LOOKUP(O398,{0,7.8,8,8.2,8.4,8.6,8.8,9,9.2,9.4,9.6,9.8,10,10.2,10.4,10.6,10.8,10.9,11,11.1,11.2},{0,10,20,30,40,50,60,62,64,66,68,70,72,74,76,78,80,85,90,95,100})</f>
        <v>76</v>
      </c>
      <c r="Q398" s="5">
        <v>4.26</v>
      </c>
      <c r="R398" s="10">
        <f t="shared" si="173"/>
        <v>5.74</v>
      </c>
      <c r="S398" s="7">
        <f>LOOKUP(R398,{0,3.85,4.45,4.65,4.85,5.45,5.65,5.7,5.75,5.8,5.85,5.9,5.95,6,6.45,6.5,6.55,6.63,6.7,6.75,6.8},{0,10,20,30,40,50,60,62,64,66,68,70,72,74,76,78,80,85,90,95,100})</f>
        <v>62</v>
      </c>
      <c r="T398" s="5"/>
      <c r="U398" s="5"/>
      <c r="V398" s="5">
        <f t="shared" si="174"/>
        <v>62</v>
      </c>
      <c r="W398" s="5"/>
      <c r="X398" s="13">
        <f t="shared" si="175"/>
        <v>45.6</v>
      </c>
      <c r="Y398" s="13">
        <f t="shared" si="176"/>
        <v>65.1428571428572</v>
      </c>
      <c r="Z398" s="19"/>
    </row>
    <row r="399" ht="15.6" hidden="1" outlineLevel="2" spans="1:26">
      <c r="A399" s="5">
        <v>312</v>
      </c>
      <c r="B399" s="5">
        <v>24</v>
      </c>
      <c r="C399" s="9" t="s">
        <v>599</v>
      </c>
      <c r="D399" s="9" t="s">
        <v>12</v>
      </c>
      <c r="E399" s="5">
        <v>16</v>
      </c>
      <c r="F399" s="7">
        <f>LOOKUP(E399,{0,-1.8,-0.8,0.2,1.2,2.2,3.2,4.6,6,7.4,8.8,10.2,11.6,13,14.4,15.8,17.2,19.1,21,22.8,24.6},{0,10,20,30,40,50,60,62,64,66,68,70,72,74,76,78,80,85,90,95,100})</f>
        <v>78</v>
      </c>
      <c r="G399" s="5">
        <v>255</v>
      </c>
      <c r="H399" s="7">
        <f>LOOKUP(G399,{0,180,185,190,195,200,205,209,213,217,221,225,229,233,237,241,245,253,260,265,270},{0,10,20,30,40,50,60,62,64,66,68,70,72,74,76,78,80,85,90,95,100})</f>
        <v>85</v>
      </c>
      <c r="I399" s="5">
        <v>21</v>
      </c>
      <c r="J399" s="7">
        <f>LOOKUP(I399,{0,4,5,6,7,8,9,10,11,12,13,14,15,16,17,18},{0,10,20,30,40,50,60,64,68,72,76,80,85,90,95,100})</f>
        <v>100</v>
      </c>
      <c r="K399" s="5">
        <f>I399-18</f>
        <v>3</v>
      </c>
      <c r="L399" s="7">
        <f>LOOKUP(K399,{0,1,2,3,4,5,6,7,8,9,10},{0,1,2,3,4,5,6,7,8,9,10})</f>
        <v>3</v>
      </c>
      <c r="M399" s="5">
        <f t="shared" si="171"/>
        <v>103</v>
      </c>
      <c r="N399" s="5">
        <v>7.1</v>
      </c>
      <c r="O399" s="10">
        <f t="shared" si="172"/>
        <v>10.9</v>
      </c>
      <c r="P399" s="7">
        <f>LOOKUP(O399,{0,7.8,8,8.2,8.4,8.6,8.8,9,9.2,9.4,9.6,9.8,10,10.2,10.4,10.6,10.8,10.9,11,11.1,11.2},{0,10,20,30,40,50,60,62,64,66,68,70,72,74,76,78,80,85,90,95,100})</f>
        <v>85</v>
      </c>
      <c r="Q399" s="5">
        <v>4.51</v>
      </c>
      <c r="R399" s="10">
        <f t="shared" si="173"/>
        <v>5.49</v>
      </c>
      <c r="S399" s="7">
        <f>LOOKUP(R399,{0,3.85,4.45,4.65,4.85,5.45,5.65,5.7,5.75,5.8,5.85,5.9,5.95,6,6.45,6.5,6.55,6.63,6.7,6.75,6.8},{0,10,20,30,40,50,60,62,64,66,68,70,72,74,76,78,80,85,90,95,100})</f>
        <v>50</v>
      </c>
      <c r="T399" s="5"/>
      <c r="U399" s="5"/>
      <c r="V399" s="5">
        <f t="shared" si="174"/>
        <v>50</v>
      </c>
      <c r="W399" s="5"/>
      <c r="X399" s="13">
        <f t="shared" si="175"/>
        <v>53.3</v>
      </c>
      <c r="Y399" s="13">
        <f t="shared" si="176"/>
        <v>79.1428571428571</v>
      </c>
      <c r="Z399" s="19"/>
    </row>
    <row r="400" ht="15.6" hidden="1" outlineLevel="2" spans="1:26">
      <c r="A400" s="5">
        <v>312</v>
      </c>
      <c r="B400" s="5">
        <v>25</v>
      </c>
      <c r="C400" s="9" t="s">
        <v>600</v>
      </c>
      <c r="D400" s="9" t="s">
        <v>12</v>
      </c>
      <c r="E400" s="5">
        <v>21.5</v>
      </c>
      <c r="F400" s="7">
        <f>LOOKUP(E400,{0,-1.8,-0.8,0.2,1.2,2.2,3.2,4.6,6,7.4,8.8,10.2,11.6,13,14.4,15.8,17.2,19.1,21,22.8,24.6},{0,10,20,30,40,50,60,62,64,66,68,70,72,74,76,78,80,85,90,95,100})</f>
        <v>90</v>
      </c>
      <c r="G400" s="5">
        <v>260</v>
      </c>
      <c r="H400" s="7">
        <f>LOOKUP(G400,{0,180,185,190,195,200,205,209,213,217,221,225,229,233,237,241,245,253,260,265,270},{0,10,20,30,40,50,60,62,64,66,68,70,72,74,76,78,80,85,90,95,100})</f>
        <v>90</v>
      </c>
      <c r="I400" s="5">
        <v>4</v>
      </c>
      <c r="J400" s="7">
        <f>LOOKUP(I400,{0,4,5,6,7,8,9,10,11,12,13,14,15,16,17,18},{0,10,20,30,40,50,60,64,68,72,76,80,85,90,95,100})</f>
        <v>10</v>
      </c>
      <c r="K400" s="5"/>
      <c r="L400" s="5"/>
      <c r="M400" s="5">
        <f t="shared" si="171"/>
        <v>10</v>
      </c>
      <c r="N400" s="5">
        <v>7.1</v>
      </c>
      <c r="O400" s="10">
        <f t="shared" si="172"/>
        <v>10.9</v>
      </c>
      <c r="P400" s="7">
        <f>LOOKUP(O400,{0,7.8,8,8.2,8.4,8.6,8.8,9,9.2,9.4,9.6,9.8,10,10.2,10.4,10.6,10.8,10.9,11,11.1,11.2},{0,10,20,30,40,50,60,62,64,66,68,70,72,74,76,78,80,85,90,95,100})</f>
        <v>85</v>
      </c>
      <c r="Q400" s="5">
        <v>4.47</v>
      </c>
      <c r="R400" s="10">
        <f t="shared" si="173"/>
        <v>5.53</v>
      </c>
      <c r="S400" s="7">
        <f>LOOKUP(R400,{0,3.85,4.45,4.65,4.85,5.45,5.65,5.7,5.75,5.8,5.85,5.9,5.95,6,6.45,6.5,6.55,6.63,6.7,6.75,6.8},{0,10,20,30,40,50,60,62,64,66,68,70,72,74,76,78,80,85,90,95,100})</f>
        <v>50</v>
      </c>
      <c r="T400" s="5"/>
      <c r="U400" s="5"/>
      <c r="V400" s="5">
        <f t="shared" si="174"/>
        <v>50</v>
      </c>
      <c r="W400" s="5"/>
      <c r="X400" s="13">
        <f t="shared" si="175"/>
        <v>46</v>
      </c>
      <c r="Y400" s="13">
        <f t="shared" si="176"/>
        <v>65.7142857142857</v>
      </c>
      <c r="Z400" s="19"/>
    </row>
    <row r="401" ht="15.6" hidden="1" outlineLevel="2" spans="1:26">
      <c r="A401" s="5">
        <v>312</v>
      </c>
      <c r="B401" s="5">
        <v>26</v>
      </c>
      <c r="C401" s="9" t="s">
        <v>601</v>
      </c>
      <c r="D401" s="9" t="s">
        <v>12</v>
      </c>
      <c r="E401" s="5">
        <v>24</v>
      </c>
      <c r="F401" s="7">
        <f>LOOKUP(E401,{0,-1.8,-0.8,0.2,1.2,2.2,3.2,4.6,6,7.4,8.8,10.2,11.6,13,14.4,15.8,17.2,19.1,21,22.8,24.6},{0,10,20,30,40,50,60,62,64,66,68,70,72,74,76,78,80,85,90,95,100})</f>
        <v>95</v>
      </c>
      <c r="G401" s="5">
        <v>245</v>
      </c>
      <c r="H401" s="7">
        <f>LOOKUP(G401,{0,180,185,190,195,200,205,209,213,217,221,225,229,233,237,241,245,253,260,265,270},{0,10,20,30,40,50,60,62,64,66,68,70,72,74,76,78,80,85,90,95,100})</f>
        <v>80</v>
      </c>
      <c r="I401" s="5">
        <v>16</v>
      </c>
      <c r="J401" s="7">
        <f>LOOKUP(I401,{0,4,5,6,7,8,9,10,11,12,13,14,15,16,17,18},{0,10,20,30,40,50,60,64,68,72,76,80,85,90,95,100})</f>
        <v>90</v>
      </c>
      <c r="K401" s="5"/>
      <c r="L401" s="16"/>
      <c r="M401" s="5">
        <f t="shared" si="171"/>
        <v>90</v>
      </c>
      <c r="N401" s="5">
        <v>7.6</v>
      </c>
      <c r="O401" s="10">
        <f t="shared" si="172"/>
        <v>10.4</v>
      </c>
      <c r="P401" s="7">
        <f>LOOKUP(O401,{0,7.8,8,8.2,8.4,8.6,8.8,9,9.2,9.4,9.6,9.8,10,10.2,10.4,10.6,10.8,10.9,11,11.1,11.2},{0,10,20,30,40,50,60,62,64,66,68,70,72,74,76,78,80,85,90,95,100})</f>
        <v>76</v>
      </c>
      <c r="Q401" s="5">
        <v>4.29</v>
      </c>
      <c r="R401" s="10">
        <f t="shared" si="173"/>
        <v>5.71</v>
      </c>
      <c r="S401" s="7">
        <f>LOOKUP(R401,{0,3.85,4.45,4.65,4.85,5.45,5.65,5.7,5.75,5.8,5.85,5.9,5.95,6,6.45,6.5,6.55,6.63,6.7,6.75,6.8},{0,10,20,30,40,50,60,62,64,66,68,70,72,74,76,78,80,85,90,95,100})</f>
        <v>62</v>
      </c>
      <c r="T401" s="5"/>
      <c r="U401" s="5"/>
      <c r="V401" s="5">
        <f t="shared" si="174"/>
        <v>62</v>
      </c>
      <c r="W401" s="5"/>
      <c r="X401" s="13">
        <f t="shared" si="175"/>
        <v>54.1</v>
      </c>
      <c r="Y401" s="13">
        <f t="shared" si="176"/>
        <v>77.2857142857143</v>
      </c>
      <c r="Z401" s="19"/>
    </row>
    <row r="402" ht="15.6" hidden="1" outlineLevel="2" spans="1:26">
      <c r="A402" s="5">
        <v>312</v>
      </c>
      <c r="B402" s="5">
        <v>27</v>
      </c>
      <c r="C402" s="9" t="s">
        <v>602</v>
      </c>
      <c r="D402" s="9" t="s">
        <v>12</v>
      </c>
      <c r="E402" s="5">
        <v>6</v>
      </c>
      <c r="F402" s="7">
        <f>LOOKUP(E402,{0,-1.8,-0.8,0.2,1.2,2.2,3.2,4.6,6,7.4,8.8,10.2,11.6,13,14.4,15.8,17.2,19.1,21,22.8,24.6},{0,10,20,30,40,50,60,62,64,66,68,70,72,74,76,78,80,85,90,95,100})</f>
        <v>64</v>
      </c>
      <c r="G402" s="5">
        <v>235</v>
      </c>
      <c r="H402" s="7">
        <f>LOOKUP(G402,{0,180,185,190,195,200,205,209,213,217,221,225,229,233,237,241,245,253,260,265,270},{0,10,20,30,40,50,60,62,64,66,68,70,72,74,76,78,80,85,90,95,100})</f>
        <v>74</v>
      </c>
      <c r="I402" s="5">
        <v>18</v>
      </c>
      <c r="J402" s="7">
        <f>LOOKUP(I402,{0,4,5,6,7,8,9,10,11,12,13,14,15,16,17,18},{0,10,20,30,40,50,60,64,68,72,76,80,85,90,95,100})</f>
        <v>100</v>
      </c>
      <c r="K402" s="5"/>
      <c r="L402" s="5"/>
      <c r="M402" s="5">
        <f t="shared" si="171"/>
        <v>100</v>
      </c>
      <c r="N402" s="5">
        <v>7.6</v>
      </c>
      <c r="O402" s="10">
        <f t="shared" si="172"/>
        <v>10.4</v>
      </c>
      <c r="P402" s="7">
        <f>LOOKUP(O402,{0,7.8,8,8.2,8.4,8.6,8.8,9,9.2,9.4,9.6,9.8,10,10.2,10.4,10.6,10.8,10.9,11,11.1,11.2},{0,10,20,30,40,50,60,62,64,66,68,70,72,74,76,78,80,85,90,95,100})</f>
        <v>76</v>
      </c>
      <c r="Q402" s="5">
        <v>3.52</v>
      </c>
      <c r="R402" s="10">
        <f t="shared" si="173"/>
        <v>6.48</v>
      </c>
      <c r="S402" s="7">
        <f>LOOKUP(R402,{0,3.85,4.45,4.65,4.85,5.45,5.65,5.7,5.75,5.8,5.85,5.9,5.95,6,6.45,6.5,6.55,6.63,6.7,6.75,6.8},{0,10,20,30,40,50,60,62,64,66,68,70,72,74,76,78,80,85,90,95,100})</f>
        <v>76</v>
      </c>
      <c r="T402" s="5"/>
      <c r="U402" s="5"/>
      <c r="V402" s="5">
        <f t="shared" si="174"/>
        <v>76</v>
      </c>
      <c r="W402" s="5"/>
      <c r="X402" s="13">
        <f t="shared" si="175"/>
        <v>54.2</v>
      </c>
      <c r="Y402" s="13">
        <f t="shared" si="176"/>
        <v>77.4285714285714</v>
      </c>
      <c r="Z402" s="19"/>
    </row>
    <row r="403" ht="15.6" hidden="1" outlineLevel="2" spans="1:26">
      <c r="A403" s="5">
        <v>312</v>
      </c>
      <c r="B403" s="5">
        <v>28</v>
      </c>
      <c r="C403" s="9" t="s">
        <v>603</v>
      </c>
      <c r="D403" s="9" t="s">
        <v>12</v>
      </c>
      <c r="E403" s="5">
        <v>15</v>
      </c>
      <c r="F403" s="7">
        <f>LOOKUP(E403,{0,-1.8,-0.8,0.2,1.2,2.2,3.2,4.6,6,7.4,8.8,10.2,11.6,13,14.4,15.8,17.2,19.1,21,22.8,24.6},{0,10,20,30,40,50,60,62,64,66,68,70,72,74,76,78,80,85,90,95,100})</f>
        <v>76</v>
      </c>
      <c r="G403" s="5">
        <v>230</v>
      </c>
      <c r="H403" s="7">
        <f>LOOKUP(G403,{0,180,185,190,195,200,205,209,213,217,221,225,229,233,237,241,245,253,260,265,270},{0,10,20,30,40,50,60,62,64,66,68,70,72,74,76,78,80,85,90,95,100})</f>
        <v>72</v>
      </c>
      <c r="I403" s="5">
        <v>0</v>
      </c>
      <c r="J403" s="7">
        <f>LOOKUP(I403,{0,4,5,6,7,8,9,10,11,12,13,14,15,16,17,18},{0,10,20,30,40,50,60,64,68,72,76,80,85,90,95,100})</f>
        <v>0</v>
      </c>
      <c r="K403" s="5"/>
      <c r="L403" s="5"/>
      <c r="M403" s="5">
        <f t="shared" si="171"/>
        <v>0</v>
      </c>
      <c r="N403" s="5">
        <v>7.5</v>
      </c>
      <c r="O403" s="10">
        <f t="shared" si="172"/>
        <v>10.5</v>
      </c>
      <c r="P403" s="7">
        <f>LOOKUP(O403,{0,7.8,8,8.2,8.4,8.6,8.8,9,9.2,9.4,9.6,9.8,10,10.2,10.4,10.6,10.8,10.9,11,11.1,11.2},{0,10,20,30,40,50,60,62,64,66,68,70,72,74,76,78,80,85,90,95,100})</f>
        <v>76</v>
      </c>
      <c r="Q403" s="5">
        <v>3.5</v>
      </c>
      <c r="R403" s="10">
        <f t="shared" si="173"/>
        <v>6.5</v>
      </c>
      <c r="S403" s="7">
        <f>LOOKUP(R403,{0,3.85,4.45,4.65,4.85,5.45,5.65,5.7,5.75,5.8,5.85,5.9,5.95,6,6.45,6.5,6.55,6.63,6.7,6.75,6.8},{0,10,20,30,40,50,60,62,64,66,68,70,72,74,76,78,80,85,90,95,100})</f>
        <v>78</v>
      </c>
      <c r="T403" s="5"/>
      <c r="U403" s="5"/>
      <c r="V403" s="5">
        <f t="shared" si="174"/>
        <v>78</v>
      </c>
      <c r="W403" s="5"/>
      <c r="X403" s="13">
        <f t="shared" si="175"/>
        <v>45.6</v>
      </c>
      <c r="Y403" s="13">
        <f t="shared" si="176"/>
        <v>65.1428571428572</v>
      </c>
      <c r="Z403" s="19"/>
    </row>
    <row r="404" ht="15.6" hidden="1" outlineLevel="2" spans="1:26">
      <c r="A404" s="5">
        <v>312</v>
      </c>
      <c r="B404" s="5">
        <v>30</v>
      </c>
      <c r="C404" s="5" t="s">
        <v>604</v>
      </c>
      <c r="D404" s="5" t="s">
        <v>12</v>
      </c>
      <c r="E404" s="5"/>
      <c r="F404" s="7"/>
      <c r="G404" s="5"/>
      <c r="H404" s="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>
        <v>50</v>
      </c>
      <c r="X404" s="13"/>
      <c r="Y404" s="13">
        <v>50</v>
      </c>
      <c r="Z404" s="19"/>
    </row>
    <row r="405" ht="15.6" hidden="1" outlineLevel="2" spans="1:26">
      <c r="A405" s="5">
        <v>312</v>
      </c>
      <c r="B405" s="5">
        <v>31</v>
      </c>
      <c r="C405" s="9" t="s">
        <v>605</v>
      </c>
      <c r="D405" s="9" t="s">
        <v>12</v>
      </c>
      <c r="E405" s="5"/>
      <c r="F405" s="7"/>
      <c r="G405" s="5"/>
      <c r="H405" s="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>
        <v>50</v>
      </c>
      <c r="X405" s="13"/>
      <c r="Y405" s="13">
        <v>50</v>
      </c>
      <c r="Z405" s="19"/>
    </row>
    <row r="406" ht="15.6" hidden="1" outlineLevel="2" spans="1:26">
      <c r="A406" s="5">
        <v>312</v>
      </c>
      <c r="B406" s="5">
        <v>32</v>
      </c>
      <c r="C406" s="9" t="s">
        <v>606</v>
      </c>
      <c r="D406" s="9" t="s">
        <v>12</v>
      </c>
      <c r="E406" s="5">
        <v>25</v>
      </c>
      <c r="F406" s="7">
        <f>LOOKUP(E406,{0,-1.8,-0.8,0.2,1.2,2.2,3.2,4.6,6,7.4,8.8,10.2,11.6,13,14.4,15.8,17.2,19.1,21,22.8,24.6},{0,10,20,30,40,50,60,62,64,66,68,70,72,74,76,78,80,85,90,95,100})</f>
        <v>100</v>
      </c>
      <c r="G406" s="5">
        <v>225</v>
      </c>
      <c r="H406" s="7">
        <f>LOOKUP(G406,{0,180,185,190,195,200,205,209,213,217,221,225,229,233,237,241,245,253,260,265,270},{0,10,20,30,40,50,60,62,64,66,68,70,72,74,76,78,80,85,90,95,100})</f>
        <v>70</v>
      </c>
      <c r="I406" s="5">
        <v>2</v>
      </c>
      <c r="J406" s="7">
        <f>LOOKUP(I406,{0,4,5,6,7,8,9,10,11,12,13,14,15,16,17,18},{0,10,20,30,40,50,60,64,68,72,76,80,85,90,95,100})</f>
        <v>0</v>
      </c>
      <c r="K406" s="5"/>
      <c r="L406" s="5"/>
      <c r="M406" s="5">
        <f>J406+L406</f>
        <v>0</v>
      </c>
      <c r="N406" s="5">
        <v>7.8</v>
      </c>
      <c r="O406" s="10">
        <f>18-N406</f>
        <v>10.2</v>
      </c>
      <c r="P406" s="7">
        <f>LOOKUP(O406,{0,7.8,8,8.2,8.4,8.6,8.8,9,9.2,9.4,9.6,9.8,10,10.2,10.4,10.6,10.8,10.9,11,11.1,11.2},{0,10,20,30,40,50,60,62,64,66,68,70,72,74,76,78,80,85,90,95,100})</f>
        <v>74</v>
      </c>
      <c r="Q406" s="5">
        <v>4.53</v>
      </c>
      <c r="R406" s="10">
        <f>10-Q406</f>
        <v>5.47</v>
      </c>
      <c r="S406" s="7">
        <f>LOOKUP(R406,{0,3.85,4.45,4.65,4.85,5.45,5.65,5.7,5.75,5.8,5.85,5.9,5.95,6,6.45,6.5,6.55,6.63,6.7,6.75,6.8},{0,10,20,30,40,50,60,62,64,66,68,70,72,74,76,78,80,85,90,95,100})</f>
        <v>50</v>
      </c>
      <c r="T406" s="5"/>
      <c r="U406" s="5"/>
      <c r="V406" s="5">
        <f>S406+U406</f>
        <v>50</v>
      </c>
      <c r="W406" s="5"/>
      <c r="X406" s="13">
        <f>F406*0.1+H406*0.1+J406*0.1+P406*0.2+S406*0.2</f>
        <v>41.8</v>
      </c>
      <c r="Y406" s="13">
        <f>X406/0.7+L406+U406</f>
        <v>59.7142857142857</v>
      </c>
      <c r="Z406" s="19"/>
    </row>
    <row r="407" ht="15.6" hidden="1" outlineLevel="2" spans="1:26">
      <c r="A407" s="5">
        <v>312</v>
      </c>
      <c r="B407" s="5">
        <v>33</v>
      </c>
      <c r="C407" s="9" t="s">
        <v>607</v>
      </c>
      <c r="D407" s="9" t="s">
        <v>12</v>
      </c>
      <c r="E407" s="5"/>
      <c r="F407" s="7"/>
      <c r="G407" s="5"/>
      <c r="H407" s="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>
        <v>50</v>
      </c>
      <c r="X407" s="13"/>
      <c r="Y407" s="13">
        <v>50</v>
      </c>
      <c r="Z407" s="19"/>
    </row>
    <row r="408" ht="15.6" outlineLevel="1" collapsed="1" spans="1:26">
      <c r="A408" s="6" t="s">
        <v>863</v>
      </c>
      <c r="B408" s="5"/>
      <c r="C408" s="9"/>
      <c r="D408" s="9"/>
      <c r="E408" s="5"/>
      <c r="F408" s="7">
        <f>SUBTOTAL(1,F376:F407)</f>
        <v>76</v>
      </c>
      <c r="G408" s="5"/>
      <c r="H408" s="7">
        <f>SUBTOTAL(1,H376:H407)</f>
        <v>73.8888888888889</v>
      </c>
      <c r="I408" s="5"/>
      <c r="J408" s="5">
        <f>SUBTOTAL(1,J376:J407)</f>
        <v>51.8148148148148</v>
      </c>
      <c r="K408" s="5"/>
      <c r="L408" s="5"/>
      <c r="M408" s="5">
        <f>SUBTOTAL(1,M376:M407)</f>
        <v>52.8888888888889</v>
      </c>
      <c r="N408" s="5"/>
      <c r="O408" s="5"/>
      <c r="P408" s="5">
        <f>SUBTOTAL(1,P376:P407)</f>
        <v>79.7407407407407</v>
      </c>
      <c r="Q408" s="5"/>
      <c r="R408" s="5"/>
      <c r="S408" s="5">
        <f>SUBTOTAL(1,S376:S407)</f>
        <v>50.7407407407407</v>
      </c>
      <c r="T408" s="5"/>
      <c r="U408" s="5"/>
      <c r="V408" s="5">
        <f>SUBTOTAL(1,V376:V407)</f>
        <v>50.7407407407407</v>
      </c>
      <c r="W408" s="5"/>
      <c r="X408" s="13">
        <f>SUBTOTAL(1,X376:X407)</f>
        <v>46.2666666666667</v>
      </c>
      <c r="Y408" s="13">
        <f>SUBTOTAL(1,Y376:Y407)</f>
        <v>64.4866071428571</v>
      </c>
      <c r="Z408" s="19"/>
    </row>
    <row r="409" ht="15.6" hidden="1" outlineLevel="2" spans="1:26">
      <c r="A409" s="5">
        <v>313</v>
      </c>
      <c r="B409" s="5">
        <v>1</v>
      </c>
      <c r="C409" s="8" t="s">
        <v>627</v>
      </c>
      <c r="D409" s="9" t="s">
        <v>12</v>
      </c>
      <c r="E409" s="5">
        <v>15.5</v>
      </c>
      <c r="F409" s="7">
        <f>LOOKUP(E409,{0,-1.8,-0.8,0.2,1.2,2.2,3.2,4.6,6,7.4,8.8,10.2,11.6,13,14.4,15.8,17.2,19.1,21,22.8,24.6},{0,10,20,30,40,50,60,62,64,66,68,70,72,74,76,78,80,85,90,95,100})</f>
        <v>76</v>
      </c>
      <c r="G409" s="5">
        <v>220</v>
      </c>
      <c r="H409" s="7">
        <f>LOOKUP(G409,{0,180,185,190,195,200,205,209,213,217,221,225,229,233,237,241,245,253,260,265,270},{0,10,20,30,40,50,60,62,64,66,68,70,72,74,76,78,80,85,90,95,100})</f>
        <v>66</v>
      </c>
      <c r="I409" s="5">
        <v>0</v>
      </c>
      <c r="J409" s="7">
        <f>LOOKUP(I409,{0,4,5,6,7,8,9,10,11,12,13,14,15,16,17,18},{0,10,20,30,40,50,60,64,68,72,76,80,85,90,95,100})</f>
        <v>0</v>
      </c>
      <c r="K409" s="5"/>
      <c r="L409" s="5"/>
      <c r="M409" s="5">
        <f>J409+L409</f>
        <v>0</v>
      </c>
      <c r="N409" s="5">
        <v>7.7</v>
      </c>
      <c r="O409" s="10">
        <f>18-N409</f>
        <v>10.3</v>
      </c>
      <c r="P409" s="7">
        <f>LOOKUP(O409,{0,7.8,8,8.2,8.4,8.6,8.8,9,9.2,9.4,9.6,9.8,10,10.2,10.4,10.6,10.8,10.9,11,11.1,11.2},{0,10,20,30,40,50,60,62,64,66,68,70,72,74,76,78,80,85,90,95,100})</f>
        <v>74</v>
      </c>
      <c r="Q409" s="5">
        <v>5.09</v>
      </c>
      <c r="R409" s="10">
        <f>10-Q409</f>
        <v>4.91</v>
      </c>
      <c r="S409" s="7">
        <f>LOOKUP(R409,{0,3.85,4.45,4.65,4.85,5.45,5.65,5.7,5.75,5.8,5.85,5.9,5.95,6,6.45,6.5,6.55,6.63,6.7,6.75,6.8},{0,10,20,30,40,50,60,62,64,66,68,70,72,74,76,78,80,85,90,95,100})</f>
        <v>40</v>
      </c>
      <c r="T409" s="5"/>
      <c r="U409" s="5"/>
      <c r="V409" s="5">
        <f>S409+U409</f>
        <v>40</v>
      </c>
      <c r="W409" s="5"/>
      <c r="X409" s="13">
        <f>F409*0.1+H409*0.1+J409*0.1+P409*0.2+S409*0.2</f>
        <v>37</v>
      </c>
      <c r="Y409" s="13">
        <f>X409/0.7+L409+U409</f>
        <v>52.8571428571429</v>
      </c>
      <c r="Z409" s="19"/>
    </row>
    <row r="410" ht="15.6" hidden="1" outlineLevel="2" spans="1:26">
      <c r="A410" s="5">
        <v>313</v>
      </c>
      <c r="B410" s="5">
        <v>2</v>
      </c>
      <c r="C410" s="9" t="s">
        <v>628</v>
      </c>
      <c r="D410" s="9" t="s">
        <v>12</v>
      </c>
      <c r="E410" s="5"/>
      <c r="F410" s="7"/>
      <c r="G410" s="5"/>
      <c r="H410" s="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>
        <v>50</v>
      </c>
      <c r="X410" s="13"/>
      <c r="Y410" s="13">
        <v>50</v>
      </c>
      <c r="Z410" s="19"/>
    </row>
    <row r="411" ht="15.6" hidden="1" outlineLevel="2" spans="1:26">
      <c r="A411" s="5">
        <v>313</v>
      </c>
      <c r="B411" s="5">
        <v>3</v>
      </c>
      <c r="C411" s="9" t="s">
        <v>629</v>
      </c>
      <c r="D411" s="9" t="s">
        <v>12</v>
      </c>
      <c r="E411" s="5"/>
      <c r="F411" s="7"/>
      <c r="G411" s="5"/>
      <c r="H411" s="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>
        <v>50</v>
      </c>
      <c r="X411" s="13"/>
      <c r="Y411" s="13">
        <v>50</v>
      </c>
      <c r="Z411" s="19"/>
    </row>
    <row r="412" ht="15.6" hidden="1" outlineLevel="2" spans="1:26">
      <c r="A412" s="5">
        <v>313</v>
      </c>
      <c r="B412" s="5">
        <v>4</v>
      </c>
      <c r="C412" s="9" t="s">
        <v>630</v>
      </c>
      <c r="D412" s="9" t="s">
        <v>12</v>
      </c>
      <c r="E412" s="5">
        <v>20</v>
      </c>
      <c r="F412" s="7">
        <f>LOOKUP(E412,{0,-1.8,-0.8,0.2,1.2,2.2,3.2,4.6,6,7.4,8.8,10.2,11.6,13,14.4,15.8,17.2,19.1,21,22.8,24.6},{0,10,20,30,40,50,60,62,64,66,68,70,72,74,76,78,80,85,90,95,100})</f>
        <v>85</v>
      </c>
      <c r="G412" s="5">
        <v>240</v>
      </c>
      <c r="H412" s="7">
        <f>LOOKUP(G412,{0,180,185,190,195,200,205,209,213,217,221,225,229,233,237,241,245,253,260,265,270},{0,10,20,30,40,50,60,62,64,66,68,70,72,74,76,78,80,85,90,95,100})</f>
        <v>76</v>
      </c>
      <c r="I412" s="5">
        <v>1</v>
      </c>
      <c r="J412" s="7">
        <f>LOOKUP(I412,{0,4,5,6,7,8,9,10,11,12,13,14,15,16,17,18},{0,10,20,30,40,50,60,64,68,72,76,80,85,90,95,100})</f>
        <v>0</v>
      </c>
      <c r="K412" s="5"/>
      <c r="L412" s="5"/>
      <c r="M412" s="5">
        <f t="shared" ref="M412:M424" si="178">J412+L412</f>
        <v>0</v>
      </c>
      <c r="N412" s="5">
        <v>7.1</v>
      </c>
      <c r="O412" s="10">
        <f t="shared" ref="O412:O424" si="179">18-N412</f>
        <v>10.9</v>
      </c>
      <c r="P412" s="7">
        <f>LOOKUP(O412,{0,7.8,8,8.2,8.4,8.6,8.8,9,9.2,9.4,9.6,9.8,10,10.2,10.4,10.6,10.8,10.9,11,11.1,11.2},{0,10,20,30,40,50,60,62,64,66,68,70,72,74,76,78,80,85,90,95,100})</f>
        <v>85</v>
      </c>
      <c r="Q412" s="5">
        <v>5.09</v>
      </c>
      <c r="R412" s="10">
        <f t="shared" ref="R412:R424" si="180">10-Q412</f>
        <v>4.91</v>
      </c>
      <c r="S412" s="7">
        <f>LOOKUP(R412,{0,3.85,4.45,4.65,4.85,5.45,5.65,5.7,5.75,5.8,5.85,5.9,5.95,6,6.45,6.5,6.55,6.63,6.7,6.75,6.8},{0,10,20,30,40,50,60,62,64,66,68,70,72,74,76,78,80,85,90,95,100})</f>
        <v>40</v>
      </c>
      <c r="T412" s="5"/>
      <c r="U412" s="5"/>
      <c r="V412" s="5">
        <f t="shared" ref="V412:V424" si="181">S412+U412</f>
        <v>40</v>
      </c>
      <c r="W412" s="5"/>
      <c r="X412" s="13">
        <f t="shared" ref="X412:X424" si="182">F412*0.1+H412*0.1+J412*0.1+P412*0.2+S412*0.2</f>
        <v>41.1</v>
      </c>
      <c r="Y412" s="13">
        <f t="shared" ref="Y412:Y424" si="183">X412/0.7+L412+U412</f>
        <v>58.7142857142857</v>
      </c>
      <c r="Z412" s="19"/>
    </row>
    <row r="413" ht="15.6" hidden="1" outlineLevel="2" spans="1:26">
      <c r="A413" s="5">
        <v>313</v>
      </c>
      <c r="B413" s="5">
        <v>5</v>
      </c>
      <c r="C413" s="9" t="s">
        <v>631</v>
      </c>
      <c r="D413" s="9" t="s">
        <v>12</v>
      </c>
      <c r="E413" s="5">
        <v>20.5</v>
      </c>
      <c r="F413" s="7">
        <f>LOOKUP(E413,{0,-1.8,-0.8,0.2,1.2,2.2,3.2,4.6,6,7.4,8.8,10.2,11.6,13,14.4,15.8,17.2,19.1,21,22.8,24.6},{0,10,20,30,40,50,60,62,64,66,68,70,72,74,76,78,80,85,90,95,100})</f>
        <v>85</v>
      </c>
      <c r="G413" s="5">
        <v>284</v>
      </c>
      <c r="H413" s="7">
        <f>LOOKUP(G413,{0,180,185,190,195,200,205,209,213,217,221,225,229,233,237,241,245,253,260,265,270},{0,10,20,30,40,50,60,62,64,66,68,70,72,74,76,78,80,85,90,95,100})</f>
        <v>100</v>
      </c>
      <c r="I413" s="5">
        <v>47</v>
      </c>
      <c r="J413" s="7">
        <f>LOOKUP(I413,{0,4,5,6,7,8,9,10,11,12,13,14,15,16,17,18},{0,10,20,30,40,50,60,64,68,72,76,80,85,90,95,100})</f>
        <v>100</v>
      </c>
      <c r="K413" s="5">
        <f>I413-18</f>
        <v>29</v>
      </c>
      <c r="L413" s="7">
        <f>LOOKUP(K413,{0,1,2,3,4,5,6,7,8,9,10},{0,1,2,3,4,5,6,7,8,9,10})</f>
        <v>10</v>
      </c>
      <c r="M413" s="5">
        <f t="shared" si="178"/>
        <v>110</v>
      </c>
      <c r="N413" s="5">
        <v>6.8</v>
      </c>
      <c r="O413" s="10">
        <f t="shared" si="179"/>
        <v>11.2</v>
      </c>
      <c r="P413" s="7">
        <f>LOOKUP(O413,{0,7.8,8,8.2,8.4,8.6,8.8,9,9.2,9.4,9.6,9.8,10,10.2,10.4,10.6,10.8,10.9,11,11.1,11.2},{0,10,20,30,40,50,60,62,64,66,68,70,72,74,76,78,80,85,90,95,100})</f>
        <v>100</v>
      </c>
      <c r="Q413" s="5">
        <v>3.33</v>
      </c>
      <c r="R413" s="10">
        <f t="shared" si="180"/>
        <v>6.67</v>
      </c>
      <c r="S413" s="7">
        <f>LOOKUP(R413,{0,3.85,4.45,4.65,4.85,5.45,5.65,5.7,5.75,5.8,5.85,5.9,5.95,6,6.45,6.5,6.55,6.63,6.7,6.75,6.8},{0,10,20,30,40,50,60,62,64,66,68,70,72,74,76,78,80,85,90,95,100})</f>
        <v>85</v>
      </c>
      <c r="T413" s="5"/>
      <c r="U413" s="5"/>
      <c r="V413" s="5">
        <f t="shared" si="181"/>
        <v>85</v>
      </c>
      <c r="W413" s="5"/>
      <c r="X413" s="13">
        <f t="shared" si="182"/>
        <v>65.5</v>
      </c>
      <c r="Y413" s="13">
        <f t="shared" si="183"/>
        <v>103.571428571429</v>
      </c>
      <c r="Z413" s="19"/>
    </row>
    <row r="414" ht="15.6" hidden="1" outlineLevel="2" spans="1:26">
      <c r="A414" s="5">
        <v>313</v>
      </c>
      <c r="B414" s="5">
        <v>6</v>
      </c>
      <c r="C414" s="9" t="s">
        <v>632</v>
      </c>
      <c r="D414" s="9" t="s">
        <v>12</v>
      </c>
      <c r="E414" s="5">
        <v>9.5</v>
      </c>
      <c r="F414" s="7">
        <f>LOOKUP(E414,{0,-1.8,-0.8,0.2,1.2,2.2,3.2,4.6,6,7.4,8.8,10.2,11.6,13,14.4,15.8,17.2,19.1,21,22.8,24.6},{0,10,20,30,40,50,60,62,64,66,68,70,72,74,76,78,80,85,90,95,100})</f>
        <v>68</v>
      </c>
      <c r="G414" s="5">
        <v>245</v>
      </c>
      <c r="H414" s="7">
        <f>LOOKUP(G414,{0,180,185,190,195,200,205,209,213,217,221,225,229,233,237,241,245,253,260,265,270},{0,10,20,30,40,50,60,62,64,66,68,70,72,74,76,78,80,85,90,95,100})</f>
        <v>80</v>
      </c>
      <c r="I414" s="5">
        <v>19</v>
      </c>
      <c r="J414" s="7">
        <f>LOOKUP(I414,{0,4,5,6,7,8,9,10,11,12,13,14,15,16,17,18},{0,10,20,30,40,50,60,64,68,72,76,80,85,90,95,100})</f>
        <v>100</v>
      </c>
      <c r="K414" s="5">
        <f>I414-18</f>
        <v>1</v>
      </c>
      <c r="L414" s="7">
        <f>LOOKUP(K414,{0,1,2,3,4,5,6,7,8,9,10},{0,1,2,3,4,5,6,7,8,9,10})</f>
        <v>1</v>
      </c>
      <c r="M414" s="5">
        <f t="shared" si="178"/>
        <v>101</v>
      </c>
      <c r="N414" s="5">
        <v>7.6</v>
      </c>
      <c r="O414" s="10">
        <f t="shared" si="179"/>
        <v>10.4</v>
      </c>
      <c r="P414" s="7">
        <f>LOOKUP(O414,{0,7.8,8,8.2,8.4,8.6,8.8,9,9.2,9.4,9.6,9.8,10,10.2,10.4,10.6,10.8,10.9,11,11.1,11.2},{0,10,20,30,40,50,60,62,64,66,68,70,72,74,76,78,80,85,90,95,100})</f>
        <v>76</v>
      </c>
      <c r="Q414" s="5">
        <v>5.09</v>
      </c>
      <c r="R414" s="10">
        <f t="shared" si="180"/>
        <v>4.91</v>
      </c>
      <c r="S414" s="7">
        <f>LOOKUP(R414,{0,3.85,4.45,4.65,4.85,5.45,5.65,5.7,5.75,5.8,5.85,5.9,5.95,6,6.45,6.5,6.55,6.63,6.7,6.75,6.8},{0,10,20,30,40,50,60,62,64,66,68,70,72,74,76,78,80,85,90,95,100})</f>
        <v>40</v>
      </c>
      <c r="T414" s="5"/>
      <c r="U414" s="5"/>
      <c r="V414" s="5">
        <f t="shared" si="181"/>
        <v>40</v>
      </c>
      <c r="W414" s="5"/>
      <c r="X414" s="13">
        <f t="shared" si="182"/>
        <v>48</v>
      </c>
      <c r="Y414" s="13">
        <f t="shared" si="183"/>
        <v>69.5714285714286</v>
      </c>
      <c r="Z414" s="19"/>
    </row>
    <row r="415" ht="15.6" hidden="1" outlineLevel="2" spans="1:26">
      <c r="A415" s="5">
        <v>313</v>
      </c>
      <c r="B415" s="5">
        <v>7</v>
      </c>
      <c r="C415" s="9" t="s">
        <v>633</v>
      </c>
      <c r="D415" s="9" t="s">
        <v>12</v>
      </c>
      <c r="E415" s="5">
        <v>16.5</v>
      </c>
      <c r="F415" s="7">
        <f>LOOKUP(E415,{0,-1.8,-0.8,0.2,1.2,2.2,3.2,4.6,6,7.4,8.8,10.2,11.6,13,14.4,15.8,17.2,19.1,21,22.8,24.6},{0,10,20,30,40,50,60,62,64,66,68,70,72,74,76,78,80,85,90,95,100})</f>
        <v>78</v>
      </c>
      <c r="G415" s="5">
        <v>260</v>
      </c>
      <c r="H415" s="7">
        <f>LOOKUP(G415,{0,180,185,190,195,200,205,209,213,217,221,225,229,233,237,241,245,253,260,265,270},{0,10,20,30,40,50,60,62,64,66,68,70,72,74,76,78,80,85,90,95,100})</f>
        <v>90</v>
      </c>
      <c r="I415" s="5">
        <v>16</v>
      </c>
      <c r="J415" s="7">
        <f>LOOKUP(I415,{0,4,5,6,7,8,9,10,11,12,13,14,15,16,17,18},{0,10,20,30,40,50,60,64,68,72,76,80,85,90,95,100})</f>
        <v>90</v>
      </c>
      <c r="K415" s="5"/>
      <c r="L415" s="5"/>
      <c r="M415" s="5">
        <f t="shared" si="178"/>
        <v>90</v>
      </c>
      <c r="N415" s="5">
        <v>6.6</v>
      </c>
      <c r="O415" s="10">
        <f t="shared" si="179"/>
        <v>11.4</v>
      </c>
      <c r="P415" s="7">
        <f>LOOKUP(O415,{0,7.8,8,8.2,8.4,8.6,8.8,9,9.2,9.4,9.6,9.8,10,10.2,10.4,10.6,10.8,10.9,11,11.1,11.2},{0,10,20,30,40,50,60,62,64,66,68,70,72,74,76,78,80,85,90,95,100})</f>
        <v>100</v>
      </c>
      <c r="Q415" s="5">
        <v>5.09</v>
      </c>
      <c r="R415" s="10">
        <f t="shared" si="180"/>
        <v>4.91</v>
      </c>
      <c r="S415" s="7">
        <f>LOOKUP(R415,{0,3.85,4.45,4.65,4.85,5.45,5.65,5.7,5.75,5.8,5.85,5.9,5.95,6,6.45,6.5,6.55,6.63,6.7,6.75,6.8},{0,10,20,30,40,50,60,62,64,66,68,70,72,74,76,78,80,85,90,95,100})</f>
        <v>40</v>
      </c>
      <c r="T415" s="5"/>
      <c r="U415" s="5"/>
      <c r="V415" s="5">
        <f t="shared" si="181"/>
        <v>40</v>
      </c>
      <c r="W415" s="5"/>
      <c r="X415" s="13">
        <f t="shared" si="182"/>
        <v>53.8</v>
      </c>
      <c r="Y415" s="13">
        <f t="shared" si="183"/>
        <v>76.8571428571429</v>
      </c>
      <c r="Z415" s="19"/>
    </row>
    <row r="416" ht="15.6" hidden="1" outlineLevel="2" spans="1:26">
      <c r="A416" s="5">
        <v>313</v>
      </c>
      <c r="B416" s="5">
        <v>8</v>
      </c>
      <c r="C416" s="9" t="s">
        <v>634</v>
      </c>
      <c r="D416" s="9" t="s">
        <v>12</v>
      </c>
      <c r="E416" s="5">
        <v>23</v>
      </c>
      <c r="F416" s="7">
        <f>LOOKUP(E416,{0,-1.8,-0.8,0.2,1.2,2.2,3.2,4.6,6,7.4,8.8,10.2,11.6,13,14.4,15.8,17.2,19.1,21,22.8,24.6},{0,10,20,30,40,50,60,62,64,66,68,70,72,74,76,78,80,85,90,95,100})</f>
        <v>95</v>
      </c>
      <c r="G416" s="5">
        <v>240</v>
      </c>
      <c r="H416" s="7">
        <f>LOOKUP(G416,{0,180,185,190,195,200,205,209,213,217,221,225,229,233,237,241,245,253,260,265,270},{0,10,20,30,40,50,60,62,64,66,68,70,72,74,76,78,80,85,90,95,100})</f>
        <v>76</v>
      </c>
      <c r="I416" s="5">
        <v>15</v>
      </c>
      <c r="J416" s="7">
        <f>LOOKUP(I416,{0,4,5,6,7,8,9,10,11,12,13,14,15,16,17,18},{0,10,20,30,40,50,60,64,68,72,76,80,85,90,95,100})</f>
        <v>85</v>
      </c>
      <c r="K416" s="5"/>
      <c r="L416" s="5"/>
      <c r="M416" s="5">
        <f t="shared" si="178"/>
        <v>85</v>
      </c>
      <c r="N416" s="5">
        <v>6.8</v>
      </c>
      <c r="O416" s="10">
        <f t="shared" si="179"/>
        <v>11.2</v>
      </c>
      <c r="P416" s="7">
        <f>LOOKUP(O416,{0,7.8,8,8.2,8.4,8.6,8.8,9,9.2,9.4,9.6,9.8,10,10.2,10.4,10.6,10.8,10.9,11,11.1,11.2},{0,10,20,30,40,50,60,62,64,66,68,70,72,74,76,78,80,85,90,95,100})</f>
        <v>100</v>
      </c>
      <c r="Q416" s="5">
        <v>3.33</v>
      </c>
      <c r="R416" s="10">
        <f t="shared" si="180"/>
        <v>6.67</v>
      </c>
      <c r="S416" s="7">
        <f>LOOKUP(R416,{0,3.85,4.45,4.65,4.85,5.45,5.65,5.7,5.75,5.8,5.85,5.9,5.95,6,6.45,6.5,6.55,6.63,6.7,6.75,6.8},{0,10,20,30,40,50,60,62,64,66,68,70,72,74,76,78,80,85,90,95,100})</f>
        <v>85</v>
      </c>
      <c r="T416" s="5"/>
      <c r="U416" s="5"/>
      <c r="V416" s="5">
        <f t="shared" si="181"/>
        <v>85</v>
      </c>
      <c r="W416" s="5"/>
      <c r="X416" s="13">
        <f t="shared" si="182"/>
        <v>62.6</v>
      </c>
      <c r="Y416" s="13">
        <f t="shared" si="183"/>
        <v>89.4285714285714</v>
      </c>
      <c r="Z416" s="19"/>
    </row>
    <row r="417" ht="15.6" hidden="1" outlineLevel="2" spans="1:26">
      <c r="A417" s="5">
        <v>313</v>
      </c>
      <c r="B417" s="5">
        <v>9</v>
      </c>
      <c r="C417" s="8" t="s">
        <v>636</v>
      </c>
      <c r="D417" s="9" t="s">
        <v>12</v>
      </c>
      <c r="E417" s="5">
        <v>7.5</v>
      </c>
      <c r="F417" s="7">
        <f>LOOKUP(E417,{0,-1.8,-0.8,0.2,1.2,2.2,3.2,4.6,6,7.4,8.8,10.2,11.6,13,14.4,15.8,17.2,19.1,21,22.8,24.6},{0,10,20,30,40,50,60,62,64,66,68,70,72,74,76,78,80,85,90,95,100})</f>
        <v>66</v>
      </c>
      <c r="G417" s="5">
        <v>214</v>
      </c>
      <c r="H417" s="7">
        <f>LOOKUP(G417,{0,180,185,190,195,200,205,209,213,217,221,225,229,233,237,241,245,253,260,265,270},{0,10,20,30,40,50,60,62,64,66,68,70,72,74,76,78,80,85,90,95,100})</f>
        <v>64</v>
      </c>
      <c r="I417" s="5">
        <v>10</v>
      </c>
      <c r="J417" s="7">
        <f>LOOKUP(I417,{0,4,5,6,7,8,9,10,11,12,13,14,15,16,17,18},{0,10,20,30,40,50,60,64,68,72,76,80,85,90,95,100})</f>
        <v>64</v>
      </c>
      <c r="K417" s="5"/>
      <c r="L417" s="5"/>
      <c r="M417" s="5">
        <f t="shared" si="178"/>
        <v>64</v>
      </c>
      <c r="N417" s="5">
        <v>7.3</v>
      </c>
      <c r="O417" s="10">
        <f t="shared" si="179"/>
        <v>10.7</v>
      </c>
      <c r="P417" s="7">
        <f>LOOKUP(O417,{0,7.8,8,8.2,8.4,8.6,8.8,9,9.2,9.4,9.6,9.8,10,10.2,10.4,10.6,10.8,10.9,11,11.1,11.2},{0,10,20,30,40,50,60,62,64,66,68,70,72,74,76,78,80,85,90,95,100})</f>
        <v>78</v>
      </c>
      <c r="Q417" s="5">
        <v>5.09</v>
      </c>
      <c r="R417" s="10">
        <f t="shared" si="180"/>
        <v>4.91</v>
      </c>
      <c r="S417" s="7">
        <f>LOOKUP(R417,{0,3.85,4.45,4.65,4.85,5.45,5.65,5.7,5.75,5.8,5.85,5.9,5.95,6,6.45,6.5,6.55,6.63,6.7,6.75,6.8},{0,10,20,30,40,50,60,62,64,66,68,70,72,74,76,78,80,85,90,95,100})</f>
        <v>40</v>
      </c>
      <c r="T417" s="5"/>
      <c r="U417" s="5"/>
      <c r="V417" s="5">
        <f t="shared" si="181"/>
        <v>40</v>
      </c>
      <c r="W417" s="5"/>
      <c r="X417" s="13">
        <f t="shared" si="182"/>
        <v>43</v>
      </c>
      <c r="Y417" s="13">
        <f t="shared" si="183"/>
        <v>61.4285714285714</v>
      </c>
      <c r="Z417" s="22"/>
    </row>
    <row r="418" ht="15.6" hidden="1" outlineLevel="2" spans="1:26">
      <c r="A418" s="5">
        <v>313</v>
      </c>
      <c r="B418" s="5">
        <v>10</v>
      </c>
      <c r="C418" s="9" t="s">
        <v>637</v>
      </c>
      <c r="D418" s="9" t="s">
        <v>12</v>
      </c>
      <c r="E418" s="5">
        <v>12</v>
      </c>
      <c r="F418" s="7">
        <f>LOOKUP(E418,{0,-1.8,-0.8,0.2,1.2,2.2,3.2,4.6,6,7.4,8.8,10.2,11.6,13,14.4,15.8,17.2,19.1,21,22.8,24.6},{0,10,20,30,40,50,60,62,64,66,68,70,72,74,76,78,80,85,90,95,100})</f>
        <v>72</v>
      </c>
      <c r="G418" s="5">
        <v>257</v>
      </c>
      <c r="H418" s="7">
        <f>LOOKUP(G418,{0,180,185,190,195,200,205,209,213,217,221,225,229,233,237,241,245,253,260,265,270},{0,10,20,30,40,50,60,62,64,66,68,70,72,74,76,78,80,85,90,95,100})</f>
        <v>85</v>
      </c>
      <c r="I418" s="5">
        <v>18</v>
      </c>
      <c r="J418" s="7">
        <f>LOOKUP(I418,{0,4,5,6,7,8,9,10,11,12,13,14,15,16,17,18},{0,10,20,30,40,50,60,64,68,72,76,80,85,90,95,100})</f>
        <v>100</v>
      </c>
      <c r="K418" s="5"/>
      <c r="L418" s="5"/>
      <c r="M418" s="5">
        <f t="shared" si="178"/>
        <v>100</v>
      </c>
      <c r="N418" s="5">
        <v>6.9</v>
      </c>
      <c r="O418" s="10">
        <f t="shared" si="179"/>
        <v>11.1</v>
      </c>
      <c r="P418" s="7">
        <f>LOOKUP(O418,{0,7.8,8,8.2,8.4,8.6,8.8,9,9.2,9.4,9.6,9.8,10,10.2,10.4,10.6,10.8,10.9,11,11.1,11.2},{0,10,20,30,40,50,60,62,64,66,68,70,72,74,76,78,80,85,90,95,100})</f>
        <v>95</v>
      </c>
      <c r="Q418" s="5">
        <v>5.09</v>
      </c>
      <c r="R418" s="10">
        <f t="shared" si="180"/>
        <v>4.91</v>
      </c>
      <c r="S418" s="7">
        <f>LOOKUP(R418,{0,3.85,4.45,4.65,4.85,5.45,5.65,5.7,5.75,5.8,5.85,5.9,5.95,6,6.45,6.5,6.55,6.63,6.7,6.75,6.8},{0,10,20,30,40,50,60,62,64,66,68,70,72,74,76,78,80,85,90,95,100})</f>
        <v>40</v>
      </c>
      <c r="T418" s="5"/>
      <c r="U418" s="5"/>
      <c r="V418" s="5">
        <f t="shared" si="181"/>
        <v>40</v>
      </c>
      <c r="W418" s="5"/>
      <c r="X418" s="13">
        <f t="shared" si="182"/>
        <v>52.7</v>
      </c>
      <c r="Y418" s="13">
        <f t="shared" si="183"/>
        <v>75.2857142857143</v>
      </c>
      <c r="Z418" s="20"/>
    </row>
    <row r="419" ht="15.6" hidden="1" outlineLevel="2" spans="1:26">
      <c r="A419" s="5">
        <v>313</v>
      </c>
      <c r="B419" s="5">
        <v>11</v>
      </c>
      <c r="C419" s="9" t="s">
        <v>638</v>
      </c>
      <c r="D419" s="9" t="s">
        <v>12</v>
      </c>
      <c r="E419" s="5">
        <v>11</v>
      </c>
      <c r="F419" s="7">
        <f>LOOKUP(E419,{0,-1.8,-0.8,0.2,1.2,2.2,3.2,4.6,6,7.4,8.8,10.2,11.6,13,14.4,15.8,17.2,19.1,21,22.8,24.6},{0,10,20,30,40,50,60,62,64,66,68,70,72,74,76,78,80,85,90,95,100})</f>
        <v>70</v>
      </c>
      <c r="G419" s="5">
        <v>260</v>
      </c>
      <c r="H419" s="7">
        <f>LOOKUP(G419,{0,180,185,190,195,200,205,209,213,217,221,225,229,233,237,241,245,253,260,265,270},{0,10,20,30,40,50,60,62,64,66,68,70,72,74,76,78,80,85,90,95,100})</f>
        <v>90</v>
      </c>
      <c r="I419" s="5">
        <v>10</v>
      </c>
      <c r="J419" s="7">
        <f>LOOKUP(I419,{0,4,5,6,7,8,9,10,11,12,13,14,15,16,17,18},{0,10,20,30,40,50,60,64,68,72,76,80,85,90,95,100})</f>
        <v>64</v>
      </c>
      <c r="K419" s="5"/>
      <c r="L419" s="5"/>
      <c r="M419" s="5">
        <f t="shared" si="178"/>
        <v>64</v>
      </c>
      <c r="N419" s="5">
        <v>7.1</v>
      </c>
      <c r="O419" s="10">
        <f t="shared" si="179"/>
        <v>10.9</v>
      </c>
      <c r="P419" s="7">
        <f>LOOKUP(O419,{0,7.8,8,8.2,8.4,8.6,8.8,9,9.2,9.4,9.6,9.8,10,10.2,10.4,10.6,10.8,10.9,11,11.1,11.2},{0,10,20,30,40,50,60,62,64,66,68,70,72,74,76,78,80,85,90,95,100})</f>
        <v>85</v>
      </c>
      <c r="Q419" s="5">
        <v>5.09</v>
      </c>
      <c r="R419" s="10">
        <f t="shared" si="180"/>
        <v>4.91</v>
      </c>
      <c r="S419" s="7">
        <f>LOOKUP(R419,{0,3.85,4.45,4.65,4.85,5.45,5.65,5.7,5.75,5.8,5.85,5.9,5.95,6,6.45,6.5,6.55,6.63,6.7,6.75,6.8},{0,10,20,30,40,50,60,62,64,66,68,70,72,74,76,78,80,85,90,95,100})</f>
        <v>40</v>
      </c>
      <c r="T419" s="5"/>
      <c r="U419" s="5"/>
      <c r="V419" s="5">
        <f t="shared" si="181"/>
        <v>40</v>
      </c>
      <c r="W419" s="5"/>
      <c r="X419" s="13">
        <f t="shared" si="182"/>
        <v>47.4</v>
      </c>
      <c r="Y419" s="13">
        <f t="shared" si="183"/>
        <v>67.7142857142857</v>
      </c>
      <c r="Z419" s="19"/>
    </row>
    <row r="420" ht="15.6" hidden="1" outlineLevel="2" spans="1:26">
      <c r="A420" s="5">
        <v>313</v>
      </c>
      <c r="B420" s="5">
        <v>12</v>
      </c>
      <c r="C420" s="9" t="s">
        <v>639</v>
      </c>
      <c r="D420" s="9" t="s">
        <v>12</v>
      </c>
      <c r="E420" s="5">
        <v>19.7</v>
      </c>
      <c r="F420" s="7">
        <f>LOOKUP(E420,{0,-1.8,-0.8,0.2,1.2,2.2,3.2,4.6,6,7.4,8.8,10.2,11.6,13,14.4,15.8,17.2,19.1,21,22.8,24.6},{0,10,20,30,40,50,60,62,64,66,68,70,72,74,76,78,80,85,90,95,100})</f>
        <v>85</v>
      </c>
      <c r="G420" s="5">
        <v>205</v>
      </c>
      <c r="H420" s="7">
        <f>LOOKUP(G420,{0,180,185,190,195,200,205,209,213,217,221,225,229,233,237,241,245,253,260,265,270},{0,10,20,30,40,50,60,62,64,66,68,70,72,74,76,78,80,85,90,95,100})</f>
        <v>60</v>
      </c>
      <c r="I420" s="5">
        <v>0</v>
      </c>
      <c r="J420" s="7">
        <f>LOOKUP(I420,{0,4,5,6,7,8,9,10,11,12,13,14,15,16,17,18},{0,10,20,30,40,50,60,64,68,72,76,80,85,90,95,100})</f>
        <v>0</v>
      </c>
      <c r="K420" s="5"/>
      <c r="L420" s="5"/>
      <c r="M420" s="5">
        <f t="shared" si="178"/>
        <v>0</v>
      </c>
      <c r="N420" s="5">
        <v>8.2</v>
      </c>
      <c r="O420" s="10">
        <f t="shared" si="179"/>
        <v>9.8</v>
      </c>
      <c r="P420" s="7">
        <f>LOOKUP(O420,{0,7.8,8,8.2,8.4,8.6,8.8,9,9.2,9.4,9.6,9.8,10,10.2,10.4,10.6,10.8,10.9,11,11.1,11.2},{0,10,20,30,40,50,60,62,64,66,68,70,72,74,76,78,80,85,90,95,100})</f>
        <v>70</v>
      </c>
      <c r="Q420" s="5">
        <v>4.05</v>
      </c>
      <c r="R420" s="10">
        <f t="shared" si="180"/>
        <v>5.95</v>
      </c>
      <c r="S420" s="7">
        <f>LOOKUP(R420,{0,3.85,4.45,4.65,4.85,5.45,5.65,5.7,5.75,5.8,5.85,5.9,5.95,6,6.45,6.5,6.55,6.63,6.7,6.75,6.8},{0,10,20,30,40,50,60,62,64,66,68,70,72,74,76,78,80,85,90,95,100})</f>
        <v>72</v>
      </c>
      <c r="T420" s="5"/>
      <c r="U420" s="5"/>
      <c r="V420" s="5">
        <f t="shared" si="181"/>
        <v>72</v>
      </c>
      <c r="W420" s="5"/>
      <c r="X420" s="13">
        <f t="shared" si="182"/>
        <v>42.9</v>
      </c>
      <c r="Y420" s="13">
        <f t="shared" si="183"/>
        <v>61.2857142857143</v>
      </c>
      <c r="Z420" s="19"/>
    </row>
    <row r="421" ht="15.6" hidden="1" outlineLevel="2" spans="1:26">
      <c r="A421" s="5">
        <v>313</v>
      </c>
      <c r="B421" s="5">
        <v>13</v>
      </c>
      <c r="C421" s="9" t="s">
        <v>640</v>
      </c>
      <c r="D421" s="9" t="s">
        <v>12</v>
      </c>
      <c r="E421" s="5">
        <v>18</v>
      </c>
      <c r="F421" s="7">
        <f>LOOKUP(E421,{0,-1.8,-0.8,0.2,1.2,2.2,3.2,4.6,6,7.4,8.8,10.2,11.6,13,14.4,15.8,17.2,19.1,21,22.8,24.6},{0,10,20,30,40,50,60,62,64,66,68,70,72,74,76,78,80,85,90,95,100})</f>
        <v>80</v>
      </c>
      <c r="G421" s="5">
        <v>204</v>
      </c>
      <c r="H421" s="7">
        <f>LOOKUP(G421,{0,180,185,190,195,200,205,209,213,217,221,225,229,233,237,241,245,253,260,265,270},{0,10,20,30,40,50,60,62,64,66,68,70,72,74,76,78,80,85,90,95,100})</f>
        <v>50</v>
      </c>
      <c r="I421" s="5">
        <v>0</v>
      </c>
      <c r="J421" s="7">
        <f>LOOKUP(I421,{0,4,5,6,7,8,9,10,11,12,13,14,15,16,17,18},{0,10,20,30,40,50,60,64,68,72,76,80,85,90,95,100})</f>
        <v>0</v>
      </c>
      <c r="K421" s="5"/>
      <c r="L421" s="5"/>
      <c r="M421" s="5">
        <f t="shared" si="178"/>
        <v>0</v>
      </c>
      <c r="N421" s="5">
        <v>8.2</v>
      </c>
      <c r="O421" s="10">
        <f t="shared" si="179"/>
        <v>9.8</v>
      </c>
      <c r="P421" s="7">
        <f>LOOKUP(O421,{0,7.8,8,8.2,8.4,8.6,8.8,9,9.2,9.4,9.6,9.8,10,10.2,10.4,10.6,10.8,10.9,11,11.1,11.2},{0,10,20,30,40,50,60,62,64,66,68,70,72,74,76,78,80,85,90,95,100})</f>
        <v>70</v>
      </c>
      <c r="Q421" s="5">
        <v>5.09</v>
      </c>
      <c r="R421" s="10">
        <f t="shared" si="180"/>
        <v>4.91</v>
      </c>
      <c r="S421" s="7">
        <f>LOOKUP(R421,{0,3.85,4.45,4.65,4.85,5.45,5.65,5.7,5.75,5.8,5.85,5.9,5.95,6,6.45,6.5,6.55,6.63,6.7,6.75,6.8},{0,10,20,30,40,50,60,62,64,66,68,70,72,74,76,78,80,85,90,95,100})</f>
        <v>40</v>
      </c>
      <c r="T421" s="5"/>
      <c r="U421" s="5"/>
      <c r="V421" s="5">
        <f t="shared" si="181"/>
        <v>40</v>
      </c>
      <c r="W421" s="5"/>
      <c r="X421" s="13">
        <f t="shared" si="182"/>
        <v>35</v>
      </c>
      <c r="Y421" s="13">
        <f t="shared" si="183"/>
        <v>50</v>
      </c>
      <c r="Z421" s="20"/>
    </row>
    <row r="422" ht="15.6" hidden="1" outlineLevel="2" spans="1:26">
      <c r="A422" s="5">
        <v>313</v>
      </c>
      <c r="B422" s="5">
        <v>14</v>
      </c>
      <c r="C422" s="9" t="s">
        <v>641</v>
      </c>
      <c r="D422" s="9" t="s">
        <v>12</v>
      </c>
      <c r="E422" s="5">
        <v>22.3</v>
      </c>
      <c r="F422" s="7">
        <f>LOOKUP(E422,{0,-1.8,-0.8,0.2,1.2,2.2,3.2,4.6,6,7.4,8.8,10.2,11.6,13,14.4,15.8,17.2,19.1,21,22.8,24.6},{0,10,20,30,40,50,60,62,64,66,68,70,72,74,76,78,80,85,90,95,100})</f>
        <v>90</v>
      </c>
      <c r="G422" s="5">
        <v>230</v>
      </c>
      <c r="H422" s="7">
        <f>LOOKUP(G422,{0,180,185,190,195,200,205,209,213,217,221,225,229,233,237,241,245,253,260,265,270},{0,10,20,30,40,50,60,62,64,66,68,70,72,74,76,78,80,85,90,95,100})</f>
        <v>72</v>
      </c>
      <c r="I422" s="5">
        <v>0</v>
      </c>
      <c r="J422" s="7">
        <f>LOOKUP(I422,{0,4,5,6,7,8,9,10,11,12,13,14,15,16,17,18},{0,10,20,30,40,50,60,64,68,72,76,80,85,90,95,100})</f>
        <v>0</v>
      </c>
      <c r="K422" s="5"/>
      <c r="L422" s="5"/>
      <c r="M422" s="5">
        <f t="shared" si="178"/>
        <v>0</v>
      </c>
      <c r="N422" s="5">
        <v>7.8</v>
      </c>
      <c r="O422" s="10">
        <f t="shared" si="179"/>
        <v>10.2</v>
      </c>
      <c r="P422" s="7">
        <f>LOOKUP(O422,{0,7.8,8,8.2,8.4,8.6,8.8,9,9.2,9.4,9.6,9.8,10,10.2,10.4,10.6,10.8,10.9,11,11.1,11.2},{0,10,20,30,40,50,60,62,64,66,68,70,72,74,76,78,80,85,90,95,100})</f>
        <v>74</v>
      </c>
      <c r="Q422" s="5">
        <v>3.51</v>
      </c>
      <c r="R422" s="10">
        <f t="shared" si="180"/>
        <v>6.49</v>
      </c>
      <c r="S422" s="7">
        <f>LOOKUP(R422,{0,3.85,4.45,4.65,4.85,5.45,5.65,5.7,5.75,5.8,5.85,5.9,5.95,6,6.45,6.5,6.55,6.63,6.7,6.75,6.8},{0,10,20,30,40,50,60,62,64,66,68,70,72,74,76,78,80,85,90,95,100})</f>
        <v>76</v>
      </c>
      <c r="T422" s="5"/>
      <c r="U422" s="5"/>
      <c r="V422" s="5">
        <f t="shared" si="181"/>
        <v>76</v>
      </c>
      <c r="W422" s="5"/>
      <c r="X422" s="13">
        <f t="shared" si="182"/>
        <v>46.2</v>
      </c>
      <c r="Y422" s="13">
        <f t="shared" si="183"/>
        <v>66</v>
      </c>
      <c r="Z422" s="19"/>
    </row>
    <row r="423" ht="15.6" hidden="1" outlineLevel="2" spans="1:26">
      <c r="A423" s="5">
        <v>313</v>
      </c>
      <c r="B423" s="5">
        <v>15</v>
      </c>
      <c r="C423" s="9" t="s">
        <v>642</v>
      </c>
      <c r="D423" s="9" t="s">
        <v>12</v>
      </c>
      <c r="E423" s="5">
        <v>17</v>
      </c>
      <c r="F423" s="7">
        <f>LOOKUP(E423,{0,-1.8,-0.8,0.2,1.2,2.2,3.2,4.6,6,7.4,8.8,10.2,11.6,13,14.4,15.8,17.2,19.1,21,22.8,24.6},{0,10,20,30,40,50,60,62,64,66,68,70,72,74,76,78,80,85,90,95,100})</f>
        <v>78</v>
      </c>
      <c r="G423" s="5">
        <v>239</v>
      </c>
      <c r="H423" s="7">
        <f>LOOKUP(G423,{0,180,185,190,195,200,205,209,213,217,221,225,229,233,237,241,245,253,260,265,270},{0,10,20,30,40,50,60,62,64,66,68,70,72,74,76,78,80,85,90,95,100})</f>
        <v>76</v>
      </c>
      <c r="I423" s="5">
        <v>4</v>
      </c>
      <c r="J423" s="7">
        <f>LOOKUP(I423,{0,4,5,6,7,8,9,10,11,12,13,14,15,16,17,18},{0,10,20,30,40,50,60,64,68,72,76,80,85,90,95,100})</f>
        <v>10</v>
      </c>
      <c r="K423" s="5"/>
      <c r="L423" s="5"/>
      <c r="M423" s="5">
        <f t="shared" si="178"/>
        <v>10</v>
      </c>
      <c r="N423" s="5">
        <v>7.5</v>
      </c>
      <c r="O423" s="10">
        <f t="shared" si="179"/>
        <v>10.5</v>
      </c>
      <c r="P423" s="7">
        <f>LOOKUP(O423,{0,7.8,8,8.2,8.4,8.6,8.8,9,9.2,9.4,9.6,9.8,10,10.2,10.4,10.6,10.8,10.9,11,11.1,11.2},{0,10,20,30,40,50,60,62,64,66,68,70,72,74,76,78,80,85,90,95,100})</f>
        <v>76</v>
      </c>
      <c r="Q423" s="5">
        <v>5.09</v>
      </c>
      <c r="R423" s="10">
        <f t="shared" si="180"/>
        <v>4.91</v>
      </c>
      <c r="S423" s="7">
        <f>LOOKUP(R423,{0,3.85,4.45,4.65,4.85,5.45,5.65,5.7,5.75,5.8,5.85,5.9,5.95,6,6.45,6.5,6.55,6.63,6.7,6.75,6.8},{0,10,20,30,40,50,60,62,64,66,68,70,72,74,76,78,80,85,90,95,100})</f>
        <v>40</v>
      </c>
      <c r="T423" s="5"/>
      <c r="U423" s="5"/>
      <c r="V423" s="5">
        <f t="shared" si="181"/>
        <v>40</v>
      </c>
      <c r="W423" s="5"/>
      <c r="X423" s="13">
        <f t="shared" si="182"/>
        <v>39.6</v>
      </c>
      <c r="Y423" s="13">
        <f t="shared" si="183"/>
        <v>56.5714285714286</v>
      </c>
      <c r="Z423" s="19"/>
    </row>
    <row r="424" ht="15.6" hidden="1" outlineLevel="2" spans="1:26">
      <c r="A424" s="5">
        <v>313</v>
      </c>
      <c r="B424" s="5">
        <v>16</v>
      </c>
      <c r="C424" s="9" t="s">
        <v>643</v>
      </c>
      <c r="D424" s="9" t="s">
        <v>12</v>
      </c>
      <c r="E424" s="5">
        <v>13</v>
      </c>
      <c r="F424" s="7">
        <f>LOOKUP(E424,{0,-1.8,-0.8,0.2,1.2,2.2,3.2,4.6,6,7.4,8.8,10.2,11.6,13,14.4,15.8,17.2,19.1,21,22.8,24.6},{0,10,20,30,40,50,60,62,64,66,68,70,72,74,76,78,80,85,90,95,100})</f>
        <v>74</v>
      </c>
      <c r="G424" s="5">
        <v>254</v>
      </c>
      <c r="H424" s="7">
        <f>LOOKUP(G424,{0,180,185,190,195,200,205,209,213,217,221,225,229,233,237,241,245,253,260,265,270},{0,10,20,30,40,50,60,62,64,66,68,70,72,74,76,78,80,85,90,95,100})</f>
        <v>85</v>
      </c>
      <c r="I424" s="5">
        <v>18</v>
      </c>
      <c r="J424" s="7">
        <f>LOOKUP(I424,{0,4,5,6,7,8,9,10,11,12,13,14,15,16,17,18},{0,10,20,30,40,50,60,64,68,72,76,80,85,90,95,100})</f>
        <v>100</v>
      </c>
      <c r="K424" s="5"/>
      <c r="L424" s="5"/>
      <c r="M424" s="5">
        <f t="shared" si="178"/>
        <v>100</v>
      </c>
      <c r="N424" s="5">
        <v>6.9</v>
      </c>
      <c r="O424" s="10">
        <f t="shared" si="179"/>
        <v>11.1</v>
      </c>
      <c r="P424" s="7">
        <f>LOOKUP(O424,{0,7.8,8,8.2,8.4,8.6,8.8,9,9.2,9.4,9.6,9.8,10,10.2,10.4,10.6,10.8,10.9,11,11.1,11.2},{0,10,20,30,40,50,60,62,64,66,68,70,72,74,76,78,80,85,90,95,100})</f>
        <v>95</v>
      </c>
      <c r="Q424" s="5">
        <v>5.09</v>
      </c>
      <c r="R424" s="10">
        <f t="shared" si="180"/>
        <v>4.91</v>
      </c>
      <c r="S424" s="7">
        <f>LOOKUP(R424,{0,3.85,4.45,4.65,4.85,5.45,5.65,5.7,5.75,5.8,5.85,5.9,5.95,6,6.45,6.5,6.55,6.63,6.7,6.75,6.8},{0,10,20,30,40,50,60,62,64,66,68,70,72,74,76,78,80,85,90,95,100})</f>
        <v>40</v>
      </c>
      <c r="T424" s="5"/>
      <c r="U424" s="5"/>
      <c r="V424" s="5">
        <f t="shared" si="181"/>
        <v>40</v>
      </c>
      <c r="W424" s="5"/>
      <c r="X424" s="13">
        <f t="shared" si="182"/>
        <v>52.9</v>
      </c>
      <c r="Y424" s="13">
        <f t="shared" si="183"/>
        <v>75.5714285714286</v>
      </c>
      <c r="Z424" s="19"/>
    </row>
    <row r="425" ht="15.6" outlineLevel="1" collapsed="1" spans="1:26">
      <c r="A425" s="6" t="s">
        <v>864</v>
      </c>
      <c r="B425" s="5"/>
      <c r="C425" s="9"/>
      <c r="D425" s="9"/>
      <c r="E425" s="5"/>
      <c r="F425" s="7">
        <f>SUBTOTAL(1,F409:F424)</f>
        <v>78.7142857142857</v>
      </c>
      <c r="G425" s="5"/>
      <c r="H425" s="7">
        <f>SUBTOTAL(1,H409:H424)</f>
        <v>76.4285714285714</v>
      </c>
      <c r="I425" s="5"/>
      <c r="J425" s="7">
        <f>SUBTOTAL(1,J409:J424)</f>
        <v>50.9285714285714</v>
      </c>
      <c r="K425" s="5"/>
      <c r="L425" s="5"/>
      <c r="M425" s="5">
        <f>SUBTOTAL(1,M409:M424)</f>
        <v>51.7142857142857</v>
      </c>
      <c r="N425" s="5"/>
      <c r="O425" s="10"/>
      <c r="P425" s="7">
        <f>SUBTOTAL(1,P409:P424)</f>
        <v>84.1428571428571</v>
      </c>
      <c r="Q425" s="5"/>
      <c r="R425" s="10"/>
      <c r="S425" s="7">
        <f>SUBTOTAL(1,S409:S424)</f>
        <v>51.2857142857143</v>
      </c>
      <c r="T425" s="5"/>
      <c r="U425" s="5"/>
      <c r="V425" s="5">
        <f>SUBTOTAL(1,V409:V424)</f>
        <v>51.2857142857143</v>
      </c>
      <c r="W425" s="5"/>
      <c r="X425" s="13">
        <f>SUBTOTAL(1,X409:X424)</f>
        <v>47.6928571428571</v>
      </c>
      <c r="Y425" s="13">
        <f>SUBTOTAL(1,Y409:Y424)</f>
        <v>66.5535714285714</v>
      </c>
      <c r="Z425" s="19"/>
    </row>
    <row r="426" ht="15.6" hidden="1" outlineLevel="2" spans="1:26">
      <c r="A426" s="5">
        <v>314</v>
      </c>
      <c r="B426" s="5">
        <v>1</v>
      </c>
      <c r="C426" s="8" t="s">
        <v>682</v>
      </c>
      <c r="D426" s="9" t="s">
        <v>12</v>
      </c>
      <c r="E426" s="5">
        <v>14.5</v>
      </c>
      <c r="F426" s="7">
        <f>LOOKUP(E426,{0,-1.8,-0.8,0.2,1.2,2.2,3.2,4.6,6,7.4,8.8,10.2,11.6,13,14.4,15.8,17.2,19.1,21,22.8,24.6},{0,10,20,30,40,50,60,62,64,66,68,70,72,74,76,78,80,85,90,95,100})</f>
        <v>76</v>
      </c>
      <c r="G426" s="5">
        <v>215</v>
      </c>
      <c r="H426" s="7">
        <f>LOOKUP(G426,{0,180,185,190,195,200,205,209,213,217,221,225,229,233,237,241,245,253,260,265,270},{0,10,20,30,40,50,60,62,64,66,68,70,72,74,76,78,80,85,90,95,100})</f>
        <v>64</v>
      </c>
      <c r="I426" s="5">
        <v>0</v>
      </c>
      <c r="J426" s="7">
        <f>LOOKUP(I426,{0,4,5,6,7,8,9,10,11,12,13,14,15,16,17,18},{0,10,20,30,40,50,60,64,68,72,76,80,85,90,95,100})</f>
        <v>0</v>
      </c>
      <c r="K426" s="5"/>
      <c r="L426" s="5"/>
      <c r="M426" s="5">
        <f>J426+L426</f>
        <v>0</v>
      </c>
      <c r="N426" s="5">
        <v>7.3</v>
      </c>
      <c r="O426" s="10">
        <f>18-N426</f>
        <v>10.7</v>
      </c>
      <c r="P426" s="7">
        <f>LOOKUP(O426,{0,7.8,8,8.2,8.4,8.6,8.8,9,9.2,9.4,9.6,9.8,10,10.2,10.4,10.6,10.8,10.9,11,11.1,11.2},{0,10,20,30,40,50,60,62,64,66,68,70,72,74,76,78,80,85,90,95,100})</f>
        <v>78</v>
      </c>
      <c r="Q426" s="5">
        <v>5.26</v>
      </c>
      <c r="R426" s="10">
        <f>10-Q426</f>
        <v>4.74</v>
      </c>
      <c r="S426" s="7">
        <f>LOOKUP(R426,{0,3.85,4.45,4.65,4.85,5.45,5.65,5.7,5.75,5.8,5.85,5.9,5.95,6,6.45,6.5,6.55,6.63,6.7,6.75,6.8},{0,10,20,30,40,50,60,62,64,66,68,70,72,74,76,78,80,85,90,95,100})</f>
        <v>30</v>
      </c>
      <c r="T426" s="5"/>
      <c r="U426" s="5"/>
      <c r="V426" s="5">
        <f>S426+U426</f>
        <v>30</v>
      </c>
      <c r="W426" s="5"/>
      <c r="X426" s="13">
        <f>F426*0.1+H426*0.1+J426*0.1+P426*0.2+S426*0.2</f>
        <v>35.6</v>
      </c>
      <c r="Y426" s="13">
        <f>X426/0.7+L426+U426</f>
        <v>50.8571428571429</v>
      </c>
      <c r="Z426" s="19"/>
    </row>
    <row r="427" ht="15.6" hidden="1" outlineLevel="2" spans="1:26">
      <c r="A427" s="5">
        <v>314</v>
      </c>
      <c r="B427" s="5">
        <v>3</v>
      </c>
      <c r="C427" s="9" t="s">
        <v>683</v>
      </c>
      <c r="D427" s="9" t="s">
        <v>12</v>
      </c>
      <c r="E427" s="5">
        <v>5.5</v>
      </c>
      <c r="F427" s="7">
        <f>LOOKUP(E427,{0,-1.8,-0.8,0.2,1.2,2.2,3.2,4.6,6,7.4,8.8,10.2,11.6,13,14.4,15.8,17.2,19.1,21,22.8,24.6},{0,10,20,30,40,50,60,62,64,66,68,70,72,74,76,78,80,85,90,95,100})</f>
        <v>62</v>
      </c>
      <c r="G427" s="5">
        <v>180</v>
      </c>
      <c r="H427" s="7">
        <f>LOOKUP(G427,{0,180,185,190,195,200,205,209,213,217,221,225,229,233,237,241,245,253,260,265,270},{0,10,20,30,40,50,60,62,64,66,68,70,72,74,76,78,80,85,90,95,100})</f>
        <v>10</v>
      </c>
      <c r="I427" s="5">
        <v>0</v>
      </c>
      <c r="J427" s="7">
        <f>LOOKUP(I427,{0,4,5,6,7,8,9,10,11,12,13,14,15,16,17,18},{0,10,20,30,40,50,60,64,68,72,76,80,85,90,95,100})</f>
        <v>0</v>
      </c>
      <c r="K427" s="5"/>
      <c r="L427" s="5"/>
      <c r="M427" s="5">
        <f>J427+L427</f>
        <v>0</v>
      </c>
      <c r="N427" s="5">
        <v>7.5</v>
      </c>
      <c r="O427" s="10">
        <f>18-N427</f>
        <v>10.5</v>
      </c>
      <c r="P427" s="7">
        <f>LOOKUP(O427,{0,7.8,8,8.2,8.4,8.6,8.8,9,9.2,9.4,9.6,9.8,10,10.2,10.4,10.6,10.8,10.9,11,11.1,11.2},{0,10,20,30,40,50,60,62,64,66,68,70,72,74,76,78,80,85,90,95,100})</f>
        <v>76</v>
      </c>
      <c r="Q427" s="5">
        <v>5.34</v>
      </c>
      <c r="R427" s="10">
        <f>10-Q427</f>
        <v>4.66</v>
      </c>
      <c r="S427" s="7">
        <f>LOOKUP(R427,{0,3.85,4.45,4.65,4.85,5.45,5.65,5.7,5.75,5.8,5.85,5.9,5.95,6,6.45,6.5,6.55,6.63,6.7,6.75,6.8},{0,10,20,30,40,50,60,62,64,66,68,70,72,74,76,78,80,85,90,95,100})</f>
        <v>30</v>
      </c>
      <c r="T427" s="5"/>
      <c r="U427" s="5"/>
      <c r="V427" s="5">
        <f>S427+U427</f>
        <v>30</v>
      </c>
      <c r="W427" s="5"/>
      <c r="X427" s="13">
        <f>F427*0.1+H427*0.1+J427*0.1+P427*0.2+S427*0.2</f>
        <v>28.4</v>
      </c>
      <c r="Y427" s="13">
        <f>X427/0.7+L427+U427</f>
        <v>40.5714285714286</v>
      </c>
      <c r="Z427" s="19"/>
    </row>
    <row r="428" ht="15.6" hidden="1" outlineLevel="2" spans="1:26">
      <c r="A428" s="5">
        <v>314</v>
      </c>
      <c r="B428" s="5">
        <v>4</v>
      </c>
      <c r="C428" s="9" t="s">
        <v>684</v>
      </c>
      <c r="D428" s="9" t="s">
        <v>12</v>
      </c>
      <c r="E428" s="5">
        <v>-5.5</v>
      </c>
      <c r="F428" s="7">
        <v>0</v>
      </c>
      <c r="G428" s="5">
        <v>190</v>
      </c>
      <c r="H428" s="7">
        <f>LOOKUP(G428,{0,180,185,190,195,200,205,209,213,217,221,225,229,233,237,241,245,253,260,265,270},{0,10,20,30,40,50,60,62,64,66,68,70,72,74,76,78,80,85,90,95,100})</f>
        <v>30</v>
      </c>
      <c r="I428" s="5">
        <v>18</v>
      </c>
      <c r="J428" s="7">
        <f>LOOKUP(I428,{0,4,5,6,7,8,9,10,11,12,13,14,15,16,17,18},{0,10,20,30,40,50,60,64,68,72,76,80,85,90,95,100})</f>
        <v>100</v>
      </c>
      <c r="K428" s="5"/>
      <c r="L428" s="16"/>
      <c r="M428" s="5">
        <f>J428+L428</f>
        <v>100</v>
      </c>
      <c r="N428" s="5">
        <v>8</v>
      </c>
      <c r="O428" s="10">
        <f>18-N428</f>
        <v>10</v>
      </c>
      <c r="P428" s="7">
        <f>LOOKUP(O428,{0,7.8,8,8.2,8.4,8.6,8.8,9,9.2,9.4,9.6,9.8,10,10.2,10.4,10.6,10.8,10.9,11,11.1,11.2},{0,10,20,30,40,50,60,62,64,66,68,70,72,74,76,78,80,85,90,95,100})</f>
        <v>72</v>
      </c>
      <c r="Q428" s="5">
        <v>4.18</v>
      </c>
      <c r="R428" s="10">
        <f>10-Q428</f>
        <v>5.82</v>
      </c>
      <c r="S428" s="7">
        <f>LOOKUP(R428,{0,3.85,4.45,4.65,4.85,5.45,5.65,5.7,5.75,5.8,5.85,5.9,5.95,6,6.45,6.5,6.55,6.63,6.7,6.75,6.8},{0,10,20,30,40,50,60,62,64,66,68,70,72,74,76,78,80,85,90,95,100})</f>
        <v>66</v>
      </c>
      <c r="T428" s="5"/>
      <c r="U428" s="5"/>
      <c r="V428" s="5">
        <f>S428+U428</f>
        <v>66</v>
      </c>
      <c r="W428" s="5"/>
      <c r="X428" s="13">
        <f>F428*0.1+H428*0.1+J428*0.1+P428*0.2+S428*0.2</f>
        <v>40.6</v>
      </c>
      <c r="Y428" s="13">
        <f>X428/0.7+L428+U428</f>
        <v>58</v>
      </c>
      <c r="Z428" s="19"/>
    </row>
    <row r="429" ht="15.6" hidden="1" outlineLevel="2" spans="1:26">
      <c r="A429" s="5">
        <v>314</v>
      </c>
      <c r="B429" s="5">
        <v>5</v>
      </c>
      <c r="C429" s="9" t="s">
        <v>685</v>
      </c>
      <c r="D429" s="9" t="s">
        <v>12</v>
      </c>
      <c r="E429" s="5">
        <v>12</v>
      </c>
      <c r="F429" s="7">
        <f>LOOKUP(E429,{0,-1.8,-0.8,0.2,1.2,2.2,3.2,4.6,6,7.4,8.8,10.2,11.6,13,14.4,15.8,17.2,19.1,21,22.8,24.6},{0,10,20,30,40,50,60,62,64,66,68,70,72,74,76,78,80,85,90,95,100})</f>
        <v>72</v>
      </c>
      <c r="G429" s="5">
        <v>235</v>
      </c>
      <c r="H429" s="7">
        <f>LOOKUP(G429,{0,180,185,190,195,200,205,209,213,217,221,225,229,233,237,241,245,253,260,265,270},{0,10,20,30,40,50,60,62,64,66,68,70,72,74,76,78,80,85,90,95,100})</f>
        <v>74</v>
      </c>
      <c r="I429" s="5">
        <v>12</v>
      </c>
      <c r="J429" s="7">
        <f>LOOKUP(I429,{0,4,5,6,7,8,9,10,11,12,13,14,15,16,17,18},{0,10,20,30,40,50,60,64,68,72,76,80,85,90,95,100})</f>
        <v>72</v>
      </c>
      <c r="K429" s="5"/>
      <c r="L429" s="5"/>
      <c r="M429" s="5">
        <f>J429+L429</f>
        <v>72</v>
      </c>
      <c r="N429" s="5">
        <v>6.9</v>
      </c>
      <c r="O429" s="10">
        <f>18-N429</f>
        <v>11.1</v>
      </c>
      <c r="P429" s="7">
        <f>LOOKUP(O429,{0,7.8,8,8.2,8.4,8.6,8.8,9,9.2,9.4,9.6,9.8,10,10.2,10.4,10.6,10.8,10.9,11,11.1,11.2},{0,10,20,30,40,50,60,62,64,66,68,70,72,74,76,78,80,85,90,95,100})</f>
        <v>95</v>
      </c>
      <c r="Q429" s="5">
        <v>5.2</v>
      </c>
      <c r="R429" s="10">
        <f>10-Q429</f>
        <v>4.8</v>
      </c>
      <c r="S429" s="7">
        <f>LOOKUP(R429,{0,3.85,4.45,4.65,4.85,5.45,5.65,5.7,5.75,5.8,5.85,5.9,5.95,6,6.45,6.5,6.55,6.63,6.7,6.75,6.8},{0,10,20,30,40,50,60,62,64,66,68,70,72,74,76,78,80,85,90,95,100})</f>
        <v>30</v>
      </c>
      <c r="T429" s="5"/>
      <c r="U429" s="5"/>
      <c r="V429" s="5">
        <f>S429+U429</f>
        <v>30</v>
      </c>
      <c r="W429" s="5"/>
      <c r="X429" s="13">
        <f>F429*0.1+H429*0.1+J429*0.1+P429*0.2+S429*0.2</f>
        <v>46.8</v>
      </c>
      <c r="Y429" s="13">
        <f>X429/0.7+L429+U429</f>
        <v>66.8571428571429</v>
      </c>
      <c r="Z429" s="19"/>
    </row>
    <row r="430" ht="15.6" hidden="1" outlineLevel="2" spans="1:26">
      <c r="A430" s="5">
        <v>314</v>
      </c>
      <c r="B430" s="5">
        <v>6</v>
      </c>
      <c r="C430" s="9" t="s">
        <v>686</v>
      </c>
      <c r="D430" s="9" t="s">
        <v>12</v>
      </c>
      <c r="E430" s="5">
        <v>-2</v>
      </c>
      <c r="F430" s="7">
        <v>0</v>
      </c>
      <c r="G430" s="5">
        <v>200</v>
      </c>
      <c r="H430" s="7">
        <f>LOOKUP(G430,{0,180,185,190,195,200,205,209,213,217,221,225,229,233,237,241,245,253,260,265,270},{0,10,20,30,40,50,60,62,64,66,68,70,72,74,76,78,80,85,90,95,100})</f>
        <v>50</v>
      </c>
      <c r="I430" s="5">
        <v>0</v>
      </c>
      <c r="J430" s="7">
        <f>LOOKUP(I430,{0,4,5,6,7,8,9,10,11,12,13,14,15,16,17,18},{0,10,20,30,40,50,60,64,68,72,76,80,85,90,95,100})</f>
        <v>0</v>
      </c>
      <c r="K430" s="5"/>
      <c r="L430" s="5"/>
      <c r="M430" s="5">
        <f>J430+L430</f>
        <v>0</v>
      </c>
      <c r="N430" s="5">
        <v>8.4</v>
      </c>
      <c r="O430" s="10">
        <f>18-N430</f>
        <v>9.6</v>
      </c>
      <c r="P430" s="7">
        <f>LOOKUP(O430,{0,7.8,8,8.2,8.4,8.6,8.8,9,9.2,9.4,9.6,9.8,10,10.2,10.4,10.6,10.8,10.9,11,11.1,11.2},{0,10,20,30,40,50,60,62,64,66,68,70,72,74,76,78,80,85,90,95,100})</f>
        <v>68</v>
      </c>
      <c r="Q430" s="5">
        <v>5.28</v>
      </c>
      <c r="R430" s="10">
        <f>10-Q430</f>
        <v>4.72</v>
      </c>
      <c r="S430" s="7">
        <f>LOOKUP(R430,{0,3.85,4.45,4.65,4.85,5.45,5.65,5.7,5.75,5.8,5.85,5.9,5.95,6,6.45,6.5,6.55,6.63,6.7,6.75,6.8},{0,10,20,30,40,50,60,62,64,66,68,70,72,74,76,78,80,85,90,95,100})</f>
        <v>30</v>
      </c>
      <c r="T430" s="5"/>
      <c r="U430" s="5"/>
      <c r="V430" s="5">
        <f>S430+U430</f>
        <v>30</v>
      </c>
      <c r="W430" s="5"/>
      <c r="X430" s="13">
        <f>F430*0.1+H430*0.1+J430*0.1+P430*0.2+S430*0.2</f>
        <v>24.6</v>
      </c>
      <c r="Y430" s="13">
        <f>X430/0.7+L430+U430</f>
        <v>35.1428571428571</v>
      </c>
      <c r="Z430" s="19"/>
    </row>
    <row r="431" ht="15.6" outlineLevel="1" collapsed="1" spans="1:26">
      <c r="A431" s="6" t="s">
        <v>865</v>
      </c>
      <c r="B431" s="5"/>
      <c r="C431" s="9"/>
      <c r="D431" s="9"/>
      <c r="E431" s="5"/>
      <c r="F431" s="7">
        <f>SUBTOTAL(1,F426:F430)</f>
        <v>42</v>
      </c>
      <c r="G431" s="5"/>
      <c r="H431" s="7">
        <f>SUBTOTAL(1,H426:H430)</f>
        <v>45.6</v>
      </c>
      <c r="I431" s="5"/>
      <c r="J431" s="7">
        <f>SUBTOTAL(1,J426:J430)</f>
        <v>34.4</v>
      </c>
      <c r="K431" s="5"/>
      <c r="L431" s="5"/>
      <c r="M431" s="5">
        <f>SUBTOTAL(1,M426:M430)</f>
        <v>34.4</v>
      </c>
      <c r="N431" s="5"/>
      <c r="O431" s="10"/>
      <c r="P431" s="7">
        <f>SUBTOTAL(1,P426:P430)</f>
        <v>77.8</v>
      </c>
      <c r="Q431" s="5"/>
      <c r="R431" s="10"/>
      <c r="S431" s="7">
        <f>SUBTOTAL(1,S426:S430)</f>
        <v>37.2</v>
      </c>
      <c r="T431" s="5"/>
      <c r="U431" s="5"/>
      <c r="V431" s="5">
        <f>SUBTOTAL(1,V426:V430)</f>
        <v>37.2</v>
      </c>
      <c r="W431" s="5"/>
      <c r="X431" s="13">
        <f>SUBTOTAL(1,X426:X430)</f>
        <v>35.2</v>
      </c>
      <c r="Y431" s="13">
        <f>SUBTOTAL(1,Y426:Y430)</f>
        <v>50.2857142857143</v>
      </c>
      <c r="Z431" s="19"/>
    </row>
    <row r="432" ht="15.6" hidden="1" outlineLevel="2" spans="1:26">
      <c r="A432" s="5">
        <v>315</v>
      </c>
      <c r="B432" s="5">
        <v>1</v>
      </c>
      <c r="C432" s="8" t="s">
        <v>734</v>
      </c>
      <c r="D432" s="9" t="s">
        <v>12</v>
      </c>
      <c r="E432" s="5">
        <v>16</v>
      </c>
      <c r="F432" s="7">
        <f>LOOKUP(E432,{0,-1.8,-0.8,0.2,1.2,2.2,3.2,4.6,6,7.4,8.8,10.2,11.6,13,14.4,15.8,17.2,19.1,21,22.8,24.6},{0,10,20,30,40,50,60,62,64,66,68,70,72,74,76,78,80,85,90,95,100})</f>
        <v>78</v>
      </c>
      <c r="G432" s="5">
        <v>225</v>
      </c>
      <c r="H432" s="7">
        <f>LOOKUP(G432,{0,180,185,190,195,200,205,209,213,217,221,225,229,233,237,241,245,253,260,265,270},{0,10,20,30,40,50,60,62,64,66,68,70,72,74,76,78,80,85,90,95,100})</f>
        <v>70</v>
      </c>
      <c r="I432" s="5">
        <v>6</v>
      </c>
      <c r="J432" s="7">
        <f>LOOKUP(I432,{0,4,5,6,7,8,9,10,11,12,13,14,15,16,17,18},{0,10,20,30,40,50,60,64,68,72,76,80,85,90,95,100})</f>
        <v>30</v>
      </c>
      <c r="K432" s="5"/>
      <c r="L432" s="5"/>
      <c r="M432" s="5">
        <f t="shared" ref="M432:M443" si="184">J432+L432</f>
        <v>30</v>
      </c>
      <c r="N432" s="5">
        <v>7.5</v>
      </c>
      <c r="O432" s="10">
        <f t="shared" ref="O432:O443" si="185">18-N432</f>
        <v>10.5</v>
      </c>
      <c r="P432" s="7">
        <f>LOOKUP(O432,{0,7.8,8,8.2,8.4,8.6,8.8,9,9.2,9.4,9.6,9.8,10,10.2,10.4,10.6,10.8,10.9,11,11.1,11.2},{0,10,20,30,40,50,60,62,64,66,68,70,72,74,76,78,80,85,90,95,100})</f>
        <v>76</v>
      </c>
      <c r="Q432" s="5">
        <v>5.07</v>
      </c>
      <c r="R432" s="10">
        <f t="shared" ref="R432:R443" si="186">10-Q432</f>
        <v>4.93</v>
      </c>
      <c r="S432" s="7">
        <f>LOOKUP(R432,{0,3.85,4.45,4.65,4.85,5.45,5.65,5.7,5.75,5.8,5.85,5.9,5.95,6,6.45,6.5,6.55,6.63,6.7,6.75,6.8},{0,10,20,30,40,50,60,62,64,66,68,70,72,74,76,78,80,85,90,95,100})</f>
        <v>40</v>
      </c>
      <c r="T432" s="5"/>
      <c r="U432" s="5"/>
      <c r="V432" s="5">
        <f t="shared" ref="V432:V443" si="187">S432+U432</f>
        <v>40</v>
      </c>
      <c r="W432" s="5"/>
      <c r="X432" s="13">
        <f t="shared" ref="X432:X443" si="188">F432*0.1+H432*0.1+J432*0.1+P432*0.2+S432*0.2</f>
        <v>41</v>
      </c>
      <c r="Y432" s="13">
        <f t="shared" ref="Y432:Y443" si="189">X432/0.7+L432+U432</f>
        <v>58.5714285714286</v>
      </c>
      <c r="Z432" s="19"/>
    </row>
    <row r="433" ht="15.6" hidden="1" outlineLevel="2" spans="1:26">
      <c r="A433" s="5">
        <v>315</v>
      </c>
      <c r="B433" s="5">
        <v>2</v>
      </c>
      <c r="C433" s="9" t="s">
        <v>735</v>
      </c>
      <c r="D433" s="9" t="s">
        <v>12</v>
      </c>
      <c r="E433" s="5">
        <v>2.5</v>
      </c>
      <c r="F433" s="7">
        <f>LOOKUP(E433,{0,-1.8,-0.8,0.2,1.2,2.2,3.2,4.6,6,7.4,8.8,10.2,11.6,13,14.4,15.8,17.2,19.1,21,22.8,24.6},{0,10,20,30,40,50,60,62,64,66,68,70,72,74,76,78,80,85,90,95,100})</f>
        <v>50</v>
      </c>
      <c r="G433" s="5">
        <v>220</v>
      </c>
      <c r="H433" s="7">
        <f>LOOKUP(G433,{0,180,185,190,195,200,205,209,213,217,221,225,229,233,237,241,245,253,260,265,270},{0,10,20,30,40,50,60,62,64,66,68,70,72,74,76,78,80,85,90,95,100})</f>
        <v>66</v>
      </c>
      <c r="I433" s="5">
        <v>6</v>
      </c>
      <c r="J433" s="7">
        <f>LOOKUP(I433,{0,4,5,6,7,8,9,10,11,12,13,14,15,16,17,18},{0,10,20,30,40,50,60,64,68,72,76,80,85,90,95,100})</f>
        <v>30</v>
      </c>
      <c r="K433" s="5"/>
      <c r="L433" s="5"/>
      <c r="M433" s="5">
        <f t="shared" si="184"/>
        <v>30</v>
      </c>
      <c r="N433" s="5">
        <v>7.8</v>
      </c>
      <c r="O433" s="10">
        <f t="shared" si="185"/>
        <v>10.2</v>
      </c>
      <c r="P433" s="7">
        <f>LOOKUP(O433,{0,7.8,8,8.2,8.4,8.6,8.8,9,9.2,9.4,9.6,9.8,10,10.2,10.4,10.6,10.8,10.9,11,11.1,11.2},{0,10,20,30,40,50,60,62,64,66,68,70,72,74,76,78,80,85,90,95,100})</f>
        <v>74</v>
      </c>
      <c r="Q433" s="5">
        <v>5.07</v>
      </c>
      <c r="R433" s="10">
        <f t="shared" si="186"/>
        <v>4.93</v>
      </c>
      <c r="S433" s="7">
        <f>LOOKUP(R433,{0,3.85,4.45,4.65,4.85,5.45,5.65,5.7,5.75,5.8,5.85,5.9,5.95,6,6.45,6.5,6.55,6.63,6.7,6.75,6.8},{0,10,20,30,40,50,60,62,64,66,68,70,72,74,76,78,80,85,90,95,100})</f>
        <v>40</v>
      </c>
      <c r="T433" s="5"/>
      <c r="U433" s="5"/>
      <c r="V433" s="5">
        <f t="shared" si="187"/>
        <v>40</v>
      </c>
      <c r="W433" s="5"/>
      <c r="X433" s="13">
        <f t="shared" si="188"/>
        <v>37.4</v>
      </c>
      <c r="Y433" s="13">
        <f t="shared" si="189"/>
        <v>53.4285714285714</v>
      </c>
      <c r="Z433" s="19"/>
    </row>
    <row r="434" ht="15.6" hidden="1" outlineLevel="2" spans="1:26">
      <c r="A434" s="5">
        <v>315</v>
      </c>
      <c r="B434" s="5">
        <v>3</v>
      </c>
      <c r="C434" s="9" t="s">
        <v>736</v>
      </c>
      <c r="D434" s="9" t="s">
        <v>12</v>
      </c>
      <c r="E434" s="5">
        <v>11.5</v>
      </c>
      <c r="F434" s="7">
        <f>LOOKUP(E434,{0,-1.8,-0.8,0.2,1.2,2.2,3.2,4.6,6,7.4,8.8,10.2,11.6,13,14.4,15.8,17.2,19.1,21,22.8,24.6},{0,10,20,30,40,50,60,62,64,66,68,70,72,74,76,78,80,85,90,95,100})</f>
        <v>70</v>
      </c>
      <c r="G434" s="5">
        <v>220</v>
      </c>
      <c r="H434" s="7">
        <f>LOOKUP(G434,{0,180,185,190,195,200,205,209,213,217,221,225,229,233,237,241,245,253,260,265,270},{0,10,20,30,40,50,60,62,64,66,68,70,72,74,76,78,80,85,90,95,100})</f>
        <v>66</v>
      </c>
      <c r="I434" s="5">
        <v>4</v>
      </c>
      <c r="J434" s="7">
        <f>LOOKUP(I434,{0,4,5,6,7,8,9,10,11,12,13,14,15,16,17,18},{0,10,20,30,40,50,60,64,68,72,76,80,85,90,95,100})</f>
        <v>10</v>
      </c>
      <c r="K434" s="5"/>
      <c r="L434" s="5"/>
      <c r="M434" s="5">
        <f t="shared" si="184"/>
        <v>10</v>
      </c>
      <c r="N434" s="5">
        <v>7.2</v>
      </c>
      <c r="O434" s="10">
        <f t="shared" si="185"/>
        <v>10.8</v>
      </c>
      <c r="P434" s="7">
        <f>LOOKUP(O434,{0,7.8,8,8.2,8.4,8.6,8.8,9,9.2,9.4,9.6,9.8,10,10.2,10.4,10.6,10.8,10.9,11,11.1,11.2},{0,10,20,30,40,50,60,62,64,66,68,70,72,74,76,78,80,85,90,95,100})</f>
        <v>80</v>
      </c>
      <c r="Q434" s="5">
        <v>4.52</v>
      </c>
      <c r="R434" s="10">
        <f t="shared" si="186"/>
        <v>5.48</v>
      </c>
      <c r="S434" s="7">
        <f>LOOKUP(R434,{0,3.85,4.45,4.65,4.85,5.45,5.65,5.7,5.75,5.8,5.85,5.9,5.95,6,6.45,6.5,6.55,6.63,6.7,6.75,6.8},{0,10,20,30,40,50,60,62,64,66,68,70,72,74,76,78,80,85,90,95,100})</f>
        <v>50</v>
      </c>
      <c r="T434" s="5"/>
      <c r="U434" s="5"/>
      <c r="V434" s="5">
        <f t="shared" si="187"/>
        <v>50</v>
      </c>
      <c r="W434" s="5"/>
      <c r="X434" s="13">
        <f t="shared" si="188"/>
        <v>40.6</v>
      </c>
      <c r="Y434" s="13">
        <f t="shared" si="189"/>
        <v>58</v>
      </c>
      <c r="Z434" s="19"/>
    </row>
    <row r="435" ht="15.6" hidden="1" outlineLevel="2" spans="1:26">
      <c r="A435" s="5">
        <v>315</v>
      </c>
      <c r="B435" s="5">
        <v>4</v>
      </c>
      <c r="C435" s="9" t="s">
        <v>737</v>
      </c>
      <c r="D435" s="9" t="s">
        <v>12</v>
      </c>
      <c r="E435" s="5">
        <v>17</v>
      </c>
      <c r="F435" s="7">
        <f>LOOKUP(E435,{0,-1.8,-0.8,0.2,1.2,2.2,3.2,4.6,6,7.4,8.8,10.2,11.6,13,14.4,15.8,17.2,19.1,21,22.8,24.6},{0,10,20,30,40,50,60,62,64,66,68,70,72,74,76,78,80,85,90,95,100})</f>
        <v>78</v>
      </c>
      <c r="G435" s="5">
        <v>215</v>
      </c>
      <c r="H435" s="7">
        <f>LOOKUP(G435,{0,180,185,190,195,200,205,209,213,217,221,225,229,233,237,241,245,253,260,265,270},{0,10,20,30,40,50,60,62,64,66,68,70,72,74,76,78,80,85,90,95,100})</f>
        <v>64</v>
      </c>
      <c r="I435" s="5">
        <v>4</v>
      </c>
      <c r="J435" s="7">
        <f>LOOKUP(I435,{0,4,5,6,7,8,9,10,11,12,13,14,15,16,17,18},{0,10,20,30,40,50,60,64,68,72,76,80,85,90,95,100})</f>
        <v>10</v>
      </c>
      <c r="K435" s="5"/>
      <c r="L435" s="5"/>
      <c r="M435" s="5">
        <f t="shared" si="184"/>
        <v>10</v>
      </c>
      <c r="N435" s="5">
        <v>8.2</v>
      </c>
      <c r="O435" s="10">
        <f t="shared" si="185"/>
        <v>9.8</v>
      </c>
      <c r="P435" s="7">
        <f>LOOKUP(O435,{0,7.8,8,8.2,8.4,8.6,8.8,9,9.2,9.4,9.6,9.8,10,10.2,10.4,10.6,10.8,10.9,11,11.1,11.2},{0,10,20,30,40,50,60,62,64,66,68,70,72,74,76,78,80,85,90,95,100})</f>
        <v>70</v>
      </c>
      <c r="Q435" s="5">
        <v>5.07</v>
      </c>
      <c r="R435" s="10">
        <f t="shared" si="186"/>
        <v>4.93</v>
      </c>
      <c r="S435" s="7">
        <f>LOOKUP(R435,{0,3.85,4.45,4.65,4.85,5.45,5.65,5.7,5.75,5.8,5.85,5.9,5.95,6,6.45,6.5,6.55,6.63,6.7,6.75,6.8},{0,10,20,30,40,50,60,62,64,66,68,70,72,74,76,78,80,85,90,95,100})</f>
        <v>40</v>
      </c>
      <c r="T435" s="5"/>
      <c r="U435" s="5"/>
      <c r="V435" s="5">
        <f t="shared" si="187"/>
        <v>40</v>
      </c>
      <c r="W435" s="5"/>
      <c r="X435" s="13">
        <f t="shared" si="188"/>
        <v>37.2</v>
      </c>
      <c r="Y435" s="13">
        <f t="shared" si="189"/>
        <v>53.1428571428572</v>
      </c>
      <c r="Z435" s="19"/>
    </row>
    <row r="436" ht="15.6" hidden="1" outlineLevel="2" spans="1:26">
      <c r="A436" s="5">
        <v>315</v>
      </c>
      <c r="B436" s="5">
        <v>5</v>
      </c>
      <c r="C436" s="9" t="s">
        <v>738</v>
      </c>
      <c r="D436" s="9" t="s">
        <v>12</v>
      </c>
      <c r="E436" s="5">
        <v>7.6</v>
      </c>
      <c r="F436" s="7">
        <f>LOOKUP(E436,{0,-1.8,-0.8,0.2,1.2,2.2,3.2,4.6,6,7.4,8.8,10.2,11.6,13,14.4,15.8,17.2,19.1,21,22.8,24.6},{0,10,20,30,40,50,60,62,64,66,68,70,72,74,76,78,80,85,90,95,100})</f>
        <v>66</v>
      </c>
      <c r="G436" s="5">
        <v>253</v>
      </c>
      <c r="H436" s="7">
        <f>LOOKUP(G436,{0,180,185,190,195,200,205,209,213,217,221,225,229,233,237,241,245,253,260,265,270},{0,10,20,30,40,50,60,62,64,66,68,70,72,74,76,78,80,85,90,95,100})</f>
        <v>85</v>
      </c>
      <c r="I436" s="5">
        <v>20</v>
      </c>
      <c r="J436" s="7">
        <f>LOOKUP(I436,{0,4,5,6,7,8,9,10,11,12,13,14,15,16,17,18},{0,10,20,30,40,50,60,64,68,72,76,80,85,90,95,100})</f>
        <v>100</v>
      </c>
      <c r="K436" s="5">
        <f>I436-18</f>
        <v>2</v>
      </c>
      <c r="L436" s="7">
        <f>LOOKUP(K436,{0,1,2,3,4,5,6,7,8,9,10},{0,1,2,3,4,5,6,7,8,9,10})</f>
        <v>2</v>
      </c>
      <c r="M436" s="5">
        <f t="shared" si="184"/>
        <v>102</v>
      </c>
      <c r="N436" s="5">
        <v>6.8</v>
      </c>
      <c r="O436" s="10">
        <f t="shared" si="185"/>
        <v>11.2</v>
      </c>
      <c r="P436" s="7">
        <f>LOOKUP(O436,{0,7.8,8,8.2,8.4,8.6,8.8,9,9.2,9.4,9.6,9.8,10,10.2,10.4,10.6,10.8,10.9,11,11.1,11.2},{0,10,20,30,40,50,60,62,64,66,68,70,72,74,76,78,80,85,90,95,100})</f>
        <v>100</v>
      </c>
      <c r="Q436" s="5">
        <v>4.44</v>
      </c>
      <c r="R436" s="10">
        <f t="shared" si="186"/>
        <v>5.56</v>
      </c>
      <c r="S436" s="7">
        <f>LOOKUP(R436,{0,3.85,4.45,4.65,4.85,5.45,5.65,5.7,5.75,5.8,5.85,5.9,5.95,6,6.45,6.5,6.55,6.63,6.7,6.75,6.8},{0,10,20,30,40,50,60,62,64,66,68,70,72,74,76,78,80,85,90,95,100})</f>
        <v>50</v>
      </c>
      <c r="T436" s="5"/>
      <c r="U436" s="5"/>
      <c r="V436" s="5">
        <f t="shared" si="187"/>
        <v>50</v>
      </c>
      <c r="W436" s="5"/>
      <c r="X436" s="13">
        <f t="shared" si="188"/>
        <v>55.1</v>
      </c>
      <c r="Y436" s="13">
        <f t="shared" si="189"/>
        <v>80.7142857142857</v>
      </c>
      <c r="Z436" s="19"/>
    </row>
    <row r="437" ht="15.6" hidden="1" outlineLevel="2" spans="1:26">
      <c r="A437" s="5">
        <v>315</v>
      </c>
      <c r="B437" s="5">
        <v>6</v>
      </c>
      <c r="C437" s="9" t="s">
        <v>739</v>
      </c>
      <c r="D437" s="9" t="s">
        <v>12</v>
      </c>
      <c r="E437" s="5">
        <v>20</v>
      </c>
      <c r="F437" s="7">
        <f>LOOKUP(E437,{0,-1.8,-0.8,0.2,1.2,2.2,3.2,4.6,6,7.4,8.8,10.2,11.6,13,14.4,15.8,17.2,19.1,21,22.8,24.6},{0,10,20,30,40,50,60,62,64,66,68,70,72,74,76,78,80,85,90,95,100})</f>
        <v>85</v>
      </c>
      <c r="G437" s="5">
        <v>255</v>
      </c>
      <c r="H437" s="7">
        <f>LOOKUP(G437,{0,180,185,190,195,200,205,209,213,217,221,225,229,233,237,241,245,253,260,265,270},{0,10,20,30,40,50,60,62,64,66,68,70,72,74,76,78,80,85,90,95,100})</f>
        <v>85</v>
      </c>
      <c r="I437" s="5">
        <v>11</v>
      </c>
      <c r="J437" s="7">
        <f>LOOKUP(I437,{0,4,5,6,7,8,9,10,11,12,13,14,15,16,17,18},{0,10,20,30,40,50,60,64,68,72,76,80,85,90,95,100})</f>
        <v>68</v>
      </c>
      <c r="K437" s="5"/>
      <c r="L437" s="5"/>
      <c r="M437" s="5">
        <f t="shared" si="184"/>
        <v>68</v>
      </c>
      <c r="N437" s="5">
        <v>6.5</v>
      </c>
      <c r="O437" s="10">
        <f t="shared" si="185"/>
        <v>11.5</v>
      </c>
      <c r="P437" s="7">
        <f>LOOKUP(O437,{0,7.8,8,8.2,8.4,8.6,8.8,9,9.2,9.4,9.6,9.8,10,10.2,10.4,10.6,10.8,10.9,11,11.1,11.2},{0,10,20,30,40,50,60,62,64,66,68,70,72,74,76,78,80,85,90,95,100})</f>
        <v>100</v>
      </c>
      <c r="Q437" s="5">
        <v>5.07</v>
      </c>
      <c r="R437" s="10">
        <f t="shared" si="186"/>
        <v>4.93</v>
      </c>
      <c r="S437" s="7">
        <f>LOOKUP(R437,{0,3.85,4.45,4.65,4.85,5.45,5.65,5.7,5.75,5.8,5.85,5.9,5.95,6,6.45,6.5,6.55,6.63,6.7,6.75,6.8},{0,10,20,30,40,50,60,62,64,66,68,70,72,74,76,78,80,85,90,95,100})</f>
        <v>40</v>
      </c>
      <c r="T437" s="5"/>
      <c r="U437" s="5"/>
      <c r="V437" s="5">
        <f t="shared" si="187"/>
        <v>40</v>
      </c>
      <c r="W437" s="5"/>
      <c r="X437" s="13">
        <f t="shared" si="188"/>
        <v>51.8</v>
      </c>
      <c r="Y437" s="13">
        <f t="shared" si="189"/>
        <v>74</v>
      </c>
      <c r="Z437" s="19"/>
    </row>
    <row r="438" ht="15.6" hidden="1" outlineLevel="2" spans="1:26">
      <c r="A438" s="5">
        <v>315</v>
      </c>
      <c r="B438" s="5">
        <v>7</v>
      </c>
      <c r="C438" s="9" t="s">
        <v>740</v>
      </c>
      <c r="D438" s="9" t="s">
        <v>12</v>
      </c>
      <c r="E438" s="5">
        <v>10.5</v>
      </c>
      <c r="F438" s="7">
        <f>LOOKUP(E438,{0,-1.8,-0.8,0.2,1.2,2.2,3.2,4.6,6,7.4,8.8,10.2,11.6,13,14.4,15.8,17.2,19.1,21,22.8,24.6},{0,10,20,30,40,50,60,62,64,66,68,70,72,74,76,78,80,85,90,95,100})</f>
        <v>70</v>
      </c>
      <c r="G438" s="5">
        <v>205</v>
      </c>
      <c r="H438" s="7">
        <f>LOOKUP(G438,{0,180,185,190,195,200,205,209,213,217,221,225,229,233,237,241,245,253,260,265,270},{0,10,20,30,40,50,60,62,64,66,68,70,72,74,76,78,80,85,90,95,100})</f>
        <v>60</v>
      </c>
      <c r="I438" s="5">
        <v>18</v>
      </c>
      <c r="J438" s="7">
        <f>LOOKUP(I438,{0,4,5,6,7,8,9,10,11,12,13,14,15,16,17,18},{0,10,20,30,40,50,60,64,68,72,76,80,85,90,95,100})</f>
        <v>100</v>
      </c>
      <c r="K438" s="5"/>
      <c r="L438" s="5"/>
      <c r="M438" s="5">
        <f t="shared" si="184"/>
        <v>100</v>
      </c>
      <c r="N438" s="5">
        <v>7.4</v>
      </c>
      <c r="O438" s="10">
        <f t="shared" si="185"/>
        <v>10.6</v>
      </c>
      <c r="P438" s="7">
        <f>LOOKUP(O438,{0,7.8,8,8.2,8.4,8.6,8.8,9,9.2,9.4,9.6,9.8,10,10.2,10.4,10.6,10.8,10.9,11,11.1,11.2},{0,10,20,30,40,50,60,62,64,66,68,70,72,74,76,78,80,85,90,95,100})</f>
        <v>78</v>
      </c>
      <c r="Q438" s="5">
        <v>5.07</v>
      </c>
      <c r="R438" s="10">
        <f t="shared" si="186"/>
        <v>4.93</v>
      </c>
      <c r="S438" s="7">
        <f>LOOKUP(R438,{0,3.85,4.45,4.65,4.85,5.45,5.65,5.7,5.75,5.8,5.85,5.9,5.95,6,6.45,6.5,6.55,6.63,6.7,6.75,6.8},{0,10,20,30,40,50,60,62,64,66,68,70,72,74,76,78,80,85,90,95,100})</f>
        <v>40</v>
      </c>
      <c r="T438" s="5"/>
      <c r="U438" s="5"/>
      <c r="V438" s="5">
        <f t="shared" si="187"/>
        <v>40</v>
      </c>
      <c r="W438" s="5"/>
      <c r="X438" s="13">
        <f t="shared" si="188"/>
        <v>46.6</v>
      </c>
      <c r="Y438" s="13">
        <f t="shared" si="189"/>
        <v>66.5714285714286</v>
      </c>
      <c r="Z438" s="19"/>
    </row>
    <row r="439" ht="15.6" hidden="1" outlineLevel="2" spans="1:26">
      <c r="A439" s="5">
        <v>315</v>
      </c>
      <c r="B439" s="5">
        <v>8</v>
      </c>
      <c r="C439" s="9" t="s">
        <v>741</v>
      </c>
      <c r="D439" s="9" t="s">
        <v>12</v>
      </c>
      <c r="E439" s="5">
        <v>12</v>
      </c>
      <c r="F439" s="7">
        <f>LOOKUP(E439,{0,-1.8,-0.8,0.2,1.2,2.2,3.2,4.6,6,7.4,8.8,10.2,11.6,13,14.4,15.8,17.2,19.1,21,22.8,24.6},{0,10,20,30,40,50,60,62,64,66,68,70,72,74,76,78,80,85,90,95,100})</f>
        <v>72</v>
      </c>
      <c r="G439" s="5">
        <v>215</v>
      </c>
      <c r="H439" s="7">
        <f>LOOKUP(G439,{0,180,185,190,195,200,205,209,213,217,221,225,229,233,237,241,245,253,260,265,270},{0,10,20,30,40,50,60,62,64,66,68,70,72,74,76,78,80,85,90,95,100})</f>
        <v>64</v>
      </c>
      <c r="I439" s="5">
        <v>1</v>
      </c>
      <c r="J439" s="7">
        <f>LOOKUP(I439,{0,4,5,6,7,8,9,10,11,12,13,14,15,16,17,18},{0,10,20,30,40,50,60,64,68,72,76,80,85,90,95,100})</f>
        <v>0</v>
      </c>
      <c r="K439" s="5"/>
      <c r="L439" s="16"/>
      <c r="M439" s="5">
        <f t="shared" si="184"/>
        <v>0</v>
      </c>
      <c r="N439" s="5">
        <v>7.3</v>
      </c>
      <c r="O439" s="10">
        <f t="shared" si="185"/>
        <v>10.7</v>
      </c>
      <c r="P439" s="7">
        <f>LOOKUP(O439,{0,7.8,8,8.2,8.4,8.6,8.8,9,9.2,9.4,9.6,9.8,10,10.2,10.4,10.6,10.8,10.9,11,11.1,11.2},{0,10,20,30,40,50,60,62,64,66,68,70,72,74,76,78,80,85,90,95,100})</f>
        <v>78</v>
      </c>
      <c r="Q439" s="5">
        <v>5.07</v>
      </c>
      <c r="R439" s="10">
        <f t="shared" si="186"/>
        <v>4.93</v>
      </c>
      <c r="S439" s="7">
        <f>LOOKUP(R439,{0,3.85,4.45,4.65,4.85,5.45,5.65,5.7,5.75,5.8,5.85,5.9,5.95,6,6.45,6.5,6.55,6.63,6.7,6.75,6.8},{0,10,20,30,40,50,60,62,64,66,68,70,72,74,76,78,80,85,90,95,100})</f>
        <v>40</v>
      </c>
      <c r="T439" s="5"/>
      <c r="U439" s="5"/>
      <c r="V439" s="5">
        <f t="shared" si="187"/>
        <v>40</v>
      </c>
      <c r="W439" s="5"/>
      <c r="X439" s="13">
        <f t="shared" si="188"/>
        <v>37.2</v>
      </c>
      <c r="Y439" s="13">
        <f t="shared" si="189"/>
        <v>53.1428571428572</v>
      </c>
      <c r="Z439" s="19"/>
    </row>
    <row r="440" ht="15.6" hidden="1" outlineLevel="2" spans="1:26">
      <c r="A440" s="5">
        <v>315</v>
      </c>
      <c r="B440" s="5">
        <v>9</v>
      </c>
      <c r="C440" s="9" t="s">
        <v>742</v>
      </c>
      <c r="D440" s="9" t="s">
        <v>12</v>
      </c>
      <c r="E440" s="5">
        <v>9.6</v>
      </c>
      <c r="F440" s="7">
        <f>LOOKUP(E440,{0,-1.8,-0.8,0.2,1.2,2.2,3.2,4.6,6,7.4,8.8,10.2,11.6,13,14.4,15.8,17.2,19.1,21,22.8,24.6},{0,10,20,30,40,50,60,62,64,66,68,70,72,74,76,78,80,85,90,95,100})</f>
        <v>68</v>
      </c>
      <c r="G440" s="5">
        <v>260</v>
      </c>
      <c r="H440" s="7">
        <f>LOOKUP(G440,{0,180,185,190,195,200,205,209,213,217,221,225,229,233,237,241,245,253,260,265,270},{0,10,20,30,40,50,60,62,64,66,68,70,72,74,76,78,80,85,90,95,100})</f>
        <v>90</v>
      </c>
      <c r="I440" s="5">
        <v>8</v>
      </c>
      <c r="J440" s="7">
        <f>LOOKUP(I440,{0,4,5,6,7,8,9,10,11,12,13,14,15,16,17,18},{0,10,20,30,40,50,60,64,68,72,76,80,85,90,95,100})</f>
        <v>50</v>
      </c>
      <c r="K440" s="5"/>
      <c r="L440" s="5"/>
      <c r="M440" s="5">
        <f t="shared" si="184"/>
        <v>50</v>
      </c>
      <c r="N440" s="5">
        <v>7</v>
      </c>
      <c r="O440" s="10">
        <f t="shared" si="185"/>
        <v>11</v>
      </c>
      <c r="P440" s="7">
        <f>LOOKUP(O440,{0,7.8,8,8.2,8.4,8.6,8.8,9,9.2,9.4,9.6,9.8,10,10.2,10.4,10.6,10.8,10.9,11,11.1,11.2},{0,10,20,30,40,50,60,62,64,66,68,70,72,74,76,78,80,85,90,95,100})</f>
        <v>90</v>
      </c>
      <c r="Q440" s="5">
        <v>5.07</v>
      </c>
      <c r="R440" s="10">
        <f t="shared" si="186"/>
        <v>4.93</v>
      </c>
      <c r="S440" s="7">
        <f>LOOKUP(R440,{0,3.85,4.45,4.65,4.85,5.45,5.65,5.7,5.75,5.8,5.85,5.9,5.95,6,6.45,6.5,6.55,6.63,6.7,6.75,6.8},{0,10,20,30,40,50,60,62,64,66,68,70,72,74,76,78,80,85,90,95,100})</f>
        <v>40</v>
      </c>
      <c r="T440" s="5"/>
      <c r="U440" s="5"/>
      <c r="V440" s="5">
        <f t="shared" si="187"/>
        <v>40</v>
      </c>
      <c r="W440" s="5"/>
      <c r="X440" s="13">
        <f t="shared" si="188"/>
        <v>46.8</v>
      </c>
      <c r="Y440" s="13">
        <f t="shared" si="189"/>
        <v>66.8571428571429</v>
      </c>
      <c r="Z440" s="19"/>
    </row>
    <row r="441" ht="15.6" outlineLevel="1" collapsed="1" spans="1:26">
      <c r="A441" s="6" t="s">
        <v>866</v>
      </c>
      <c r="B441" s="5"/>
      <c r="C441" s="9"/>
      <c r="D441" s="9"/>
      <c r="E441" s="5"/>
      <c r="F441" s="7">
        <f>SUBTOTAL(1,F432:F440)</f>
        <v>70.7777777777778</v>
      </c>
      <c r="G441" s="5"/>
      <c r="H441" s="7">
        <f>SUBTOTAL(1,H432:H440)</f>
        <v>72.2222222222222</v>
      </c>
      <c r="I441" s="5"/>
      <c r="J441" s="7">
        <f>SUBTOTAL(1,J432:J440)</f>
        <v>44.2222222222222</v>
      </c>
      <c r="K441" s="5"/>
      <c r="L441" s="5"/>
      <c r="M441" s="5">
        <f>SUBTOTAL(1,M432:M440)</f>
        <v>44.4444444444444</v>
      </c>
      <c r="N441" s="5"/>
      <c r="O441" s="10"/>
      <c r="P441" s="7">
        <f>SUBTOTAL(1,P432:P440)</f>
        <v>82.8888888888889</v>
      </c>
      <c r="Q441" s="5"/>
      <c r="R441" s="10"/>
      <c r="S441" s="7">
        <f>SUBTOTAL(1,S432:S440)</f>
        <v>42.2222222222222</v>
      </c>
      <c r="T441" s="5"/>
      <c r="U441" s="5"/>
      <c r="V441" s="5">
        <f>SUBTOTAL(1,V432:V440)</f>
        <v>42.2222222222222</v>
      </c>
      <c r="W441" s="5"/>
      <c r="X441" s="13">
        <f>SUBTOTAL(1,X432:X440)</f>
        <v>43.7444444444444</v>
      </c>
      <c r="Y441" s="13">
        <f>SUBTOTAL(1,Y432:Y440)</f>
        <v>62.7142857142857</v>
      </c>
      <c r="Z441" s="19"/>
    </row>
    <row r="442" ht="15.6" hidden="1" outlineLevel="2" spans="1:26">
      <c r="A442" s="5">
        <v>316</v>
      </c>
      <c r="B442" s="5">
        <v>1</v>
      </c>
      <c r="C442" s="8" t="s">
        <v>788</v>
      </c>
      <c r="D442" s="9" t="s">
        <v>12</v>
      </c>
      <c r="E442" s="5">
        <v>1</v>
      </c>
      <c r="F442" s="7">
        <f>LOOKUP(E442,{0,-1.8,-0.8,0.2,1.2,2.2,3.2,4.6,6,7.4,8.8,10.2,11.6,13,14.4,15.8,17.2,19.1,21,22.8,24.6},{0,10,20,30,40,50,60,62,64,66,68,70,72,74,76,78,80,85,90,95,100})</f>
        <v>30</v>
      </c>
      <c r="G442" s="5">
        <v>230</v>
      </c>
      <c r="H442" s="7">
        <f>LOOKUP(G442,{0,180,185,190,195,200,205,209,213,217,221,225,229,233,237,241,245,253,260,265,270},{0,10,20,30,40,50,60,62,64,66,68,70,72,74,76,78,80,85,90,95,100})</f>
        <v>72</v>
      </c>
      <c r="I442" s="5">
        <v>8</v>
      </c>
      <c r="J442" s="7">
        <f>LOOKUP(I442,{0,4,5,6,7,8,9,10,11,12,13,14,15,16,17,18},{0,10,20,30,40,50,60,64,68,72,76,80,85,90,95,100})</f>
        <v>50</v>
      </c>
      <c r="K442" s="5"/>
      <c r="L442" s="5"/>
      <c r="M442" s="5">
        <f>J442+L442</f>
        <v>50</v>
      </c>
      <c r="N442" s="5">
        <v>6.8</v>
      </c>
      <c r="O442" s="10">
        <f>18-N442</f>
        <v>11.2</v>
      </c>
      <c r="P442" s="7">
        <f>LOOKUP(O442,{0,7.8,8,8.2,8.4,8.6,8.8,9,9.2,9.4,9.6,9.8,10,10.2,10.4,10.6,10.8,10.9,11,11.1,11.2},{0,10,20,30,40,50,60,62,64,66,68,70,72,74,76,78,80,85,90,95,100})</f>
        <v>100</v>
      </c>
      <c r="Q442" s="5">
        <v>4.54</v>
      </c>
      <c r="R442" s="10">
        <f>10-Q442</f>
        <v>5.46</v>
      </c>
      <c r="S442" s="7">
        <f>LOOKUP(R442,{0,3.85,4.45,4.65,4.85,5.45,5.65,5.7,5.75,5.8,5.85,5.9,5.95,6,6.45,6.5,6.55,6.63,6.7,6.75,6.8},{0,10,20,30,40,50,60,62,64,66,68,70,72,74,76,78,80,85,90,95,100})</f>
        <v>50</v>
      </c>
      <c r="T442" s="5"/>
      <c r="U442" s="5"/>
      <c r="V442" s="5">
        <f>S442+U442</f>
        <v>50</v>
      </c>
      <c r="W442" s="5"/>
      <c r="X442" s="13">
        <f>F442*0.1+H442*0.1+J442*0.1+P442*0.2+S442*0.2</f>
        <v>45.2</v>
      </c>
      <c r="Y442" s="13">
        <f>X442/0.7+L442+U442</f>
        <v>64.5714285714286</v>
      </c>
      <c r="Z442" s="20"/>
    </row>
    <row r="443" ht="15.6" hidden="1" outlineLevel="2" spans="1:26">
      <c r="A443" s="5">
        <v>316</v>
      </c>
      <c r="B443" s="5">
        <v>2</v>
      </c>
      <c r="C443" s="9" t="s">
        <v>789</v>
      </c>
      <c r="D443" s="9" t="s">
        <v>12</v>
      </c>
      <c r="E443" s="5">
        <v>4</v>
      </c>
      <c r="F443" s="7">
        <f>LOOKUP(E443,{0,-1.8,-0.8,0.2,1.2,2.2,3.2,4.6,6,7.4,8.8,10.2,11.6,13,14.4,15.8,17.2,19.1,21,22.8,24.6},{0,10,20,30,40,50,60,62,64,66,68,70,72,74,76,78,80,85,90,95,100})</f>
        <v>60</v>
      </c>
      <c r="G443" s="5">
        <v>250</v>
      </c>
      <c r="H443" s="7">
        <f>LOOKUP(G443,{0,180,185,190,195,200,205,209,213,217,221,225,229,233,237,241,245,253,260,265,270},{0,10,20,30,40,50,60,62,64,66,68,70,72,74,76,78,80,85,90,95,100})</f>
        <v>80</v>
      </c>
      <c r="I443" s="5">
        <v>29</v>
      </c>
      <c r="J443" s="7">
        <f>LOOKUP(I443,{0,4,5,6,7,8,9,10,11,12,13,14,15,16,17,18},{0,10,20,30,40,50,60,64,68,72,76,80,85,90,95,100})</f>
        <v>100</v>
      </c>
      <c r="K443" s="5">
        <f>I443-18</f>
        <v>11</v>
      </c>
      <c r="L443" s="43">
        <f>LOOKUP(K443,{0,1,2,3,4,5,6,7,8,9,10},{0,1,2,3,4,5,6,7,8,9,10})</f>
        <v>10</v>
      </c>
      <c r="M443" s="5">
        <f>J443+L443</f>
        <v>110</v>
      </c>
      <c r="N443" s="5">
        <v>7</v>
      </c>
      <c r="O443" s="10">
        <f>18-N443</f>
        <v>11</v>
      </c>
      <c r="P443" s="7">
        <f>LOOKUP(O443,{0,7.8,8,8.2,8.4,8.6,8.8,9,9.2,9.4,9.6,9.8,10,10.2,10.4,10.6,10.8,10.9,11,11.1,11.2},{0,10,20,30,40,50,60,62,64,66,68,70,72,74,76,78,80,85,90,95,100})</f>
        <v>90</v>
      </c>
      <c r="Q443" s="5">
        <v>4.54</v>
      </c>
      <c r="R443" s="10">
        <f>10-Q443</f>
        <v>5.46</v>
      </c>
      <c r="S443" s="7">
        <f>LOOKUP(R443,{0,3.85,4.45,4.65,4.85,5.45,5.65,5.7,5.75,5.8,5.85,5.9,5.95,6,6.45,6.5,6.55,6.63,6.7,6.75,6.8},{0,10,20,30,40,50,60,62,64,66,68,70,72,74,76,78,80,85,90,95,100})</f>
        <v>50</v>
      </c>
      <c r="T443" s="5"/>
      <c r="U443" s="5"/>
      <c r="V443" s="5">
        <f>S443+U443</f>
        <v>50</v>
      </c>
      <c r="W443" s="5"/>
      <c r="X443" s="13">
        <f>F443*0.1+H443*0.1+J443*0.1+P443*0.2+S443*0.2</f>
        <v>52</v>
      </c>
      <c r="Y443" s="13">
        <f>X443/0.7+L443+U443</f>
        <v>84.2857142857143</v>
      </c>
      <c r="Z443" s="19"/>
    </row>
    <row r="444" ht="15.6" hidden="1" outlineLevel="2" spans="1:26">
      <c r="A444" s="5">
        <v>316</v>
      </c>
      <c r="B444" s="5">
        <v>3</v>
      </c>
      <c r="C444" s="9" t="s">
        <v>790</v>
      </c>
      <c r="D444" s="9" t="s">
        <v>12</v>
      </c>
      <c r="E444" s="5">
        <v>3</v>
      </c>
      <c r="F444" s="7">
        <f>LOOKUP(E444,{0,-1.8,-0.8,0.2,1.2,2.2,3.2,4.6,6,7.4,8.8,10.2,11.6,13,14.4,15.8,17.2,19.1,21,22.8,24.6},{0,10,20,30,40,50,60,62,64,66,68,70,72,74,76,78,80,85,90,95,100})</f>
        <v>50</v>
      </c>
      <c r="G444" s="5">
        <v>280</v>
      </c>
      <c r="H444" s="7">
        <f>LOOKUP(G444,{0,180,185,190,195,200,205,209,213,217,221,225,229,233,237,241,245,253,260,265,270},{0,10,20,30,40,50,60,62,64,66,68,70,72,74,76,78,80,85,90,95,100})</f>
        <v>100</v>
      </c>
      <c r="I444" s="5">
        <v>10</v>
      </c>
      <c r="J444" s="7">
        <f>LOOKUP(I444,{0,4,5,6,7,8,9,10,11,12,13,14,15,16,17,18},{0,10,20,30,40,50,60,64,68,72,76,80,85,90,95,100})</f>
        <v>64</v>
      </c>
      <c r="K444" s="5"/>
      <c r="L444" s="5"/>
      <c r="M444" s="5">
        <f>J444+L444</f>
        <v>64</v>
      </c>
      <c r="N444" s="5">
        <v>6.5</v>
      </c>
      <c r="O444" s="10">
        <f>18-N444</f>
        <v>11.5</v>
      </c>
      <c r="P444" s="7">
        <f>LOOKUP(O444,{0,7.8,8,8.2,8.4,8.6,8.8,9,9.2,9.4,9.6,9.8,10,10.2,10.4,10.6,10.8,10.9,11,11.1,11.2},{0,10,20,30,40,50,60,62,64,66,68,70,72,74,76,78,80,85,90,95,100})</f>
        <v>100</v>
      </c>
      <c r="Q444" s="5">
        <v>3.18</v>
      </c>
      <c r="R444" s="10">
        <f>10-Q444</f>
        <v>6.82</v>
      </c>
      <c r="S444" s="7">
        <f>LOOKUP(R444,{0,3.85,4.45,4.65,4.85,5.45,5.65,5.7,5.75,5.8,5.85,5.9,5.95,6,6.45,6.5,6.55,6.63,6.7,6.75,6.8},{0,10,20,30,40,50,60,62,64,66,68,70,72,74,76,78,80,85,90,95,100})</f>
        <v>100</v>
      </c>
      <c r="T444" s="5">
        <f>3.2-Q444</f>
        <v>0.02</v>
      </c>
      <c r="U444" s="7">
        <f>LOOKUP(T444,{0,0.04,0.08,0.12,0.16,0.2,0.23,0.26,0.29,0.32,0.35},{0,1,2,3,4,5,6,7,8,9,10})</f>
        <v>0</v>
      </c>
      <c r="V444" s="5">
        <f>S444+U444</f>
        <v>100</v>
      </c>
      <c r="W444" s="5"/>
      <c r="X444" s="13">
        <f>F444*0.1+H444*0.1+J444*0.1+P444*0.2+S444*0.2</f>
        <v>61.4</v>
      </c>
      <c r="Y444" s="13">
        <f>X444/0.7+L444+U444</f>
        <v>87.7142857142857</v>
      </c>
      <c r="Z444" s="19"/>
    </row>
    <row r="445" ht="15.6" hidden="1" outlineLevel="2" spans="1:26">
      <c r="A445" s="5">
        <v>316</v>
      </c>
      <c r="B445" s="5">
        <v>4</v>
      </c>
      <c r="C445" s="9" t="s">
        <v>791</v>
      </c>
      <c r="D445" s="9" t="s">
        <v>12</v>
      </c>
      <c r="E445" s="5"/>
      <c r="F445" s="7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>
        <v>50</v>
      </c>
      <c r="X445" s="13"/>
      <c r="Y445" s="13">
        <v>50</v>
      </c>
      <c r="Z445" s="19"/>
    </row>
    <row r="446" ht="15.6" hidden="1" outlineLevel="2" spans="1:26">
      <c r="A446" s="5">
        <v>316</v>
      </c>
      <c r="B446" s="5">
        <v>5</v>
      </c>
      <c r="C446" s="9" t="s">
        <v>792</v>
      </c>
      <c r="D446" s="9" t="s">
        <v>12</v>
      </c>
      <c r="E446" s="5">
        <v>11</v>
      </c>
      <c r="F446" s="7">
        <f>LOOKUP(E446,{0,-1.8,-0.8,0.2,1.2,2.2,3.2,4.6,6,7.4,8.8,10.2,11.6,13,14.4,15.8,17.2,19.1,21,22.8,24.6},{0,10,20,30,40,50,60,62,64,66,68,70,72,74,76,78,80,85,90,95,100})</f>
        <v>70</v>
      </c>
      <c r="G446" s="5">
        <v>260</v>
      </c>
      <c r="H446" s="7">
        <f>LOOKUP(G446,{0,180,185,190,195,200,205,209,213,217,221,225,229,233,237,241,245,253,260,265,270},{0,10,20,30,40,50,60,62,64,66,68,70,72,74,76,78,80,85,90,95,100})</f>
        <v>90</v>
      </c>
      <c r="I446" s="5">
        <v>17</v>
      </c>
      <c r="J446" s="7">
        <f>LOOKUP(I446,{0,4,5,6,7,8,9,10,11,12,13,14,15,16,17,18},{0,10,20,30,40,50,60,64,68,72,76,80,85,90,95,100})</f>
        <v>95</v>
      </c>
      <c r="K446" s="5"/>
      <c r="L446" s="5"/>
      <c r="M446" s="5">
        <f t="shared" ref="M446:M453" si="190">J446+L446</f>
        <v>95</v>
      </c>
      <c r="N446" s="5">
        <v>6.9</v>
      </c>
      <c r="O446" s="10">
        <f t="shared" ref="O446:O453" si="191">18-N446</f>
        <v>11.1</v>
      </c>
      <c r="P446" s="7">
        <f>LOOKUP(O446,{0,7.8,8,8.2,8.4,8.6,8.8,9,9.2,9.4,9.6,9.8,10,10.2,10.4,10.6,10.8,10.9,11,11.1,11.2},{0,10,20,30,40,50,60,62,64,66,68,70,72,74,76,78,80,85,90,95,100})</f>
        <v>95</v>
      </c>
      <c r="Q446" s="5">
        <v>4.54</v>
      </c>
      <c r="R446" s="10">
        <f t="shared" ref="R446:R453" si="192">10-Q446</f>
        <v>5.46</v>
      </c>
      <c r="S446" s="7">
        <f>LOOKUP(R446,{0,3.85,4.45,4.65,4.85,5.45,5.65,5.7,5.75,5.8,5.85,5.9,5.95,6,6.45,6.5,6.55,6.63,6.7,6.75,6.8},{0,10,20,30,40,50,60,62,64,66,68,70,72,74,76,78,80,85,90,95,100})</f>
        <v>50</v>
      </c>
      <c r="T446" s="5"/>
      <c r="U446" s="5"/>
      <c r="V446" s="5">
        <f t="shared" ref="V446:V453" si="193">S446+U446</f>
        <v>50</v>
      </c>
      <c r="W446" s="5"/>
      <c r="X446" s="13">
        <f t="shared" ref="X446:X453" si="194">F446*0.1+H446*0.1+J446*0.1+P446*0.2+S446*0.2</f>
        <v>54.5</v>
      </c>
      <c r="Y446" s="13">
        <f t="shared" ref="Y446:Y453" si="195">X446/0.7+L446+U446</f>
        <v>77.8571428571429</v>
      </c>
      <c r="Z446" s="19"/>
    </row>
    <row r="447" ht="15.6" hidden="1" outlineLevel="2" spans="1:26">
      <c r="A447" s="5">
        <v>316</v>
      </c>
      <c r="B447" s="5">
        <v>6</v>
      </c>
      <c r="C447" s="9" t="s">
        <v>793</v>
      </c>
      <c r="D447" s="9" t="s">
        <v>12</v>
      </c>
      <c r="E447" s="5">
        <v>18</v>
      </c>
      <c r="F447" s="7">
        <f>LOOKUP(E447,{0,-1.8,-0.8,0.2,1.2,2.2,3.2,4.6,6,7.4,8.8,10.2,11.6,13,14.4,15.8,17.2,19.1,21,22.8,24.6},{0,10,20,30,40,50,60,62,64,66,68,70,72,74,76,78,80,85,90,95,100})</f>
        <v>80</v>
      </c>
      <c r="G447" s="5">
        <v>195</v>
      </c>
      <c r="H447" s="7">
        <f>LOOKUP(G447,{0,180,185,190,195,200,205,209,213,217,221,225,229,233,237,241,245,253,260,265,270},{0,10,20,30,40,50,60,62,64,66,68,70,72,74,76,78,80,85,90,95,100})</f>
        <v>40</v>
      </c>
      <c r="I447" s="5">
        <v>0</v>
      </c>
      <c r="J447" s="7">
        <f>LOOKUP(I447,{0,4,5,6,7,8,9,10,11,12,13,14,15,16,17,18},{0,10,20,30,40,50,60,64,68,72,76,80,85,90,95,100})</f>
        <v>0</v>
      </c>
      <c r="K447" s="5"/>
      <c r="L447" s="5"/>
      <c r="M447" s="5">
        <f t="shared" si="190"/>
        <v>0</v>
      </c>
      <c r="N447" s="5">
        <v>7.9</v>
      </c>
      <c r="O447" s="10">
        <f t="shared" si="191"/>
        <v>10.1</v>
      </c>
      <c r="P447" s="7">
        <f>LOOKUP(O447,{0,7.8,8,8.2,8.4,8.6,8.8,9,9.2,9.4,9.6,9.8,10,10.2,10.4,10.6,10.8,10.9,11,11.1,11.2},{0,10,20,30,40,50,60,62,64,66,68,70,72,74,76,78,80,85,90,95,100})</f>
        <v>72</v>
      </c>
      <c r="Q447" s="5">
        <v>4.54</v>
      </c>
      <c r="R447" s="10">
        <f t="shared" si="192"/>
        <v>5.46</v>
      </c>
      <c r="S447" s="7">
        <f>LOOKUP(R447,{0,3.85,4.45,4.65,4.85,5.45,5.65,5.7,5.75,5.8,5.85,5.9,5.95,6,6.45,6.5,6.55,6.63,6.7,6.75,6.8},{0,10,20,30,40,50,60,62,64,66,68,70,72,74,76,78,80,85,90,95,100})</f>
        <v>50</v>
      </c>
      <c r="T447" s="5"/>
      <c r="U447" s="5"/>
      <c r="V447" s="5">
        <f t="shared" si="193"/>
        <v>50</v>
      </c>
      <c r="W447" s="5"/>
      <c r="X447" s="13">
        <f t="shared" si="194"/>
        <v>36.4</v>
      </c>
      <c r="Y447" s="13">
        <f t="shared" si="195"/>
        <v>52</v>
      </c>
      <c r="Z447" s="19"/>
    </row>
    <row r="448" ht="15.6" hidden="1" outlineLevel="2" spans="1:26">
      <c r="A448" s="5">
        <v>316</v>
      </c>
      <c r="B448" s="5">
        <v>7</v>
      </c>
      <c r="C448" s="9" t="s">
        <v>794</v>
      </c>
      <c r="D448" s="9" t="s">
        <v>12</v>
      </c>
      <c r="E448" s="5">
        <v>17.2</v>
      </c>
      <c r="F448" s="7">
        <f>LOOKUP(E448,{0,-1.8,-0.8,0.2,1.2,2.2,3.2,4.6,6,7.4,8.8,10.2,11.6,13,14.4,15.8,17.2,19.1,21,22.8,24.6},{0,10,20,30,40,50,60,62,64,66,68,70,72,74,76,78,80,85,90,95,100})</f>
        <v>80</v>
      </c>
      <c r="G448" s="5">
        <v>190</v>
      </c>
      <c r="H448" s="7">
        <f>LOOKUP(G448,{0,180,185,190,195,200,205,209,213,217,221,225,229,233,237,241,245,253,260,265,270},{0,10,20,30,40,50,60,62,64,66,68,70,72,74,76,78,80,85,90,95,100})</f>
        <v>30</v>
      </c>
      <c r="I448" s="5">
        <v>0</v>
      </c>
      <c r="J448" s="7">
        <f>LOOKUP(I448,{0,4,5,6,7,8,9,10,11,12,13,14,15,16,17,18},{0,10,20,30,40,50,60,64,68,72,76,80,85,90,95,100})</f>
        <v>0</v>
      </c>
      <c r="K448" s="5"/>
      <c r="L448" s="5"/>
      <c r="M448" s="5">
        <f t="shared" si="190"/>
        <v>0</v>
      </c>
      <c r="N448" s="5">
        <v>8.1</v>
      </c>
      <c r="O448" s="10">
        <f t="shared" si="191"/>
        <v>9.9</v>
      </c>
      <c r="P448" s="7">
        <f>LOOKUP(O448,{0,7.8,8,8.2,8.4,8.6,8.8,9,9.2,9.4,9.6,9.8,10,10.2,10.4,10.6,10.8,10.9,11,11.1,11.2},{0,10,20,30,40,50,60,62,64,66,68,70,72,74,76,78,80,85,90,95,100})</f>
        <v>70</v>
      </c>
      <c r="Q448" s="5">
        <v>4.54</v>
      </c>
      <c r="R448" s="10">
        <f t="shared" si="192"/>
        <v>5.46</v>
      </c>
      <c r="S448" s="7">
        <f>LOOKUP(R448,{0,3.85,4.45,4.65,4.85,5.45,5.65,5.7,5.75,5.8,5.85,5.9,5.95,6,6.45,6.5,6.55,6.63,6.7,6.75,6.8},{0,10,20,30,40,50,60,62,64,66,68,70,72,74,76,78,80,85,90,95,100})</f>
        <v>50</v>
      </c>
      <c r="T448" s="5"/>
      <c r="U448" s="5"/>
      <c r="V448" s="5">
        <f t="shared" si="193"/>
        <v>50</v>
      </c>
      <c r="W448" s="5"/>
      <c r="X448" s="13">
        <f t="shared" si="194"/>
        <v>35</v>
      </c>
      <c r="Y448" s="13">
        <f t="shared" si="195"/>
        <v>50</v>
      </c>
      <c r="Z448" s="19"/>
    </row>
    <row r="449" ht="15.6" hidden="1" outlineLevel="2" spans="1:26">
      <c r="A449" s="5">
        <v>316</v>
      </c>
      <c r="B449" s="5">
        <v>8</v>
      </c>
      <c r="C449" s="9" t="s">
        <v>795</v>
      </c>
      <c r="D449" s="9" t="s">
        <v>12</v>
      </c>
      <c r="E449" s="5">
        <v>14</v>
      </c>
      <c r="F449" s="7">
        <f>LOOKUP(E449,{0,-1.8,-0.8,0.2,1.2,2.2,3.2,4.6,6,7.4,8.8,10.2,11.6,13,14.4,15.8,17.2,19.1,21,22.8,24.6},{0,10,20,30,40,50,60,62,64,66,68,70,72,74,76,78,80,85,90,95,100})</f>
        <v>74</v>
      </c>
      <c r="G449" s="5">
        <v>250</v>
      </c>
      <c r="H449" s="7">
        <f>LOOKUP(G449,{0,180,185,190,195,200,205,209,213,217,221,225,229,233,237,241,245,253,260,265,270},{0,10,20,30,40,50,60,62,64,66,68,70,72,74,76,78,80,85,90,95,100})</f>
        <v>80</v>
      </c>
      <c r="I449" s="5">
        <v>2</v>
      </c>
      <c r="J449" s="7">
        <f>LOOKUP(I449,{0,4,5,6,7,8,9,10,11,12,13,14,15,16,17,18},{0,10,20,30,40,50,60,64,68,72,76,80,85,90,95,100})</f>
        <v>0</v>
      </c>
      <c r="K449" s="5"/>
      <c r="L449" s="5"/>
      <c r="M449" s="5">
        <f t="shared" si="190"/>
        <v>0</v>
      </c>
      <c r="N449" s="5">
        <v>6.8</v>
      </c>
      <c r="O449" s="10">
        <f t="shared" si="191"/>
        <v>11.2</v>
      </c>
      <c r="P449" s="7">
        <f>LOOKUP(O449,{0,7.8,8,8.2,8.4,8.6,8.8,9,9.2,9.4,9.6,9.8,10,10.2,10.4,10.6,10.8,10.9,11,11.1,11.2},{0,10,20,30,40,50,60,62,64,66,68,70,72,74,76,78,80,85,90,95,100})</f>
        <v>100</v>
      </c>
      <c r="Q449" s="5">
        <v>4.54</v>
      </c>
      <c r="R449" s="10">
        <f t="shared" si="192"/>
        <v>5.46</v>
      </c>
      <c r="S449" s="7">
        <f>LOOKUP(R449,{0,3.85,4.45,4.65,4.85,5.45,5.65,5.7,5.75,5.8,5.85,5.9,5.95,6,6.45,6.5,6.55,6.63,6.7,6.75,6.8},{0,10,20,30,40,50,60,62,64,66,68,70,72,74,76,78,80,85,90,95,100})</f>
        <v>50</v>
      </c>
      <c r="T449" s="5"/>
      <c r="U449" s="5"/>
      <c r="V449" s="5">
        <f t="shared" si="193"/>
        <v>50</v>
      </c>
      <c r="W449" s="5"/>
      <c r="X449" s="13">
        <f t="shared" si="194"/>
        <v>45.4</v>
      </c>
      <c r="Y449" s="13">
        <f t="shared" si="195"/>
        <v>64.8571428571429</v>
      </c>
      <c r="Z449" s="19"/>
    </row>
    <row r="450" ht="15.6" hidden="1" outlineLevel="2" spans="1:26">
      <c r="A450" s="5">
        <v>316</v>
      </c>
      <c r="B450" s="5">
        <v>9</v>
      </c>
      <c r="C450" s="9" t="s">
        <v>796</v>
      </c>
      <c r="D450" s="9" t="s">
        <v>12</v>
      </c>
      <c r="E450" s="5">
        <v>14</v>
      </c>
      <c r="F450" s="7">
        <f>LOOKUP(E450,{0,-1.8,-0.8,0.2,1.2,2.2,3.2,4.6,6,7.4,8.8,10.2,11.6,13,14.4,15.8,17.2,19.1,21,22.8,24.6},{0,10,20,30,40,50,60,62,64,66,68,70,72,74,76,78,80,85,90,95,100})</f>
        <v>74</v>
      </c>
      <c r="G450" s="5">
        <v>235</v>
      </c>
      <c r="H450" s="7">
        <f>LOOKUP(G450,{0,180,185,190,195,200,205,209,213,217,221,225,229,233,237,241,245,253,260,265,270},{0,10,20,30,40,50,60,62,64,66,68,70,72,74,76,78,80,85,90,95,100})</f>
        <v>74</v>
      </c>
      <c r="I450" s="5">
        <v>10</v>
      </c>
      <c r="J450" s="7">
        <f>LOOKUP(I450,{0,4,5,6,7,8,9,10,11,12,13,14,15,16,17,18},{0,10,20,30,40,50,60,64,68,72,76,80,85,90,95,100})</f>
        <v>64</v>
      </c>
      <c r="K450" s="5"/>
      <c r="L450" s="5"/>
      <c r="M450" s="5">
        <f t="shared" si="190"/>
        <v>64</v>
      </c>
      <c r="N450" s="5">
        <v>6.7</v>
      </c>
      <c r="O450" s="10">
        <f t="shared" si="191"/>
        <v>11.3</v>
      </c>
      <c r="P450" s="7">
        <f>LOOKUP(O450,{0,7.8,8,8.2,8.4,8.6,8.8,9,9.2,9.4,9.6,9.8,10,10.2,10.4,10.6,10.8,10.9,11,11.1,11.2},{0,10,20,30,40,50,60,62,64,66,68,70,72,74,76,78,80,85,90,95,100})</f>
        <v>100</v>
      </c>
      <c r="Q450" s="5">
        <v>4.54</v>
      </c>
      <c r="R450" s="10">
        <f t="shared" si="192"/>
        <v>5.46</v>
      </c>
      <c r="S450" s="7">
        <f>LOOKUP(R450,{0,3.85,4.45,4.65,4.85,5.45,5.65,5.7,5.75,5.8,5.85,5.9,5.95,6,6.45,6.5,6.55,6.63,6.7,6.75,6.8},{0,10,20,30,40,50,60,62,64,66,68,70,72,74,76,78,80,85,90,95,100})</f>
        <v>50</v>
      </c>
      <c r="T450" s="5"/>
      <c r="U450" s="5"/>
      <c r="V450" s="5">
        <f t="shared" si="193"/>
        <v>50</v>
      </c>
      <c r="W450" s="5"/>
      <c r="X450" s="13">
        <f t="shared" si="194"/>
        <v>51.2</v>
      </c>
      <c r="Y450" s="13">
        <f t="shared" si="195"/>
        <v>73.1428571428572</v>
      </c>
      <c r="Z450" s="19"/>
    </row>
    <row r="451" ht="15.6" hidden="1" outlineLevel="2" spans="1:26">
      <c r="A451" s="5">
        <v>316</v>
      </c>
      <c r="B451" s="5">
        <v>10</v>
      </c>
      <c r="C451" s="9" t="s">
        <v>797</v>
      </c>
      <c r="D451" s="9" t="s">
        <v>12</v>
      </c>
      <c r="E451" s="5">
        <v>8.2</v>
      </c>
      <c r="F451" s="7">
        <f>LOOKUP(E451,{0,-1.8,-0.8,0.2,1.2,2.2,3.2,4.6,6,7.4,8.8,10.2,11.6,13,14.4,15.8,17.2,19.1,21,22.8,24.6},{0,10,20,30,40,50,60,62,64,66,68,70,72,74,76,78,80,85,90,95,100})</f>
        <v>66</v>
      </c>
      <c r="G451" s="5">
        <v>265</v>
      </c>
      <c r="H451" s="7">
        <f>LOOKUP(G451,{0,180,185,190,195,200,205,209,213,217,221,225,229,233,237,241,245,253,260,265,270},{0,10,20,30,40,50,60,62,64,66,68,70,72,74,76,78,80,85,90,95,100})</f>
        <v>95</v>
      </c>
      <c r="I451" s="5">
        <v>10</v>
      </c>
      <c r="J451" s="7">
        <f>LOOKUP(I451,{0,4,5,6,7,8,9,10,11,12,13,14,15,16,17,18},{0,10,20,30,40,50,60,64,68,72,76,80,85,90,95,100})</f>
        <v>64</v>
      </c>
      <c r="K451" s="5"/>
      <c r="L451" s="5"/>
      <c r="M451" s="5">
        <f t="shared" si="190"/>
        <v>64</v>
      </c>
      <c r="N451" s="5">
        <v>7</v>
      </c>
      <c r="O451" s="10">
        <f t="shared" si="191"/>
        <v>11</v>
      </c>
      <c r="P451" s="7">
        <f>LOOKUP(O451,{0,7.8,8,8.2,8.4,8.6,8.8,9,9.2,9.4,9.6,9.8,10,10.2,10.4,10.6,10.8,10.9,11,11.1,11.2},{0,10,20,30,40,50,60,62,64,66,68,70,72,74,76,78,80,85,90,95,100})</f>
        <v>90</v>
      </c>
      <c r="Q451" s="5">
        <v>4.54</v>
      </c>
      <c r="R451" s="10">
        <f t="shared" si="192"/>
        <v>5.46</v>
      </c>
      <c r="S451" s="7">
        <f>LOOKUP(R451,{0,3.85,4.45,4.65,4.85,5.45,5.65,5.7,5.75,5.8,5.85,5.9,5.95,6,6.45,6.5,6.55,6.63,6.7,6.75,6.8},{0,10,20,30,40,50,60,62,64,66,68,70,72,74,76,78,80,85,90,95,100})</f>
        <v>50</v>
      </c>
      <c r="T451" s="5"/>
      <c r="U451" s="5"/>
      <c r="V451" s="5">
        <f t="shared" si="193"/>
        <v>50</v>
      </c>
      <c r="W451" s="5"/>
      <c r="X451" s="13">
        <f t="shared" si="194"/>
        <v>50.5</v>
      </c>
      <c r="Y451" s="13">
        <f t="shared" si="195"/>
        <v>72.1428571428572</v>
      </c>
      <c r="Z451" s="19"/>
    </row>
    <row r="452" ht="15.6" hidden="1" outlineLevel="2" spans="1:26">
      <c r="A452" s="5">
        <v>316</v>
      </c>
      <c r="B452" s="5">
        <v>11</v>
      </c>
      <c r="C452" s="9" t="s">
        <v>798</v>
      </c>
      <c r="D452" s="9" t="s">
        <v>12</v>
      </c>
      <c r="E452" s="5">
        <v>16.5</v>
      </c>
      <c r="F452" s="7">
        <f>LOOKUP(E452,{0,-1.8,-0.8,0.2,1.2,2.2,3.2,4.6,6,7.4,8.8,10.2,11.6,13,14.4,15.8,17.2,19.1,21,22.8,24.6},{0,10,20,30,40,50,60,62,64,66,68,70,72,74,76,78,80,85,90,95,100})</f>
        <v>78</v>
      </c>
      <c r="G452" s="5">
        <v>195</v>
      </c>
      <c r="H452" s="7">
        <f>LOOKUP(G452,{0,180,185,190,195,200,205,209,213,217,221,225,229,233,237,241,245,253,260,265,270},{0,10,20,30,40,50,60,62,64,66,68,70,72,74,76,78,80,85,90,95,100})</f>
        <v>40</v>
      </c>
      <c r="I452" s="5">
        <v>0</v>
      </c>
      <c r="J452" s="7">
        <f>LOOKUP(I452,{0,4,5,6,7,8,9,10,11,12,13,14,15,16,17,18},{0,10,20,30,40,50,60,64,68,72,76,80,85,90,95,100})</f>
        <v>0</v>
      </c>
      <c r="K452" s="5"/>
      <c r="L452" s="5"/>
      <c r="M452" s="5">
        <f t="shared" si="190"/>
        <v>0</v>
      </c>
      <c r="N452" s="5">
        <v>7.9</v>
      </c>
      <c r="O452" s="10">
        <f t="shared" si="191"/>
        <v>10.1</v>
      </c>
      <c r="P452" s="7">
        <f>LOOKUP(O452,{0,7.8,8,8.2,8.4,8.6,8.8,9,9.2,9.4,9.6,9.8,10,10.2,10.4,10.6,10.8,10.9,11,11.1,11.2},{0,10,20,30,40,50,60,62,64,66,68,70,72,74,76,78,80,85,90,95,100})</f>
        <v>72</v>
      </c>
      <c r="Q452" s="5">
        <v>4.54</v>
      </c>
      <c r="R452" s="10">
        <f t="shared" si="192"/>
        <v>5.46</v>
      </c>
      <c r="S452" s="7">
        <f>LOOKUP(R452,{0,3.85,4.45,4.65,4.85,5.45,5.65,5.7,5.75,5.8,5.85,5.9,5.95,6,6.45,6.5,6.55,6.63,6.7,6.75,6.8},{0,10,20,30,40,50,60,62,64,66,68,70,72,74,76,78,80,85,90,95,100})</f>
        <v>50</v>
      </c>
      <c r="T452" s="5"/>
      <c r="U452" s="5"/>
      <c r="V452" s="5">
        <f t="shared" si="193"/>
        <v>50</v>
      </c>
      <c r="W452" s="5"/>
      <c r="X452" s="13">
        <f t="shared" si="194"/>
        <v>36.2</v>
      </c>
      <c r="Y452" s="13">
        <f t="shared" si="195"/>
        <v>51.7142857142857</v>
      </c>
      <c r="Z452" s="19"/>
    </row>
    <row r="453" ht="15.6" hidden="1" outlineLevel="2" spans="1:26">
      <c r="A453" s="5">
        <v>316</v>
      </c>
      <c r="B453" s="5">
        <v>12</v>
      </c>
      <c r="C453" s="9" t="s">
        <v>799</v>
      </c>
      <c r="D453" s="9" t="s">
        <v>12</v>
      </c>
      <c r="E453" s="5">
        <v>6.3</v>
      </c>
      <c r="F453" s="7">
        <f>LOOKUP(E453,{0,-1.8,-0.8,0.2,1.2,2.2,3.2,4.6,6,7.4,8.8,10.2,11.6,13,14.4,15.8,17.2,19.1,21,22.8,24.6},{0,10,20,30,40,50,60,62,64,66,68,70,72,74,76,78,80,85,90,95,100})</f>
        <v>64</v>
      </c>
      <c r="G453" s="5">
        <v>210</v>
      </c>
      <c r="H453" s="7">
        <f>LOOKUP(G453,{0,180,185,190,195,200,205,209,213,217,221,225,229,233,237,241,245,253,260,265,270},{0,10,20,30,40,50,60,62,64,66,68,70,72,74,76,78,80,85,90,95,100})</f>
        <v>62</v>
      </c>
      <c r="I453" s="5">
        <v>5</v>
      </c>
      <c r="J453" s="7">
        <f>LOOKUP(I453,{0,4,5,6,7,8,9,10,11,12,13,14,15,16,17,18},{0,10,20,30,40,50,60,64,68,72,76,80,85,90,95,100})</f>
        <v>20</v>
      </c>
      <c r="K453" s="5"/>
      <c r="L453" s="5"/>
      <c r="M453" s="5">
        <f t="shared" si="190"/>
        <v>20</v>
      </c>
      <c r="N453" s="5">
        <v>6.8</v>
      </c>
      <c r="O453" s="10">
        <f t="shared" si="191"/>
        <v>11.2</v>
      </c>
      <c r="P453" s="7">
        <f>LOOKUP(O453,{0,7.8,8,8.2,8.4,8.6,8.8,9,9.2,9.4,9.6,9.8,10,10.2,10.4,10.6,10.8,10.9,11,11.1,11.2},{0,10,20,30,40,50,60,62,64,66,68,70,72,74,76,78,80,85,90,95,100})</f>
        <v>100</v>
      </c>
      <c r="Q453" s="5">
        <v>4.54</v>
      </c>
      <c r="R453" s="10">
        <f t="shared" si="192"/>
        <v>5.46</v>
      </c>
      <c r="S453" s="7">
        <f>LOOKUP(R453,{0,3.85,4.45,4.65,4.85,5.45,5.65,5.7,5.75,5.8,5.85,5.9,5.95,6,6.45,6.5,6.55,6.63,6.7,6.75,6.8},{0,10,20,30,40,50,60,62,64,66,68,70,72,74,76,78,80,85,90,95,100})</f>
        <v>50</v>
      </c>
      <c r="T453" s="5"/>
      <c r="U453" s="5"/>
      <c r="V453" s="5">
        <f t="shared" si="193"/>
        <v>50</v>
      </c>
      <c r="W453" s="5"/>
      <c r="X453" s="13">
        <f t="shared" si="194"/>
        <v>44.6</v>
      </c>
      <c r="Y453" s="13">
        <f t="shared" si="195"/>
        <v>63.7142857142857</v>
      </c>
      <c r="Z453" s="19"/>
    </row>
    <row r="454" ht="15.6" outlineLevel="1" collapsed="1" spans="1:26">
      <c r="A454" s="6" t="s">
        <v>867</v>
      </c>
      <c r="B454" s="5"/>
      <c r="C454" s="9"/>
      <c r="D454" s="9"/>
      <c r="E454" s="5"/>
      <c r="F454" s="7">
        <f>SUBTOTAL(1,F442:F453)</f>
        <v>66</v>
      </c>
      <c r="G454" s="5"/>
      <c r="H454" s="7">
        <f>SUBTOTAL(1,H442:H453)</f>
        <v>69.3636363636364</v>
      </c>
      <c r="I454" s="5"/>
      <c r="J454" s="7">
        <f>SUBTOTAL(1,J442:J453)</f>
        <v>41.5454545454545</v>
      </c>
      <c r="K454" s="5"/>
      <c r="L454" s="5"/>
      <c r="M454" s="5">
        <f>SUBTOTAL(1,M442:M453)</f>
        <v>42.4545454545455</v>
      </c>
      <c r="N454" s="5"/>
      <c r="O454" s="10"/>
      <c r="P454" s="7">
        <f>SUBTOTAL(1,P442:P453)</f>
        <v>89.9090909090909</v>
      </c>
      <c r="Q454" s="5"/>
      <c r="R454" s="10"/>
      <c r="S454" s="7">
        <f>SUBTOTAL(1,S442:S453)</f>
        <v>54.5454545454545</v>
      </c>
      <c r="T454" s="5"/>
      <c r="U454" s="5"/>
      <c r="V454" s="5">
        <f>SUBTOTAL(1,V442:V453)</f>
        <v>54.5454545454545</v>
      </c>
      <c r="W454" s="5"/>
      <c r="X454" s="13">
        <f>SUBTOTAL(1,X442:X453)</f>
        <v>46.5818181818182</v>
      </c>
      <c r="Y454" s="13">
        <f>SUBTOTAL(1,Y442:Y453)</f>
        <v>66</v>
      </c>
      <c r="Z454" s="19"/>
    </row>
    <row r="455" ht="15.6" spans="1:26">
      <c r="A455" s="6" t="s">
        <v>868</v>
      </c>
      <c r="B455" s="5"/>
      <c r="C455" s="9"/>
      <c r="D455" s="9"/>
      <c r="E455" s="5"/>
      <c r="F455" s="7">
        <f>SUBTOTAL(1,F2:F453)</f>
        <v>65.265306122449</v>
      </c>
      <c r="G455" s="5"/>
      <c r="H455" s="7">
        <f>SUBTOTAL(1,H2:H453)</f>
        <v>69.8367346938775</v>
      </c>
      <c r="I455" s="5"/>
      <c r="J455" s="7">
        <f>SUBTOTAL(1,J2:J453)</f>
        <v>34.4132653061224</v>
      </c>
      <c r="K455" s="5"/>
      <c r="L455" s="5"/>
      <c r="M455" s="5">
        <f>SUBTOTAL(1,M2:M453)</f>
        <v>34.844387755102</v>
      </c>
      <c r="N455" s="5"/>
      <c r="O455" s="10"/>
      <c r="P455" s="7">
        <f>SUBTOTAL(1,P2:P453)</f>
        <v>78.6530612244898</v>
      </c>
      <c r="Q455" s="5"/>
      <c r="R455" s="10"/>
      <c r="S455" s="7">
        <f>SUBTOTAL(1,S2:S453)</f>
        <v>54.2487046632124</v>
      </c>
      <c r="T455" s="5"/>
      <c r="U455" s="5"/>
      <c r="V455" s="5">
        <f>SUBTOTAL(1,V2:V453)</f>
        <v>54.2538860103627</v>
      </c>
      <c r="W455" s="5"/>
      <c r="X455" s="13">
        <f>SUBTOTAL(1,X2:X453)</f>
        <v>43.3658163265306</v>
      </c>
      <c r="Y455" s="13">
        <f>SUBTOTAL(1,Y2:Y453)</f>
        <v>61.3360575351422</v>
      </c>
      <c r="Z455" s="19"/>
    </row>
  </sheetData>
  <autoFilter ref="A1:Z454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8"/>
  <sheetViews>
    <sheetView workbookViewId="0">
      <selection activeCell="A2" sqref="$A2:$XFD17"/>
    </sheetView>
  </sheetViews>
  <sheetFormatPr defaultColWidth="9" defaultRowHeight="14.4"/>
  <cols>
    <col min="24" max="25" width="12.6296296296296"/>
  </cols>
  <sheetData>
    <row r="1" spans="1:25">
      <c r="A1" s="23" t="s">
        <v>1</v>
      </c>
      <c r="B1" s="24" t="s">
        <v>2</v>
      </c>
      <c r="C1" s="25" t="s">
        <v>3</v>
      </c>
      <c r="D1" s="25" t="s">
        <v>4</v>
      </c>
      <c r="E1" s="26" t="s">
        <v>5</v>
      </c>
      <c r="F1" s="26" t="s">
        <v>840</v>
      </c>
      <c r="G1" s="26" t="s">
        <v>6</v>
      </c>
      <c r="H1" s="26" t="s">
        <v>841</v>
      </c>
      <c r="I1" s="26" t="s">
        <v>7</v>
      </c>
      <c r="J1" s="32" t="s">
        <v>842</v>
      </c>
      <c r="K1" s="33" t="s">
        <v>843</v>
      </c>
      <c r="L1" s="32" t="s">
        <v>844</v>
      </c>
      <c r="M1" s="32" t="s">
        <v>845</v>
      </c>
      <c r="N1" s="32" t="s">
        <v>8</v>
      </c>
      <c r="O1" s="4" t="s">
        <v>846</v>
      </c>
      <c r="P1" s="4" t="s">
        <v>847</v>
      </c>
      <c r="Q1" s="4" t="s">
        <v>9</v>
      </c>
      <c r="R1" s="24" t="s">
        <v>846</v>
      </c>
      <c r="S1" s="24" t="s">
        <v>848</v>
      </c>
      <c r="T1" s="33" t="s">
        <v>843</v>
      </c>
      <c r="U1" s="32" t="s">
        <v>844</v>
      </c>
      <c r="V1" s="24" t="s">
        <v>849</v>
      </c>
      <c r="W1" s="24" t="s">
        <v>10</v>
      </c>
      <c r="X1" s="37" t="s">
        <v>850</v>
      </c>
      <c r="Y1" s="15" t="s">
        <v>851</v>
      </c>
    </row>
    <row r="2" ht="15.6" spans="1:25">
      <c r="A2" s="27">
        <v>313</v>
      </c>
      <c r="B2" s="27">
        <v>27</v>
      </c>
      <c r="C2" s="28" t="s">
        <v>655</v>
      </c>
      <c r="D2" s="28" t="s">
        <v>46</v>
      </c>
      <c r="E2" s="27">
        <v>21.4</v>
      </c>
      <c r="F2" s="29">
        <f>LOOKUP(E2,{0,1.5,2.3,3.1,3.9,4.7,5.5,6.8,8.1,9.4,10.7,12,13.3,14.6,15.9,17.2,18.5,20.2,21.9,23.6,25.3},{0,10,20,30,40,50,60,62,64,66,68,70,72,74,76,78,80,85,90,95,100})</f>
        <v>85</v>
      </c>
      <c r="G2" s="27">
        <v>235</v>
      </c>
      <c r="H2" s="29">
        <f>LOOKUP(G2,{0,125,130,135,140,145,150,153,156,159,162,165,168,171,174,177,180,187,194,200,206},{0,10,20,30,40,50,60,62,64,66,68,70,72,74,76,78,80,85,90,95,100})</f>
        <v>100</v>
      </c>
      <c r="I2" s="27">
        <v>57</v>
      </c>
      <c r="J2" s="29">
        <f>LOOKUP(I2,{0,15,17,19,21,23,25,27,29,31,33,35,37,39,41,43,45,48,51,53,55},{0,10,20,30,40,50,60,62,64,66,68,70,72,74,76,78,80,85,90,95,100})</f>
        <v>100</v>
      </c>
      <c r="K2" s="34">
        <f>I2-55</f>
        <v>2</v>
      </c>
      <c r="L2" s="29">
        <f>LOOKUP(K2,{0,2,4,6,7,8,9,10,11,12,13},{0,1,2,3,4,5,6,7,8,9,10})</f>
        <v>1</v>
      </c>
      <c r="M2" s="35">
        <f t="shared" ref="M2:M65" si="0">J2+L2</f>
        <v>101</v>
      </c>
      <c r="N2" s="35">
        <v>7.7</v>
      </c>
      <c r="O2" s="36">
        <f t="shared" ref="O2:O65" si="1">18-N2</f>
        <v>10.3</v>
      </c>
      <c r="P2" s="29">
        <f>LOOKUP(O2,{0,6.6,6.8,7,7.2,7.4,7.6,7.8,8,8.2,8.4,8.6,8.8,9,9.2,9.4,9.6,9.9,10.2,10.3,10.4},{0,10,20,30,40,50,60,62,64,66,68,70,72,74,76,78,80,85,90,95,100})</f>
        <v>95</v>
      </c>
      <c r="Q2" s="5">
        <v>3.07</v>
      </c>
      <c r="R2" s="36">
        <f t="shared" ref="R2:R65" si="2">10-Q2</f>
        <v>6.93</v>
      </c>
      <c r="S2" s="29">
        <f>LOOKUP(R2,{0,4.74,4.84,4.94,5.44,5.54,5.64,5.69,5.74,5.79,5.84,5.89,5.94,5.99,6.44,6.49,6.54,6.61,6.68,6.74,6.8},{0,10,20,30,40,50,60,62,64,66,68,70,72,74,76,78,80,85,90,95,100})</f>
        <v>100</v>
      </c>
      <c r="T2" s="36">
        <f>3.2-Q2</f>
        <v>0.13</v>
      </c>
      <c r="U2" s="29">
        <f>LOOKUP(T2,{0,0.05,0.1,0.15,0.2,0.25,0.3,0.35,0.4,0.45,0.5},{0,1,2,3,4,5,6,7,8,9,10})</f>
        <v>2</v>
      </c>
      <c r="V2" s="27">
        <f t="shared" ref="V2:V65" si="3">S2+U2</f>
        <v>102</v>
      </c>
      <c r="W2" s="27"/>
      <c r="X2" s="19">
        <f t="shared" ref="X2:X65" si="4">F2*0.1+H2*0.1+J2*0.1+P2*0.2+S2*0.2</f>
        <v>67.5</v>
      </c>
      <c r="Y2" s="13">
        <f t="shared" ref="Y2:Y65" si="5">X2/0.7+L2+U2</f>
        <v>99.4285714285714</v>
      </c>
    </row>
    <row r="3" ht="15.6" spans="1:25">
      <c r="A3" s="27">
        <v>308</v>
      </c>
      <c r="B3" s="27">
        <v>27</v>
      </c>
      <c r="C3" s="28" t="s">
        <v>380</v>
      </c>
      <c r="D3" s="28" t="s">
        <v>46</v>
      </c>
      <c r="E3" s="27">
        <v>23</v>
      </c>
      <c r="F3" s="29">
        <f>LOOKUP(E3,{0,1.5,2.3,3.1,3.9,4.7,5.5,6.8,8.1,9.4,10.7,12,13.3,14.6,15.9,17.2,18.5,20.2,21.9,23.6,25.3},{0,10,20,30,40,50,60,62,64,66,68,70,72,74,76,78,80,85,90,95,100})</f>
        <v>90</v>
      </c>
      <c r="G3" s="27">
        <v>227</v>
      </c>
      <c r="H3" s="29">
        <f>LOOKUP(G3,{0,125,130,135,140,145,150,153,156,159,162,165,168,171,174,177,180,187,194,200,206},{0,10,20,30,40,50,60,62,64,66,68,70,72,74,76,78,80,85,90,95,100})</f>
        <v>100</v>
      </c>
      <c r="I3" s="27">
        <v>56</v>
      </c>
      <c r="J3" s="29">
        <f>LOOKUP(I3,{0,15,17,19,21,23,25,27,29,31,33,35,37,39,41,43,45,48,51,53,55},{0,10,20,30,40,50,60,62,64,66,68,70,72,74,76,78,80,85,90,95,100})</f>
        <v>100</v>
      </c>
      <c r="K3" s="34">
        <f>I3-55</f>
        <v>1</v>
      </c>
      <c r="L3" s="29">
        <f>LOOKUP(K3,{0,2,4,6,7,8,9,10,11,12,13},{0,1,2,3,4,5,6,7,8,9,10})</f>
        <v>0</v>
      </c>
      <c r="M3" s="35">
        <f t="shared" si="0"/>
        <v>100</v>
      </c>
      <c r="N3" s="35">
        <v>7.4</v>
      </c>
      <c r="O3" s="36">
        <f t="shared" si="1"/>
        <v>10.6</v>
      </c>
      <c r="P3" s="29">
        <f>LOOKUP(O3,{0,6.6,6.8,7,7.2,7.4,7.6,7.8,8,8.2,8.4,8.6,8.8,9,9.2,9.4,9.6,9.9,10.2,10.3,10.4},{0,10,20,30,40,50,60,62,64,66,68,70,72,74,76,78,80,85,90,95,100})</f>
        <v>100</v>
      </c>
      <c r="Q3" s="5">
        <v>3.27</v>
      </c>
      <c r="R3" s="36">
        <f t="shared" si="2"/>
        <v>6.73</v>
      </c>
      <c r="S3" s="29">
        <f>LOOKUP(R3,{0,4.74,4.84,4.94,5.44,5.54,5.64,5.69,5.74,5.79,5.84,5.89,5.94,5.99,6.44,6.49,6.54,6.61,6.68,6.74,6.8},{0,10,20,30,40,50,60,62,64,66,68,70,72,74,76,78,80,85,90,95,100})</f>
        <v>90</v>
      </c>
      <c r="T3" s="27"/>
      <c r="U3" s="27"/>
      <c r="V3" s="27">
        <f t="shared" si="3"/>
        <v>90</v>
      </c>
      <c r="W3" s="27"/>
      <c r="X3" s="19">
        <f t="shared" si="4"/>
        <v>67</v>
      </c>
      <c r="Y3" s="13">
        <f t="shared" si="5"/>
        <v>95.7142857142857</v>
      </c>
    </row>
    <row r="4" ht="15.6" spans="1:25">
      <c r="A4" s="27">
        <v>301</v>
      </c>
      <c r="B4" s="27">
        <v>38</v>
      </c>
      <c r="C4" s="27" t="s">
        <v>51</v>
      </c>
      <c r="D4" s="27" t="s">
        <v>46</v>
      </c>
      <c r="E4" s="27">
        <v>26.5</v>
      </c>
      <c r="F4" s="29">
        <f>LOOKUP(E4,{0,1.5,2.3,3.1,3.9,4.7,5.5,6.8,8.1,9.4,10.7,12,13.3,14.6,15.9,17.2,18.5,20.2,21.9,23.6,25.3},{0,10,20,30,40,50,60,62,64,66,68,70,72,74,76,78,80,85,90,95,100})</f>
        <v>100</v>
      </c>
      <c r="G4" s="27">
        <v>197</v>
      </c>
      <c r="H4" s="29">
        <f>LOOKUP(G4,{0,125,130,135,140,145,150,153,156,159,162,165,168,171,174,177,180,187,194,200,206},{0,10,20,30,40,50,60,62,64,66,68,70,72,74,76,78,80,85,90,95,100})</f>
        <v>90</v>
      </c>
      <c r="I4" s="27">
        <v>58</v>
      </c>
      <c r="J4" s="29">
        <f>LOOKUP(I4,{0,15,17,19,21,23,25,27,29,31,33,35,37,39,41,43,45,48,51,53,55},{0,10,20,30,40,50,60,62,64,66,68,70,72,74,76,78,80,85,90,95,100})</f>
        <v>100</v>
      </c>
      <c r="K4" s="34">
        <f>I4-55</f>
        <v>3</v>
      </c>
      <c r="L4" s="29">
        <f>LOOKUP(K4,{0,2,4,6,7,8,9,10,11,12,13},{0,1,2,3,4,5,6,7,8,9,10})</f>
        <v>1</v>
      </c>
      <c r="M4" s="35">
        <f t="shared" si="0"/>
        <v>101</v>
      </c>
      <c r="N4" s="35">
        <v>8</v>
      </c>
      <c r="O4" s="36">
        <f t="shared" si="1"/>
        <v>10</v>
      </c>
      <c r="P4" s="29">
        <f>LOOKUP(O4,{0,6.6,6.8,7,7.2,7.4,7.6,7.8,8,8.2,8.4,8.6,8.8,9,9.2,9.4,9.6,9.9,10.2,10.3,10.4},{0,10,20,30,40,50,60,62,64,66,68,70,72,74,76,78,80,85,90,95,100})</f>
        <v>85</v>
      </c>
      <c r="Q4" s="5">
        <v>3.18</v>
      </c>
      <c r="R4" s="36">
        <f t="shared" si="2"/>
        <v>6.82</v>
      </c>
      <c r="S4" s="29">
        <f>LOOKUP(R4,{0,4.74,4.84,4.94,5.44,5.54,5.64,5.69,5.74,5.79,5.84,5.89,5.94,5.99,6.44,6.49,6.54,6.61,6.68,6.74,6.8},{0,10,20,30,40,50,60,62,64,66,68,70,72,74,76,78,80,85,90,95,100})</f>
        <v>100</v>
      </c>
      <c r="T4" s="36">
        <f>3.2-Q4</f>
        <v>0.02</v>
      </c>
      <c r="U4" s="29">
        <f>LOOKUP(T4,{0,0.05,0.1,0.15,0.2,0.25,0.3,0.35,0.4,0.45,0.5},{0,1,2,3,4,5,6,7,8,9,10})</f>
        <v>0</v>
      </c>
      <c r="V4" s="27">
        <f t="shared" si="3"/>
        <v>100</v>
      </c>
      <c r="W4" s="27"/>
      <c r="X4" s="19">
        <f t="shared" si="4"/>
        <v>66</v>
      </c>
      <c r="Y4" s="13">
        <f t="shared" si="5"/>
        <v>95.2857142857143</v>
      </c>
    </row>
    <row r="5" ht="15.6" spans="1:25">
      <c r="A5" s="27">
        <v>306</v>
      </c>
      <c r="B5" s="27">
        <v>35</v>
      </c>
      <c r="C5" s="28" t="s">
        <v>279</v>
      </c>
      <c r="D5" s="28" t="s">
        <v>46</v>
      </c>
      <c r="E5" s="27">
        <v>28</v>
      </c>
      <c r="F5" s="29">
        <f>LOOKUP(E5,{0,1.5,2.3,3.1,3.9,4.7,5.5,6.8,8.1,9.4,10.7,12,13.3,14.6,15.9,17.2,18.5,20.2,21.9,23.6,25.3},{0,10,20,30,40,50,60,62,64,66,68,70,72,74,76,78,80,85,90,95,100})</f>
        <v>100</v>
      </c>
      <c r="G5" s="27">
        <v>190</v>
      </c>
      <c r="H5" s="29">
        <f>LOOKUP(G5,{0,125,130,135,140,145,150,153,156,159,162,165,168,171,174,177,180,187,194,200,206},{0,10,20,30,40,50,60,62,64,66,68,70,72,74,76,78,80,85,90,95,100})</f>
        <v>85</v>
      </c>
      <c r="I5" s="27">
        <v>62</v>
      </c>
      <c r="J5" s="29">
        <f>LOOKUP(I5,{0,15,17,19,21,23,25,27,29,31,33,35,37,39,41,43,45,48,51,53,55},{0,10,20,30,40,50,60,62,64,66,68,70,72,74,76,78,80,85,90,95,100})</f>
        <v>100</v>
      </c>
      <c r="K5" s="34">
        <f>I5-55</f>
        <v>7</v>
      </c>
      <c r="L5" s="29">
        <f>LOOKUP(K5,{0,2,4,6,7,8,9,10,11,12,13},{0,1,2,3,4,5,6,7,8,9,10})</f>
        <v>4</v>
      </c>
      <c r="M5" s="35">
        <f t="shared" si="0"/>
        <v>104</v>
      </c>
      <c r="N5" s="35">
        <v>8.2</v>
      </c>
      <c r="O5" s="36">
        <f t="shared" si="1"/>
        <v>9.8</v>
      </c>
      <c r="P5" s="29">
        <f>LOOKUP(O5,{0,6.6,6.8,7,7.2,7.4,7.6,7.8,8,8.2,8.4,8.6,8.8,9,9.2,9.4,9.6,9.9,10.2,10.3,10.4},{0,10,20,30,40,50,60,62,64,66,68,70,72,74,76,78,80,85,90,95,100})</f>
        <v>80</v>
      </c>
      <c r="Q5" s="5">
        <v>3.328</v>
      </c>
      <c r="R5" s="36">
        <f t="shared" si="2"/>
        <v>6.672</v>
      </c>
      <c r="S5" s="29">
        <f>LOOKUP(R5,{0,4.74,4.84,4.94,5.44,5.54,5.64,5.69,5.74,5.79,5.84,5.89,5.94,5.99,6.44,6.49,6.54,6.61,6.68,6.74,6.8},{0,10,20,30,40,50,60,62,64,66,68,70,72,74,76,78,80,85,90,95,100})</f>
        <v>85</v>
      </c>
      <c r="T5" s="27"/>
      <c r="U5" s="27"/>
      <c r="V5" s="27">
        <f t="shared" si="3"/>
        <v>85</v>
      </c>
      <c r="W5" s="27"/>
      <c r="X5" s="19">
        <f t="shared" si="4"/>
        <v>61.5</v>
      </c>
      <c r="Y5" s="13">
        <f t="shared" si="5"/>
        <v>91.8571428571429</v>
      </c>
    </row>
    <row r="6" ht="15.6" spans="1:25">
      <c r="A6" s="27">
        <v>311</v>
      </c>
      <c r="B6" s="27">
        <v>51</v>
      </c>
      <c r="C6" s="27" t="s">
        <v>568</v>
      </c>
      <c r="D6" s="27" t="s">
        <v>46</v>
      </c>
      <c r="E6" s="27">
        <v>18</v>
      </c>
      <c r="F6" s="29">
        <f>LOOKUP(E6,{0,1.5,2.3,3.1,3.9,4.7,5.5,6.8,8.1,9.4,10.7,12,13.3,14.6,15.9,17.2,18.5,20.2,21.9,23.6,25.3},{0,10,20,30,40,50,60,62,64,66,68,70,72,74,76,78,80,85,90,95,100})</f>
        <v>78</v>
      </c>
      <c r="G6" s="27">
        <v>210</v>
      </c>
      <c r="H6" s="29">
        <f>LOOKUP(G6,{0,125,130,135,140,145,150,153,156,159,162,165,168,171,174,177,180,187,194,200,206},{0,10,20,30,40,50,60,62,64,66,68,70,72,74,76,78,80,85,90,95,100})</f>
        <v>100</v>
      </c>
      <c r="I6" s="27">
        <v>53</v>
      </c>
      <c r="J6" s="29">
        <f>LOOKUP(I6,{0,15,17,19,21,23,25,27,29,31,33,35,37,39,41,43,45,48,51,53,55},{0,10,20,30,40,50,60,62,64,66,68,70,72,74,76,78,80,85,90,95,100})</f>
        <v>95</v>
      </c>
      <c r="K6" s="35"/>
      <c r="L6" s="35"/>
      <c r="M6" s="35">
        <f t="shared" si="0"/>
        <v>95</v>
      </c>
      <c r="N6" s="35">
        <v>7.8</v>
      </c>
      <c r="O6" s="36">
        <f t="shared" si="1"/>
        <v>10.2</v>
      </c>
      <c r="P6" s="29">
        <f>LOOKUP(O6,{0,6.6,6.8,7,7.2,7.4,7.6,7.8,8,8.2,8.4,8.6,8.8,9,9.2,9.4,9.6,9.9,10.2,10.3,10.4},{0,10,20,30,40,50,60,62,64,66,68,70,72,74,76,78,80,85,90,95,100})</f>
        <v>90</v>
      </c>
      <c r="Q6" s="5">
        <v>3.38</v>
      </c>
      <c r="R6" s="36">
        <f t="shared" si="2"/>
        <v>6.62</v>
      </c>
      <c r="S6" s="29">
        <f>LOOKUP(R6,{0,4.74,4.84,4.94,5.44,5.54,5.64,5.69,5.74,5.79,5.84,5.89,5.94,5.99,6.44,6.49,6.54,6.61,6.68,6.74,6.8},{0,10,20,30,40,50,60,62,64,66,68,70,72,74,76,78,80,85,90,95,100})</f>
        <v>85</v>
      </c>
      <c r="T6" s="27"/>
      <c r="U6" s="27"/>
      <c r="V6" s="27">
        <f t="shared" si="3"/>
        <v>85</v>
      </c>
      <c r="W6" s="27"/>
      <c r="X6" s="19">
        <f t="shared" si="4"/>
        <v>62.3</v>
      </c>
      <c r="Y6" s="13">
        <f t="shared" si="5"/>
        <v>89</v>
      </c>
    </row>
    <row r="7" ht="15.6" spans="1:25">
      <c r="A7" s="27">
        <v>316</v>
      </c>
      <c r="B7" s="27">
        <v>30</v>
      </c>
      <c r="C7" s="28" t="s">
        <v>819</v>
      </c>
      <c r="D7" s="28" t="s">
        <v>46</v>
      </c>
      <c r="E7" s="27">
        <v>29.8</v>
      </c>
      <c r="F7" s="29">
        <f>LOOKUP(E7,{0,1.5,2.3,3.1,3.9,4.7,5.5,6.8,8.1,9.4,10.7,12,13.3,14.6,15.9,17.2,18.5,20.2,21.9,23.6,25.3},{0,10,20,30,40,50,60,62,64,66,68,70,72,74,76,78,80,85,90,95,100})</f>
        <v>100</v>
      </c>
      <c r="G7" s="27">
        <v>220</v>
      </c>
      <c r="H7" s="29">
        <f>LOOKUP(G7,{0,125,130,135,140,145,150,153,156,159,162,165,168,171,174,177,180,187,194,200,206},{0,10,20,30,40,50,60,62,64,66,68,70,72,74,76,78,80,85,90,95,100})</f>
        <v>100</v>
      </c>
      <c r="I7" s="27">
        <v>34</v>
      </c>
      <c r="J7" s="29">
        <f>LOOKUP(I7,{0,15,17,19,21,23,25,27,29,31,33,35,37,39,41,43,45,48,51,53,55},{0,10,20,30,40,50,60,62,64,66,68,70,72,74,76,78,80,85,90,95,100})</f>
        <v>68</v>
      </c>
      <c r="K7" s="35"/>
      <c r="L7" s="35"/>
      <c r="M7" s="35">
        <f t="shared" si="0"/>
        <v>68</v>
      </c>
      <c r="N7" s="35">
        <v>7.8</v>
      </c>
      <c r="O7" s="36">
        <f t="shared" si="1"/>
        <v>10.2</v>
      </c>
      <c r="P7" s="29">
        <f>LOOKUP(O7,{0,6.6,6.8,7,7.2,7.4,7.6,7.8,8,8.2,8.4,8.6,8.8,9,9.2,9.4,9.6,9.9,10.2,10.3,10.4},{0,10,20,30,40,50,60,62,64,66,68,70,72,74,76,78,80,85,90,95,100})</f>
        <v>90</v>
      </c>
      <c r="Q7" s="5">
        <v>3.37</v>
      </c>
      <c r="R7" s="36">
        <f t="shared" si="2"/>
        <v>6.63</v>
      </c>
      <c r="S7" s="29">
        <f>LOOKUP(R7,{0,4.74,4.84,4.94,5.44,5.54,5.64,5.69,5.74,5.79,5.84,5.89,5.94,5.99,6.44,6.49,6.54,6.61,6.68,6.74,6.8},{0,10,20,30,40,50,60,62,64,66,68,70,72,74,76,78,80,85,90,95,100})</f>
        <v>85</v>
      </c>
      <c r="T7" s="27"/>
      <c r="U7" s="27"/>
      <c r="V7" s="27">
        <f t="shared" si="3"/>
        <v>85</v>
      </c>
      <c r="W7" s="27"/>
      <c r="X7" s="19">
        <f t="shared" si="4"/>
        <v>61.8</v>
      </c>
      <c r="Y7" s="13">
        <f t="shared" si="5"/>
        <v>88.2857142857143</v>
      </c>
    </row>
    <row r="8" ht="15.6" spans="1:25">
      <c r="A8" s="27">
        <v>316</v>
      </c>
      <c r="B8" s="27">
        <v>20</v>
      </c>
      <c r="C8" s="28" t="s">
        <v>808</v>
      </c>
      <c r="D8" s="28" t="s">
        <v>46</v>
      </c>
      <c r="E8" s="27">
        <v>26</v>
      </c>
      <c r="F8" s="29">
        <f>LOOKUP(E8,{0,1.5,2.3,3.1,3.9,4.7,5.5,6.8,8.1,9.4,10.7,12,13.3,14.6,15.9,17.2,18.5,20.2,21.9,23.6,25.3},{0,10,20,30,40,50,60,62,64,66,68,70,72,74,76,78,80,85,90,95,100})</f>
        <v>100</v>
      </c>
      <c r="G8" s="27">
        <v>211</v>
      </c>
      <c r="H8" s="29">
        <f>LOOKUP(G8,{0,125,130,135,140,145,150,153,156,159,162,165,168,171,174,177,180,187,194,200,206},{0,10,20,30,40,50,60,62,64,66,68,70,72,74,76,78,80,85,90,95,100})</f>
        <v>100</v>
      </c>
      <c r="I8" s="27">
        <v>42</v>
      </c>
      <c r="J8" s="29">
        <f>LOOKUP(I8,{0,15,17,19,21,23,25,27,29,31,33,35,37,39,41,43,45,48,51,53,55},{0,10,20,30,40,50,60,62,64,66,68,70,72,74,76,78,80,85,90,95,100})</f>
        <v>76</v>
      </c>
      <c r="K8" s="35"/>
      <c r="L8" s="35"/>
      <c r="M8" s="35">
        <f t="shared" si="0"/>
        <v>76</v>
      </c>
      <c r="N8" s="35">
        <v>8</v>
      </c>
      <c r="O8" s="36">
        <f t="shared" si="1"/>
        <v>10</v>
      </c>
      <c r="P8" s="29">
        <f>LOOKUP(O8,{0,6.6,6.8,7,7.2,7.4,7.6,7.8,8,8.2,8.4,8.6,8.8,9,9.2,9.4,9.6,9.9,10.2,10.3,10.4},{0,10,20,30,40,50,60,62,64,66,68,70,72,74,76,78,80,85,90,95,100})</f>
        <v>85</v>
      </c>
      <c r="Q8" s="5">
        <v>3.39</v>
      </c>
      <c r="R8" s="36">
        <f t="shared" si="2"/>
        <v>6.61</v>
      </c>
      <c r="S8" s="29">
        <f>LOOKUP(R8,{0,4.74,4.84,4.94,5.44,5.54,5.64,5.69,5.74,5.79,5.84,5.89,5.94,5.99,6.44,6.49,6.54,6.61,6.68,6.74,6.8},{0,10,20,30,40,50,60,62,64,66,68,70,72,74,76,78,80,85,90,95,100})</f>
        <v>85</v>
      </c>
      <c r="T8" s="27"/>
      <c r="U8" s="27"/>
      <c r="V8" s="27">
        <f t="shared" si="3"/>
        <v>85</v>
      </c>
      <c r="W8" s="27"/>
      <c r="X8" s="19">
        <f t="shared" si="4"/>
        <v>61.6</v>
      </c>
      <c r="Y8" s="13">
        <f t="shared" si="5"/>
        <v>88</v>
      </c>
    </row>
    <row r="9" ht="15.6" spans="1:25">
      <c r="A9" s="27">
        <v>316</v>
      </c>
      <c r="B9" s="27">
        <v>42</v>
      </c>
      <c r="C9" s="28" t="s">
        <v>833</v>
      </c>
      <c r="D9" s="28" t="s">
        <v>46</v>
      </c>
      <c r="E9" s="27">
        <v>27.6</v>
      </c>
      <c r="F9" s="29">
        <f>LOOKUP(E9,{0,1.5,2.3,3.1,3.9,4.7,5.5,6.8,8.1,9.4,10.7,12,13.3,14.6,15.9,17.2,18.5,20.2,21.9,23.6,25.3},{0,10,20,30,40,50,60,62,64,66,68,70,72,74,76,78,80,85,90,95,100})</f>
        <v>100</v>
      </c>
      <c r="G9" s="27">
        <v>209</v>
      </c>
      <c r="H9" s="29">
        <f>LOOKUP(G9,{0,125,130,135,140,145,150,153,156,159,162,165,168,171,174,177,180,187,194,200,206},{0,10,20,30,40,50,60,62,64,66,68,70,72,74,76,78,80,85,90,95,100})</f>
        <v>100</v>
      </c>
      <c r="I9" s="27">
        <v>49</v>
      </c>
      <c r="J9" s="29">
        <f>LOOKUP(I9,{0,15,17,19,21,23,25,27,29,31,33,35,37,39,41,43,45,48,51,53,55},{0,10,20,30,40,50,60,62,64,66,68,70,72,74,76,78,80,85,90,95,100})</f>
        <v>85</v>
      </c>
      <c r="K9" s="35"/>
      <c r="L9" s="35"/>
      <c r="M9" s="35">
        <f t="shared" si="0"/>
        <v>85</v>
      </c>
      <c r="N9" s="35">
        <v>7.8</v>
      </c>
      <c r="O9" s="36">
        <f t="shared" si="1"/>
        <v>10.2</v>
      </c>
      <c r="P9" s="29">
        <f>LOOKUP(O9,{0,6.6,6.8,7,7.2,7.4,7.6,7.8,8,8.2,8.4,8.6,8.8,9,9.2,9.4,9.6,9.9,10.2,10.3,10.4},{0,10,20,30,40,50,60,62,64,66,68,70,72,74,76,78,80,85,90,95,100})</f>
        <v>90</v>
      </c>
      <c r="Q9" s="5">
        <v>4.05</v>
      </c>
      <c r="R9" s="36">
        <f t="shared" si="2"/>
        <v>5.95</v>
      </c>
      <c r="S9" s="29">
        <f>LOOKUP(R9,{0,4.74,4.84,4.94,5.44,5.54,5.64,5.69,5.74,5.79,5.84,5.89,5.94,5.99,6.44,6.49,6.54,6.61,6.68,6.74,6.8},{0,10,20,30,40,50,60,62,64,66,68,70,72,74,76,78,80,85,90,95,100})</f>
        <v>72</v>
      </c>
      <c r="T9" s="27"/>
      <c r="U9" s="27"/>
      <c r="V9" s="27">
        <f t="shared" si="3"/>
        <v>72</v>
      </c>
      <c r="W9" s="27"/>
      <c r="X9" s="19">
        <f t="shared" si="4"/>
        <v>60.9</v>
      </c>
      <c r="Y9" s="13">
        <f t="shared" si="5"/>
        <v>87</v>
      </c>
    </row>
    <row r="10" ht="15.6" spans="1:25">
      <c r="A10" s="27">
        <v>308</v>
      </c>
      <c r="B10" s="27">
        <v>39</v>
      </c>
      <c r="C10" s="28" t="s">
        <v>393</v>
      </c>
      <c r="D10" s="28" t="s">
        <v>46</v>
      </c>
      <c r="E10" s="27">
        <v>20</v>
      </c>
      <c r="F10" s="29">
        <f>LOOKUP(E10,{0,1.5,2.3,3.1,3.9,4.7,5.5,6.8,8.1,9.4,10.7,12,13.3,14.6,15.9,17.2,18.5,20.2,21.9,23.6,25.3},{0,10,20,30,40,50,60,62,64,66,68,70,72,74,76,78,80,85,90,95,100})</f>
        <v>80</v>
      </c>
      <c r="G10" s="27">
        <v>196</v>
      </c>
      <c r="H10" s="29">
        <f>LOOKUP(G10,{0,125,130,135,140,145,150,153,156,159,162,165,168,171,174,177,180,187,194,200,206},{0,10,20,30,40,50,60,62,64,66,68,70,72,74,76,78,80,85,90,95,100})</f>
        <v>90</v>
      </c>
      <c r="I10" s="27">
        <v>49</v>
      </c>
      <c r="J10" s="29">
        <f>LOOKUP(I10,{0,15,17,19,21,23,25,27,29,31,33,35,37,39,41,43,45,48,51,53,55},{0,10,20,30,40,50,60,62,64,66,68,70,72,74,76,78,80,85,90,95,100})</f>
        <v>85</v>
      </c>
      <c r="K10" s="35"/>
      <c r="L10" s="35"/>
      <c r="M10" s="35">
        <f t="shared" si="0"/>
        <v>85</v>
      </c>
      <c r="N10" s="35">
        <v>8</v>
      </c>
      <c r="O10" s="36">
        <f t="shared" si="1"/>
        <v>10</v>
      </c>
      <c r="P10" s="29">
        <f>LOOKUP(O10,{0,6.6,6.8,7,7.2,7.4,7.6,7.8,8,8.2,8.4,8.6,8.8,9,9.2,9.4,9.6,9.9,10.2,10.3,10.4},{0,10,20,30,40,50,60,62,64,66,68,70,72,74,76,78,80,85,90,95,100})</f>
        <v>85</v>
      </c>
      <c r="Q10" s="5">
        <v>3.31</v>
      </c>
      <c r="R10" s="36">
        <f t="shared" si="2"/>
        <v>6.69</v>
      </c>
      <c r="S10" s="29">
        <f>LOOKUP(R10,{0,4.74,4.84,4.94,5.44,5.54,5.64,5.69,5.74,5.79,5.84,5.89,5.94,5.99,6.44,6.49,6.54,6.61,6.68,6.74,6.8},{0,10,20,30,40,50,60,62,64,66,68,70,72,74,76,78,80,85,90,95,100})</f>
        <v>90</v>
      </c>
      <c r="T10" s="27"/>
      <c r="U10" s="27"/>
      <c r="V10" s="27">
        <f t="shared" si="3"/>
        <v>90</v>
      </c>
      <c r="W10" s="27"/>
      <c r="X10" s="19">
        <f t="shared" si="4"/>
        <v>60.5</v>
      </c>
      <c r="Y10" s="13">
        <f t="shared" si="5"/>
        <v>86.4285714285714</v>
      </c>
    </row>
    <row r="11" ht="15.6" spans="1:25">
      <c r="A11" s="27">
        <v>313</v>
      </c>
      <c r="B11" s="27">
        <v>17</v>
      </c>
      <c r="C11" s="30" t="s">
        <v>645</v>
      </c>
      <c r="D11" s="28" t="s">
        <v>46</v>
      </c>
      <c r="E11" s="27">
        <v>21.7</v>
      </c>
      <c r="F11" s="29">
        <f>LOOKUP(E11,{0,1.5,2.3,3.1,3.9,4.7,5.5,6.8,8.1,9.4,10.7,12,13.3,14.6,15.9,17.2,18.5,20.2,21.9,23.6,25.3},{0,10,20,30,40,50,60,62,64,66,68,70,72,74,76,78,80,85,90,95,100})</f>
        <v>85</v>
      </c>
      <c r="G11" s="27">
        <v>185</v>
      </c>
      <c r="H11" s="29">
        <f>LOOKUP(G11,{0,125,130,135,140,145,150,153,156,159,162,165,168,171,174,177,180,187,194,200,206},{0,10,20,30,40,50,60,62,64,66,68,70,72,74,76,78,80,85,90,95,100})</f>
        <v>80</v>
      </c>
      <c r="I11" s="27">
        <v>47</v>
      </c>
      <c r="J11" s="29">
        <f>LOOKUP(I11,{0,15,17,19,21,23,25,27,29,31,33,35,37,39,41,43,45,48,51,53,55},{0,10,20,30,40,50,60,62,64,66,68,70,72,74,76,78,80,85,90,95,100})</f>
        <v>80</v>
      </c>
      <c r="K11" s="35"/>
      <c r="L11" s="35"/>
      <c r="M11" s="35">
        <f t="shared" si="0"/>
        <v>80</v>
      </c>
      <c r="N11" s="35">
        <v>8.3</v>
      </c>
      <c r="O11" s="36">
        <f t="shared" si="1"/>
        <v>9.7</v>
      </c>
      <c r="P11" s="29">
        <f>LOOKUP(O11,{0,6.6,6.8,7,7.2,7.4,7.6,7.8,8,8.2,8.4,8.6,8.8,9,9.2,9.4,9.6,9.9,10.2,10.3,10.4},{0,10,20,30,40,50,60,62,64,66,68,70,72,74,76,78,80,85,90,95,100})</f>
        <v>80</v>
      </c>
      <c r="Q11" s="5">
        <v>3.18</v>
      </c>
      <c r="R11" s="36">
        <f t="shared" si="2"/>
        <v>6.82</v>
      </c>
      <c r="S11" s="29">
        <f>LOOKUP(R11,{0,4.74,4.84,4.94,5.44,5.54,5.64,5.69,5.74,5.79,5.84,5.89,5.94,5.99,6.44,6.49,6.54,6.61,6.68,6.74,6.8},{0,10,20,30,40,50,60,62,64,66,68,70,72,74,76,78,80,85,90,95,100})</f>
        <v>100</v>
      </c>
      <c r="T11" s="36">
        <f>3.2-Q11</f>
        <v>0.02</v>
      </c>
      <c r="U11" s="29">
        <f>LOOKUP(T11,{0,0.05,0.1,0.15,0.2,0.25,0.3,0.35,0.4,0.45,0.5},{0,1,2,3,4,5,6,7,8,9,10})</f>
        <v>0</v>
      </c>
      <c r="V11" s="27">
        <f t="shared" si="3"/>
        <v>100</v>
      </c>
      <c r="W11" s="27"/>
      <c r="X11" s="19">
        <f t="shared" si="4"/>
        <v>60.5</v>
      </c>
      <c r="Y11" s="13">
        <f t="shared" si="5"/>
        <v>86.4285714285714</v>
      </c>
    </row>
    <row r="12" ht="15.6" spans="1:25">
      <c r="A12" s="27">
        <v>302</v>
      </c>
      <c r="B12" s="27">
        <v>39</v>
      </c>
      <c r="C12" s="27" t="s">
        <v>100</v>
      </c>
      <c r="D12" s="27" t="s">
        <v>46</v>
      </c>
      <c r="E12" s="27">
        <v>18.5</v>
      </c>
      <c r="F12" s="29">
        <f>LOOKUP(E12,{0,1.5,2.3,3.1,3.9,4.7,5.5,6.8,8.1,9.4,10.7,12,13.3,14.6,15.9,17.2,18.5,20.2,21.9,23.6,25.3},{0,10,20,30,40,50,60,62,64,66,68,70,72,74,76,78,80,85,90,95,100})</f>
        <v>80</v>
      </c>
      <c r="G12" s="27">
        <v>208</v>
      </c>
      <c r="H12" s="29">
        <f>LOOKUP(G12,{0,125,130,135,140,145,150,153,156,159,162,165,168,171,174,177,180,187,194,200,206},{0,10,20,30,40,50,60,62,64,66,68,70,72,74,76,78,80,85,90,95,100})</f>
        <v>100</v>
      </c>
      <c r="I12" s="27">
        <v>44</v>
      </c>
      <c r="J12" s="29">
        <f>LOOKUP(I12,{0,15,17,19,21,23,25,27,29,31,33,35,37,39,41,43,45,48,51,53,55},{0,10,20,30,40,50,60,62,64,66,68,70,72,74,76,78,80,85,90,95,100})</f>
        <v>78</v>
      </c>
      <c r="K12" s="35"/>
      <c r="L12" s="35"/>
      <c r="M12" s="35">
        <f t="shared" si="0"/>
        <v>78</v>
      </c>
      <c r="N12" s="35">
        <v>8.6</v>
      </c>
      <c r="O12" s="36">
        <f t="shared" si="1"/>
        <v>9.4</v>
      </c>
      <c r="P12" s="29">
        <f>LOOKUP(O12,{0,6.6,6.8,7,7.2,7.4,7.6,7.8,8,8.2,8.4,8.6,8.8,9,9.2,9.4,9.6,9.9,10.2,10.3,10.4},{0,10,20,30,40,50,60,62,64,66,68,70,72,74,76,78,80,85,90,95,100})</f>
        <v>78</v>
      </c>
      <c r="Q12" s="5">
        <v>3.24</v>
      </c>
      <c r="R12" s="36">
        <f t="shared" si="2"/>
        <v>6.76</v>
      </c>
      <c r="S12" s="29">
        <f>LOOKUP(R12,{0,4.74,4.84,4.94,5.44,5.54,5.64,5.69,5.74,5.79,5.84,5.89,5.94,5.99,6.44,6.49,6.54,6.61,6.68,6.74,6.8},{0,10,20,30,40,50,60,62,64,66,68,70,72,74,76,78,80,85,90,95,100})</f>
        <v>95</v>
      </c>
      <c r="T12" s="27"/>
      <c r="U12" s="27"/>
      <c r="V12" s="27">
        <f t="shared" si="3"/>
        <v>95</v>
      </c>
      <c r="W12" s="27"/>
      <c r="X12" s="19">
        <f t="shared" si="4"/>
        <v>60.4</v>
      </c>
      <c r="Y12" s="13">
        <f t="shared" si="5"/>
        <v>86.2857142857143</v>
      </c>
    </row>
    <row r="13" ht="15.6" spans="1:25">
      <c r="A13" s="27">
        <v>306</v>
      </c>
      <c r="B13" s="27">
        <v>45</v>
      </c>
      <c r="C13" s="28" t="s">
        <v>290</v>
      </c>
      <c r="D13" s="28" t="s">
        <v>46</v>
      </c>
      <c r="E13" s="27">
        <v>25.6</v>
      </c>
      <c r="F13" s="29">
        <f>LOOKUP(E13,{0,1.5,2.3,3.1,3.9,4.7,5.5,6.8,8.1,9.4,10.7,12,13.3,14.6,15.9,17.2,18.5,20.2,21.9,23.6,25.3},{0,10,20,30,40,50,60,62,64,66,68,70,72,74,76,78,80,85,90,95,100})</f>
        <v>100</v>
      </c>
      <c r="G13" s="27">
        <v>205</v>
      </c>
      <c r="H13" s="29">
        <f>LOOKUP(G13,{0,125,130,135,140,145,150,153,156,159,162,165,168,171,174,177,180,187,194,200,206},{0,10,20,30,40,50,60,62,64,66,68,70,72,74,76,78,80,85,90,95,100})</f>
        <v>95</v>
      </c>
      <c r="I13" s="27">
        <v>49</v>
      </c>
      <c r="J13" s="29">
        <f>LOOKUP(I13,{0,15,17,19,21,23,25,27,29,31,33,35,37,39,41,43,45,48,51,53,55},{0,10,20,30,40,50,60,62,64,66,68,70,72,74,76,78,80,85,90,95,100})</f>
        <v>85</v>
      </c>
      <c r="K13" s="35"/>
      <c r="L13" s="35"/>
      <c r="M13" s="35">
        <f t="shared" si="0"/>
        <v>85</v>
      </c>
      <c r="N13" s="35">
        <v>8.1</v>
      </c>
      <c r="O13" s="36">
        <f t="shared" si="1"/>
        <v>9.9</v>
      </c>
      <c r="P13" s="29">
        <f>LOOKUP(O13,{0,6.6,6.8,7,7.2,7.4,7.6,7.8,8,8.2,8.4,8.6,8.8,9,9.2,9.4,9.6,9.9,10.2,10.3,10.4},{0,10,20,30,40,50,60,62,64,66,68,70,72,74,76,78,80,85,90,95,100})</f>
        <v>85</v>
      </c>
      <c r="Q13" s="5">
        <v>3.52</v>
      </c>
      <c r="R13" s="36">
        <f t="shared" si="2"/>
        <v>6.48</v>
      </c>
      <c r="S13" s="29">
        <f>LOOKUP(R13,{0,4.74,4.84,4.94,5.44,5.54,5.64,5.69,5.74,5.79,5.84,5.89,5.94,5.99,6.44,6.49,6.54,6.61,6.68,6.74,6.8},{0,10,20,30,40,50,60,62,64,66,68,70,72,74,76,78,80,85,90,95,100})</f>
        <v>76</v>
      </c>
      <c r="T13" s="27"/>
      <c r="U13" s="27"/>
      <c r="V13" s="27">
        <f t="shared" si="3"/>
        <v>76</v>
      </c>
      <c r="W13" s="27"/>
      <c r="X13" s="19">
        <f t="shared" si="4"/>
        <v>60.2</v>
      </c>
      <c r="Y13" s="13">
        <f t="shared" si="5"/>
        <v>86</v>
      </c>
    </row>
    <row r="14" ht="15.6" spans="1:25">
      <c r="A14" s="27">
        <v>302</v>
      </c>
      <c r="B14" s="27">
        <v>36</v>
      </c>
      <c r="C14" s="27" t="s">
        <v>97</v>
      </c>
      <c r="D14" s="27" t="s">
        <v>46</v>
      </c>
      <c r="E14" s="27">
        <v>21</v>
      </c>
      <c r="F14" s="29">
        <f>LOOKUP(E14,{0,1.5,2.3,3.1,3.9,4.7,5.5,6.8,8.1,9.4,10.7,12,13.3,14.6,15.9,17.2,18.5,20.2,21.9,23.6,25.3},{0,10,20,30,40,50,60,62,64,66,68,70,72,74,76,78,80,85,90,95,100})</f>
        <v>85</v>
      </c>
      <c r="G14" s="27">
        <v>210</v>
      </c>
      <c r="H14" s="29">
        <f>LOOKUP(G14,{0,125,130,135,140,145,150,153,156,159,162,165,168,171,174,177,180,187,194,200,206},{0,10,20,30,40,50,60,62,64,66,68,70,72,74,76,78,80,85,90,95,100})</f>
        <v>100</v>
      </c>
      <c r="I14" s="27">
        <v>48</v>
      </c>
      <c r="J14" s="29">
        <f>LOOKUP(I14,{0,15,17,19,21,23,25,27,29,31,33,35,37,39,41,43,45,48,51,53,55},{0,10,20,30,40,50,60,62,64,66,68,70,72,74,76,78,80,85,90,95,100})</f>
        <v>85</v>
      </c>
      <c r="K14" s="35"/>
      <c r="L14" s="35"/>
      <c r="M14" s="35">
        <f t="shared" si="0"/>
        <v>85</v>
      </c>
      <c r="N14" s="35">
        <v>8.3</v>
      </c>
      <c r="O14" s="36">
        <f t="shared" si="1"/>
        <v>9.7</v>
      </c>
      <c r="P14" s="29">
        <f>LOOKUP(O14,{0,6.6,6.8,7,7.2,7.4,7.6,7.8,8,8.2,8.4,8.6,8.8,9,9.2,9.4,9.6,9.9,10.2,10.3,10.4},{0,10,20,30,40,50,60,62,64,66,68,70,72,74,76,78,80,85,90,95,100})</f>
        <v>80</v>
      </c>
      <c r="Q14" s="5">
        <v>3.39</v>
      </c>
      <c r="R14" s="36">
        <f t="shared" si="2"/>
        <v>6.61</v>
      </c>
      <c r="S14" s="29">
        <f>LOOKUP(R14,{0,4.74,4.84,4.94,5.44,5.54,5.64,5.69,5.74,5.79,5.84,5.89,5.94,5.99,6.44,6.49,6.54,6.61,6.68,6.74,6.8},{0,10,20,30,40,50,60,62,64,66,68,70,72,74,76,78,80,85,90,95,100})</f>
        <v>85</v>
      </c>
      <c r="T14" s="27"/>
      <c r="U14" s="27"/>
      <c r="V14" s="27">
        <f t="shared" si="3"/>
        <v>85</v>
      </c>
      <c r="W14" s="27"/>
      <c r="X14" s="19">
        <f t="shared" si="4"/>
        <v>60</v>
      </c>
      <c r="Y14" s="13">
        <f t="shared" si="5"/>
        <v>85.7142857142857</v>
      </c>
    </row>
    <row r="15" ht="15.6" spans="1:25">
      <c r="A15" s="27">
        <v>305</v>
      </c>
      <c r="B15" s="27">
        <v>43</v>
      </c>
      <c r="C15" s="28" t="s">
        <v>231</v>
      </c>
      <c r="D15" s="28" t="s">
        <v>46</v>
      </c>
      <c r="E15" s="27">
        <v>21.5</v>
      </c>
      <c r="F15" s="29">
        <f>LOOKUP(E15,{0,1.5,2.3,3.1,3.9,4.7,5.5,6.8,8.1,9.4,10.7,12,13.3,14.6,15.9,17.2,18.5,20.2,21.9,23.6,25.3},{0,10,20,30,40,50,60,62,64,66,68,70,72,74,76,78,80,85,90,95,100})</f>
        <v>85</v>
      </c>
      <c r="G15" s="27">
        <v>205</v>
      </c>
      <c r="H15" s="29">
        <f>LOOKUP(G15,{0,125,130,135,140,145,150,153,156,159,162,165,168,171,174,177,180,187,194,200,206},{0,10,20,30,40,50,60,62,64,66,68,70,72,74,76,78,80,85,90,95,100})</f>
        <v>95</v>
      </c>
      <c r="I15" s="27">
        <v>43</v>
      </c>
      <c r="J15" s="29">
        <f>LOOKUP(I15,{0,15,17,19,21,23,25,27,29,31,33,35,37,39,41,43,45,48,51,53,55},{0,10,20,30,40,50,60,62,64,66,68,70,72,74,76,78,80,85,90,95,100})</f>
        <v>78</v>
      </c>
      <c r="K15" s="35"/>
      <c r="L15" s="35"/>
      <c r="M15" s="35">
        <f t="shared" si="0"/>
        <v>78</v>
      </c>
      <c r="N15" s="35">
        <v>8.1</v>
      </c>
      <c r="O15" s="36">
        <f t="shared" si="1"/>
        <v>9.9</v>
      </c>
      <c r="P15" s="29">
        <f>LOOKUP(O15,{0,6.6,6.8,7,7.2,7.4,7.6,7.8,8,8.2,8.4,8.6,8.8,9,9.2,9.4,9.6,9.9,10.2,10.3,10.4},{0,10,20,30,40,50,60,62,64,66,68,70,72,74,76,78,80,85,90,95,100})</f>
        <v>85</v>
      </c>
      <c r="Q15" s="5">
        <v>3.36</v>
      </c>
      <c r="R15" s="36">
        <f t="shared" si="2"/>
        <v>6.64</v>
      </c>
      <c r="S15" s="29">
        <f>LOOKUP(R15,{0,4.74,4.84,4.94,5.44,5.54,5.64,5.69,5.74,5.79,5.84,5.89,5.94,5.99,6.44,6.49,6.54,6.61,6.68,6.74,6.8},{0,10,20,30,40,50,60,62,64,66,68,70,72,74,76,78,80,85,90,95,100})</f>
        <v>85</v>
      </c>
      <c r="T15" s="27"/>
      <c r="U15" s="27"/>
      <c r="V15" s="27">
        <f t="shared" si="3"/>
        <v>85</v>
      </c>
      <c r="W15" s="27"/>
      <c r="X15" s="19">
        <f t="shared" si="4"/>
        <v>59.8</v>
      </c>
      <c r="Y15" s="13">
        <f t="shared" si="5"/>
        <v>85.4285714285714</v>
      </c>
    </row>
    <row r="16" ht="15.6" spans="1:25">
      <c r="A16" s="27">
        <v>301</v>
      </c>
      <c r="B16" s="27">
        <v>40</v>
      </c>
      <c r="C16" s="27" t="s">
        <v>53</v>
      </c>
      <c r="D16" s="27" t="s">
        <v>46</v>
      </c>
      <c r="E16" s="27">
        <v>20</v>
      </c>
      <c r="F16" s="29">
        <f>LOOKUP(E16,{0,1.5,2.3,3.1,3.9,4.7,5.5,6.8,8.1,9.4,10.7,12,13.3,14.6,15.9,17.2,18.5,20.2,21.9,23.6,25.3},{0,10,20,30,40,50,60,62,64,66,68,70,72,74,76,78,80,85,90,95,100})</f>
        <v>80</v>
      </c>
      <c r="G16" s="27">
        <v>192</v>
      </c>
      <c r="H16" s="29">
        <f>LOOKUP(G16,{0,125,130,135,140,145,150,153,156,159,162,165,168,171,174,177,180,187,194,200,206},{0,10,20,30,40,50,60,62,64,66,68,70,72,74,76,78,80,85,90,95,100})</f>
        <v>85</v>
      </c>
      <c r="I16" s="27">
        <v>42</v>
      </c>
      <c r="J16" s="29">
        <f>LOOKUP(I16,{0,15,17,19,21,23,25,27,29,31,33,35,37,39,41,43,45,48,51,53,55},{0,10,20,30,40,50,60,62,64,66,68,70,72,74,76,78,80,85,90,95,100})</f>
        <v>76</v>
      </c>
      <c r="K16" s="35"/>
      <c r="L16" s="35"/>
      <c r="M16" s="35">
        <f t="shared" si="0"/>
        <v>76</v>
      </c>
      <c r="N16" s="35">
        <v>8.5</v>
      </c>
      <c r="O16" s="36">
        <f t="shared" si="1"/>
        <v>9.5</v>
      </c>
      <c r="P16" s="29">
        <f>LOOKUP(O16,{0,6.6,6.8,7,7.2,7.4,7.6,7.8,8,8.2,8.4,8.6,8.8,9,9.2,9.4,9.6,9.9,10.2,10.3,10.4},{0,10,20,30,40,50,60,62,64,66,68,70,72,74,76,78,80,85,90,95,100})</f>
        <v>78</v>
      </c>
      <c r="Q16" s="5">
        <v>3.18</v>
      </c>
      <c r="R16" s="36">
        <f t="shared" si="2"/>
        <v>6.82</v>
      </c>
      <c r="S16" s="29">
        <f>LOOKUP(R16,{0,4.74,4.84,4.94,5.44,5.54,5.64,5.69,5.74,5.79,5.84,5.89,5.94,5.99,6.44,6.49,6.54,6.61,6.68,6.74,6.8},{0,10,20,30,40,50,60,62,64,66,68,70,72,74,76,78,80,85,90,95,100})</f>
        <v>100</v>
      </c>
      <c r="T16" s="36">
        <f>3.2-Q16</f>
        <v>0.02</v>
      </c>
      <c r="U16" s="29">
        <f>LOOKUP(T16,{0,0.05,0.1,0.15,0.2,0.25,0.3,0.35,0.4,0.45,0.5},{0,1,2,3,4,5,6,7,8,9,10})</f>
        <v>0</v>
      </c>
      <c r="V16" s="27">
        <f t="shared" si="3"/>
        <v>100</v>
      </c>
      <c r="W16" s="27"/>
      <c r="X16" s="19">
        <f t="shared" si="4"/>
        <v>59.7</v>
      </c>
      <c r="Y16" s="13">
        <f t="shared" si="5"/>
        <v>85.2857142857143</v>
      </c>
    </row>
    <row r="17" ht="15.6" spans="1:25">
      <c r="A17" s="27">
        <v>310</v>
      </c>
      <c r="B17" s="27">
        <v>49</v>
      </c>
      <c r="C17" s="28" t="s">
        <v>510</v>
      </c>
      <c r="D17" s="28" t="s">
        <v>46</v>
      </c>
      <c r="E17" s="27">
        <v>14.5</v>
      </c>
      <c r="F17" s="29">
        <f>LOOKUP(E17,{0,1.5,2.3,3.1,3.9,4.7,5.5,6.8,8.1,9.4,10.7,12,13.3,14.6,15.9,17.2,18.5,20.2,21.9,23.6,25.3},{0,10,20,30,40,50,60,62,64,66,68,70,72,74,76,78,80,85,90,95,100})</f>
        <v>72</v>
      </c>
      <c r="G17" s="27">
        <v>202</v>
      </c>
      <c r="H17" s="29">
        <f>LOOKUP(G17,{0,125,130,135,140,145,150,153,156,159,162,165,168,171,174,177,180,187,194,200,206},{0,10,20,30,40,50,60,62,64,66,68,70,72,74,76,78,80,85,90,95,100})</f>
        <v>95</v>
      </c>
      <c r="I17" s="27">
        <v>46</v>
      </c>
      <c r="J17" s="29">
        <f>LOOKUP(I17,{0,15,17,19,21,23,25,27,29,31,33,35,37,39,41,43,45,48,51,53,55},{0,10,20,30,40,50,60,62,64,66,68,70,72,74,76,78,80,85,90,95,100})</f>
        <v>80</v>
      </c>
      <c r="K17" s="35"/>
      <c r="L17" s="35"/>
      <c r="M17" s="35">
        <f t="shared" si="0"/>
        <v>80</v>
      </c>
      <c r="N17" s="35">
        <v>8.6</v>
      </c>
      <c r="O17" s="36">
        <f t="shared" si="1"/>
        <v>9.4</v>
      </c>
      <c r="P17" s="29">
        <f>LOOKUP(O17,{0,6.6,6.8,7,7.2,7.4,7.6,7.8,8,8.2,8.4,8.6,8.8,9,9.2,9.4,9.6,9.9,10.2,10.3,10.4},{0,10,20,30,40,50,60,62,64,66,68,70,72,74,76,78,80,85,90,95,100})</f>
        <v>78</v>
      </c>
      <c r="Q17" s="5">
        <v>3.22</v>
      </c>
      <c r="R17" s="36">
        <f t="shared" si="2"/>
        <v>6.78</v>
      </c>
      <c r="S17" s="29">
        <f>LOOKUP(R17,{0,4.74,4.84,4.94,5.44,5.54,5.64,5.69,5.74,5.79,5.84,5.89,5.94,5.99,6.44,6.49,6.54,6.61,6.68,6.74,6.8},{0,10,20,30,40,50,60,62,64,66,68,70,72,74,76,78,80,85,90,95,100})</f>
        <v>95</v>
      </c>
      <c r="T17" s="27"/>
      <c r="U17" s="27"/>
      <c r="V17" s="27">
        <f t="shared" si="3"/>
        <v>95</v>
      </c>
      <c r="W17" s="27"/>
      <c r="X17" s="19">
        <f t="shared" si="4"/>
        <v>59.3</v>
      </c>
      <c r="Y17" s="13">
        <f t="shared" si="5"/>
        <v>84.7142857142857</v>
      </c>
    </row>
    <row r="18" ht="15.6" spans="1:25">
      <c r="A18" s="27">
        <v>311</v>
      </c>
      <c r="B18" s="27">
        <v>49</v>
      </c>
      <c r="C18" s="30" t="s">
        <v>566</v>
      </c>
      <c r="D18" s="28" t="s">
        <v>46</v>
      </c>
      <c r="E18" s="27">
        <v>23.5</v>
      </c>
      <c r="F18" s="29">
        <f>LOOKUP(E18,{0,1.5,2.3,3.1,3.9,4.7,5.5,6.8,8.1,9.4,10.7,12,13.3,14.6,15.9,17.2,18.5,20.2,21.9,23.6,25.3},{0,10,20,30,40,50,60,62,64,66,68,70,72,74,76,78,80,85,90,95,100})</f>
        <v>90</v>
      </c>
      <c r="G18" s="27">
        <v>182</v>
      </c>
      <c r="H18" s="29">
        <f>LOOKUP(G18,{0,125,130,135,140,145,150,153,156,159,162,165,168,171,174,177,180,187,194,200,206},{0,10,20,30,40,50,60,62,64,66,68,70,72,74,76,78,80,85,90,95,100})</f>
        <v>80</v>
      </c>
      <c r="I18" s="27">
        <v>49</v>
      </c>
      <c r="J18" s="29">
        <f>LOOKUP(I18,{0,15,17,19,21,23,25,27,29,31,33,35,37,39,41,43,45,48,51,53,55},{0,10,20,30,40,50,60,62,64,66,68,70,72,74,76,78,80,85,90,95,100})</f>
        <v>85</v>
      </c>
      <c r="K18" s="35"/>
      <c r="L18" s="35"/>
      <c r="M18" s="35">
        <f t="shared" si="0"/>
        <v>85</v>
      </c>
      <c r="N18" s="35">
        <v>8.6</v>
      </c>
      <c r="O18" s="36">
        <f t="shared" si="1"/>
        <v>9.4</v>
      </c>
      <c r="P18" s="29">
        <f>LOOKUP(O18,{0,6.6,6.8,7,7.2,7.4,7.6,7.8,8,8.2,8.4,8.6,8.8,9,9.2,9.4,9.6,9.9,10.2,10.3,10.4},{0,10,20,30,40,50,60,62,64,66,68,70,72,74,76,78,80,85,90,95,100})</f>
        <v>78</v>
      </c>
      <c r="Q18" s="5">
        <v>3.28</v>
      </c>
      <c r="R18" s="36">
        <f t="shared" si="2"/>
        <v>6.72</v>
      </c>
      <c r="S18" s="29">
        <f>LOOKUP(R18,{0,4.74,4.84,4.94,5.44,5.54,5.64,5.69,5.74,5.79,5.84,5.89,5.94,5.99,6.44,6.49,6.54,6.61,6.68,6.74,6.8},{0,10,20,30,40,50,60,62,64,66,68,70,72,74,76,78,80,85,90,95,100})</f>
        <v>90</v>
      </c>
      <c r="T18" s="27"/>
      <c r="U18" s="27"/>
      <c r="V18" s="27">
        <f t="shared" si="3"/>
        <v>90</v>
      </c>
      <c r="W18" s="27"/>
      <c r="X18" s="19">
        <f t="shared" si="4"/>
        <v>59.1</v>
      </c>
      <c r="Y18" s="13">
        <f t="shared" si="5"/>
        <v>84.4285714285714</v>
      </c>
    </row>
    <row r="19" ht="15.6" spans="1:25">
      <c r="A19" s="27">
        <v>303</v>
      </c>
      <c r="B19" s="27">
        <v>40</v>
      </c>
      <c r="C19" s="27" t="s">
        <v>143</v>
      </c>
      <c r="D19" s="27" t="s">
        <v>46</v>
      </c>
      <c r="E19" s="27">
        <v>21</v>
      </c>
      <c r="F19" s="29">
        <f>LOOKUP(E19,{0,1.5,2.3,3.1,3.9,4.7,5.5,6.8,8.1,9.4,10.7,12,13.3,14.6,15.9,17.2,18.5,20.2,21.9,23.6,25.3},{0,10,20,30,40,50,60,62,64,66,68,70,72,74,76,78,80,85,90,95,100})</f>
        <v>85</v>
      </c>
      <c r="G19" s="27">
        <v>177</v>
      </c>
      <c r="H19" s="29">
        <f>LOOKUP(G19,{0,125,130,135,140,145,150,153,156,159,162,165,168,171,174,177,180,187,194,200,206},{0,10,20,30,40,50,60,62,64,66,68,70,72,74,76,78,80,85,90,95,100})</f>
        <v>78</v>
      </c>
      <c r="I19" s="27">
        <v>53</v>
      </c>
      <c r="J19" s="29">
        <f>LOOKUP(I19,{0,15,17,19,21,23,25,27,29,31,33,35,37,39,41,43,45,48,51,53,55},{0,10,20,30,40,50,60,62,64,66,68,70,72,74,76,78,80,85,90,95,100})</f>
        <v>95</v>
      </c>
      <c r="K19" s="35"/>
      <c r="L19" s="35"/>
      <c r="M19" s="35">
        <f t="shared" si="0"/>
        <v>95</v>
      </c>
      <c r="N19" s="35">
        <v>8.8</v>
      </c>
      <c r="O19" s="36">
        <f t="shared" si="1"/>
        <v>9.2</v>
      </c>
      <c r="P19" s="29">
        <f>LOOKUP(O19,{0,6.6,6.8,7,7.2,7.4,7.6,7.8,8,8.2,8.4,8.6,8.8,9,9.2,9.4,9.6,9.9,10.2,10.3,10.4},{0,10,20,30,40,50,60,62,64,66,68,70,72,74,76,78,80,85,90,95,100})</f>
        <v>76</v>
      </c>
      <c r="Q19" s="5">
        <v>3.32</v>
      </c>
      <c r="R19" s="36">
        <f t="shared" si="2"/>
        <v>6.68</v>
      </c>
      <c r="S19" s="29">
        <f>LOOKUP(R19,{0,4.74,4.84,4.94,5.44,5.54,5.64,5.69,5.74,5.79,5.84,5.89,5.94,5.99,6.44,6.49,6.54,6.61,6.68,6.74,6.8},{0,10,20,30,40,50,60,62,64,66,68,70,72,74,76,78,80,85,90,95,100})</f>
        <v>90</v>
      </c>
      <c r="T19" s="27"/>
      <c r="U19" s="27"/>
      <c r="V19" s="27">
        <f t="shared" si="3"/>
        <v>90</v>
      </c>
      <c r="W19" s="27"/>
      <c r="X19" s="19">
        <f t="shared" si="4"/>
        <v>59</v>
      </c>
      <c r="Y19" s="13">
        <f t="shared" si="5"/>
        <v>84.2857142857143</v>
      </c>
    </row>
    <row r="20" ht="15.6" spans="1:25">
      <c r="A20" s="27">
        <v>309</v>
      </c>
      <c r="B20" s="27">
        <v>49</v>
      </c>
      <c r="C20" s="28" t="s">
        <v>456</v>
      </c>
      <c r="D20" s="28" t="s">
        <v>46</v>
      </c>
      <c r="E20" s="27">
        <v>19</v>
      </c>
      <c r="F20" s="29">
        <f>LOOKUP(E20,{0,1.5,2.3,3.1,3.9,4.7,5.5,6.8,8.1,9.4,10.7,12,13.3,14.6,15.9,17.2,18.5,20.2,21.9,23.6,25.3},{0,10,20,30,40,50,60,62,64,66,68,70,72,74,76,78,80,85,90,95,100})</f>
        <v>80</v>
      </c>
      <c r="G20" s="27">
        <v>190</v>
      </c>
      <c r="H20" s="29">
        <f>LOOKUP(G20,{0,125,130,135,140,145,150,153,156,159,162,165,168,171,174,177,180,187,194,200,206},{0,10,20,30,40,50,60,62,64,66,68,70,72,74,76,78,80,85,90,95,100})</f>
        <v>85</v>
      </c>
      <c r="I20" s="27">
        <v>48</v>
      </c>
      <c r="J20" s="29">
        <f>LOOKUP(I20,{0,15,17,19,21,23,25,27,29,31,33,35,37,39,41,43,45,48,51,53,55},{0,10,20,30,40,50,60,62,64,66,68,70,72,74,76,78,80,85,90,95,100})</f>
        <v>85</v>
      </c>
      <c r="K20" s="35"/>
      <c r="L20" s="35"/>
      <c r="M20" s="35">
        <f t="shared" si="0"/>
        <v>85</v>
      </c>
      <c r="N20" s="35">
        <v>8.5</v>
      </c>
      <c r="O20" s="36">
        <f t="shared" si="1"/>
        <v>9.5</v>
      </c>
      <c r="P20" s="29">
        <f>LOOKUP(O20,{0,6.6,6.8,7,7.2,7.4,7.6,7.8,8,8.2,8.4,8.6,8.8,9,9.2,9.4,9.6,9.9,10.2,10.3,10.4},{0,10,20,30,40,50,60,62,64,66,68,70,72,74,76,78,80,85,90,95,100})</f>
        <v>78</v>
      </c>
      <c r="Q20" s="5">
        <v>3.28</v>
      </c>
      <c r="R20" s="36">
        <f t="shared" si="2"/>
        <v>6.72</v>
      </c>
      <c r="S20" s="29">
        <f>LOOKUP(R20,{0,4.74,4.84,4.94,5.44,5.54,5.64,5.69,5.74,5.79,5.84,5.89,5.94,5.99,6.44,6.49,6.54,6.61,6.68,6.74,6.8},{0,10,20,30,40,50,60,62,64,66,68,70,72,74,76,78,80,85,90,95,100})</f>
        <v>90</v>
      </c>
      <c r="T20" s="27"/>
      <c r="U20" s="27"/>
      <c r="V20" s="27">
        <f t="shared" si="3"/>
        <v>90</v>
      </c>
      <c r="W20" s="27"/>
      <c r="X20" s="19">
        <f t="shared" si="4"/>
        <v>58.6</v>
      </c>
      <c r="Y20" s="13">
        <f t="shared" si="5"/>
        <v>83.7142857142857</v>
      </c>
    </row>
    <row r="21" ht="15.6" spans="1:25">
      <c r="A21" s="27">
        <v>316</v>
      </c>
      <c r="B21" s="27">
        <v>16</v>
      </c>
      <c r="C21" s="28" t="s">
        <v>804</v>
      </c>
      <c r="D21" s="28" t="s">
        <v>46</v>
      </c>
      <c r="E21" s="27">
        <v>19</v>
      </c>
      <c r="F21" s="29">
        <f>LOOKUP(E21,{0,1.5,2.3,3.1,3.9,4.7,5.5,6.8,8.1,9.4,10.7,12,13.3,14.6,15.9,17.2,18.5,20.2,21.9,23.6,25.3},{0,10,20,30,40,50,60,62,64,66,68,70,72,74,76,78,80,85,90,95,100})</f>
        <v>80</v>
      </c>
      <c r="G21" s="27">
        <v>175</v>
      </c>
      <c r="H21" s="29">
        <f>LOOKUP(G21,{0,125,130,135,140,145,150,153,156,159,162,165,168,171,174,177,180,187,194,200,206},{0,10,20,30,40,50,60,62,64,66,68,70,72,74,76,78,80,85,90,95,100})</f>
        <v>76</v>
      </c>
      <c r="I21" s="27">
        <v>46</v>
      </c>
      <c r="J21" s="29">
        <f>LOOKUP(I21,{0,15,17,19,21,23,25,27,29,31,33,35,37,39,41,43,45,48,51,53,55},{0,10,20,30,40,50,60,62,64,66,68,70,72,74,76,78,80,85,90,95,100})</f>
        <v>80</v>
      </c>
      <c r="K21" s="35"/>
      <c r="L21" s="35"/>
      <c r="M21" s="35">
        <f t="shared" si="0"/>
        <v>80</v>
      </c>
      <c r="N21" s="35">
        <v>8.2</v>
      </c>
      <c r="O21" s="36">
        <f t="shared" si="1"/>
        <v>9.8</v>
      </c>
      <c r="P21" s="29">
        <f>LOOKUP(O21,{0,6.6,6.8,7,7.2,7.4,7.6,7.8,8,8.2,8.4,8.6,8.8,9,9.2,9.4,9.6,9.9,10.2,10.3,10.4},{0,10,20,30,40,50,60,62,64,66,68,70,72,74,76,78,80,85,90,95,100})</f>
        <v>80</v>
      </c>
      <c r="Q21" s="5">
        <v>3.24</v>
      </c>
      <c r="R21" s="36">
        <f t="shared" si="2"/>
        <v>6.76</v>
      </c>
      <c r="S21" s="29">
        <f>LOOKUP(R21,{0,4.74,4.84,4.94,5.44,5.54,5.64,5.69,5.74,5.79,5.84,5.89,5.94,5.99,6.44,6.49,6.54,6.61,6.68,6.74,6.8},{0,10,20,30,40,50,60,62,64,66,68,70,72,74,76,78,80,85,90,95,100})</f>
        <v>95</v>
      </c>
      <c r="T21" s="27"/>
      <c r="U21" s="27"/>
      <c r="V21" s="27">
        <f t="shared" si="3"/>
        <v>95</v>
      </c>
      <c r="W21" s="27"/>
      <c r="X21" s="19">
        <f t="shared" si="4"/>
        <v>58.6</v>
      </c>
      <c r="Y21" s="13">
        <f t="shared" si="5"/>
        <v>83.7142857142857</v>
      </c>
    </row>
    <row r="22" ht="15.6" spans="1:25">
      <c r="A22" s="27">
        <v>302</v>
      </c>
      <c r="B22" s="27">
        <v>33</v>
      </c>
      <c r="C22" s="27" t="s">
        <v>94</v>
      </c>
      <c r="D22" s="27" t="s">
        <v>46</v>
      </c>
      <c r="E22" s="27">
        <v>17</v>
      </c>
      <c r="F22" s="29">
        <f>LOOKUP(E22,{0,1.5,2.3,3.1,3.9,4.7,5.5,6.8,8.1,9.4,10.7,12,13.3,14.6,15.9,17.2,18.5,20.2,21.9,23.6,25.3},{0,10,20,30,40,50,60,62,64,66,68,70,72,74,76,78,80,85,90,95,100})</f>
        <v>76</v>
      </c>
      <c r="G22" s="27">
        <v>180</v>
      </c>
      <c r="H22" s="29">
        <f>LOOKUP(G22,{0,125,130,135,140,145,150,153,156,159,162,165,168,171,174,177,180,187,194,200,206},{0,10,20,30,40,50,60,62,64,66,68,70,72,74,76,78,80,85,90,95,100})</f>
        <v>80</v>
      </c>
      <c r="I22" s="27">
        <v>58</v>
      </c>
      <c r="J22" s="29">
        <f>LOOKUP(I22,{0,15,17,19,21,23,25,27,29,31,33,35,37,39,41,43,45,48,51,53,55},{0,10,20,30,40,50,60,62,64,66,68,70,72,74,76,78,80,85,90,95,100})</f>
        <v>100</v>
      </c>
      <c r="K22" s="34">
        <f>I22-55</f>
        <v>3</v>
      </c>
      <c r="L22" s="29">
        <f>LOOKUP(K22,{0,2,4,6,7,8,9,10,11,12,13},{0,1,2,3,4,5,6,7,8,9,10})</f>
        <v>1</v>
      </c>
      <c r="M22" s="35">
        <f t="shared" si="0"/>
        <v>101</v>
      </c>
      <c r="N22" s="35">
        <v>8.7</v>
      </c>
      <c r="O22" s="36">
        <f t="shared" si="1"/>
        <v>9.3</v>
      </c>
      <c r="P22" s="29">
        <f>LOOKUP(O22,{0,6.6,6.8,7,7.2,7.4,7.6,7.8,8,8.2,8.4,8.6,8.8,9,9.2,9.4,9.6,9.9,10.2,10.3,10.4},{0,10,20,30,40,50,60,62,64,66,68,70,72,74,76,78,80,85,90,95,100})</f>
        <v>76</v>
      </c>
      <c r="Q22" s="5">
        <v>3.36</v>
      </c>
      <c r="R22" s="36">
        <f t="shared" si="2"/>
        <v>6.64</v>
      </c>
      <c r="S22" s="29">
        <f>LOOKUP(R22,{0,4.74,4.84,4.94,5.44,5.54,5.64,5.69,5.74,5.79,5.84,5.89,5.94,5.99,6.44,6.49,6.54,6.61,6.68,6.74,6.8},{0,10,20,30,40,50,60,62,64,66,68,70,72,74,76,78,80,85,90,95,100})</f>
        <v>85</v>
      </c>
      <c r="T22" s="27"/>
      <c r="U22" s="27"/>
      <c r="V22" s="27">
        <f t="shared" si="3"/>
        <v>85</v>
      </c>
      <c r="W22" s="27"/>
      <c r="X22" s="19">
        <f t="shared" si="4"/>
        <v>57.8</v>
      </c>
      <c r="Y22" s="13">
        <f t="shared" si="5"/>
        <v>83.5714285714286</v>
      </c>
    </row>
    <row r="23" ht="15.6" spans="1:25">
      <c r="A23" s="27">
        <v>314</v>
      </c>
      <c r="B23" s="27">
        <v>26</v>
      </c>
      <c r="C23" s="28" t="s">
        <v>708</v>
      </c>
      <c r="D23" s="28" t="s">
        <v>46</v>
      </c>
      <c r="E23" s="27">
        <v>30.5</v>
      </c>
      <c r="F23" s="29">
        <f>LOOKUP(E23,{0,1.5,2.3,3.1,3.9,4.7,5.5,6.8,8.1,9.4,10.7,12,13.3,14.6,15.9,17.2,18.5,20.2,21.9,23.6,25.3},{0,10,20,30,40,50,60,62,64,66,68,70,72,74,76,78,80,85,90,95,100})</f>
        <v>100</v>
      </c>
      <c r="G23" s="27">
        <v>204</v>
      </c>
      <c r="H23" s="29">
        <f>LOOKUP(G23,{0,125,130,135,140,145,150,153,156,159,162,165,168,171,174,177,180,187,194,200,206},{0,10,20,30,40,50,60,62,64,66,68,70,72,74,76,78,80,85,90,95,100})</f>
        <v>95</v>
      </c>
      <c r="I23" s="27">
        <v>22</v>
      </c>
      <c r="J23" s="29">
        <f>LOOKUP(I23,{0,15,17,19,21,23,25,27,29,31,33,35,37,39,41,43,45,48,51,53,55},{0,10,20,30,40,50,60,62,64,66,68,70,72,74,76,78,80,85,90,95,100})</f>
        <v>40</v>
      </c>
      <c r="K23" s="35"/>
      <c r="L23" s="35"/>
      <c r="M23" s="35">
        <f t="shared" si="0"/>
        <v>40</v>
      </c>
      <c r="N23" s="35">
        <v>7.9</v>
      </c>
      <c r="O23" s="36">
        <f t="shared" si="1"/>
        <v>10.1</v>
      </c>
      <c r="P23" s="29">
        <f>LOOKUP(O23,{0,6.6,6.8,7,7.2,7.4,7.6,7.8,8,8.2,8.4,8.6,8.8,9,9.2,9.4,9.6,9.9,10.2,10.3,10.4},{0,10,20,30,40,50,60,62,64,66,68,70,72,74,76,78,80,85,90,95,100})</f>
        <v>85</v>
      </c>
      <c r="Q23" s="5">
        <v>3.31</v>
      </c>
      <c r="R23" s="36">
        <f t="shared" si="2"/>
        <v>6.69</v>
      </c>
      <c r="S23" s="29">
        <f>LOOKUP(R23,{0,4.74,4.84,4.94,5.44,5.54,5.64,5.69,5.74,5.79,5.84,5.89,5.94,5.99,6.44,6.49,6.54,6.61,6.68,6.74,6.8},{0,10,20,30,40,50,60,62,64,66,68,70,72,74,76,78,80,85,90,95,100})</f>
        <v>90</v>
      </c>
      <c r="T23" s="27"/>
      <c r="U23" s="27"/>
      <c r="V23" s="27">
        <f t="shared" si="3"/>
        <v>90</v>
      </c>
      <c r="W23" s="27"/>
      <c r="X23" s="19">
        <f t="shared" si="4"/>
        <v>58.5</v>
      </c>
      <c r="Y23" s="13">
        <f t="shared" si="5"/>
        <v>83.5714285714286</v>
      </c>
    </row>
    <row r="24" ht="15.6" spans="1:25">
      <c r="A24" s="27">
        <v>306</v>
      </c>
      <c r="B24" s="27">
        <v>36</v>
      </c>
      <c r="C24" s="28" t="s">
        <v>280</v>
      </c>
      <c r="D24" s="28" t="s">
        <v>46</v>
      </c>
      <c r="E24" s="27">
        <v>25.5</v>
      </c>
      <c r="F24" s="29">
        <f>LOOKUP(E24,{0,1.5,2.3,3.1,3.9,4.7,5.5,6.8,8.1,9.4,10.7,12,13.3,14.6,15.9,17.2,18.5,20.2,21.9,23.6,25.3},{0,10,20,30,40,50,60,62,64,66,68,70,72,74,76,78,80,85,90,95,100})</f>
        <v>100</v>
      </c>
      <c r="G24" s="27">
        <v>172</v>
      </c>
      <c r="H24" s="29">
        <f>LOOKUP(G24,{0,125,130,135,140,145,150,153,156,159,162,165,168,171,174,177,180,187,194,200,206},{0,10,20,30,40,50,60,62,64,66,68,70,72,74,76,78,80,85,90,95,100})</f>
        <v>74</v>
      </c>
      <c r="I24" s="27">
        <v>56</v>
      </c>
      <c r="J24" s="29">
        <f>LOOKUP(I24,{0,15,17,19,21,23,25,27,29,31,33,35,37,39,41,43,45,48,51,53,55},{0,10,20,30,40,50,60,62,64,66,68,70,72,74,76,78,80,85,90,95,100})</f>
        <v>100</v>
      </c>
      <c r="K24" s="34">
        <f>I24-55</f>
        <v>1</v>
      </c>
      <c r="L24" s="29">
        <f>LOOKUP(K24,{0,2,4,6,7,8,9,10,11,12,13},{0,1,2,3,4,5,6,7,8,9,10})</f>
        <v>0</v>
      </c>
      <c r="M24" s="35">
        <f t="shared" si="0"/>
        <v>100</v>
      </c>
      <c r="N24" s="35">
        <v>8.7</v>
      </c>
      <c r="O24" s="36">
        <f t="shared" si="1"/>
        <v>9.3</v>
      </c>
      <c r="P24" s="29">
        <f>LOOKUP(O24,{0,6.6,6.8,7,7.2,7.4,7.6,7.8,8,8.2,8.4,8.6,8.8,9,9.2,9.4,9.6,9.9,10.2,10.3,10.4},{0,10,20,30,40,50,60,62,64,66,68,70,72,74,76,78,80,85,90,95,100})</f>
        <v>76</v>
      </c>
      <c r="Q24" s="5">
        <v>3.52</v>
      </c>
      <c r="R24" s="36">
        <f t="shared" si="2"/>
        <v>6.48</v>
      </c>
      <c r="S24" s="29">
        <f>LOOKUP(R24,{0,4.74,4.84,4.94,5.44,5.54,5.64,5.69,5.74,5.79,5.84,5.89,5.94,5.99,6.44,6.49,6.54,6.61,6.68,6.74,6.8},{0,10,20,30,40,50,60,62,64,66,68,70,72,74,76,78,80,85,90,95,100})</f>
        <v>76</v>
      </c>
      <c r="T24" s="27"/>
      <c r="U24" s="27"/>
      <c r="V24" s="27">
        <f t="shared" si="3"/>
        <v>76</v>
      </c>
      <c r="W24" s="27"/>
      <c r="X24" s="19">
        <f t="shared" si="4"/>
        <v>57.8</v>
      </c>
      <c r="Y24" s="13">
        <f t="shared" si="5"/>
        <v>82.5714285714286</v>
      </c>
    </row>
    <row r="25" ht="15.6" spans="1:25">
      <c r="A25" s="27">
        <v>306</v>
      </c>
      <c r="B25" s="27">
        <v>52</v>
      </c>
      <c r="C25" s="28" t="s">
        <v>297</v>
      </c>
      <c r="D25" s="28" t="s">
        <v>46</v>
      </c>
      <c r="E25" s="27">
        <v>14</v>
      </c>
      <c r="F25" s="29">
        <f>LOOKUP(E25,{0,1.5,2.3,3.1,3.9,4.7,5.5,6.8,8.1,9.4,10.7,12,13.3,14.6,15.9,17.2,18.5,20.2,21.9,23.6,25.3},{0,10,20,30,40,50,60,62,64,66,68,70,72,74,76,78,80,85,90,95,100})</f>
        <v>72</v>
      </c>
      <c r="G25" s="27">
        <v>205</v>
      </c>
      <c r="H25" s="29">
        <f>LOOKUP(G25,{0,125,130,135,140,145,150,153,156,159,162,165,168,171,174,177,180,187,194,200,206},{0,10,20,30,40,50,60,62,64,66,68,70,72,74,76,78,80,85,90,95,100})</f>
        <v>95</v>
      </c>
      <c r="I25" s="27">
        <v>35</v>
      </c>
      <c r="J25" s="29">
        <f>LOOKUP(I25,{0,15,17,19,21,23,25,27,29,31,33,35,37,39,41,43,45,48,51,53,55},{0,10,20,30,40,50,60,62,64,66,68,70,72,74,76,78,80,85,90,95,100})</f>
        <v>70</v>
      </c>
      <c r="K25" s="35"/>
      <c r="L25" s="35"/>
      <c r="M25" s="35">
        <f t="shared" si="0"/>
        <v>70</v>
      </c>
      <c r="N25" s="35">
        <v>8.1</v>
      </c>
      <c r="O25" s="36">
        <f t="shared" si="1"/>
        <v>9.9</v>
      </c>
      <c r="P25" s="29">
        <f>LOOKUP(O25,{0,6.6,6.8,7,7.2,7.4,7.6,7.8,8,8.2,8.4,8.6,8.8,9,9.2,9.4,9.6,9.9,10.2,10.3,10.4},{0,10,20,30,40,50,60,62,64,66,68,70,72,74,76,78,80,85,90,95,100})</f>
        <v>85</v>
      </c>
      <c r="Q25" s="5">
        <v>3.36</v>
      </c>
      <c r="R25" s="36">
        <f t="shared" si="2"/>
        <v>6.64</v>
      </c>
      <c r="S25" s="29">
        <f>LOOKUP(R25,{0,4.74,4.84,4.94,5.44,5.54,5.64,5.69,5.74,5.79,5.84,5.89,5.94,5.99,6.44,6.49,6.54,6.61,6.68,6.74,6.8},{0,10,20,30,40,50,60,62,64,66,68,70,72,74,76,78,80,85,90,95,100})</f>
        <v>85</v>
      </c>
      <c r="T25" s="27"/>
      <c r="U25" s="27"/>
      <c r="V25" s="27">
        <f t="shared" si="3"/>
        <v>85</v>
      </c>
      <c r="W25" s="27"/>
      <c r="X25" s="19">
        <f t="shared" si="4"/>
        <v>57.7</v>
      </c>
      <c r="Y25" s="13">
        <f t="shared" si="5"/>
        <v>82.4285714285714</v>
      </c>
    </row>
    <row r="26" ht="15.6" spans="1:25">
      <c r="A26" s="27">
        <v>302</v>
      </c>
      <c r="B26" s="27">
        <v>38</v>
      </c>
      <c r="C26" s="27" t="s">
        <v>99</v>
      </c>
      <c r="D26" s="27" t="s">
        <v>46</v>
      </c>
      <c r="E26" s="27">
        <v>28.5</v>
      </c>
      <c r="F26" s="29">
        <f>LOOKUP(E26,{0,1.5,2.3,3.1,3.9,4.7,5.5,6.8,8.1,9.4,10.7,12,13.3,14.6,15.9,17.2,18.5,20.2,21.9,23.6,25.3},{0,10,20,30,40,50,60,62,64,66,68,70,72,74,76,78,80,85,90,95,100})</f>
        <v>100</v>
      </c>
      <c r="G26" s="27">
        <v>195</v>
      </c>
      <c r="H26" s="29">
        <f>LOOKUP(G26,{0,125,130,135,140,145,150,153,156,159,162,165,168,171,174,177,180,187,194,200,206},{0,10,20,30,40,50,60,62,64,66,68,70,72,74,76,78,80,85,90,95,100})</f>
        <v>90</v>
      </c>
      <c r="I26" s="27">
        <v>48</v>
      </c>
      <c r="J26" s="29">
        <f>LOOKUP(I26,{0,15,17,19,21,23,25,27,29,31,33,35,37,39,41,43,45,48,51,53,55},{0,10,20,30,40,50,60,62,64,66,68,70,72,74,76,78,80,85,90,95,100})</f>
        <v>85</v>
      </c>
      <c r="K26" s="35"/>
      <c r="L26" s="35"/>
      <c r="M26" s="35">
        <f t="shared" si="0"/>
        <v>85</v>
      </c>
      <c r="N26" s="35">
        <v>8.9</v>
      </c>
      <c r="O26" s="36">
        <f t="shared" si="1"/>
        <v>9.1</v>
      </c>
      <c r="P26" s="29">
        <f>LOOKUP(O26,{0,6.6,6.8,7,7.2,7.4,7.6,7.8,8,8.2,8.4,8.6,8.8,9,9.2,9.4,9.6,9.9,10.2,10.3,10.4},{0,10,20,30,40,50,60,62,64,66,68,70,72,74,76,78,80,85,90,95,100})</f>
        <v>74</v>
      </c>
      <c r="Q26" s="5">
        <v>3.56</v>
      </c>
      <c r="R26" s="36">
        <f t="shared" si="2"/>
        <v>6.44</v>
      </c>
      <c r="S26" s="29">
        <f>LOOKUP(R26,{0,4.74,4.84,4.94,5.44,5.54,5.64,5.69,5.74,5.79,5.84,5.89,5.94,5.99,6.44,6.49,6.54,6.61,6.68,6.74,6.8},{0,10,20,30,40,50,60,62,64,66,68,70,72,74,76,78,80,85,90,95,100})</f>
        <v>76</v>
      </c>
      <c r="T26" s="27"/>
      <c r="U26" s="27"/>
      <c r="V26" s="27">
        <f t="shared" si="3"/>
        <v>76</v>
      </c>
      <c r="W26" s="27"/>
      <c r="X26" s="19">
        <f t="shared" si="4"/>
        <v>57.5</v>
      </c>
      <c r="Y26" s="13">
        <f t="shared" si="5"/>
        <v>82.1428571428572</v>
      </c>
    </row>
    <row r="27" ht="15.6" spans="1:25">
      <c r="A27" s="27">
        <v>315</v>
      </c>
      <c r="B27" s="27">
        <v>13</v>
      </c>
      <c r="C27" s="28" t="s">
        <v>746</v>
      </c>
      <c r="D27" s="28" t="s">
        <v>46</v>
      </c>
      <c r="E27" s="27">
        <v>27</v>
      </c>
      <c r="F27" s="29">
        <f>LOOKUP(E27,{0,1.5,2.3,3.1,3.9,4.7,5.5,6.8,8.1,9.4,10.7,12,13.3,14.6,15.9,17.2,18.5,20.2,21.9,23.6,25.3},{0,10,20,30,40,50,60,62,64,66,68,70,72,74,76,78,80,85,90,95,100})</f>
        <v>100</v>
      </c>
      <c r="G27" s="27">
        <v>178</v>
      </c>
      <c r="H27" s="29">
        <f>LOOKUP(G27,{0,125,130,135,140,145,150,153,156,159,162,165,168,171,174,177,180,187,194,200,206},{0,10,20,30,40,50,60,62,64,66,68,70,72,74,76,78,80,85,90,95,100})</f>
        <v>78</v>
      </c>
      <c r="I27" s="27">
        <v>50</v>
      </c>
      <c r="J27" s="29">
        <f>LOOKUP(I27,{0,15,17,19,21,23,25,27,29,31,33,35,37,39,41,43,45,48,51,53,55},{0,10,20,30,40,50,60,62,64,66,68,70,72,74,76,78,80,85,90,95,100})</f>
        <v>85</v>
      </c>
      <c r="K27" s="35"/>
      <c r="L27" s="35"/>
      <c r="M27" s="35">
        <f t="shared" si="0"/>
        <v>85</v>
      </c>
      <c r="N27" s="35">
        <v>8.5</v>
      </c>
      <c r="O27" s="36">
        <f t="shared" si="1"/>
        <v>9.5</v>
      </c>
      <c r="P27" s="29">
        <f>LOOKUP(O27,{0,6.6,6.8,7,7.2,7.4,7.6,7.8,8,8.2,8.4,8.6,8.8,9,9.2,9.4,9.6,9.9,10.2,10.3,10.4},{0,10,20,30,40,50,60,62,64,66,68,70,72,74,76,78,80,85,90,95,100})</f>
        <v>78</v>
      </c>
      <c r="Q27" s="5">
        <v>3.49</v>
      </c>
      <c r="R27" s="36">
        <f t="shared" si="2"/>
        <v>6.51</v>
      </c>
      <c r="S27" s="29">
        <f>LOOKUP(R27,{0,4.74,4.84,4.94,5.44,5.54,5.64,5.69,5.74,5.79,5.84,5.89,5.94,5.99,6.44,6.49,6.54,6.61,6.68,6.74,6.8},{0,10,20,30,40,50,60,62,64,66,68,70,72,74,76,78,80,85,90,95,100})</f>
        <v>78</v>
      </c>
      <c r="T27" s="27"/>
      <c r="U27" s="27"/>
      <c r="V27" s="27">
        <f t="shared" si="3"/>
        <v>78</v>
      </c>
      <c r="W27" s="27"/>
      <c r="X27" s="19">
        <f t="shared" si="4"/>
        <v>57.5</v>
      </c>
      <c r="Y27" s="13">
        <f t="shared" si="5"/>
        <v>82.1428571428572</v>
      </c>
    </row>
    <row r="28" ht="15.6" spans="1:25">
      <c r="A28" s="27">
        <v>316</v>
      </c>
      <c r="B28" s="27">
        <v>43</v>
      </c>
      <c r="C28" s="28" t="s">
        <v>834</v>
      </c>
      <c r="D28" s="28" t="s">
        <v>46</v>
      </c>
      <c r="E28" s="27">
        <v>26.5</v>
      </c>
      <c r="F28" s="29">
        <f>LOOKUP(E28,{0,1.5,2.3,3.1,3.9,4.7,5.5,6.8,8.1,9.4,10.7,12,13.3,14.6,15.9,17.2,18.5,20.2,21.9,23.6,25.3},{0,10,20,30,40,50,60,62,64,66,68,70,72,74,76,78,80,85,90,95,100})</f>
        <v>100</v>
      </c>
      <c r="G28" s="27">
        <v>193</v>
      </c>
      <c r="H28" s="29">
        <f>LOOKUP(G28,{0,125,130,135,140,145,150,153,156,159,162,165,168,171,174,177,180,187,194,200,206},{0,10,20,30,40,50,60,62,64,66,68,70,72,74,76,78,80,85,90,95,100})</f>
        <v>85</v>
      </c>
      <c r="I28" s="27">
        <v>51</v>
      </c>
      <c r="J28" s="29">
        <f>LOOKUP(I28,{0,15,17,19,21,23,25,27,29,31,33,35,37,39,41,43,45,48,51,53,55},{0,10,20,30,40,50,60,62,64,66,68,70,72,74,76,78,80,85,90,95,100})</f>
        <v>90</v>
      </c>
      <c r="K28" s="35"/>
      <c r="L28" s="35"/>
      <c r="M28" s="35">
        <f t="shared" si="0"/>
        <v>90</v>
      </c>
      <c r="N28" s="35">
        <v>8.5</v>
      </c>
      <c r="O28" s="36">
        <f t="shared" si="1"/>
        <v>9.5</v>
      </c>
      <c r="P28" s="29">
        <f>LOOKUP(O28,{0,6.6,6.8,7,7.2,7.4,7.6,7.8,8,8.2,8.4,8.6,8.8,9,9.2,9.4,9.6,9.9,10.2,10.3,10.4},{0,10,20,30,40,50,60,62,64,66,68,70,72,74,76,78,80,85,90,95,100})</f>
        <v>78</v>
      </c>
      <c r="Q28" s="5">
        <v>4.1</v>
      </c>
      <c r="R28" s="36">
        <f t="shared" si="2"/>
        <v>5.9</v>
      </c>
      <c r="S28" s="29">
        <f>LOOKUP(R28,{0,4.74,4.84,4.94,5.44,5.54,5.64,5.69,5.74,5.79,5.84,5.89,5.94,5.99,6.44,6.49,6.54,6.61,6.68,6.74,6.8},{0,10,20,30,40,50,60,62,64,66,68,70,72,74,76,78,80,85,90,95,100})</f>
        <v>70</v>
      </c>
      <c r="T28" s="27"/>
      <c r="U28" s="27"/>
      <c r="V28" s="27">
        <f t="shared" si="3"/>
        <v>70</v>
      </c>
      <c r="W28" s="27"/>
      <c r="X28" s="19">
        <f t="shared" si="4"/>
        <v>57.1</v>
      </c>
      <c r="Y28" s="13">
        <f t="shared" si="5"/>
        <v>81.5714285714286</v>
      </c>
    </row>
    <row r="29" ht="15.6" spans="1:25">
      <c r="A29" s="27">
        <v>308</v>
      </c>
      <c r="B29" s="27">
        <v>21</v>
      </c>
      <c r="C29" s="30" t="s">
        <v>374</v>
      </c>
      <c r="D29" s="28" t="s">
        <v>46</v>
      </c>
      <c r="E29" s="27">
        <v>19</v>
      </c>
      <c r="F29" s="29">
        <f>LOOKUP(E29,{0,1.5,2.3,3.1,3.9,4.7,5.5,6.8,8.1,9.4,10.7,12,13.3,14.6,15.9,17.2,18.5,20.2,21.9,23.6,25.3},{0,10,20,30,40,50,60,62,64,66,68,70,72,74,76,78,80,85,90,95,100})</f>
        <v>80</v>
      </c>
      <c r="G29" s="27">
        <v>205</v>
      </c>
      <c r="H29" s="29">
        <f>LOOKUP(G29,{0,125,130,135,140,145,150,153,156,159,162,165,168,171,174,177,180,187,194,200,206},{0,10,20,30,40,50,60,62,64,66,68,70,72,74,76,78,80,85,90,95,100})</f>
        <v>95</v>
      </c>
      <c r="I29" s="27">
        <v>38</v>
      </c>
      <c r="J29" s="29">
        <f>LOOKUP(I29,{0,15,17,19,21,23,25,27,29,31,33,35,37,39,41,43,45,48,51,53,55},{0,10,20,30,40,50,60,62,64,66,68,70,72,74,76,78,80,85,90,95,100})</f>
        <v>72</v>
      </c>
      <c r="K29" s="35"/>
      <c r="L29" s="35"/>
      <c r="M29" s="35">
        <f t="shared" si="0"/>
        <v>72</v>
      </c>
      <c r="N29" s="35">
        <v>8.3</v>
      </c>
      <c r="O29" s="36">
        <f t="shared" si="1"/>
        <v>9.7</v>
      </c>
      <c r="P29" s="29">
        <f>LOOKUP(O29,{0,6.6,6.8,7,7.2,7.4,7.6,7.8,8,8.2,8.4,8.6,8.8,9,9.2,9.4,9.6,9.9,10.2,10.3,10.4},{0,10,20,30,40,50,60,62,64,66,68,70,72,74,76,78,80,85,90,95,100})</f>
        <v>80</v>
      </c>
      <c r="Q29" s="5">
        <v>3.43</v>
      </c>
      <c r="R29" s="36">
        <f t="shared" si="2"/>
        <v>6.57</v>
      </c>
      <c r="S29" s="29">
        <f>LOOKUP(R29,{0,4.74,4.84,4.94,5.44,5.54,5.64,5.69,5.74,5.79,5.84,5.89,5.94,5.99,6.44,6.49,6.54,6.61,6.68,6.74,6.8},{0,10,20,30,40,50,60,62,64,66,68,70,72,74,76,78,80,85,90,95,100})</f>
        <v>80</v>
      </c>
      <c r="T29" s="27"/>
      <c r="U29" s="27"/>
      <c r="V29" s="27">
        <f t="shared" si="3"/>
        <v>80</v>
      </c>
      <c r="W29" s="27"/>
      <c r="X29" s="19">
        <f t="shared" si="4"/>
        <v>56.7</v>
      </c>
      <c r="Y29" s="13">
        <f t="shared" si="5"/>
        <v>81</v>
      </c>
    </row>
    <row r="30" ht="15.6" spans="1:25">
      <c r="A30" s="27">
        <v>314</v>
      </c>
      <c r="B30" s="27">
        <v>29</v>
      </c>
      <c r="C30" s="28" t="s">
        <v>712</v>
      </c>
      <c r="D30" s="28" t="s">
        <v>46</v>
      </c>
      <c r="E30" s="27">
        <v>20.5</v>
      </c>
      <c r="F30" s="29">
        <f>LOOKUP(E30,{0,1.5,2.3,3.1,3.9,4.7,5.5,6.8,8.1,9.4,10.7,12,13.3,14.6,15.9,17.2,18.5,20.2,21.9,23.6,25.3},{0,10,20,30,40,50,60,62,64,66,68,70,72,74,76,78,80,85,90,95,100})</f>
        <v>85</v>
      </c>
      <c r="G30" s="27">
        <v>207</v>
      </c>
      <c r="H30" s="29">
        <f>LOOKUP(G30,{0,125,130,135,140,145,150,153,156,159,162,165,168,171,174,177,180,187,194,200,206},{0,10,20,30,40,50,60,62,64,66,68,70,72,74,76,78,80,85,90,95,100})</f>
        <v>100</v>
      </c>
      <c r="I30" s="27">
        <v>0</v>
      </c>
      <c r="J30" s="29">
        <f>LOOKUP(I30,{0,15,17,19,21,23,25,27,29,31,33,35,37,39,41,43,45,48,51,53,55},{0,10,20,30,40,50,60,62,64,66,68,70,72,74,76,78,80,85,90,95,100})</f>
        <v>0</v>
      </c>
      <c r="K30" s="35"/>
      <c r="L30" s="35"/>
      <c r="M30" s="35">
        <f t="shared" si="0"/>
        <v>0</v>
      </c>
      <c r="N30" s="35">
        <v>7.6</v>
      </c>
      <c r="O30" s="36">
        <f t="shared" si="1"/>
        <v>10.4</v>
      </c>
      <c r="P30" s="29">
        <f>LOOKUP(O30,{0,6.6,6.8,7,7.2,7.4,7.6,7.8,8,8.2,8.4,8.6,8.8,9,9.2,9.4,9.6,9.9,10.2,10.3,10.4},{0,10,20,30,40,50,60,62,64,66,68,70,72,74,76,78,80,85,90,95,100})</f>
        <v>100</v>
      </c>
      <c r="Q30" s="5">
        <v>3.31</v>
      </c>
      <c r="R30" s="36">
        <f t="shared" si="2"/>
        <v>6.69</v>
      </c>
      <c r="S30" s="29">
        <f>LOOKUP(R30,{0,4.74,4.84,4.94,5.44,5.54,5.64,5.69,5.74,5.79,5.84,5.89,5.94,5.99,6.44,6.49,6.54,6.61,6.68,6.74,6.8},{0,10,20,30,40,50,60,62,64,66,68,70,72,74,76,78,80,85,90,95,100})</f>
        <v>90</v>
      </c>
      <c r="T30" s="27"/>
      <c r="U30" s="27"/>
      <c r="V30" s="27">
        <f t="shared" si="3"/>
        <v>90</v>
      </c>
      <c r="W30" s="27"/>
      <c r="X30" s="19">
        <f t="shared" si="4"/>
        <v>56.5</v>
      </c>
      <c r="Y30" s="13">
        <f t="shared" si="5"/>
        <v>80.7142857142857</v>
      </c>
    </row>
    <row r="31" ht="15.6" spans="1:25">
      <c r="A31" s="27">
        <v>315</v>
      </c>
      <c r="B31" s="27">
        <v>19</v>
      </c>
      <c r="C31" s="28" t="s">
        <v>752</v>
      </c>
      <c r="D31" s="28" t="s">
        <v>46</v>
      </c>
      <c r="E31" s="27">
        <v>20.5</v>
      </c>
      <c r="F31" s="29">
        <f>LOOKUP(E31,{0,1.5,2.3,3.1,3.9,4.7,5.5,6.8,8.1,9.4,10.7,12,13.3,14.6,15.9,17.2,18.5,20.2,21.9,23.6,25.3},{0,10,20,30,40,50,60,62,64,66,68,70,72,74,76,78,80,85,90,95,100})</f>
        <v>85</v>
      </c>
      <c r="G31" s="27">
        <v>168</v>
      </c>
      <c r="H31" s="29">
        <f>LOOKUP(G31,{0,125,130,135,140,145,150,153,156,159,162,165,168,171,174,177,180,187,194,200,206},{0,10,20,30,40,50,60,62,64,66,68,70,72,74,76,78,80,85,90,95,100})</f>
        <v>72</v>
      </c>
      <c r="I31" s="27">
        <v>51</v>
      </c>
      <c r="J31" s="29">
        <f>LOOKUP(I31,{0,15,17,19,21,23,25,27,29,31,33,35,37,39,41,43,45,48,51,53,55},{0,10,20,30,40,50,60,62,64,66,68,70,72,74,76,78,80,85,90,95,100})</f>
        <v>90</v>
      </c>
      <c r="K31" s="35"/>
      <c r="L31" s="35"/>
      <c r="M31" s="35">
        <f t="shared" si="0"/>
        <v>90</v>
      </c>
      <c r="N31" s="35">
        <v>9</v>
      </c>
      <c r="O31" s="36">
        <f t="shared" si="1"/>
        <v>9</v>
      </c>
      <c r="P31" s="29">
        <f>LOOKUP(O31,{0,6.6,6.8,7,7.2,7.4,7.6,7.8,8,8.2,8.4,8.6,8.8,9,9.2,9.4,9.6,9.9,10.2,10.3,10.4},{0,10,20,30,40,50,60,62,64,66,68,70,72,74,76,78,80,85,90,95,100})</f>
        <v>74</v>
      </c>
      <c r="Q31" s="5">
        <v>3.34</v>
      </c>
      <c r="R31" s="36">
        <f t="shared" si="2"/>
        <v>6.66</v>
      </c>
      <c r="S31" s="29">
        <f>LOOKUP(R31,{0,4.74,4.84,4.94,5.44,5.54,5.64,5.69,5.74,5.79,5.84,5.89,5.94,5.99,6.44,6.49,6.54,6.61,6.68,6.74,6.8},{0,10,20,30,40,50,60,62,64,66,68,70,72,74,76,78,80,85,90,95,100})</f>
        <v>85</v>
      </c>
      <c r="T31" s="27"/>
      <c r="U31" s="27"/>
      <c r="V31" s="27">
        <f t="shared" si="3"/>
        <v>85</v>
      </c>
      <c r="W31" s="27"/>
      <c r="X31" s="19">
        <f t="shared" si="4"/>
        <v>56.5</v>
      </c>
      <c r="Y31" s="13">
        <f t="shared" si="5"/>
        <v>80.7142857142857</v>
      </c>
    </row>
    <row r="32" ht="15.6" spans="1:25">
      <c r="A32" s="27">
        <v>315</v>
      </c>
      <c r="B32" s="27">
        <v>21</v>
      </c>
      <c r="C32" s="28" t="s">
        <v>755</v>
      </c>
      <c r="D32" s="28" t="s">
        <v>46</v>
      </c>
      <c r="E32" s="27">
        <v>16</v>
      </c>
      <c r="F32" s="29">
        <f>LOOKUP(E32,{0,1.5,2.3,3.1,3.9,4.7,5.5,6.8,8.1,9.4,10.7,12,13.3,14.6,15.9,17.2,18.5,20.2,21.9,23.6,25.3},{0,10,20,30,40,50,60,62,64,66,68,70,72,74,76,78,80,85,90,95,100})</f>
        <v>76</v>
      </c>
      <c r="G32" s="27">
        <v>192</v>
      </c>
      <c r="H32" s="29">
        <f>LOOKUP(G32,{0,125,130,135,140,145,150,153,156,159,162,165,168,171,174,177,180,187,194,200,206},{0,10,20,30,40,50,60,62,64,66,68,70,72,74,76,78,80,85,90,95,100})</f>
        <v>85</v>
      </c>
      <c r="I32" s="27">
        <v>39</v>
      </c>
      <c r="J32" s="29">
        <f>LOOKUP(I32,{0,15,17,19,21,23,25,27,29,31,33,35,37,39,41,43,45,48,51,53,55},{0,10,20,30,40,50,60,62,64,66,68,70,72,74,76,78,80,85,90,95,100})</f>
        <v>74</v>
      </c>
      <c r="K32" s="35"/>
      <c r="L32" s="35"/>
      <c r="M32" s="35">
        <f t="shared" si="0"/>
        <v>74</v>
      </c>
      <c r="N32" s="35">
        <v>8.1</v>
      </c>
      <c r="O32" s="36">
        <f t="shared" si="1"/>
        <v>9.9</v>
      </c>
      <c r="P32" s="29">
        <f>LOOKUP(O32,{0,6.6,6.8,7,7.2,7.4,7.6,7.8,8,8.2,8.4,8.6,8.8,9,9.2,9.4,9.6,9.9,10.2,10.3,10.4},{0,10,20,30,40,50,60,62,64,66,68,70,72,74,76,78,80,85,90,95,100})</f>
        <v>85</v>
      </c>
      <c r="Q32" s="5">
        <v>3.46</v>
      </c>
      <c r="R32" s="36">
        <f t="shared" si="2"/>
        <v>6.54</v>
      </c>
      <c r="S32" s="29">
        <f>LOOKUP(R32,{0,4.74,4.84,4.94,5.44,5.54,5.64,5.69,5.74,5.79,5.84,5.89,5.94,5.99,6.44,6.49,6.54,6.61,6.68,6.74,6.8},{0,10,20,30,40,50,60,62,64,66,68,70,72,74,76,78,80,85,90,95,100})</f>
        <v>80</v>
      </c>
      <c r="T32" s="27"/>
      <c r="U32" s="27"/>
      <c r="V32" s="27">
        <f t="shared" si="3"/>
        <v>80</v>
      </c>
      <c r="W32" s="27"/>
      <c r="X32" s="19">
        <f t="shared" si="4"/>
        <v>56.5</v>
      </c>
      <c r="Y32" s="13">
        <f t="shared" si="5"/>
        <v>80.7142857142857</v>
      </c>
    </row>
    <row r="33" ht="15.6" spans="1:25">
      <c r="A33" s="27">
        <v>310</v>
      </c>
      <c r="B33" s="27">
        <v>47</v>
      </c>
      <c r="C33" s="28" t="s">
        <v>508</v>
      </c>
      <c r="D33" s="28" t="s">
        <v>46</v>
      </c>
      <c r="E33" s="27">
        <v>24</v>
      </c>
      <c r="F33" s="29">
        <f>LOOKUP(E33,{0,1.5,2.3,3.1,3.9,4.7,5.5,6.8,8.1,9.4,10.7,12,13.3,14.6,15.9,17.2,18.5,20.2,21.9,23.6,25.3},{0,10,20,30,40,50,60,62,64,66,68,70,72,74,76,78,80,85,90,95,100})</f>
        <v>95</v>
      </c>
      <c r="G33" s="27">
        <v>168</v>
      </c>
      <c r="H33" s="29">
        <f>LOOKUP(G33,{0,125,130,135,140,145,150,153,156,159,162,165,168,171,174,177,180,187,194,200,206},{0,10,20,30,40,50,60,62,64,66,68,70,72,74,76,78,80,85,90,95,100})</f>
        <v>72</v>
      </c>
      <c r="I33" s="27">
        <v>55</v>
      </c>
      <c r="J33" s="29">
        <f>LOOKUP(I33,{0,15,17,19,21,23,25,27,29,31,33,35,37,39,41,43,45,48,51,53,55},{0,10,20,30,40,50,60,62,64,66,68,70,72,74,76,78,80,85,90,95,100})</f>
        <v>100</v>
      </c>
      <c r="K33" s="35"/>
      <c r="L33" s="35"/>
      <c r="M33" s="35">
        <f t="shared" si="0"/>
        <v>100</v>
      </c>
      <c r="N33" s="35">
        <v>8.6</v>
      </c>
      <c r="O33" s="36">
        <f t="shared" si="1"/>
        <v>9.4</v>
      </c>
      <c r="P33" s="29">
        <f>LOOKUP(O33,{0,6.6,6.8,7,7.2,7.4,7.6,7.8,8,8.2,8.4,8.6,8.8,9,9.2,9.4,9.6,9.9,10.2,10.3,10.4},{0,10,20,30,40,50,60,62,64,66,68,70,72,74,76,78,80,85,90,95,100})</f>
        <v>78</v>
      </c>
      <c r="Q33" s="5">
        <v>4.07</v>
      </c>
      <c r="R33" s="36">
        <f t="shared" si="2"/>
        <v>5.93</v>
      </c>
      <c r="S33" s="29">
        <f>LOOKUP(R33,{0,4.74,4.84,4.94,5.44,5.54,5.64,5.69,5.74,5.79,5.84,5.89,5.94,5.99,6.44,6.49,6.54,6.61,6.68,6.74,6.8},{0,10,20,30,40,50,60,62,64,66,68,70,72,74,76,78,80,85,90,95,100})</f>
        <v>70</v>
      </c>
      <c r="T33" s="27"/>
      <c r="U33" s="27"/>
      <c r="V33" s="27">
        <f t="shared" si="3"/>
        <v>70</v>
      </c>
      <c r="W33" s="27"/>
      <c r="X33" s="19">
        <f t="shared" si="4"/>
        <v>56.3</v>
      </c>
      <c r="Y33" s="13">
        <f t="shared" si="5"/>
        <v>80.4285714285714</v>
      </c>
    </row>
    <row r="34" ht="15.6" spans="1:25">
      <c r="A34" s="27">
        <v>302</v>
      </c>
      <c r="B34" s="27">
        <v>32</v>
      </c>
      <c r="C34" s="27" t="s">
        <v>93</v>
      </c>
      <c r="D34" s="27" t="s">
        <v>46</v>
      </c>
      <c r="E34" s="27">
        <v>17</v>
      </c>
      <c r="F34" s="29">
        <f>LOOKUP(E34,{0,1.5,2.3,3.1,3.9,4.7,5.5,6.8,8.1,9.4,10.7,12,13.3,14.6,15.9,17.2,18.5,20.2,21.9,23.6,25.3},{0,10,20,30,40,50,60,62,64,66,68,70,72,74,76,78,80,85,90,95,100})</f>
        <v>76</v>
      </c>
      <c r="G34" s="27">
        <v>185</v>
      </c>
      <c r="H34" s="29">
        <f>LOOKUP(G34,{0,125,130,135,140,145,150,153,156,159,162,165,168,171,174,177,180,187,194,200,206},{0,10,20,30,40,50,60,62,64,66,68,70,72,74,76,78,80,85,90,95,100})</f>
        <v>80</v>
      </c>
      <c r="I34" s="27">
        <v>46</v>
      </c>
      <c r="J34" s="29">
        <f>LOOKUP(I34,{0,15,17,19,21,23,25,27,29,31,33,35,37,39,41,43,45,48,51,53,55},{0,10,20,30,40,50,60,62,64,66,68,70,72,74,76,78,80,85,90,95,100})</f>
        <v>80</v>
      </c>
      <c r="K34" s="35"/>
      <c r="L34" s="35"/>
      <c r="M34" s="35">
        <f t="shared" si="0"/>
        <v>80</v>
      </c>
      <c r="N34" s="35">
        <v>8.5</v>
      </c>
      <c r="O34" s="36">
        <f t="shared" si="1"/>
        <v>9.5</v>
      </c>
      <c r="P34" s="29">
        <f>LOOKUP(O34,{0,6.6,6.8,7,7.2,7.4,7.6,7.8,8,8.2,8.4,8.6,8.8,9,9.2,9.4,9.6,9.9,10.2,10.3,10.4},{0,10,20,30,40,50,60,62,64,66,68,70,72,74,76,78,80,85,90,95,100})</f>
        <v>78</v>
      </c>
      <c r="Q34" s="5">
        <v>3.33</v>
      </c>
      <c r="R34" s="36">
        <f t="shared" si="2"/>
        <v>6.67</v>
      </c>
      <c r="S34" s="29">
        <f>LOOKUP(R34,{0,4.74,4.84,4.94,5.44,5.54,5.64,5.69,5.74,5.79,5.84,5.89,5.94,5.99,6.44,6.49,6.54,6.61,6.68,6.74,6.8},{0,10,20,30,40,50,60,62,64,66,68,70,72,74,76,78,80,85,90,95,100})</f>
        <v>85</v>
      </c>
      <c r="T34" s="27"/>
      <c r="U34" s="27"/>
      <c r="V34" s="27">
        <f t="shared" si="3"/>
        <v>85</v>
      </c>
      <c r="W34" s="27"/>
      <c r="X34" s="19">
        <f t="shared" si="4"/>
        <v>56.2</v>
      </c>
      <c r="Y34" s="13">
        <f t="shared" si="5"/>
        <v>80.2857142857143</v>
      </c>
    </row>
    <row r="35" ht="15.6" spans="1:25">
      <c r="A35" s="27">
        <v>314</v>
      </c>
      <c r="B35" s="27">
        <v>31</v>
      </c>
      <c r="C35" s="28" t="s">
        <v>714</v>
      </c>
      <c r="D35" s="28" t="s">
        <v>46</v>
      </c>
      <c r="E35" s="27">
        <v>11</v>
      </c>
      <c r="F35" s="29">
        <f>LOOKUP(E35,{0,1.5,2.3,3.1,3.9,4.7,5.5,6.8,8.1,9.4,10.7,12,13.3,14.6,15.9,17.2,18.5,20.2,21.9,23.6,25.3},{0,10,20,30,40,50,60,62,64,66,68,70,72,74,76,78,80,85,90,95,100})</f>
        <v>68</v>
      </c>
      <c r="G35" s="27">
        <v>220</v>
      </c>
      <c r="H35" s="29">
        <f>LOOKUP(G35,{0,125,130,135,140,145,150,153,156,159,162,165,168,171,174,177,180,187,194,200,206},{0,10,20,30,40,50,60,62,64,66,68,70,72,74,76,78,80,85,90,95,100})</f>
        <v>100</v>
      </c>
      <c r="I35" s="27">
        <v>38</v>
      </c>
      <c r="J35" s="29">
        <f>LOOKUP(I35,{0,15,17,19,21,23,25,27,29,31,33,35,37,39,41,43,45,48,51,53,55},{0,10,20,30,40,50,60,62,64,66,68,70,72,74,76,78,80,85,90,95,100})</f>
        <v>72</v>
      </c>
      <c r="K35" s="35"/>
      <c r="L35" s="35"/>
      <c r="M35" s="35">
        <f t="shared" si="0"/>
        <v>72</v>
      </c>
      <c r="N35" s="35">
        <v>7.9</v>
      </c>
      <c r="O35" s="36">
        <f t="shared" si="1"/>
        <v>10.1</v>
      </c>
      <c r="P35" s="29">
        <f>LOOKUP(O35,{0,6.6,6.8,7,7.2,7.4,7.6,7.8,8,8.2,8.4,8.6,8.8,9,9.2,9.4,9.6,9.9,10.2,10.3,10.4},{0,10,20,30,40,50,60,62,64,66,68,70,72,74,76,78,80,85,90,95,100})</f>
        <v>85</v>
      </c>
      <c r="Q35" s="5">
        <v>3.56</v>
      </c>
      <c r="R35" s="36">
        <f t="shared" si="2"/>
        <v>6.44</v>
      </c>
      <c r="S35" s="29">
        <f>LOOKUP(R35,{0,4.74,4.84,4.94,5.44,5.54,5.64,5.69,5.74,5.79,5.84,5.89,5.94,5.99,6.44,6.49,6.54,6.61,6.68,6.74,6.8},{0,10,20,30,40,50,60,62,64,66,68,70,72,74,76,78,80,85,90,95,100})</f>
        <v>76</v>
      </c>
      <c r="T35" s="27"/>
      <c r="U35" s="27"/>
      <c r="V35" s="27">
        <f t="shared" si="3"/>
        <v>76</v>
      </c>
      <c r="W35" s="27"/>
      <c r="X35" s="19">
        <f t="shared" si="4"/>
        <v>56.2</v>
      </c>
      <c r="Y35" s="13">
        <f t="shared" si="5"/>
        <v>80.2857142857143</v>
      </c>
    </row>
    <row r="36" ht="15.6" spans="1:25">
      <c r="A36" s="27">
        <v>301</v>
      </c>
      <c r="B36" s="27">
        <v>37</v>
      </c>
      <c r="C36" s="27" t="s">
        <v>50</v>
      </c>
      <c r="D36" s="27" t="s">
        <v>46</v>
      </c>
      <c r="E36" s="27">
        <v>21</v>
      </c>
      <c r="F36" s="29">
        <f>LOOKUP(E36,{0,1.5,2.3,3.1,3.9,4.7,5.5,6.8,8.1,9.4,10.7,12,13.3,14.6,15.9,17.2,18.5,20.2,21.9,23.6,25.3},{0,10,20,30,40,50,60,62,64,66,68,70,72,74,76,78,80,85,90,95,100})</f>
        <v>85</v>
      </c>
      <c r="G36" s="27">
        <v>195</v>
      </c>
      <c r="H36" s="29">
        <f>LOOKUP(G36,{0,125,130,135,140,145,150,153,156,159,162,165,168,171,174,177,180,187,194,200,206},{0,10,20,30,40,50,60,62,64,66,68,70,72,74,76,78,80,85,90,95,100})</f>
        <v>90</v>
      </c>
      <c r="I36" s="27">
        <v>48</v>
      </c>
      <c r="J36" s="29">
        <f>LOOKUP(I36,{0,15,17,19,21,23,25,27,29,31,33,35,37,39,41,43,45,48,51,53,55},{0,10,20,30,40,50,60,62,64,66,68,70,72,74,76,78,80,85,90,95,100})</f>
        <v>85</v>
      </c>
      <c r="K36" s="35"/>
      <c r="L36" s="35"/>
      <c r="M36" s="35">
        <f t="shared" si="0"/>
        <v>85</v>
      </c>
      <c r="N36" s="35">
        <v>8.6</v>
      </c>
      <c r="O36" s="36">
        <f t="shared" si="1"/>
        <v>9.4</v>
      </c>
      <c r="P36" s="29">
        <f>LOOKUP(O36,{0,6.6,6.8,7,7.2,7.4,7.6,7.8,8,8.2,8.4,8.6,8.8,9,9.2,9.4,9.6,9.9,10.2,10.3,10.4},{0,10,20,30,40,50,60,62,64,66,68,70,72,74,76,78,80,85,90,95,100})</f>
        <v>78</v>
      </c>
      <c r="Q36" s="5">
        <v>4.04</v>
      </c>
      <c r="R36" s="36">
        <f t="shared" si="2"/>
        <v>5.96</v>
      </c>
      <c r="S36" s="29">
        <f>LOOKUP(R36,{0,4.74,4.84,4.94,5.44,5.54,5.64,5.69,5.74,5.79,5.84,5.89,5.94,5.99,6.44,6.49,6.54,6.61,6.68,6.74,6.8},{0,10,20,30,40,50,60,62,64,66,68,70,72,74,76,78,80,85,90,95,100})</f>
        <v>72</v>
      </c>
      <c r="T36" s="27"/>
      <c r="U36" s="27"/>
      <c r="V36" s="27">
        <f t="shared" si="3"/>
        <v>72</v>
      </c>
      <c r="W36" s="27"/>
      <c r="X36" s="19">
        <f t="shared" si="4"/>
        <v>56</v>
      </c>
      <c r="Y36" s="13">
        <f t="shared" si="5"/>
        <v>80</v>
      </c>
    </row>
    <row r="37" ht="15.6" spans="1:25">
      <c r="A37" s="27">
        <v>309</v>
      </c>
      <c r="B37" s="27">
        <v>47</v>
      </c>
      <c r="C37" s="28" t="s">
        <v>335</v>
      </c>
      <c r="D37" s="28" t="s">
        <v>46</v>
      </c>
      <c r="E37" s="27">
        <v>17.5</v>
      </c>
      <c r="F37" s="29">
        <f>LOOKUP(E37,{0,1.5,2.3,3.1,3.9,4.7,5.5,6.8,8.1,9.4,10.7,12,13.3,14.6,15.9,17.2,18.5,20.2,21.9,23.6,25.3},{0,10,20,30,40,50,60,62,64,66,68,70,72,74,76,78,80,85,90,95,100})</f>
        <v>78</v>
      </c>
      <c r="G37" s="27">
        <v>185</v>
      </c>
      <c r="H37" s="29">
        <f>LOOKUP(G37,{0,125,130,135,140,145,150,153,156,159,162,165,168,171,174,177,180,187,194,200,206},{0,10,20,30,40,50,60,62,64,66,68,70,72,74,76,78,80,85,90,95,100})</f>
        <v>80</v>
      </c>
      <c r="I37" s="27">
        <v>47</v>
      </c>
      <c r="J37" s="29">
        <f>LOOKUP(I37,{0,15,17,19,21,23,25,27,29,31,33,35,37,39,41,43,45,48,51,53,55},{0,10,20,30,40,50,60,62,64,66,68,70,72,74,76,78,80,85,90,95,100})</f>
        <v>80</v>
      </c>
      <c r="K37" s="35"/>
      <c r="L37" s="35"/>
      <c r="M37" s="35">
        <f t="shared" si="0"/>
        <v>80</v>
      </c>
      <c r="N37" s="35">
        <v>8.7</v>
      </c>
      <c r="O37" s="36">
        <f t="shared" si="1"/>
        <v>9.3</v>
      </c>
      <c r="P37" s="29">
        <f>LOOKUP(O37,{0,6.6,6.8,7,7.2,7.4,7.6,7.8,8,8.2,8.4,8.6,8.8,9,9.2,9.4,9.6,9.9,10.2,10.3,10.4},{0,10,20,30,40,50,60,62,64,66,68,70,72,74,76,78,80,85,90,95,100})</f>
        <v>76</v>
      </c>
      <c r="Q37" s="5">
        <v>3.33</v>
      </c>
      <c r="R37" s="36">
        <f t="shared" si="2"/>
        <v>6.67</v>
      </c>
      <c r="S37" s="29">
        <f>LOOKUP(R37,{0,4.74,4.84,4.94,5.44,5.54,5.64,5.69,5.74,5.79,5.84,5.89,5.94,5.99,6.44,6.49,6.54,6.61,6.68,6.74,6.8},{0,10,20,30,40,50,60,62,64,66,68,70,72,74,76,78,80,85,90,95,100})</f>
        <v>85</v>
      </c>
      <c r="T37" s="27"/>
      <c r="U37" s="27"/>
      <c r="V37" s="27">
        <f t="shared" si="3"/>
        <v>85</v>
      </c>
      <c r="W37" s="27"/>
      <c r="X37" s="19">
        <f t="shared" si="4"/>
        <v>56</v>
      </c>
      <c r="Y37" s="13">
        <f t="shared" si="5"/>
        <v>80</v>
      </c>
    </row>
    <row r="38" ht="15.6" spans="1:25">
      <c r="A38" s="27">
        <v>316</v>
      </c>
      <c r="B38" s="27">
        <v>14</v>
      </c>
      <c r="C38" s="28" t="s">
        <v>802</v>
      </c>
      <c r="D38" s="28" t="s">
        <v>46</v>
      </c>
      <c r="E38" s="27">
        <v>13</v>
      </c>
      <c r="F38" s="29">
        <f>LOOKUP(E38,{0,1.5,2.3,3.1,3.9,4.7,5.5,6.8,8.1,9.4,10.7,12,13.3,14.6,15.9,17.2,18.5,20.2,21.9,23.6,25.3},{0,10,20,30,40,50,60,62,64,66,68,70,72,74,76,78,80,85,90,95,100})</f>
        <v>70</v>
      </c>
      <c r="G38" s="27">
        <v>200</v>
      </c>
      <c r="H38" s="29">
        <f>LOOKUP(G38,{0,125,130,135,140,145,150,153,156,159,162,165,168,171,174,177,180,187,194,200,206},{0,10,20,30,40,50,60,62,64,66,68,70,72,74,76,78,80,85,90,95,100})</f>
        <v>95</v>
      </c>
      <c r="I38" s="27">
        <v>43</v>
      </c>
      <c r="J38" s="29">
        <f>LOOKUP(I38,{0,15,17,19,21,23,25,27,29,31,33,35,37,39,41,43,45,48,51,53,55},{0,10,20,30,40,50,60,62,64,66,68,70,72,74,76,78,80,85,90,95,100})</f>
        <v>78</v>
      </c>
      <c r="K38" s="35"/>
      <c r="L38" s="35"/>
      <c r="M38" s="35">
        <f t="shared" si="0"/>
        <v>78</v>
      </c>
      <c r="N38" s="35">
        <v>7.9</v>
      </c>
      <c r="O38" s="36">
        <f t="shared" si="1"/>
        <v>10.1</v>
      </c>
      <c r="P38" s="29">
        <f>LOOKUP(O38,{0,6.6,6.8,7,7.2,7.4,7.6,7.8,8,8.2,8.4,8.6,8.8,9,9.2,9.4,9.6,9.9,10.2,10.3,10.4},{0,10,20,30,40,50,60,62,64,66,68,70,72,74,76,78,80,85,90,95,100})</f>
        <v>85</v>
      </c>
      <c r="Q38" s="5">
        <v>4.06</v>
      </c>
      <c r="R38" s="36">
        <f t="shared" si="2"/>
        <v>5.94</v>
      </c>
      <c r="S38" s="29">
        <f>LOOKUP(R38,{0,4.74,4.84,4.94,5.44,5.54,5.64,5.69,5.74,5.79,5.84,5.89,5.94,5.99,6.44,6.49,6.54,6.61,6.68,6.74,6.8},{0,10,20,30,40,50,60,62,64,66,68,70,72,74,76,78,80,85,90,95,100})</f>
        <v>72</v>
      </c>
      <c r="T38" s="27"/>
      <c r="U38" s="27"/>
      <c r="V38" s="27">
        <f t="shared" si="3"/>
        <v>72</v>
      </c>
      <c r="W38" s="27"/>
      <c r="X38" s="19">
        <f t="shared" si="4"/>
        <v>55.7</v>
      </c>
      <c r="Y38" s="13">
        <f t="shared" si="5"/>
        <v>79.5714285714286</v>
      </c>
    </row>
    <row r="39" ht="15.6" spans="1:25">
      <c r="A39" s="27">
        <v>303</v>
      </c>
      <c r="B39" s="27">
        <v>37</v>
      </c>
      <c r="C39" s="27" t="s">
        <v>140</v>
      </c>
      <c r="D39" s="27" t="s">
        <v>46</v>
      </c>
      <c r="E39" s="27">
        <v>16.5</v>
      </c>
      <c r="F39" s="29">
        <f>LOOKUP(E39,{0,1.5,2.3,3.1,3.9,4.7,5.5,6.8,8.1,9.4,10.7,12,13.3,14.6,15.9,17.2,18.5,20.2,21.9,23.6,25.3},{0,10,20,30,40,50,60,62,64,66,68,70,72,74,76,78,80,85,90,95,100})</f>
        <v>76</v>
      </c>
      <c r="G39" s="27">
        <v>180</v>
      </c>
      <c r="H39" s="29">
        <f>LOOKUP(G39,{0,125,130,135,140,145,150,153,156,159,162,165,168,171,174,177,180,187,194,200,206},{0,10,20,30,40,50,60,62,64,66,68,70,72,74,76,78,80,85,90,95,100})</f>
        <v>80</v>
      </c>
      <c r="I39" s="27">
        <v>55</v>
      </c>
      <c r="J39" s="29">
        <f>LOOKUP(I39,{0,15,17,19,21,23,25,27,29,31,33,35,37,39,41,43,45,48,51,53,55},{0,10,20,30,40,50,60,62,64,66,68,70,72,74,76,78,80,85,90,95,100})</f>
        <v>100</v>
      </c>
      <c r="K39" s="35"/>
      <c r="L39" s="35"/>
      <c r="M39" s="35">
        <f t="shared" si="0"/>
        <v>100</v>
      </c>
      <c r="N39" s="35">
        <v>9.1</v>
      </c>
      <c r="O39" s="36">
        <f t="shared" si="1"/>
        <v>8.9</v>
      </c>
      <c r="P39" s="29">
        <f>LOOKUP(O39,{0,6.6,6.8,7,7.2,7.4,7.6,7.8,8,8.2,8.4,8.6,8.8,9,9.2,9.4,9.6,9.9,10.2,10.3,10.4},{0,10,20,30,40,50,60,62,64,66,68,70,72,74,76,78,80,85,90,95,100})</f>
        <v>72</v>
      </c>
      <c r="Q39" s="5">
        <v>3.51</v>
      </c>
      <c r="R39" s="36">
        <f t="shared" si="2"/>
        <v>6.49</v>
      </c>
      <c r="S39" s="29">
        <f>LOOKUP(R39,{0,4.74,4.84,4.94,5.44,5.54,5.64,5.69,5.74,5.79,5.84,5.89,5.94,5.99,6.44,6.49,6.54,6.61,6.68,6.74,6.8},{0,10,20,30,40,50,60,62,64,66,68,70,72,74,76,78,80,85,90,95,100})</f>
        <v>78</v>
      </c>
      <c r="T39" s="27"/>
      <c r="U39" s="27"/>
      <c r="V39" s="27">
        <f t="shared" si="3"/>
        <v>78</v>
      </c>
      <c r="W39" s="27"/>
      <c r="X39" s="19">
        <f t="shared" si="4"/>
        <v>55.6</v>
      </c>
      <c r="Y39" s="13">
        <f t="shared" si="5"/>
        <v>79.4285714285714</v>
      </c>
    </row>
    <row r="40" ht="15.6" spans="1:25">
      <c r="A40" s="27">
        <v>305</v>
      </c>
      <c r="B40" s="27">
        <v>44</v>
      </c>
      <c r="C40" s="28" t="s">
        <v>232</v>
      </c>
      <c r="D40" s="28" t="s">
        <v>46</v>
      </c>
      <c r="E40" s="27">
        <v>30.5</v>
      </c>
      <c r="F40" s="29">
        <f>LOOKUP(E40,{0,1.5,2.3,3.1,3.9,4.7,5.5,6.8,8.1,9.4,10.7,12,13.3,14.6,15.9,17.2,18.5,20.2,21.9,23.6,25.3},{0,10,20,30,40,50,60,62,64,66,68,70,72,74,76,78,80,85,90,95,100})</f>
        <v>100</v>
      </c>
      <c r="G40" s="27">
        <v>205</v>
      </c>
      <c r="H40" s="29">
        <f>LOOKUP(G40,{0,125,130,135,140,145,150,153,156,159,162,165,168,171,174,177,180,187,194,200,206},{0,10,20,30,40,50,60,62,64,66,68,70,72,74,76,78,80,85,90,95,100})</f>
        <v>95</v>
      </c>
      <c r="I40" s="27">
        <v>47</v>
      </c>
      <c r="J40" s="29">
        <f>LOOKUP(I40,{0,15,17,19,21,23,25,27,29,31,33,35,37,39,41,43,45,48,51,53,55},{0,10,20,30,40,50,60,62,64,66,68,70,72,74,76,78,80,85,90,95,100})</f>
        <v>80</v>
      </c>
      <c r="K40" s="35"/>
      <c r="L40" s="35"/>
      <c r="M40" s="35">
        <f t="shared" si="0"/>
        <v>80</v>
      </c>
      <c r="N40" s="35">
        <v>8.2</v>
      </c>
      <c r="O40" s="36">
        <f t="shared" si="1"/>
        <v>9.8</v>
      </c>
      <c r="P40" s="29">
        <f>LOOKUP(O40,{0,6.6,6.8,7,7.2,7.4,7.6,7.8,8,8.2,8.4,8.6,8.8,9,9.2,9.4,9.6,9.9,10.2,10.3,10.4},{0,10,20,30,40,50,60,62,64,66,68,70,72,74,76,78,80,85,90,95,100})</f>
        <v>80</v>
      </c>
      <c r="Q40" s="5">
        <v>4.35</v>
      </c>
      <c r="R40" s="36">
        <f t="shared" si="2"/>
        <v>5.65</v>
      </c>
      <c r="S40" s="29">
        <f>LOOKUP(R40,{0,4.74,4.84,4.94,5.44,5.54,5.64,5.69,5.74,5.79,5.84,5.89,5.94,5.99,6.44,6.49,6.54,6.61,6.68,6.74,6.8},{0,10,20,30,40,50,60,62,64,66,68,70,72,74,76,78,80,85,90,95,100})</f>
        <v>60</v>
      </c>
      <c r="T40" s="27"/>
      <c r="U40" s="27"/>
      <c r="V40" s="27">
        <f t="shared" si="3"/>
        <v>60</v>
      </c>
      <c r="W40" s="27"/>
      <c r="X40" s="19">
        <f t="shared" si="4"/>
        <v>55.5</v>
      </c>
      <c r="Y40" s="13">
        <f t="shared" si="5"/>
        <v>79.2857142857143</v>
      </c>
    </row>
    <row r="41" ht="15.6" spans="1:25">
      <c r="A41" s="27">
        <v>314</v>
      </c>
      <c r="B41" s="27">
        <v>17</v>
      </c>
      <c r="C41" s="30" t="s">
        <v>699</v>
      </c>
      <c r="D41" s="28" t="s">
        <v>46</v>
      </c>
      <c r="E41" s="27">
        <v>16.5</v>
      </c>
      <c r="F41" s="29">
        <f>LOOKUP(E41,{0,1.5,2.3,3.1,3.9,4.7,5.5,6.8,8.1,9.4,10.7,12,13.3,14.6,15.9,17.2,18.5,20.2,21.9,23.6,25.3},{0,10,20,30,40,50,60,62,64,66,68,70,72,74,76,78,80,85,90,95,100})</f>
        <v>76</v>
      </c>
      <c r="G41" s="27">
        <v>176</v>
      </c>
      <c r="H41" s="29">
        <f>LOOKUP(G41,{0,125,130,135,140,145,150,153,156,159,162,165,168,171,174,177,180,187,194,200,206},{0,10,20,30,40,50,60,62,64,66,68,70,72,74,76,78,80,85,90,95,100})</f>
        <v>76</v>
      </c>
      <c r="I41" s="27">
        <v>53</v>
      </c>
      <c r="J41" s="29">
        <f>LOOKUP(I41,{0,15,17,19,21,23,25,27,29,31,33,35,37,39,41,43,45,48,51,53,55},{0,10,20,30,40,50,60,62,64,66,68,70,72,74,76,78,80,85,90,95,100})</f>
        <v>95</v>
      </c>
      <c r="K41" s="35"/>
      <c r="L41" s="35"/>
      <c r="M41" s="35">
        <f t="shared" si="0"/>
        <v>95</v>
      </c>
      <c r="N41" s="35">
        <v>8.9</v>
      </c>
      <c r="O41" s="36">
        <f t="shared" si="1"/>
        <v>9.1</v>
      </c>
      <c r="P41" s="29">
        <f>LOOKUP(O41,{0,6.6,6.8,7,7.2,7.4,7.6,7.8,8,8.2,8.4,8.6,8.8,9,9.2,9.4,9.6,9.9,10.2,10.3,10.4},{0,10,20,30,40,50,60,62,64,66,68,70,72,74,76,78,80,85,90,95,100})</f>
        <v>74</v>
      </c>
      <c r="Q41" s="5">
        <v>3.42</v>
      </c>
      <c r="R41" s="36">
        <f t="shared" si="2"/>
        <v>6.58</v>
      </c>
      <c r="S41" s="29">
        <f>LOOKUP(R41,{0,4.74,4.84,4.94,5.44,5.54,5.64,5.69,5.74,5.79,5.84,5.89,5.94,5.99,6.44,6.49,6.54,6.61,6.68,6.74,6.8},{0,10,20,30,40,50,60,62,64,66,68,70,72,74,76,78,80,85,90,95,100})</f>
        <v>80</v>
      </c>
      <c r="T41" s="27"/>
      <c r="U41" s="27"/>
      <c r="V41" s="27">
        <f t="shared" si="3"/>
        <v>80</v>
      </c>
      <c r="W41" s="27"/>
      <c r="X41" s="19">
        <f t="shared" si="4"/>
        <v>55.5</v>
      </c>
      <c r="Y41" s="13">
        <f t="shared" si="5"/>
        <v>79.2857142857143</v>
      </c>
    </row>
    <row r="42" ht="15.6" spans="1:25">
      <c r="A42" s="27">
        <v>301</v>
      </c>
      <c r="B42" s="27">
        <v>35</v>
      </c>
      <c r="C42" s="27" t="s">
        <v>48</v>
      </c>
      <c r="D42" s="27" t="s">
        <v>46</v>
      </c>
      <c r="E42" s="27">
        <v>17.5</v>
      </c>
      <c r="F42" s="29">
        <f>LOOKUP(E42,{0,1.5,2.3,3.1,3.9,4.7,5.5,6.8,8.1,9.4,10.7,12,13.3,14.6,15.9,17.2,18.5,20.2,21.9,23.6,25.3},{0,10,20,30,40,50,60,62,64,66,68,70,72,74,76,78,80,85,90,95,100})</f>
        <v>78</v>
      </c>
      <c r="G42" s="27">
        <v>158</v>
      </c>
      <c r="H42" s="29">
        <f>LOOKUP(G42,{0,125,130,135,140,145,150,153,156,159,162,165,168,171,174,177,180,187,194,200,206},{0,10,20,30,40,50,60,62,64,66,68,70,72,74,76,78,80,85,90,95,100})</f>
        <v>64</v>
      </c>
      <c r="I42" s="27">
        <v>53</v>
      </c>
      <c r="J42" s="29">
        <f>LOOKUP(I42,{0,15,17,19,21,23,25,27,29,31,33,35,37,39,41,43,45,48,51,53,55},{0,10,20,30,40,50,60,62,64,66,68,70,72,74,76,78,80,85,90,95,100})</f>
        <v>95</v>
      </c>
      <c r="K42" s="35"/>
      <c r="L42" s="35"/>
      <c r="M42" s="35">
        <f t="shared" si="0"/>
        <v>95</v>
      </c>
      <c r="N42" s="35">
        <v>8.2</v>
      </c>
      <c r="O42" s="36">
        <f t="shared" si="1"/>
        <v>9.8</v>
      </c>
      <c r="P42" s="29">
        <f>LOOKUP(O42,{0,6.6,6.8,7,7.2,7.4,7.6,7.8,8,8.2,8.4,8.6,8.8,9,9.2,9.4,9.6,9.9,10.2,10.3,10.4},{0,10,20,30,40,50,60,62,64,66,68,70,72,74,76,78,80,85,90,95,100})</f>
        <v>80</v>
      </c>
      <c r="Q42" s="5">
        <v>3.51</v>
      </c>
      <c r="R42" s="36">
        <f t="shared" si="2"/>
        <v>6.49</v>
      </c>
      <c r="S42" s="29">
        <f>LOOKUP(R42,{0,4.74,4.84,4.94,5.44,5.54,5.64,5.69,5.74,5.79,5.84,5.89,5.94,5.99,6.44,6.49,6.54,6.61,6.68,6.74,6.8},{0,10,20,30,40,50,60,62,64,66,68,70,72,74,76,78,80,85,90,95,100})</f>
        <v>78</v>
      </c>
      <c r="T42" s="27"/>
      <c r="U42" s="27"/>
      <c r="V42" s="27">
        <f t="shared" si="3"/>
        <v>78</v>
      </c>
      <c r="W42" s="27"/>
      <c r="X42" s="19">
        <f t="shared" si="4"/>
        <v>55.3</v>
      </c>
      <c r="Y42" s="13">
        <f t="shared" si="5"/>
        <v>79</v>
      </c>
    </row>
    <row r="43" ht="15.6" spans="1:25">
      <c r="A43" s="27">
        <v>313</v>
      </c>
      <c r="B43" s="27">
        <v>36</v>
      </c>
      <c r="C43" s="28" t="s">
        <v>665</v>
      </c>
      <c r="D43" s="28" t="s">
        <v>46</v>
      </c>
      <c r="E43" s="27">
        <v>19.1</v>
      </c>
      <c r="F43" s="29">
        <f>LOOKUP(E43,{0,1.5,2.3,3.1,3.9,4.7,5.5,6.8,8.1,9.4,10.7,12,13.3,14.6,15.9,17.2,18.5,20.2,21.9,23.6,25.3},{0,10,20,30,40,50,60,62,64,66,68,70,72,74,76,78,80,85,90,95,100})</f>
        <v>80</v>
      </c>
      <c r="G43" s="27">
        <v>175</v>
      </c>
      <c r="H43" s="29">
        <f>LOOKUP(G43,{0,125,130,135,140,145,150,153,156,159,162,165,168,171,174,177,180,187,194,200,206},{0,10,20,30,40,50,60,62,64,66,68,70,72,74,76,78,80,85,90,95,100})</f>
        <v>76</v>
      </c>
      <c r="I43" s="27">
        <v>50</v>
      </c>
      <c r="J43" s="29">
        <f>LOOKUP(I43,{0,15,17,19,21,23,25,27,29,31,33,35,37,39,41,43,45,48,51,53,55},{0,10,20,30,40,50,60,62,64,66,68,70,72,74,76,78,80,85,90,95,100})</f>
        <v>85</v>
      </c>
      <c r="K43" s="35"/>
      <c r="L43" s="35"/>
      <c r="M43" s="35">
        <f t="shared" si="0"/>
        <v>85</v>
      </c>
      <c r="N43" s="35">
        <v>8.7</v>
      </c>
      <c r="O43" s="36">
        <f t="shared" si="1"/>
        <v>9.3</v>
      </c>
      <c r="P43" s="29">
        <f>LOOKUP(O43,{0,6.6,6.8,7,7.2,7.4,7.6,7.8,8,8.2,8.4,8.6,8.8,9,9.2,9.4,9.6,9.9,10.2,10.3,10.4},{0,10,20,30,40,50,60,62,64,66,68,70,72,74,76,78,80,85,90,95,100})</f>
        <v>76</v>
      </c>
      <c r="Q43" s="5">
        <v>3.44</v>
      </c>
      <c r="R43" s="36">
        <f t="shared" si="2"/>
        <v>6.56</v>
      </c>
      <c r="S43" s="29">
        <f>LOOKUP(R43,{0,4.74,4.84,4.94,5.44,5.54,5.64,5.69,5.74,5.79,5.84,5.89,5.94,5.99,6.44,6.49,6.54,6.61,6.68,6.74,6.8},{0,10,20,30,40,50,60,62,64,66,68,70,72,74,76,78,80,85,90,95,100})</f>
        <v>80</v>
      </c>
      <c r="T43" s="27"/>
      <c r="U43" s="27"/>
      <c r="V43" s="27">
        <f t="shared" si="3"/>
        <v>80</v>
      </c>
      <c r="W43" s="27"/>
      <c r="X43" s="19">
        <f t="shared" si="4"/>
        <v>55.3</v>
      </c>
      <c r="Y43" s="13">
        <f t="shared" si="5"/>
        <v>79</v>
      </c>
    </row>
    <row r="44" ht="15.6" spans="1:25">
      <c r="A44" s="27">
        <v>315</v>
      </c>
      <c r="B44" s="27">
        <v>38</v>
      </c>
      <c r="C44" s="28" t="s">
        <v>773</v>
      </c>
      <c r="D44" s="28" t="s">
        <v>46</v>
      </c>
      <c r="E44" s="27">
        <v>6.1</v>
      </c>
      <c r="F44" s="29">
        <f>LOOKUP(E44,{0,1.5,2.3,3.1,3.9,4.7,5.5,6.8,8.1,9.4,10.7,12,13.3,14.6,15.9,17.2,18.5,20.2,21.9,23.6,25.3},{0,10,20,30,40,50,60,62,64,66,68,70,72,74,76,78,80,85,90,95,100})</f>
        <v>60</v>
      </c>
      <c r="G44" s="27">
        <v>220</v>
      </c>
      <c r="H44" s="29">
        <f>LOOKUP(G44,{0,125,130,135,140,145,150,153,156,159,162,165,168,171,174,177,180,187,194,200,206},{0,10,20,30,40,50,60,62,64,66,68,70,72,74,76,78,80,85,90,95,100})</f>
        <v>100</v>
      </c>
      <c r="I44" s="27">
        <v>50</v>
      </c>
      <c r="J44" s="29">
        <f>LOOKUP(I44,{0,15,17,19,21,23,25,27,29,31,33,35,37,39,41,43,45,48,51,53,55},{0,10,20,30,40,50,60,62,64,66,68,70,72,74,76,78,80,85,90,95,100})</f>
        <v>85</v>
      </c>
      <c r="K44" s="35"/>
      <c r="L44" s="35"/>
      <c r="M44" s="35">
        <f t="shared" si="0"/>
        <v>85</v>
      </c>
      <c r="N44" s="35">
        <v>8.2</v>
      </c>
      <c r="O44" s="36">
        <f t="shared" si="1"/>
        <v>9.8</v>
      </c>
      <c r="P44" s="29">
        <f>LOOKUP(O44,{0,6.6,6.8,7,7.2,7.4,7.6,7.8,8,8.2,8.4,8.6,8.8,9,9.2,9.4,9.6,9.9,10.2,10.3,10.4},{0,10,20,30,40,50,60,62,64,66,68,70,72,74,76,78,80,85,90,95,100})</f>
        <v>80</v>
      </c>
      <c r="Q44" s="5">
        <v>3.59</v>
      </c>
      <c r="R44" s="36">
        <f t="shared" si="2"/>
        <v>6.41</v>
      </c>
      <c r="S44" s="29">
        <f>LOOKUP(R44,{0,4.74,4.84,4.94,5.44,5.54,5.64,5.69,5.74,5.79,5.84,5.89,5.94,5.99,6.44,6.49,6.54,6.61,6.68,6.74,6.8},{0,10,20,30,40,50,60,62,64,66,68,70,72,74,76,78,80,85,90,95,100})</f>
        <v>74</v>
      </c>
      <c r="T44" s="27"/>
      <c r="U44" s="27"/>
      <c r="V44" s="27">
        <f t="shared" si="3"/>
        <v>74</v>
      </c>
      <c r="W44" s="27"/>
      <c r="X44" s="19">
        <f t="shared" si="4"/>
        <v>55.3</v>
      </c>
      <c r="Y44" s="13">
        <f t="shared" si="5"/>
        <v>79</v>
      </c>
    </row>
    <row r="45" ht="15.6" spans="1:25">
      <c r="A45" s="27">
        <v>316</v>
      </c>
      <c r="B45" s="27">
        <v>23</v>
      </c>
      <c r="C45" s="30" t="s">
        <v>812</v>
      </c>
      <c r="D45" s="28" t="s">
        <v>46</v>
      </c>
      <c r="E45" s="27">
        <v>15.4</v>
      </c>
      <c r="F45" s="29">
        <f>LOOKUP(E45,{0,1.5,2.3,3.1,3.9,4.7,5.5,6.8,8.1,9.4,10.7,12,13.3,14.6,15.9,17.2,18.5,20.2,21.9,23.6,25.3},{0,10,20,30,40,50,60,62,64,66,68,70,72,74,76,78,80,85,90,95,100})</f>
        <v>74</v>
      </c>
      <c r="G45" s="27">
        <v>183</v>
      </c>
      <c r="H45" s="29">
        <f>LOOKUP(G45,{0,125,130,135,140,145,150,153,156,159,162,165,168,171,174,177,180,187,194,200,206},{0,10,20,30,40,50,60,62,64,66,68,70,72,74,76,78,80,85,90,95,100})</f>
        <v>80</v>
      </c>
      <c r="I45" s="27">
        <v>44</v>
      </c>
      <c r="J45" s="29">
        <f>LOOKUP(I45,{0,15,17,19,21,23,25,27,29,31,33,35,37,39,41,43,45,48,51,53,55},{0,10,20,30,40,50,60,62,64,66,68,70,72,74,76,78,80,85,90,95,100})</f>
        <v>78</v>
      </c>
      <c r="K45" s="35"/>
      <c r="L45" s="35"/>
      <c r="M45" s="35">
        <f t="shared" si="0"/>
        <v>78</v>
      </c>
      <c r="N45" s="35">
        <v>8.3</v>
      </c>
      <c r="O45" s="36">
        <f t="shared" si="1"/>
        <v>9.7</v>
      </c>
      <c r="P45" s="29">
        <f>LOOKUP(O45,{0,6.6,6.8,7,7.2,7.4,7.6,7.8,8,8.2,8.4,8.6,8.8,9,9.2,9.4,9.6,9.9,10.2,10.3,10.4},{0,10,20,30,40,50,60,62,64,66,68,70,72,74,76,78,80,85,90,95,100})</f>
        <v>80</v>
      </c>
      <c r="Q45" s="5">
        <v>3.44</v>
      </c>
      <c r="R45" s="36">
        <f t="shared" si="2"/>
        <v>6.56</v>
      </c>
      <c r="S45" s="29">
        <f>LOOKUP(R45,{0,4.74,4.84,4.94,5.44,5.54,5.64,5.69,5.74,5.79,5.84,5.89,5.94,5.99,6.44,6.49,6.54,6.61,6.68,6.74,6.8},{0,10,20,30,40,50,60,62,64,66,68,70,72,74,76,78,80,85,90,95,100})</f>
        <v>80</v>
      </c>
      <c r="T45" s="27"/>
      <c r="U45" s="27"/>
      <c r="V45" s="27">
        <f t="shared" si="3"/>
        <v>80</v>
      </c>
      <c r="W45" s="27"/>
      <c r="X45" s="19">
        <f t="shared" si="4"/>
        <v>55.2</v>
      </c>
      <c r="Y45" s="13">
        <f t="shared" si="5"/>
        <v>78.8571428571429</v>
      </c>
    </row>
    <row r="46" ht="15.6" spans="1:25">
      <c r="A46" s="27">
        <v>303</v>
      </c>
      <c r="B46" s="27">
        <v>36</v>
      </c>
      <c r="C46" s="31" t="s">
        <v>139</v>
      </c>
      <c r="D46" s="27" t="s">
        <v>46</v>
      </c>
      <c r="E46" s="27">
        <v>21.5</v>
      </c>
      <c r="F46" s="29">
        <f>LOOKUP(E46,{0,1.5,2.3,3.1,3.9,4.7,5.5,6.8,8.1,9.4,10.7,12,13.3,14.6,15.9,17.2,18.5,20.2,21.9,23.6,25.3},{0,10,20,30,40,50,60,62,64,66,68,70,72,74,76,78,80,85,90,95,100})</f>
        <v>85</v>
      </c>
      <c r="G46" s="27">
        <v>190</v>
      </c>
      <c r="H46" s="29">
        <f>LOOKUP(G46,{0,125,130,135,140,145,150,153,156,159,162,165,168,171,174,177,180,187,194,200,206},{0,10,20,30,40,50,60,62,64,66,68,70,72,74,76,78,80,85,90,95,100})</f>
        <v>85</v>
      </c>
      <c r="I46" s="27">
        <v>42</v>
      </c>
      <c r="J46" s="29">
        <f>LOOKUP(I46,{0,15,17,19,21,23,25,27,29,31,33,35,37,39,41,43,45,48,51,53,55},{0,10,20,30,40,50,60,62,64,66,68,70,72,74,76,78,80,85,90,95,100})</f>
        <v>76</v>
      </c>
      <c r="K46" s="35"/>
      <c r="L46" s="35"/>
      <c r="M46" s="35">
        <f t="shared" si="0"/>
        <v>76</v>
      </c>
      <c r="N46" s="35">
        <v>8.4</v>
      </c>
      <c r="O46" s="36">
        <f t="shared" si="1"/>
        <v>9.6</v>
      </c>
      <c r="P46" s="29">
        <f>LOOKUP(O46,{0,6.6,6.8,7,7.2,7.4,7.6,7.8,8,8.2,8.4,8.6,8.8,9,9.2,9.4,9.6,9.9,10.2,10.3,10.4},{0,10,20,30,40,50,60,62,64,66,68,70,72,74,76,78,80,85,90,95,100})</f>
        <v>80</v>
      </c>
      <c r="Q46" s="5">
        <v>4.06</v>
      </c>
      <c r="R46" s="36">
        <f t="shared" si="2"/>
        <v>5.94</v>
      </c>
      <c r="S46" s="29">
        <f>LOOKUP(R46,{0,4.74,4.84,4.94,5.44,5.54,5.64,5.69,5.74,5.79,5.84,5.89,5.94,5.99,6.44,6.49,6.54,6.61,6.68,6.74,6.8},{0,10,20,30,40,50,60,62,64,66,68,70,72,74,76,78,80,85,90,95,100})</f>
        <v>72</v>
      </c>
      <c r="T46" s="27"/>
      <c r="U46" s="27"/>
      <c r="V46" s="27">
        <f t="shared" si="3"/>
        <v>72</v>
      </c>
      <c r="W46" s="27"/>
      <c r="X46" s="19">
        <f t="shared" si="4"/>
        <v>55</v>
      </c>
      <c r="Y46" s="13">
        <f t="shared" si="5"/>
        <v>78.5714285714286</v>
      </c>
    </row>
    <row r="47" ht="15.6" spans="1:25">
      <c r="A47" s="27">
        <v>305</v>
      </c>
      <c r="B47" s="27">
        <v>49</v>
      </c>
      <c r="C47" s="28" t="s">
        <v>237</v>
      </c>
      <c r="D47" s="28" t="s">
        <v>46</v>
      </c>
      <c r="E47" s="27">
        <v>16</v>
      </c>
      <c r="F47" s="29">
        <f>LOOKUP(E47,{0,1.5,2.3,3.1,3.9,4.7,5.5,6.8,8.1,9.4,10.7,12,13.3,14.6,15.9,17.2,18.5,20.2,21.9,23.6,25.3},{0,10,20,30,40,50,60,62,64,66,68,70,72,74,76,78,80,85,90,95,100})</f>
        <v>76</v>
      </c>
      <c r="G47" s="27">
        <v>165</v>
      </c>
      <c r="H47" s="29">
        <f>LOOKUP(G47,{0,125,130,135,140,145,150,153,156,159,162,165,168,171,174,177,180,187,194,200,206},{0,10,20,30,40,50,60,62,64,66,68,70,72,74,76,78,80,85,90,95,100})</f>
        <v>70</v>
      </c>
      <c r="I47" s="27">
        <v>51</v>
      </c>
      <c r="J47" s="29">
        <f>LOOKUP(I47,{0,15,17,19,21,23,25,27,29,31,33,35,37,39,41,43,45,48,51,53,55},{0,10,20,30,40,50,60,62,64,66,68,70,72,74,76,78,80,85,90,95,100})</f>
        <v>90</v>
      </c>
      <c r="K47" s="35"/>
      <c r="L47" s="35"/>
      <c r="M47" s="35">
        <f t="shared" si="0"/>
        <v>90</v>
      </c>
      <c r="N47" s="35">
        <v>9.1</v>
      </c>
      <c r="O47" s="36">
        <f t="shared" si="1"/>
        <v>8.9</v>
      </c>
      <c r="P47" s="29">
        <f>LOOKUP(O47,{0,6.6,6.8,7,7.2,7.4,7.6,7.8,8,8.2,8.4,8.6,8.8,9,9.2,9.4,9.6,9.9,10.2,10.3,10.4},{0,10,20,30,40,50,60,62,64,66,68,70,72,74,76,78,80,85,90,95,100})</f>
        <v>72</v>
      </c>
      <c r="Q47" s="5">
        <v>3.34</v>
      </c>
      <c r="R47" s="36">
        <f t="shared" si="2"/>
        <v>6.66</v>
      </c>
      <c r="S47" s="29">
        <f>LOOKUP(R47,{0,4.74,4.84,4.94,5.44,5.54,5.64,5.69,5.74,5.79,5.84,5.89,5.94,5.99,6.44,6.49,6.54,6.61,6.68,6.74,6.8},{0,10,20,30,40,50,60,62,64,66,68,70,72,74,76,78,80,85,90,95,100})</f>
        <v>85</v>
      </c>
      <c r="T47" s="27"/>
      <c r="U47" s="27"/>
      <c r="V47" s="27">
        <f t="shared" si="3"/>
        <v>85</v>
      </c>
      <c r="W47" s="27"/>
      <c r="X47" s="19">
        <f t="shared" si="4"/>
        <v>55</v>
      </c>
      <c r="Y47" s="13">
        <f t="shared" si="5"/>
        <v>78.5714285714286</v>
      </c>
    </row>
    <row r="48" ht="15.6" spans="1:25">
      <c r="A48" s="27">
        <v>313</v>
      </c>
      <c r="B48" s="27">
        <v>39</v>
      </c>
      <c r="C48" s="30" t="s">
        <v>669</v>
      </c>
      <c r="D48" s="28" t="s">
        <v>46</v>
      </c>
      <c r="E48" s="27">
        <v>22.5</v>
      </c>
      <c r="F48" s="29">
        <f>LOOKUP(E48,{0,1.5,2.3,3.1,3.9,4.7,5.5,6.8,8.1,9.4,10.7,12,13.3,14.6,15.9,17.2,18.5,20.2,21.9,23.6,25.3},{0,10,20,30,40,50,60,62,64,66,68,70,72,74,76,78,80,85,90,95,100})</f>
        <v>90</v>
      </c>
      <c r="G48" s="27">
        <v>180</v>
      </c>
      <c r="H48" s="29">
        <f>LOOKUP(G48,{0,125,130,135,140,145,150,153,156,159,162,165,168,171,174,177,180,187,194,200,206},{0,10,20,30,40,50,60,62,64,66,68,70,72,74,76,78,80,85,90,95,100})</f>
        <v>80</v>
      </c>
      <c r="I48" s="27">
        <v>46</v>
      </c>
      <c r="J48" s="29">
        <f>LOOKUP(I48,{0,15,17,19,21,23,25,27,29,31,33,35,37,39,41,43,45,48,51,53,55},{0,10,20,30,40,50,60,62,64,66,68,70,72,74,76,78,80,85,90,95,100})</f>
        <v>80</v>
      </c>
      <c r="K48" s="35"/>
      <c r="L48" s="35"/>
      <c r="M48" s="35">
        <f t="shared" si="0"/>
        <v>80</v>
      </c>
      <c r="N48" s="35">
        <v>8.9</v>
      </c>
      <c r="O48" s="36">
        <f t="shared" si="1"/>
        <v>9.1</v>
      </c>
      <c r="P48" s="29">
        <f>LOOKUP(O48,{0,6.6,6.8,7,7.2,7.4,7.6,7.8,8,8.2,8.4,8.6,8.8,9,9.2,9.4,9.6,9.9,10.2,10.3,10.4},{0,10,20,30,40,50,60,62,64,66,68,70,72,74,76,78,80,85,90,95,100})</f>
        <v>74</v>
      </c>
      <c r="Q48" s="5">
        <v>3.56</v>
      </c>
      <c r="R48" s="36">
        <f t="shared" si="2"/>
        <v>6.44</v>
      </c>
      <c r="S48" s="29">
        <f>LOOKUP(R48,{0,4.74,4.84,4.94,5.44,5.54,5.64,5.69,5.74,5.79,5.84,5.89,5.94,5.99,6.44,6.49,6.54,6.61,6.68,6.74,6.8},{0,10,20,30,40,50,60,62,64,66,68,70,72,74,76,78,80,85,90,95,100})</f>
        <v>76</v>
      </c>
      <c r="T48" s="27"/>
      <c r="U48" s="27"/>
      <c r="V48" s="27">
        <f t="shared" si="3"/>
        <v>76</v>
      </c>
      <c r="W48" s="27"/>
      <c r="X48" s="19">
        <f t="shared" si="4"/>
        <v>55</v>
      </c>
      <c r="Y48" s="13">
        <f t="shared" si="5"/>
        <v>78.5714285714286</v>
      </c>
    </row>
    <row r="49" ht="15.6" spans="1:25">
      <c r="A49" s="27">
        <v>309</v>
      </c>
      <c r="B49" s="27">
        <v>42</v>
      </c>
      <c r="C49" s="28" t="s">
        <v>450</v>
      </c>
      <c r="D49" s="28" t="s">
        <v>46</v>
      </c>
      <c r="E49" s="27">
        <v>16.7</v>
      </c>
      <c r="F49" s="29">
        <f>LOOKUP(E49,{0,1.5,2.3,3.1,3.9,4.7,5.5,6.8,8.1,9.4,10.7,12,13.3,14.6,15.9,17.2,18.5,20.2,21.9,23.6,25.3},{0,10,20,30,40,50,60,62,64,66,68,70,72,74,76,78,80,85,90,95,100})</f>
        <v>76</v>
      </c>
      <c r="G49" s="27">
        <v>168</v>
      </c>
      <c r="H49" s="29">
        <f>LOOKUP(G49,{0,125,130,135,140,145,150,153,156,159,162,165,168,171,174,177,180,187,194,200,206},{0,10,20,30,40,50,60,62,64,66,68,70,72,74,76,78,80,85,90,95,100})</f>
        <v>72</v>
      </c>
      <c r="I49" s="27">
        <v>49</v>
      </c>
      <c r="J49" s="29">
        <f>LOOKUP(I49,{0,15,17,19,21,23,25,27,29,31,33,35,37,39,41,43,45,48,51,53,55},{0,10,20,30,40,50,60,62,64,66,68,70,72,74,76,78,80,85,90,95,100})</f>
        <v>85</v>
      </c>
      <c r="K49" s="35"/>
      <c r="L49" s="35"/>
      <c r="M49" s="35">
        <f t="shared" si="0"/>
        <v>85</v>
      </c>
      <c r="N49" s="35">
        <v>8.5</v>
      </c>
      <c r="O49" s="36">
        <f t="shared" si="1"/>
        <v>9.5</v>
      </c>
      <c r="P49" s="29">
        <f>LOOKUP(O49,{0,6.6,6.8,7,7.2,7.4,7.6,7.8,8,8.2,8.4,8.6,8.8,9,9.2,9.4,9.6,9.9,10.2,10.3,10.4},{0,10,20,30,40,50,60,62,64,66,68,70,72,74,76,78,80,85,90,95,100})</f>
        <v>78</v>
      </c>
      <c r="Q49" s="5">
        <v>3.46</v>
      </c>
      <c r="R49" s="36">
        <f t="shared" si="2"/>
        <v>6.54</v>
      </c>
      <c r="S49" s="29">
        <f>LOOKUP(R49,{0,4.74,4.84,4.94,5.44,5.54,5.64,5.69,5.74,5.79,5.84,5.89,5.94,5.99,6.44,6.49,6.54,6.61,6.68,6.74,6.8},{0,10,20,30,40,50,60,62,64,66,68,70,72,74,76,78,80,85,90,95,100})</f>
        <v>80</v>
      </c>
      <c r="T49" s="27"/>
      <c r="U49" s="27"/>
      <c r="V49" s="27">
        <f t="shared" si="3"/>
        <v>80</v>
      </c>
      <c r="W49" s="27"/>
      <c r="X49" s="19">
        <f t="shared" si="4"/>
        <v>54.9</v>
      </c>
      <c r="Y49" s="13">
        <f t="shared" si="5"/>
        <v>78.4285714285714</v>
      </c>
    </row>
    <row r="50" ht="15.6" spans="1:25">
      <c r="A50" s="27">
        <v>306</v>
      </c>
      <c r="B50" s="27">
        <v>48</v>
      </c>
      <c r="C50" s="28" t="s">
        <v>293</v>
      </c>
      <c r="D50" s="28" t="s">
        <v>46</v>
      </c>
      <c r="E50" s="27">
        <v>12</v>
      </c>
      <c r="F50" s="29">
        <f>LOOKUP(E50,{0,1.5,2.3,3.1,3.9,4.7,5.5,6.8,8.1,9.4,10.7,12,13.3,14.6,15.9,17.2,18.5,20.2,21.9,23.6,25.3},{0,10,20,30,40,50,60,62,64,66,68,70,72,74,76,78,80,85,90,95,100})</f>
        <v>70</v>
      </c>
      <c r="G50" s="27">
        <v>195</v>
      </c>
      <c r="H50" s="29">
        <f>LOOKUP(G50,{0,125,130,135,140,145,150,153,156,159,162,165,168,171,174,177,180,187,194,200,206},{0,10,20,30,40,50,60,62,64,66,68,70,72,74,76,78,80,85,90,95,100})</f>
        <v>90</v>
      </c>
      <c r="I50" s="27">
        <v>46</v>
      </c>
      <c r="J50" s="29">
        <f>LOOKUP(I50,{0,15,17,19,21,23,25,27,29,31,33,35,37,39,41,43,45,48,51,53,55},{0,10,20,30,40,50,60,62,64,66,68,70,72,74,76,78,80,85,90,95,100})</f>
        <v>80</v>
      </c>
      <c r="K50" s="35"/>
      <c r="L50" s="35"/>
      <c r="M50" s="35">
        <f t="shared" si="0"/>
        <v>80</v>
      </c>
      <c r="N50" s="35">
        <v>8.9</v>
      </c>
      <c r="O50" s="36">
        <f t="shared" si="1"/>
        <v>9.1</v>
      </c>
      <c r="P50" s="29">
        <f>LOOKUP(O50,{0,6.6,6.8,7,7.2,7.4,7.6,7.8,8,8.2,8.4,8.6,8.8,9,9.2,9.4,9.6,9.9,10.2,10.3,10.4},{0,10,20,30,40,50,60,62,64,66,68,70,72,74,76,78,80,85,90,95,100})</f>
        <v>74</v>
      </c>
      <c r="Q50" s="5">
        <v>3.45</v>
      </c>
      <c r="R50" s="36">
        <f t="shared" si="2"/>
        <v>6.55</v>
      </c>
      <c r="S50" s="29">
        <f>LOOKUP(R50,{0,4.74,4.84,4.94,5.44,5.54,5.64,5.69,5.74,5.79,5.84,5.89,5.94,5.99,6.44,6.49,6.54,6.61,6.68,6.74,6.8},{0,10,20,30,40,50,60,62,64,66,68,70,72,74,76,78,80,85,90,95,100})</f>
        <v>80</v>
      </c>
      <c r="T50" s="27"/>
      <c r="U50" s="27"/>
      <c r="V50" s="27">
        <f t="shared" si="3"/>
        <v>80</v>
      </c>
      <c r="W50" s="27"/>
      <c r="X50" s="19">
        <f t="shared" si="4"/>
        <v>54.8</v>
      </c>
      <c r="Y50" s="13">
        <f t="shared" si="5"/>
        <v>78.2857142857143</v>
      </c>
    </row>
    <row r="51" ht="15.6" spans="1:25">
      <c r="A51" s="27">
        <v>312</v>
      </c>
      <c r="B51" s="27">
        <v>34</v>
      </c>
      <c r="C51" s="30" t="s">
        <v>609</v>
      </c>
      <c r="D51" s="28" t="s">
        <v>46</v>
      </c>
      <c r="E51" s="27">
        <v>7</v>
      </c>
      <c r="F51" s="29">
        <f>LOOKUP(E51,{0,1.5,2.3,3.1,3.9,4.7,5.5,6.8,8.1,9.4,10.7,12,13.3,14.6,15.9,17.2,18.5,20.2,21.9,23.6,25.3},{0,10,20,30,40,50,60,62,64,66,68,70,72,74,76,78,80,85,90,95,100})</f>
        <v>62</v>
      </c>
      <c r="G51" s="27">
        <v>160</v>
      </c>
      <c r="H51" s="29">
        <f>LOOKUP(G51,{0,125,130,135,140,145,150,153,156,159,162,165,168,171,174,177,180,187,194,200,206},{0,10,20,30,40,50,60,62,64,66,68,70,72,74,76,78,80,85,90,95,100})</f>
        <v>66</v>
      </c>
      <c r="I51" s="27">
        <v>34</v>
      </c>
      <c r="J51" s="29">
        <f>LOOKUP(I51,{0,15,17,19,21,23,25,27,29,31,33,35,37,39,41,43,45,48,51,53,55},{0,10,20,30,40,50,60,62,64,66,68,70,72,74,76,78,80,85,90,95,100})</f>
        <v>68</v>
      </c>
      <c r="K51" s="35"/>
      <c r="L51" s="35"/>
      <c r="M51" s="35">
        <f t="shared" si="0"/>
        <v>68</v>
      </c>
      <c r="N51" s="35">
        <v>8.7</v>
      </c>
      <c r="O51" s="36">
        <f t="shared" si="1"/>
        <v>9.3</v>
      </c>
      <c r="P51" s="29">
        <f>LOOKUP(O51,{0,6.6,6.8,7,7.2,7.4,7.6,7.8,8,8.2,8.4,8.6,8.8,9,9.2,9.4,9.6,9.9,10.2,10.3,10.4},{0,10,20,30,40,50,60,62,64,66,68,70,72,74,76,78,80,85,90,95,100})</f>
        <v>76</v>
      </c>
      <c r="Q51" s="5">
        <v>3.17</v>
      </c>
      <c r="R51" s="36">
        <f t="shared" si="2"/>
        <v>6.83</v>
      </c>
      <c r="S51" s="29">
        <f>LOOKUP(R51,{0,4.74,4.84,4.94,5.44,5.54,5.64,5.69,5.74,5.79,5.84,5.89,5.94,5.99,6.44,6.49,6.54,6.61,6.68,6.74,6.8},{0,10,20,30,40,50,60,62,64,66,68,70,72,74,76,78,80,85,90,95,100})</f>
        <v>100</v>
      </c>
      <c r="T51" s="36">
        <f>3.2-Q51</f>
        <v>0.0300000000000002</v>
      </c>
      <c r="U51" s="29">
        <f>LOOKUP(T51,{0,0.05,0.1,0.15,0.2,0.25,0.3,0.35,0.4,0.45,0.5},{0,1,2,3,4,5,6,7,8,9,10})</f>
        <v>0</v>
      </c>
      <c r="V51" s="27">
        <f t="shared" si="3"/>
        <v>100</v>
      </c>
      <c r="W51" s="27"/>
      <c r="X51" s="19">
        <f t="shared" si="4"/>
        <v>54.8</v>
      </c>
      <c r="Y51" s="13">
        <f t="shared" si="5"/>
        <v>78.2857142857143</v>
      </c>
    </row>
    <row r="52" ht="15.6" spans="1:25">
      <c r="A52" s="27">
        <v>306</v>
      </c>
      <c r="B52" s="27">
        <v>49</v>
      </c>
      <c r="C52" s="28" t="s">
        <v>294</v>
      </c>
      <c r="D52" s="28" t="s">
        <v>46</v>
      </c>
      <c r="E52" s="27">
        <v>25</v>
      </c>
      <c r="F52" s="29">
        <f>LOOKUP(E52,{0,1.5,2.3,3.1,3.9,4.7,5.5,6.8,8.1,9.4,10.7,12,13.3,14.6,15.9,17.2,18.5,20.2,21.9,23.6,25.3},{0,10,20,30,40,50,60,62,64,66,68,70,72,74,76,78,80,85,90,95,100})</f>
        <v>95</v>
      </c>
      <c r="G52" s="27">
        <v>173</v>
      </c>
      <c r="H52" s="29">
        <f>LOOKUP(G52,{0,125,130,135,140,145,150,153,156,159,162,165,168,171,174,177,180,187,194,200,206},{0,10,20,30,40,50,60,62,64,66,68,70,72,74,76,78,80,85,90,95,100})</f>
        <v>74</v>
      </c>
      <c r="I52" s="27">
        <v>50</v>
      </c>
      <c r="J52" s="29">
        <f>LOOKUP(I52,{0,15,17,19,21,23,25,27,29,31,33,35,37,39,41,43,45,48,51,53,55},{0,10,20,30,40,50,60,62,64,66,68,70,72,74,76,78,80,85,90,95,100})</f>
        <v>85</v>
      </c>
      <c r="K52" s="35"/>
      <c r="L52" s="35"/>
      <c r="M52" s="35">
        <f t="shared" si="0"/>
        <v>85</v>
      </c>
      <c r="N52" s="35">
        <v>9.2</v>
      </c>
      <c r="O52" s="36">
        <f t="shared" si="1"/>
        <v>8.8</v>
      </c>
      <c r="P52" s="29">
        <f>LOOKUP(O52,{0,6.6,6.8,7,7.2,7.4,7.6,7.8,8,8.2,8.4,8.6,8.8,9,9.2,9.4,9.6,9.9,10.2,10.3,10.4},{0,10,20,30,40,50,60,62,64,66,68,70,72,74,76,78,80,85,90,95,100})</f>
        <v>72</v>
      </c>
      <c r="Q52" s="5">
        <v>3.58</v>
      </c>
      <c r="R52" s="36">
        <f t="shared" si="2"/>
        <v>6.42</v>
      </c>
      <c r="S52" s="29">
        <f>LOOKUP(R52,{0,4.74,4.84,4.94,5.44,5.54,5.64,5.69,5.74,5.79,5.84,5.89,5.94,5.99,6.44,6.49,6.54,6.61,6.68,6.74,6.8},{0,10,20,30,40,50,60,62,64,66,68,70,72,74,76,78,80,85,90,95,100})</f>
        <v>74</v>
      </c>
      <c r="T52" s="27"/>
      <c r="U52" s="27"/>
      <c r="V52" s="27">
        <f t="shared" si="3"/>
        <v>74</v>
      </c>
      <c r="W52" s="27"/>
      <c r="X52" s="19">
        <f t="shared" si="4"/>
        <v>54.6</v>
      </c>
      <c r="Y52" s="13">
        <f t="shared" si="5"/>
        <v>78</v>
      </c>
    </row>
    <row r="53" ht="15.6" spans="1:25">
      <c r="A53" s="27">
        <v>313</v>
      </c>
      <c r="B53" s="27">
        <v>18</v>
      </c>
      <c r="C53" s="28" t="s">
        <v>646</v>
      </c>
      <c r="D53" s="28" t="s">
        <v>46</v>
      </c>
      <c r="E53" s="27">
        <v>27</v>
      </c>
      <c r="F53" s="29">
        <f>LOOKUP(E53,{0,1.5,2.3,3.1,3.9,4.7,5.5,6.8,8.1,9.4,10.7,12,13.3,14.6,15.9,17.2,18.5,20.2,21.9,23.6,25.3},{0,10,20,30,40,50,60,62,64,66,68,70,72,74,76,78,80,85,90,95,100})</f>
        <v>100</v>
      </c>
      <c r="G53" s="27">
        <v>188</v>
      </c>
      <c r="H53" s="29">
        <f>LOOKUP(G53,{0,125,130,135,140,145,150,153,156,159,162,165,168,171,174,177,180,187,194,200,206},{0,10,20,30,40,50,60,62,64,66,68,70,72,74,76,78,80,85,90,95,100})</f>
        <v>85</v>
      </c>
      <c r="I53" s="27">
        <v>50</v>
      </c>
      <c r="J53" s="29">
        <f>LOOKUP(I53,{0,15,17,19,21,23,25,27,29,31,33,35,37,39,41,43,45,48,51,53,55},{0,10,20,30,40,50,60,62,64,66,68,70,72,74,76,78,80,85,90,95,100})</f>
        <v>85</v>
      </c>
      <c r="K53" s="35"/>
      <c r="L53" s="35"/>
      <c r="M53" s="35">
        <f t="shared" si="0"/>
        <v>85</v>
      </c>
      <c r="N53" s="35">
        <v>9.1</v>
      </c>
      <c r="O53" s="36">
        <f t="shared" si="1"/>
        <v>8.9</v>
      </c>
      <c r="P53" s="29">
        <f>LOOKUP(O53,{0,6.6,6.8,7,7.2,7.4,7.6,7.8,8,8.2,8.4,8.6,8.8,9,9.2,9.4,9.6,9.9,10.2,10.3,10.4},{0,10,20,30,40,50,60,62,64,66,68,70,72,74,76,78,80,85,90,95,100})</f>
        <v>72</v>
      </c>
      <c r="Q53" s="5">
        <v>4.18</v>
      </c>
      <c r="R53" s="36">
        <f t="shared" si="2"/>
        <v>5.82</v>
      </c>
      <c r="S53" s="29">
        <f>LOOKUP(R53,{0,4.74,4.84,4.94,5.44,5.54,5.64,5.69,5.74,5.79,5.84,5.89,5.94,5.99,6.44,6.49,6.54,6.61,6.68,6.74,6.8},{0,10,20,30,40,50,60,62,64,66,68,70,72,74,76,78,80,85,90,95,100})</f>
        <v>66</v>
      </c>
      <c r="T53" s="27"/>
      <c r="U53" s="27"/>
      <c r="V53" s="27">
        <f t="shared" si="3"/>
        <v>66</v>
      </c>
      <c r="W53" s="27"/>
      <c r="X53" s="19">
        <f t="shared" si="4"/>
        <v>54.6</v>
      </c>
      <c r="Y53" s="13">
        <f t="shared" si="5"/>
        <v>78</v>
      </c>
    </row>
    <row r="54" ht="15.6" spans="1:25">
      <c r="A54" s="27">
        <v>314</v>
      </c>
      <c r="B54" s="27">
        <v>22</v>
      </c>
      <c r="C54" s="28" t="s">
        <v>704</v>
      </c>
      <c r="D54" s="28" t="s">
        <v>46</v>
      </c>
      <c r="E54" s="27">
        <v>24</v>
      </c>
      <c r="F54" s="29">
        <f>LOOKUP(E54,{0,1.5,2.3,3.1,3.9,4.7,5.5,6.8,8.1,9.4,10.7,12,13.3,14.6,15.9,17.2,18.5,20.2,21.9,23.6,25.3},{0,10,20,30,40,50,60,62,64,66,68,70,72,74,76,78,80,85,90,95,100})</f>
        <v>95</v>
      </c>
      <c r="G54" s="27">
        <v>190</v>
      </c>
      <c r="H54" s="29">
        <f>LOOKUP(G54,{0,125,130,135,140,145,150,153,156,159,162,165,168,171,174,177,180,187,194,200,206},{0,10,20,30,40,50,60,62,64,66,68,70,72,74,76,78,80,85,90,95,100})</f>
        <v>85</v>
      </c>
      <c r="I54" s="27">
        <v>51</v>
      </c>
      <c r="J54" s="29">
        <f>LOOKUP(I54,{0,15,17,19,21,23,25,27,29,31,33,35,37,39,41,43,45,48,51,53,55},{0,10,20,30,40,50,60,62,64,66,68,70,72,74,76,78,80,85,90,95,100})</f>
        <v>90</v>
      </c>
      <c r="K54" s="35"/>
      <c r="L54" s="35"/>
      <c r="M54" s="35">
        <f t="shared" si="0"/>
        <v>90</v>
      </c>
      <c r="N54" s="35">
        <v>8.6</v>
      </c>
      <c r="O54" s="36">
        <f t="shared" si="1"/>
        <v>9.4</v>
      </c>
      <c r="P54" s="29">
        <f>LOOKUP(O54,{0,6.6,6.8,7,7.2,7.4,7.6,7.8,8,8.2,8.4,8.6,8.8,9,9.2,9.4,9.6,9.9,10.2,10.3,10.4},{0,10,20,30,40,50,60,62,64,66,68,70,72,74,76,78,80,85,90,95,100})</f>
        <v>78</v>
      </c>
      <c r="Q54" s="5">
        <v>4.32</v>
      </c>
      <c r="R54" s="36">
        <f t="shared" si="2"/>
        <v>5.68</v>
      </c>
      <c r="S54" s="29">
        <f>LOOKUP(R54,{0,4.74,4.84,4.94,5.44,5.54,5.64,5.69,5.74,5.79,5.84,5.89,5.94,5.99,6.44,6.49,6.54,6.61,6.68,6.74,6.8},{0,10,20,30,40,50,60,62,64,66,68,70,72,74,76,78,80,85,90,95,100})</f>
        <v>60</v>
      </c>
      <c r="T54" s="27"/>
      <c r="U54" s="27"/>
      <c r="V54" s="27">
        <f t="shared" si="3"/>
        <v>60</v>
      </c>
      <c r="W54" s="27"/>
      <c r="X54" s="19">
        <f t="shared" si="4"/>
        <v>54.6</v>
      </c>
      <c r="Y54" s="13">
        <f t="shared" si="5"/>
        <v>78</v>
      </c>
    </row>
    <row r="55" ht="15.6" spans="1:25">
      <c r="A55" s="27">
        <v>316</v>
      </c>
      <c r="B55" s="27">
        <v>48</v>
      </c>
      <c r="C55" s="28" t="s">
        <v>839</v>
      </c>
      <c r="D55" s="28" t="s">
        <v>46</v>
      </c>
      <c r="E55" s="27">
        <v>20.6</v>
      </c>
      <c r="F55" s="29">
        <f>LOOKUP(E55,{0,1.5,2.3,3.1,3.9,4.7,5.5,6.8,8.1,9.4,10.7,12,13.3,14.6,15.9,17.2,18.5,20.2,21.9,23.6,25.3},{0,10,20,30,40,50,60,62,64,66,68,70,72,74,76,78,80,85,90,95,100})</f>
        <v>85</v>
      </c>
      <c r="G55" s="27">
        <v>175</v>
      </c>
      <c r="H55" s="29">
        <f>LOOKUP(G55,{0,125,130,135,140,145,150,153,156,159,162,165,168,171,174,177,180,187,194,200,206},{0,10,20,30,40,50,60,62,64,66,68,70,72,74,76,78,80,85,90,95,100})</f>
        <v>76</v>
      </c>
      <c r="I55" s="27">
        <v>47</v>
      </c>
      <c r="J55" s="29">
        <f>LOOKUP(I55,{0,15,17,19,21,23,25,27,29,31,33,35,37,39,41,43,45,48,51,53,55},{0,10,20,30,40,50,60,62,64,66,68,70,72,74,76,78,80,85,90,95,100})</f>
        <v>80</v>
      </c>
      <c r="K55" s="35"/>
      <c r="L55" s="35"/>
      <c r="M55" s="35">
        <f t="shared" si="0"/>
        <v>80</v>
      </c>
      <c r="N55" s="35">
        <v>9</v>
      </c>
      <c r="O55" s="36">
        <f t="shared" si="1"/>
        <v>9</v>
      </c>
      <c r="P55" s="29">
        <f>LOOKUP(O55,{0,6.6,6.8,7,7.2,7.4,7.6,7.8,8,8.2,8.4,8.6,8.8,9,9.2,9.4,9.6,9.9,10.2,10.3,10.4},{0,10,20,30,40,50,60,62,64,66,68,70,72,74,76,78,80,85,90,95,100})</f>
        <v>74</v>
      </c>
      <c r="Q55" s="5">
        <v>3.48</v>
      </c>
      <c r="R55" s="36">
        <f t="shared" si="2"/>
        <v>6.52</v>
      </c>
      <c r="S55" s="29">
        <f>LOOKUP(R55,{0,4.74,4.84,4.94,5.44,5.54,5.64,5.69,5.74,5.79,5.84,5.89,5.94,5.99,6.44,6.49,6.54,6.61,6.68,6.74,6.8},{0,10,20,30,40,50,60,62,64,66,68,70,72,74,76,78,80,85,90,95,100})</f>
        <v>78</v>
      </c>
      <c r="T55" s="27"/>
      <c r="U55" s="27"/>
      <c r="V55" s="27">
        <f t="shared" si="3"/>
        <v>78</v>
      </c>
      <c r="W55" s="27"/>
      <c r="X55" s="19">
        <f t="shared" si="4"/>
        <v>54.5</v>
      </c>
      <c r="Y55" s="13">
        <f t="shared" si="5"/>
        <v>77.8571428571429</v>
      </c>
    </row>
    <row r="56" ht="15.6" spans="1:25">
      <c r="A56" s="27">
        <v>301</v>
      </c>
      <c r="B56" s="27">
        <v>36</v>
      </c>
      <c r="C56" s="27" t="s">
        <v>49</v>
      </c>
      <c r="D56" s="27" t="s">
        <v>46</v>
      </c>
      <c r="E56" s="27">
        <v>16.3</v>
      </c>
      <c r="F56" s="29">
        <f>LOOKUP(E56,{0,1.5,2.3,3.1,3.9,4.7,5.5,6.8,8.1,9.4,10.7,12,13.3,14.6,15.9,17.2,18.5,20.2,21.9,23.6,25.3},{0,10,20,30,40,50,60,62,64,66,68,70,72,74,76,78,80,85,90,95,100})</f>
        <v>76</v>
      </c>
      <c r="G56" s="27">
        <v>196</v>
      </c>
      <c r="H56" s="29">
        <f>LOOKUP(G56,{0,125,130,135,140,145,150,153,156,159,162,165,168,171,174,177,180,187,194,200,206},{0,10,20,30,40,50,60,62,64,66,68,70,72,74,76,78,80,85,90,95,100})</f>
        <v>90</v>
      </c>
      <c r="I56" s="27">
        <v>43</v>
      </c>
      <c r="J56" s="29">
        <f>LOOKUP(I56,{0,15,17,19,21,23,25,27,29,31,33,35,37,39,41,43,45,48,51,53,55},{0,10,20,30,40,50,60,62,64,66,68,70,72,74,76,78,80,85,90,95,100})</f>
        <v>78</v>
      </c>
      <c r="K56" s="35"/>
      <c r="L56" s="35"/>
      <c r="M56" s="35">
        <f t="shared" si="0"/>
        <v>78</v>
      </c>
      <c r="N56" s="35">
        <v>8.5</v>
      </c>
      <c r="O56" s="36">
        <f t="shared" si="1"/>
        <v>9.5</v>
      </c>
      <c r="P56" s="29">
        <f>LOOKUP(O56,{0,6.6,6.8,7,7.2,7.4,7.6,7.8,8,8.2,8.4,8.6,8.8,9,9.2,9.4,9.6,9.9,10.2,10.3,10.4},{0,10,20,30,40,50,60,62,64,66,68,70,72,74,76,78,80,85,90,95,100})</f>
        <v>78</v>
      </c>
      <c r="Q56" s="5">
        <v>4.03</v>
      </c>
      <c r="R56" s="36">
        <f t="shared" si="2"/>
        <v>5.97</v>
      </c>
      <c r="S56" s="29">
        <f>LOOKUP(R56,{0,4.74,4.84,4.94,5.44,5.54,5.64,5.69,5.74,5.79,5.84,5.89,5.94,5.99,6.44,6.49,6.54,6.61,6.68,6.74,6.8},{0,10,20,30,40,50,60,62,64,66,68,70,72,74,76,78,80,85,90,95,100})</f>
        <v>72</v>
      </c>
      <c r="T56" s="27"/>
      <c r="U56" s="27"/>
      <c r="V56" s="27">
        <f t="shared" si="3"/>
        <v>72</v>
      </c>
      <c r="W56" s="27"/>
      <c r="X56" s="19">
        <f t="shared" si="4"/>
        <v>54.4</v>
      </c>
      <c r="Y56" s="13">
        <f t="shared" si="5"/>
        <v>77.7142857142857</v>
      </c>
    </row>
    <row r="57" ht="15.6" spans="1:25">
      <c r="A57" s="27">
        <v>315</v>
      </c>
      <c r="B57" s="27">
        <v>12</v>
      </c>
      <c r="C57" s="28" t="s">
        <v>745</v>
      </c>
      <c r="D57" s="28" t="s">
        <v>46</v>
      </c>
      <c r="E57" s="27">
        <v>16.1</v>
      </c>
      <c r="F57" s="29">
        <f>LOOKUP(E57,{0,1.5,2.3,3.1,3.9,4.7,5.5,6.8,8.1,9.4,10.7,12,13.3,14.6,15.9,17.2,18.5,20.2,21.9,23.6,25.3},{0,10,20,30,40,50,60,62,64,66,68,70,72,74,76,78,80,85,90,95,100})</f>
        <v>76</v>
      </c>
      <c r="G57" s="27">
        <v>157</v>
      </c>
      <c r="H57" s="29">
        <f>LOOKUP(G57,{0,125,130,135,140,145,150,153,156,159,162,165,168,171,174,177,180,187,194,200,206},{0,10,20,30,40,50,60,62,64,66,68,70,72,74,76,78,80,85,90,95,100})</f>
        <v>64</v>
      </c>
      <c r="I57" s="27">
        <v>57</v>
      </c>
      <c r="J57" s="29">
        <f>LOOKUP(I57,{0,15,17,19,21,23,25,27,29,31,33,35,37,39,41,43,45,48,51,53,55},{0,10,20,30,40,50,60,62,64,66,68,70,72,74,76,78,80,85,90,95,100})</f>
        <v>100</v>
      </c>
      <c r="K57" s="34">
        <f>I57-55</f>
        <v>2</v>
      </c>
      <c r="L57" s="29">
        <f>LOOKUP(K57,{0,2,4,6,7,8,9,10,11,12,13},{0,1,2,3,4,5,6,7,8,9,10})</f>
        <v>1</v>
      </c>
      <c r="M57" s="35">
        <f t="shared" si="0"/>
        <v>101</v>
      </c>
      <c r="N57" s="35">
        <v>8.8</v>
      </c>
      <c r="O57" s="36">
        <f t="shared" si="1"/>
        <v>9.2</v>
      </c>
      <c r="P57" s="29">
        <f>LOOKUP(O57,{0,6.6,6.8,7,7.2,7.4,7.6,7.8,8,8.2,8.4,8.6,8.8,9,9.2,9.4,9.6,9.9,10.2,10.3,10.4},{0,10,20,30,40,50,60,62,64,66,68,70,72,74,76,78,80,85,90,95,100})</f>
        <v>76</v>
      </c>
      <c r="Q57" s="5">
        <v>4.02</v>
      </c>
      <c r="R57" s="36">
        <f t="shared" si="2"/>
        <v>5.98</v>
      </c>
      <c r="S57" s="29">
        <f>LOOKUP(R57,{0,4.74,4.84,4.94,5.44,5.54,5.64,5.69,5.74,5.79,5.84,5.89,5.94,5.99,6.44,6.49,6.54,6.61,6.68,6.74,6.8},{0,10,20,30,40,50,60,62,64,66,68,70,72,74,76,78,80,85,90,95,100})</f>
        <v>72</v>
      </c>
      <c r="T57" s="27"/>
      <c r="U57" s="27"/>
      <c r="V57" s="27">
        <f t="shared" si="3"/>
        <v>72</v>
      </c>
      <c r="W57" s="27"/>
      <c r="X57" s="19">
        <f t="shared" si="4"/>
        <v>53.6</v>
      </c>
      <c r="Y57" s="13">
        <f t="shared" si="5"/>
        <v>77.5714285714286</v>
      </c>
    </row>
    <row r="58" ht="15.6" spans="1:25">
      <c r="A58" s="27">
        <v>315</v>
      </c>
      <c r="B58" s="27">
        <v>18</v>
      </c>
      <c r="C58" s="28" t="s">
        <v>751</v>
      </c>
      <c r="D58" s="28" t="s">
        <v>46</v>
      </c>
      <c r="E58" s="27">
        <v>15.5</v>
      </c>
      <c r="F58" s="29">
        <f>LOOKUP(E58,{0,1.5,2.3,3.1,3.9,4.7,5.5,6.8,8.1,9.4,10.7,12,13.3,14.6,15.9,17.2,18.5,20.2,21.9,23.6,25.3},{0,10,20,30,40,50,60,62,64,66,68,70,72,74,76,78,80,85,90,95,100})</f>
        <v>74</v>
      </c>
      <c r="G58" s="27">
        <v>152</v>
      </c>
      <c r="H58" s="29">
        <f>LOOKUP(G58,{0,125,130,135,140,145,150,153,156,159,162,165,168,171,174,177,180,187,194,200,206},{0,10,20,30,40,50,60,62,64,66,68,70,72,74,76,78,80,85,90,95,100})</f>
        <v>60</v>
      </c>
      <c r="I58" s="27">
        <v>65</v>
      </c>
      <c r="J58" s="29">
        <f>LOOKUP(I58,{0,15,17,19,21,23,25,27,29,31,33,35,37,39,41,43,45,48,51,53,55},{0,10,20,30,40,50,60,62,64,66,68,70,72,74,76,78,80,85,90,95,100})</f>
        <v>100</v>
      </c>
      <c r="K58" s="34">
        <f>I58-55</f>
        <v>10</v>
      </c>
      <c r="L58" s="29">
        <f>LOOKUP(K58,{0,2,4,6,7,8,9,10,11,12,13},{0,1,2,3,4,5,6,7,8,9,10})</f>
        <v>7</v>
      </c>
      <c r="M58" s="35">
        <f t="shared" si="0"/>
        <v>107</v>
      </c>
      <c r="N58" s="35">
        <v>9.4</v>
      </c>
      <c r="O58" s="36">
        <f t="shared" si="1"/>
        <v>8.6</v>
      </c>
      <c r="P58" s="29">
        <f>LOOKUP(O58,{0,6.6,6.8,7,7.2,7.4,7.6,7.8,8,8.2,8.4,8.6,8.8,9,9.2,9.4,9.6,9.9,10.2,10.3,10.4},{0,10,20,30,40,50,60,62,64,66,68,70,72,74,76,78,80,85,90,95,100})</f>
        <v>70</v>
      </c>
      <c r="Q58" s="5">
        <v>4.34</v>
      </c>
      <c r="R58" s="36">
        <f t="shared" si="2"/>
        <v>5.66</v>
      </c>
      <c r="S58" s="29">
        <f>LOOKUP(R58,{0,4.74,4.84,4.94,5.44,5.54,5.64,5.69,5.74,5.79,5.84,5.89,5.94,5.99,6.44,6.49,6.54,6.61,6.68,6.74,6.8},{0,10,20,30,40,50,60,62,64,66,68,70,72,74,76,78,80,85,90,95,100})</f>
        <v>60</v>
      </c>
      <c r="T58" s="27"/>
      <c r="U58" s="27"/>
      <c r="V58" s="27">
        <f t="shared" si="3"/>
        <v>60</v>
      </c>
      <c r="W58" s="27"/>
      <c r="X58" s="19">
        <f t="shared" si="4"/>
        <v>49.4</v>
      </c>
      <c r="Y58" s="13">
        <f t="shared" si="5"/>
        <v>77.5714285714286</v>
      </c>
    </row>
    <row r="59" ht="15.6" spans="1:25">
      <c r="A59" s="27">
        <v>309</v>
      </c>
      <c r="B59" s="27">
        <v>43</v>
      </c>
      <c r="C59" s="28" t="s">
        <v>451</v>
      </c>
      <c r="D59" s="28" t="s">
        <v>46</v>
      </c>
      <c r="E59" s="27">
        <v>31.6</v>
      </c>
      <c r="F59" s="29">
        <f>LOOKUP(E59,{0,1.5,2.3,3.1,3.9,4.7,5.5,6.8,8.1,9.4,10.7,12,13.3,14.6,15.9,17.2,18.5,20.2,21.9,23.6,25.3},{0,10,20,30,40,50,60,62,64,66,68,70,72,74,76,78,80,85,90,95,100})</f>
        <v>100</v>
      </c>
      <c r="G59" s="27">
        <v>185</v>
      </c>
      <c r="H59" s="29">
        <f>LOOKUP(G59,{0,125,130,135,140,145,150,153,156,159,162,165,168,171,174,177,180,187,194,200,206},{0,10,20,30,40,50,60,62,64,66,68,70,72,74,76,78,80,85,90,95,100})</f>
        <v>80</v>
      </c>
      <c r="I59" s="27">
        <v>36</v>
      </c>
      <c r="J59" s="29">
        <f>LOOKUP(I59,{0,15,17,19,21,23,25,27,29,31,33,35,37,39,41,43,45,48,51,53,55},{0,10,20,30,40,50,60,62,64,66,68,70,72,74,76,78,80,85,90,95,100})</f>
        <v>70</v>
      </c>
      <c r="K59" s="35"/>
      <c r="L59" s="35"/>
      <c r="M59" s="35">
        <f t="shared" si="0"/>
        <v>70</v>
      </c>
      <c r="N59" s="35">
        <v>9.1</v>
      </c>
      <c r="O59" s="36">
        <f t="shared" si="1"/>
        <v>8.9</v>
      </c>
      <c r="P59" s="29">
        <f>LOOKUP(O59,{0,6.6,6.8,7,7.2,7.4,7.6,7.8,8,8.2,8.4,8.6,8.8,9,9.2,9.4,9.6,9.9,10.2,10.3,10.4},{0,10,20,30,40,50,60,62,64,66,68,70,72,74,76,78,80,85,90,95,100})</f>
        <v>72</v>
      </c>
      <c r="Q59" s="5">
        <v>4.01</v>
      </c>
      <c r="R59" s="36">
        <f t="shared" si="2"/>
        <v>5.99</v>
      </c>
      <c r="S59" s="29">
        <f>LOOKUP(R59,{0,4.74,4.84,4.94,5.44,5.54,5.64,5.69,5.74,5.79,5.84,5.89,5.94,5.99,6.44,6.49,6.54,6.61,6.68,6.74,6.8},{0,10,20,30,40,50,60,62,64,66,68,70,72,74,76,78,80,85,90,95,100})</f>
        <v>74</v>
      </c>
      <c r="T59" s="27"/>
      <c r="U59" s="27"/>
      <c r="V59" s="27">
        <f t="shared" si="3"/>
        <v>74</v>
      </c>
      <c r="W59" s="27"/>
      <c r="X59" s="19">
        <f t="shared" si="4"/>
        <v>54.2</v>
      </c>
      <c r="Y59" s="13">
        <f t="shared" si="5"/>
        <v>77.4285714285714</v>
      </c>
    </row>
    <row r="60" ht="15.6" spans="1:25">
      <c r="A60" s="27">
        <v>312</v>
      </c>
      <c r="B60" s="27">
        <v>44</v>
      </c>
      <c r="C60" s="28" t="s">
        <v>620</v>
      </c>
      <c r="D60" s="28" t="s">
        <v>46</v>
      </c>
      <c r="E60" s="27">
        <v>21</v>
      </c>
      <c r="F60" s="29">
        <f>LOOKUP(E60,{0,1.5,2.3,3.1,3.9,4.7,5.5,6.8,8.1,9.4,10.7,12,13.3,14.6,15.9,17.2,18.5,20.2,21.9,23.6,25.3},{0,10,20,30,40,50,60,62,64,66,68,70,72,74,76,78,80,85,90,95,100})</f>
        <v>85</v>
      </c>
      <c r="G60" s="27">
        <v>167</v>
      </c>
      <c r="H60" s="29">
        <f>LOOKUP(G60,{0,125,130,135,140,145,150,153,156,159,162,165,168,171,174,177,180,187,194,200,206},{0,10,20,30,40,50,60,62,64,66,68,70,72,74,76,78,80,85,90,95,100})</f>
        <v>70</v>
      </c>
      <c r="I60" s="27">
        <v>53</v>
      </c>
      <c r="J60" s="29">
        <f>LOOKUP(I60,{0,15,17,19,21,23,25,27,29,31,33,35,37,39,41,43,45,48,51,53,55},{0,10,20,30,40,50,60,62,64,66,68,70,72,74,76,78,80,85,90,95,100})</f>
        <v>95</v>
      </c>
      <c r="K60" s="35"/>
      <c r="L60" s="35"/>
      <c r="M60" s="35">
        <f t="shared" si="0"/>
        <v>95</v>
      </c>
      <c r="N60" s="35">
        <v>8.6</v>
      </c>
      <c r="O60" s="36">
        <f t="shared" si="1"/>
        <v>9.4</v>
      </c>
      <c r="P60" s="29">
        <f>LOOKUP(O60,{0,6.6,6.8,7,7.2,7.4,7.6,7.8,8,8.2,8.4,8.6,8.8,9,9.2,9.4,9.6,9.9,10.2,10.3,10.4},{0,10,20,30,40,50,60,62,64,66,68,70,72,74,76,78,80,85,90,95,100})</f>
        <v>78</v>
      </c>
      <c r="Q60" s="5">
        <v>4.12</v>
      </c>
      <c r="R60" s="36">
        <f t="shared" si="2"/>
        <v>5.88</v>
      </c>
      <c r="S60" s="29">
        <f>LOOKUP(R60,{0,4.74,4.84,4.94,5.44,5.54,5.64,5.69,5.74,5.79,5.84,5.89,5.94,5.99,6.44,6.49,6.54,6.61,6.68,6.74,6.8},{0,10,20,30,40,50,60,62,64,66,68,70,72,74,76,78,80,85,90,95,100})</f>
        <v>68</v>
      </c>
      <c r="T60" s="27"/>
      <c r="U60" s="27"/>
      <c r="V60" s="27">
        <f t="shared" si="3"/>
        <v>68</v>
      </c>
      <c r="W60" s="27"/>
      <c r="X60" s="19">
        <f t="shared" si="4"/>
        <v>54.2</v>
      </c>
      <c r="Y60" s="13">
        <f t="shared" si="5"/>
        <v>77.4285714285714</v>
      </c>
    </row>
    <row r="61" ht="15.6" spans="1:25">
      <c r="A61" s="27">
        <v>313</v>
      </c>
      <c r="B61" s="27">
        <v>21</v>
      </c>
      <c r="C61" s="28" t="s">
        <v>649</v>
      </c>
      <c r="D61" s="28" t="s">
        <v>46</v>
      </c>
      <c r="E61" s="27">
        <v>18.5</v>
      </c>
      <c r="F61" s="29">
        <f>LOOKUP(E61,{0,1.5,2.3,3.1,3.9,4.7,5.5,6.8,8.1,9.4,10.7,12,13.3,14.6,15.9,17.2,18.5,20.2,21.9,23.6,25.3},{0,10,20,30,40,50,60,62,64,66,68,70,72,74,76,78,80,85,90,95,100})</f>
        <v>80</v>
      </c>
      <c r="G61" s="27">
        <v>175</v>
      </c>
      <c r="H61" s="29">
        <f>LOOKUP(G61,{0,125,130,135,140,145,150,153,156,159,162,165,168,171,174,177,180,187,194,200,206},{0,10,20,30,40,50,60,62,64,66,68,70,72,74,76,78,80,85,90,95,100})</f>
        <v>76</v>
      </c>
      <c r="I61" s="27">
        <v>44</v>
      </c>
      <c r="J61" s="29">
        <f>LOOKUP(I61,{0,15,17,19,21,23,25,27,29,31,33,35,37,39,41,43,45,48,51,53,55},{0,10,20,30,40,50,60,62,64,66,68,70,72,74,76,78,80,85,90,95,100})</f>
        <v>78</v>
      </c>
      <c r="K61" s="35"/>
      <c r="L61" s="35"/>
      <c r="M61" s="35">
        <f t="shared" si="0"/>
        <v>78</v>
      </c>
      <c r="N61" s="35">
        <v>8.7</v>
      </c>
      <c r="O61" s="36">
        <f t="shared" si="1"/>
        <v>9.3</v>
      </c>
      <c r="P61" s="29">
        <f>LOOKUP(O61,{0,6.6,6.8,7,7.2,7.4,7.6,7.8,8,8.2,8.4,8.6,8.8,9,9.2,9.4,9.6,9.9,10.2,10.3,10.4},{0,10,20,30,40,50,60,62,64,66,68,70,72,74,76,78,80,85,90,95,100})</f>
        <v>76</v>
      </c>
      <c r="Q61" s="5">
        <v>3.47</v>
      </c>
      <c r="R61" s="36">
        <f t="shared" si="2"/>
        <v>6.53</v>
      </c>
      <c r="S61" s="29">
        <f>LOOKUP(R61,{0,4.74,4.84,4.94,5.44,5.54,5.64,5.69,5.74,5.79,5.84,5.89,5.94,5.99,6.44,6.49,6.54,6.61,6.68,6.74,6.8},{0,10,20,30,40,50,60,62,64,66,68,70,72,74,76,78,80,85,90,95,100})</f>
        <v>78</v>
      </c>
      <c r="T61" s="27"/>
      <c r="U61" s="27"/>
      <c r="V61" s="27">
        <f t="shared" si="3"/>
        <v>78</v>
      </c>
      <c r="W61" s="27"/>
      <c r="X61" s="19">
        <f t="shared" si="4"/>
        <v>54.2</v>
      </c>
      <c r="Y61" s="13">
        <f t="shared" si="5"/>
        <v>77.4285714285714</v>
      </c>
    </row>
    <row r="62" ht="15.6" spans="1:25">
      <c r="A62" s="27">
        <v>308</v>
      </c>
      <c r="B62" s="27">
        <v>23</v>
      </c>
      <c r="C62" s="28" t="s">
        <v>376</v>
      </c>
      <c r="D62" s="28" t="s">
        <v>46</v>
      </c>
      <c r="E62" s="27">
        <v>15.5</v>
      </c>
      <c r="F62" s="29">
        <f>LOOKUP(E62,{0,1.5,2.3,3.1,3.9,4.7,5.5,6.8,8.1,9.4,10.7,12,13.3,14.6,15.9,17.2,18.5,20.2,21.9,23.6,25.3},{0,10,20,30,40,50,60,62,64,66,68,70,72,74,76,78,80,85,90,95,100})</f>
        <v>74</v>
      </c>
      <c r="G62" s="27">
        <v>200</v>
      </c>
      <c r="H62" s="29">
        <f>LOOKUP(G62,{0,125,130,135,140,145,150,153,156,159,162,165,168,171,174,177,180,187,194,200,206},{0,10,20,30,40,50,60,62,64,66,68,70,72,74,76,78,80,85,90,95,100})</f>
        <v>95</v>
      </c>
      <c r="I62" s="27">
        <v>46</v>
      </c>
      <c r="J62" s="29">
        <f>LOOKUP(I62,{0,15,17,19,21,23,25,27,29,31,33,35,37,39,41,43,45,48,51,53,55},{0,10,20,30,40,50,60,62,64,66,68,70,72,74,76,78,80,85,90,95,100})</f>
        <v>80</v>
      </c>
      <c r="K62" s="35"/>
      <c r="L62" s="35"/>
      <c r="M62" s="35">
        <f t="shared" si="0"/>
        <v>80</v>
      </c>
      <c r="N62" s="35">
        <v>8.7</v>
      </c>
      <c r="O62" s="36">
        <f t="shared" si="1"/>
        <v>9.3</v>
      </c>
      <c r="P62" s="29">
        <f>LOOKUP(O62,{0,6.6,6.8,7,7.2,7.4,7.6,7.8,8,8.2,8.4,8.6,8.8,9,9.2,9.4,9.6,9.9,10.2,10.3,10.4},{0,10,20,30,40,50,60,62,64,66,68,70,72,74,76,78,80,85,90,95,100})</f>
        <v>76</v>
      </c>
      <c r="Q62" s="5">
        <v>4.08</v>
      </c>
      <c r="R62" s="36">
        <f t="shared" si="2"/>
        <v>5.92</v>
      </c>
      <c r="S62" s="29">
        <f>LOOKUP(R62,{0,4.74,4.84,4.94,5.44,5.54,5.64,5.69,5.74,5.79,5.84,5.89,5.94,5.99,6.44,6.49,6.54,6.61,6.68,6.74,6.8},{0,10,20,30,40,50,60,62,64,66,68,70,72,74,76,78,80,85,90,95,100})</f>
        <v>70</v>
      </c>
      <c r="T62" s="27"/>
      <c r="U62" s="27"/>
      <c r="V62" s="27">
        <f t="shared" si="3"/>
        <v>70</v>
      </c>
      <c r="W62" s="27"/>
      <c r="X62" s="19">
        <f t="shared" si="4"/>
        <v>54.1</v>
      </c>
      <c r="Y62" s="13">
        <f t="shared" si="5"/>
        <v>77.2857142857143</v>
      </c>
    </row>
    <row r="63" ht="15.6" spans="1:25">
      <c r="A63" s="27">
        <v>315</v>
      </c>
      <c r="B63" s="27">
        <v>15</v>
      </c>
      <c r="C63" s="28" t="s">
        <v>748</v>
      </c>
      <c r="D63" s="28" t="s">
        <v>46</v>
      </c>
      <c r="E63" s="27">
        <v>24.5</v>
      </c>
      <c r="F63" s="29">
        <f>LOOKUP(E63,{0,1.5,2.3,3.1,3.9,4.7,5.5,6.8,8.1,9.4,10.7,12,13.3,14.6,15.9,17.2,18.5,20.2,21.9,23.6,25.3},{0,10,20,30,40,50,60,62,64,66,68,70,72,74,76,78,80,85,90,95,100})</f>
        <v>95</v>
      </c>
      <c r="G63" s="27">
        <v>198</v>
      </c>
      <c r="H63" s="29">
        <f>LOOKUP(G63,{0,125,130,135,140,145,150,153,156,159,162,165,168,171,174,177,180,187,194,200,206},{0,10,20,30,40,50,60,62,64,66,68,70,72,74,76,78,80,85,90,95,100})</f>
        <v>90</v>
      </c>
      <c r="I63" s="27">
        <v>42</v>
      </c>
      <c r="J63" s="29">
        <f>LOOKUP(I63,{0,15,17,19,21,23,25,27,29,31,33,35,37,39,41,43,45,48,51,53,55},{0,10,20,30,40,50,60,62,64,66,68,70,72,74,76,78,80,85,90,95,100})</f>
        <v>76</v>
      </c>
      <c r="K63" s="35"/>
      <c r="L63" s="35"/>
      <c r="M63" s="35">
        <f t="shared" si="0"/>
        <v>76</v>
      </c>
      <c r="N63" s="35">
        <v>8.4</v>
      </c>
      <c r="O63" s="36">
        <f t="shared" si="1"/>
        <v>9.6</v>
      </c>
      <c r="P63" s="29">
        <f>LOOKUP(O63,{0,6.6,6.8,7,7.2,7.4,7.6,7.8,8,8.2,8.4,8.6,8.8,9,9.2,9.4,9.6,9.9,10.2,10.3,10.4},{0,10,20,30,40,50,60,62,64,66,68,70,72,74,76,78,80,85,90,95,100})</f>
        <v>80</v>
      </c>
      <c r="Q63" s="5">
        <v>4.34</v>
      </c>
      <c r="R63" s="36">
        <f t="shared" si="2"/>
        <v>5.66</v>
      </c>
      <c r="S63" s="29">
        <f>LOOKUP(R63,{0,4.74,4.84,4.94,5.44,5.54,5.64,5.69,5.74,5.79,5.84,5.89,5.94,5.99,6.44,6.49,6.54,6.61,6.68,6.74,6.8},{0,10,20,30,40,50,60,62,64,66,68,70,72,74,76,78,80,85,90,95,100})</f>
        <v>60</v>
      </c>
      <c r="T63" s="27"/>
      <c r="U63" s="27"/>
      <c r="V63" s="27">
        <f t="shared" si="3"/>
        <v>60</v>
      </c>
      <c r="W63" s="27"/>
      <c r="X63" s="19">
        <f t="shared" si="4"/>
        <v>54.1</v>
      </c>
      <c r="Y63" s="13">
        <f t="shared" si="5"/>
        <v>77.2857142857143</v>
      </c>
    </row>
    <row r="64" ht="15.6" spans="1:25">
      <c r="A64" s="27">
        <v>315</v>
      </c>
      <c r="B64" s="27">
        <v>40</v>
      </c>
      <c r="C64" s="30" t="s">
        <v>776</v>
      </c>
      <c r="D64" s="28" t="s">
        <v>46</v>
      </c>
      <c r="E64" s="27">
        <v>27</v>
      </c>
      <c r="F64" s="29">
        <f>LOOKUP(E64,{0,1.5,2.3,3.1,3.9,4.7,5.5,6.8,8.1,9.4,10.7,12,13.3,14.6,15.9,17.2,18.5,20.2,21.9,23.6,25.3},{0,10,20,30,40,50,60,62,64,66,68,70,72,74,76,78,80,85,90,95,100})</f>
        <v>100</v>
      </c>
      <c r="G64" s="27">
        <v>160</v>
      </c>
      <c r="H64" s="29">
        <f>LOOKUP(G64,{0,125,130,135,140,145,150,153,156,159,162,165,168,171,174,177,180,187,194,200,206},{0,10,20,30,40,50,60,62,64,66,68,70,72,74,76,78,80,85,90,95,100})</f>
        <v>66</v>
      </c>
      <c r="I64" s="27">
        <v>58</v>
      </c>
      <c r="J64" s="29">
        <f>LOOKUP(I64,{0,15,17,19,21,23,25,27,29,31,33,35,37,39,41,43,45,48,51,53,55},{0,10,20,30,40,50,60,62,64,66,68,70,72,74,76,78,80,85,90,95,100})</f>
        <v>100</v>
      </c>
      <c r="K64" s="34">
        <f>I64-55</f>
        <v>3</v>
      </c>
      <c r="L64" s="29">
        <f>LOOKUP(K64,{0,2,4,6,7,8,9,10,11,12,13},{0,1,2,3,4,5,6,7,8,9,10})</f>
        <v>1</v>
      </c>
      <c r="M64" s="35">
        <f t="shared" si="0"/>
        <v>101</v>
      </c>
      <c r="N64" s="35">
        <v>9.6</v>
      </c>
      <c r="O64" s="36">
        <f t="shared" si="1"/>
        <v>8.4</v>
      </c>
      <c r="P64" s="29">
        <f>LOOKUP(O64,{0,6.6,6.8,7,7.2,7.4,7.6,7.8,8,8.2,8.4,8.6,8.8,9,9.2,9.4,9.6,9.9,10.2,10.3,10.4},{0,10,20,30,40,50,60,62,64,66,68,70,72,74,76,78,80,85,90,95,100})</f>
        <v>68</v>
      </c>
      <c r="Q64" s="5">
        <v>4.19</v>
      </c>
      <c r="R64" s="36">
        <f t="shared" si="2"/>
        <v>5.81</v>
      </c>
      <c r="S64" s="29">
        <f>LOOKUP(R64,{0,4.74,4.84,4.94,5.44,5.54,5.64,5.69,5.74,5.79,5.84,5.89,5.94,5.99,6.44,6.49,6.54,6.61,6.68,6.74,6.8},{0,10,20,30,40,50,60,62,64,66,68,70,72,74,76,78,80,85,90,95,100})</f>
        <v>66</v>
      </c>
      <c r="T64" s="27"/>
      <c r="U64" s="27"/>
      <c r="V64" s="27">
        <f t="shared" si="3"/>
        <v>66</v>
      </c>
      <c r="W64" s="27"/>
      <c r="X64" s="19">
        <f t="shared" si="4"/>
        <v>53.4</v>
      </c>
      <c r="Y64" s="13">
        <f t="shared" si="5"/>
        <v>77.2857142857143</v>
      </c>
    </row>
    <row r="65" ht="15.6" spans="1:25">
      <c r="A65" s="27">
        <v>306</v>
      </c>
      <c r="B65" s="27">
        <v>44</v>
      </c>
      <c r="C65" s="28" t="s">
        <v>289</v>
      </c>
      <c r="D65" s="28" t="s">
        <v>46</v>
      </c>
      <c r="E65" s="27">
        <v>19.5</v>
      </c>
      <c r="F65" s="29">
        <f>LOOKUP(E65,{0,1.5,2.3,3.1,3.9,4.7,5.5,6.8,8.1,9.4,10.7,12,13.3,14.6,15.9,17.2,18.5,20.2,21.9,23.6,25.3},{0,10,20,30,40,50,60,62,64,66,68,70,72,74,76,78,80,85,90,95,100})</f>
        <v>80</v>
      </c>
      <c r="G65" s="27">
        <v>182</v>
      </c>
      <c r="H65" s="29">
        <f>LOOKUP(G65,{0,125,130,135,140,145,150,153,156,159,162,165,168,171,174,177,180,187,194,200,206},{0,10,20,30,40,50,60,62,64,66,68,70,72,74,76,78,80,85,90,95,100})</f>
        <v>80</v>
      </c>
      <c r="I65" s="27">
        <v>42</v>
      </c>
      <c r="J65" s="29">
        <f>LOOKUP(I65,{0,15,17,19,21,23,25,27,29,31,33,35,37,39,41,43,45,48,51,53,55},{0,10,20,30,40,50,60,62,64,66,68,70,72,74,76,78,80,85,90,95,100})</f>
        <v>76</v>
      </c>
      <c r="K65" s="35"/>
      <c r="L65" s="35"/>
      <c r="M65" s="35">
        <f t="shared" si="0"/>
        <v>76</v>
      </c>
      <c r="N65" s="35">
        <v>8.6</v>
      </c>
      <c r="O65" s="36">
        <f t="shared" si="1"/>
        <v>9.4</v>
      </c>
      <c r="P65" s="29">
        <f>LOOKUP(O65,{0,6.6,6.8,7,7.2,7.4,7.6,7.8,8,8.2,8.4,8.6,8.8,9,9.2,9.4,9.6,9.9,10.2,10.3,10.4},{0,10,20,30,40,50,60,62,64,66,68,70,72,74,76,78,80,85,90,95,100})</f>
        <v>78</v>
      </c>
      <c r="Q65" s="5">
        <v>4.01</v>
      </c>
      <c r="R65" s="36">
        <f t="shared" si="2"/>
        <v>5.99</v>
      </c>
      <c r="S65" s="29">
        <f>LOOKUP(R65,{0,4.74,4.84,4.94,5.44,5.54,5.64,5.69,5.74,5.79,5.84,5.89,5.94,5.99,6.44,6.49,6.54,6.61,6.68,6.74,6.8},{0,10,20,30,40,50,60,62,64,66,68,70,72,74,76,78,80,85,90,95,100})</f>
        <v>74</v>
      </c>
      <c r="T65" s="27"/>
      <c r="U65" s="27"/>
      <c r="V65" s="27">
        <f t="shared" si="3"/>
        <v>74</v>
      </c>
      <c r="W65" s="27"/>
      <c r="X65" s="19">
        <f t="shared" si="4"/>
        <v>54</v>
      </c>
      <c r="Y65" s="13">
        <f t="shared" si="5"/>
        <v>77.1428571428572</v>
      </c>
    </row>
    <row r="66" ht="15.6" spans="1:25">
      <c r="A66" s="27">
        <v>310</v>
      </c>
      <c r="B66" s="27">
        <v>50</v>
      </c>
      <c r="C66" s="28" t="s">
        <v>511</v>
      </c>
      <c r="D66" s="28" t="s">
        <v>46</v>
      </c>
      <c r="E66" s="27">
        <v>13.7</v>
      </c>
      <c r="F66" s="29">
        <f>LOOKUP(E66,{0,1.5,2.3,3.1,3.9,4.7,5.5,6.8,8.1,9.4,10.7,12,13.3,14.6,15.9,17.2,18.5,20.2,21.9,23.6,25.3},{0,10,20,30,40,50,60,62,64,66,68,70,72,74,76,78,80,85,90,95,100})</f>
        <v>72</v>
      </c>
      <c r="G66" s="27">
        <v>186</v>
      </c>
      <c r="H66" s="29">
        <f>LOOKUP(G66,{0,125,130,135,140,145,150,153,156,159,162,165,168,171,174,177,180,187,194,200,206},{0,10,20,30,40,50,60,62,64,66,68,70,72,74,76,78,80,85,90,95,100})</f>
        <v>80</v>
      </c>
      <c r="I66" s="27">
        <v>46</v>
      </c>
      <c r="J66" s="29">
        <f>LOOKUP(I66,{0,15,17,19,21,23,25,27,29,31,33,35,37,39,41,43,45,48,51,53,55},{0,10,20,30,40,50,60,62,64,66,68,70,72,74,76,78,80,85,90,95,100})</f>
        <v>80</v>
      </c>
      <c r="K66" s="35"/>
      <c r="L66" s="35"/>
      <c r="M66" s="35">
        <f t="shared" ref="M66:M129" si="6">J66+L66</f>
        <v>80</v>
      </c>
      <c r="N66" s="35">
        <v>8.2</v>
      </c>
      <c r="O66" s="36">
        <f t="shared" ref="O66:O129" si="7">18-N66</f>
        <v>9.8</v>
      </c>
      <c r="P66" s="29">
        <f>LOOKUP(O66,{0,6.6,6.8,7,7.2,7.4,7.6,7.8,8,8.2,8.4,8.6,8.8,9,9.2,9.4,9.6,9.9,10.2,10.3,10.4},{0,10,20,30,40,50,60,62,64,66,68,70,72,74,76,78,80,85,90,95,100})</f>
        <v>80</v>
      </c>
      <c r="Q66" s="5">
        <v>3.57</v>
      </c>
      <c r="R66" s="36">
        <f t="shared" ref="R66:R129" si="8">10-Q66</f>
        <v>6.43</v>
      </c>
      <c r="S66" s="29">
        <f>LOOKUP(R66,{0,4.74,4.84,4.94,5.44,5.54,5.64,5.69,5.74,5.79,5.84,5.89,5.94,5.99,6.44,6.49,6.54,6.61,6.68,6.74,6.8},{0,10,20,30,40,50,60,62,64,66,68,70,72,74,76,78,80,85,90,95,100})</f>
        <v>74</v>
      </c>
      <c r="T66" s="27"/>
      <c r="U66" s="27"/>
      <c r="V66" s="27">
        <f t="shared" ref="V66:V129" si="9">S66+U66</f>
        <v>74</v>
      </c>
      <c r="W66" s="27"/>
      <c r="X66" s="19">
        <f t="shared" ref="X66:X129" si="10">F66*0.1+H66*0.1+J66*0.1+P66*0.2+S66*0.2</f>
        <v>54</v>
      </c>
      <c r="Y66" s="13">
        <f t="shared" ref="Y66:Y129" si="11">X66/0.7+L66+U66</f>
        <v>77.1428571428572</v>
      </c>
    </row>
    <row r="67" ht="15.6" spans="1:25">
      <c r="A67" s="27">
        <v>313</v>
      </c>
      <c r="B67" s="27">
        <v>22</v>
      </c>
      <c r="C67" s="28" t="s">
        <v>650</v>
      </c>
      <c r="D67" s="28" t="s">
        <v>46</v>
      </c>
      <c r="E67" s="27">
        <v>15.1</v>
      </c>
      <c r="F67" s="29">
        <f>LOOKUP(E67,{0,1.5,2.3,3.1,3.9,4.7,5.5,6.8,8.1,9.4,10.7,12,13.3,14.6,15.9,17.2,18.5,20.2,21.9,23.6,25.3},{0,10,20,30,40,50,60,62,64,66,68,70,72,74,76,78,80,85,90,95,100})</f>
        <v>74</v>
      </c>
      <c r="G67" s="27">
        <v>169</v>
      </c>
      <c r="H67" s="29">
        <f>LOOKUP(G67,{0,125,130,135,140,145,150,153,156,159,162,165,168,171,174,177,180,187,194,200,206},{0,10,20,30,40,50,60,62,64,66,68,70,72,74,76,78,80,85,90,95,100})</f>
        <v>72</v>
      </c>
      <c r="I67" s="27">
        <v>48</v>
      </c>
      <c r="J67" s="29">
        <f>LOOKUP(I67,{0,15,17,19,21,23,25,27,29,31,33,35,37,39,41,43,45,48,51,53,55},{0,10,20,30,40,50,60,62,64,66,68,70,72,74,76,78,80,85,90,95,100})</f>
        <v>85</v>
      </c>
      <c r="K67" s="35"/>
      <c r="L67" s="35"/>
      <c r="M67" s="35">
        <f t="shared" si="6"/>
        <v>85</v>
      </c>
      <c r="N67" s="35">
        <v>8.7</v>
      </c>
      <c r="O67" s="36">
        <f t="shared" si="7"/>
        <v>9.3</v>
      </c>
      <c r="P67" s="29">
        <f>LOOKUP(O67,{0,6.6,6.8,7,7.2,7.4,7.6,7.8,8,8.2,8.4,8.6,8.8,9,9.2,9.4,9.6,9.9,10.2,10.3,10.4},{0,10,20,30,40,50,60,62,64,66,68,70,72,74,76,78,80,85,90,95,100})</f>
        <v>76</v>
      </c>
      <c r="Q67" s="5">
        <v>3.51</v>
      </c>
      <c r="R67" s="36">
        <f t="shared" si="8"/>
        <v>6.49</v>
      </c>
      <c r="S67" s="29">
        <f>LOOKUP(R67,{0,4.74,4.84,4.94,5.44,5.54,5.64,5.69,5.74,5.79,5.84,5.89,5.94,5.99,6.44,6.49,6.54,6.61,6.68,6.74,6.8},{0,10,20,30,40,50,60,62,64,66,68,70,72,74,76,78,80,85,90,95,100})</f>
        <v>78</v>
      </c>
      <c r="T67" s="27"/>
      <c r="U67" s="27"/>
      <c r="V67" s="27">
        <f t="shared" si="9"/>
        <v>78</v>
      </c>
      <c r="W67" s="27"/>
      <c r="X67" s="19">
        <f t="shared" si="10"/>
        <v>53.9</v>
      </c>
      <c r="Y67" s="13">
        <f t="shared" si="11"/>
        <v>77</v>
      </c>
    </row>
    <row r="68" ht="15.6" spans="1:25">
      <c r="A68" s="27">
        <v>315</v>
      </c>
      <c r="B68" s="27">
        <v>47</v>
      </c>
      <c r="C68" s="28" t="s">
        <v>783</v>
      </c>
      <c r="D68" s="28" t="s">
        <v>46</v>
      </c>
      <c r="E68" s="27">
        <v>7</v>
      </c>
      <c r="F68" s="29">
        <f>LOOKUP(E68,{0,1.5,2.3,3.1,3.9,4.7,5.5,6.8,8.1,9.4,10.7,12,13.3,14.6,15.9,17.2,18.5,20.2,21.9,23.6,25.3},{0,10,20,30,40,50,60,62,64,66,68,70,72,74,76,78,80,85,90,95,100})</f>
        <v>62</v>
      </c>
      <c r="G68" s="27">
        <v>178</v>
      </c>
      <c r="H68" s="29">
        <f>LOOKUP(G68,{0,125,130,135,140,145,150,153,156,159,162,165,168,171,174,177,180,187,194,200,206},{0,10,20,30,40,50,60,62,64,66,68,70,72,74,76,78,80,85,90,95,100})</f>
        <v>78</v>
      </c>
      <c r="I68" s="27">
        <v>50</v>
      </c>
      <c r="J68" s="29">
        <f>LOOKUP(I68,{0,15,17,19,21,23,25,27,29,31,33,35,37,39,41,43,45,48,51,53,55},{0,10,20,30,40,50,60,62,64,66,68,70,72,74,76,78,80,85,90,95,100})</f>
        <v>85</v>
      </c>
      <c r="K68" s="35"/>
      <c r="L68" s="35"/>
      <c r="M68" s="35">
        <f t="shared" si="6"/>
        <v>85</v>
      </c>
      <c r="N68" s="35">
        <v>9.2</v>
      </c>
      <c r="O68" s="36">
        <f t="shared" si="7"/>
        <v>8.8</v>
      </c>
      <c r="P68" s="29">
        <f>LOOKUP(O68,{0,6.6,6.8,7,7.2,7.4,7.6,7.8,8,8.2,8.4,8.6,8.8,9,9.2,9.4,9.6,9.9,10.2,10.3,10.4},{0,10,20,30,40,50,60,62,64,66,68,70,72,74,76,78,80,85,90,95,100})</f>
        <v>72</v>
      </c>
      <c r="Q68" s="5">
        <v>3.38</v>
      </c>
      <c r="R68" s="36">
        <f t="shared" si="8"/>
        <v>6.62</v>
      </c>
      <c r="S68" s="29">
        <f>LOOKUP(R68,{0,4.74,4.84,4.94,5.44,5.54,5.64,5.69,5.74,5.79,5.84,5.89,5.94,5.99,6.44,6.49,6.54,6.61,6.68,6.74,6.8},{0,10,20,30,40,50,60,62,64,66,68,70,72,74,76,78,80,85,90,95,100})</f>
        <v>85</v>
      </c>
      <c r="T68" s="27"/>
      <c r="U68" s="27"/>
      <c r="V68" s="27">
        <f t="shared" si="9"/>
        <v>85</v>
      </c>
      <c r="W68" s="27"/>
      <c r="X68" s="19">
        <f t="shared" si="10"/>
        <v>53.9</v>
      </c>
      <c r="Y68" s="13">
        <f t="shared" si="11"/>
        <v>77</v>
      </c>
    </row>
    <row r="69" ht="15.6" spans="1:25">
      <c r="A69" s="27">
        <v>315</v>
      </c>
      <c r="B69" s="27">
        <v>42</v>
      </c>
      <c r="C69" s="28" t="s">
        <v>778</v>
      </c>
      <c r="D69" s="28" t="s">
        <v>46</v>
      </c>
      <c r="E69" s="27">
        <v>17.5</v>
      </c>
      <c r="F69" s="29">
        <f>LOOKUP(E69,{0,1.5,2.3,3.1,3.9,4.7,5.5,6.8,8.1,9.4,10.7,12,13.3,14.6,15.9,17.2,18.5,20.2,21.9,23.6,25.3},{0,10,20,30,40,50,60,62,64,66,68,70,72,74,76,78,80,85,90,95,100})</f>
        <v>78</v>
      </c>
      <c r="G69" s="27">
        <v>180</v>
      </c>
      <c r="H69" s="29">
        <f>LOOKUP(G69,{0,125,130,135,140,145,150,153,156,159,162,165,168,171,174,177,180,187,194,200,206},{0,10,20,30,40,50,60,62,64,66,68,70,72,74,76,78,80,85,90,95,100})</f>
        <v>80</v>
      </c>
      <c r="I69" s="27">
        <v>46</v>
      </c>
      <c r="J69" s="29">
        <f>LOOKUP(I69,{0,15,17,19,21,23,25,27,29,31,33,35,37,39,41,43,45,48,51,53,55},{0,10,20,30,40,50,60,62,64,66,68,70,72,74,76,78,80,85,90,95,100})</f>
        <v>80</v>
      </c>
      <c r="K69" s="35"/>
      <c r="L69" s="35"/>
      <c r="M69" s="35">
        <f t="shared" si="6"/>
        <v>80</v>
      </c>
      <c r="N69" s="35">
        <v>8.6</v>
      </c>
      <c r="O69" s="36">
        <f t="shared" si="7"/>
        <v>9.4</v>
      </c>
      <c r="P69" s="29">
        <f>LOOKUP(O69,{0,6.6,6.8,7,7.2,7.4,7.6,7.8,8,8.2,8.4,8.6,8.8,9,9.2,9.4,9.6,9.9,10.2,10.3,10.4},{0,10,20,30,40,50,60,62,64,66,68,70,72,74,76,78,80,85,90,95,100})</f>
        <v>78</v>
      </c>
      <c r="Q69" s="5">
        <v>4.03</v>
      </c>
      <c r="R69" s="36">
        <f t="shared" si="8"/>
        <v>5.97</v>
      </c>
      <c r="S69" s="29">
        <f>LOOKUP(R69,{0,4.74,4.84,4.94,5.44,5.54,5.64,5.69,5.74,5.79,5.84,5.89,5.94,5.99,6.44,6.49,6.54,6.61,6.68,6.74,6.8},{0,10,20,30,40,50,60,62,64,66,68,70,72,74,76,78,80,85,90,95,100})</f>
        <v>72</v>
      </c>
      <c r="T69" s="27"/>
      <c r="U69" s="27"/>
      <c r="V69" s="27">
        <f t="shared" si="9"/>
        <v>72</v>
      </c>
      <c r="W69" s="27"/>
      <c r="X69" s="19">
        <f t="shared" si="10"/>
        <v>53.8</v>
      </c>
      <c r="Y69" s="13">
        <f t="shared" si="11"/>
        <v>76.8571428571429</v>
      </c>
    </row>
    <row r="70" ht="15.6" spans="1:25">
      <c r="A70" s="27">
        <v>305</v>
      </c>
      <c r="B70" s="27">
        <v>46</v>
      </c>
      <c r="C70" s="28" t="s">
        <v>234</v>
      </c>
      <c r="D70" s="28" t="s">
        <v>46</v>
      </c>
      <c r="E70" s="27">
        <v>22.3</v>
      </c>
      <c r="F70" s="29">
        <f>LOOKUP(E70,{0,1.5,2.3,3.1,3.9,4.7,5.5,6.8,8.1,9.4,10.7,12,13.3,14.6,15.9,17.2,18.5,20.2,21.9,23.6,25.3},{0,10,20,30,40,50,60,62,64,66,68,70,72,74,76,78,80,85,90,95,100})</f>
        <v>90</v>
      </c>
      <c r="G70" s="27">
        <v>188</v>
      </c>
      <c r="H70" s="29">
        <f>LOOKUP(G70,{0,125,130,135,140,145,150,153,156,159,162,165,168,171,174,177,180,187,194,200,206},{0,10,20,30,40,50,60,62,64,66,68,70,72,74,76,78,80,85,90,95,100})</f>
        <v>85</v>
      </c>
      <c r="I70" s="27">
        <v>35</v>
      </c>
      <c r="J70" s="29">
        <f>LOOKUP(I70,{0,15,17,19,21,23,25,27,29,31,33,35,37,39,41,43,45,48,51,53,55},{0,10,20,30,40,50,60,62,64,66,68,70,72,74,76,78,80,85,90,95,100})</f>
        <v>70</v>
      </c>
      <c r="K70" s="35"/>
      <c r="L70" s="35"/>
      <c r="M70" s="35">
        <f t="shared" si="6"/>
        <v>70</v>
      </c>
      <c r="N70" s="35">
        <v>9.1</v>
      </c>
      <c r="O70" s="36">
        <f t="shared" si="7"/>
        <v>8.9</v>
      </c>
      <c r="P70" s="29">
        <f>LOOKUP(O70,{0,6.6,6.8,7,7.2,7.4,7.6,7.8,8,8.2,8.4,8.6,8.8,9,9.2,9.4,9.6,9.9,10.2,10.3,10.4},{0,10,20,30,40,50,60,62,64,66,68,70,72,74,76,78,80,85,90,95,100})</f>
        <v>72</v>
      </c>
      <c r="Q70" s="5">
        <v>4</v>
      </c>
      <c r="R70" s="36">
        <f t="shared" si="8"/>
        <v>6</v>
      </c>
      <c r="S70" s="29">
        <f>LOOKUP(R70,{0,4.74,4.84,4.94,5.44,5.54,5.64,5.69,5.74,5.79,5.84,5.89,5.94,5.99,6.44,6.49,6.54,6.61,6.68,6.74,6.8},{0,10,20,30,40,50,60,62,64,66,68,70,72,74,76,78,80,85,90,95,100})</f>
        <v>74</v>
      </c>
      <c r="T70" s="27"/>
      <c r="U70" s="27"/>
      <c r="V70" s="27">
        <f t="shared" si="9"/>
        <v>74</v>
      </c>
      <c r="W70" s="27"/>
      <c r="X70" s="19">
        <f t="shared" si="10"/>
        <v>53.7</v>
      </c>
      <c r="Y70" s="13">
        <f t="shared" si="11"/>
        <v>76.7142857142857</v>
      </c>
    </row>
    <row r="71" ht="15.6" spans="1:25">
      <c r="A71" s="27">
        <v>301</v>
      </c>
      <c r="B71" s="27">
        <v>39</v>
      </c>
      <c r="C71" s="27" t="s">
        <v>52</v>
      </c>
      <c r="D71" s="27" t="s">
        <v>46</v>
      </c>
      <c r="E71" s="27">
        <v>10</v>
      </c>
      <c r="F71" s="29">
        <f>LOOKUP(E71,{0,1.5,2.3,3.1,3.9,4.7,5.5,6.8,8.1,9.4,10.7,12,13.3,14.6,15.9,17.2,18.5,20.2,21.9,23.6,25.3},{0,10,20,30,40,50,60,62,64,66,68,70,72,74,76,78,80,85,90,95,100})</f>
        <v>66</v>
      </c>
      <c r="G71" s="27">
        <v>182</v>
      </c>
      <c r="H71" s="29">
        <f>LOOKUP(G71,{0,125,130,135,140,145,150,153,156,159,162,165,168,171,174,177,180,187,194,200,206},{0,10,20,30,40,50,60,62,64,66,68,70,72,74,76,78,80,85,90,95,100})</f>
        <v>80</v>
      </c>
      <c r="I71" s="27">
        <v>51</v>
      </c>
      <c r="J71" s="29">
        <f>LOOKUP(I71,{0,15,17,19,21,23,25,27,29,31,33,35,37,39,41,43,45,48,51,53,55},{0,10,20,30,40,50,60,62,64,66,68,70,72,74,76,78,80,85,90,95,100})</f>
        <v>90</v>
      </c>
      <c r="K71" s="35"/>
      <c r="L71" s="35"/>
      <c r="M71" s="35">
        <f t="shared" si="6"/>
        <v>90</v>
      </c>
      <c r="N71" s="35">
        <v>8.3</v>
      </c>
      <c r="O71" s="36">
        <f t="shared" si="7"/>
        <v>9.7</v>
      </c>
      <c r="P71" s="29">
        <f>LOOKUP(O71,{0,6.6,6.8,7,7.2,7.4,7.6,7.8,8,8.2,8.4,8.6,8.8,9,9.2,9.4,9.6,9.9,10.2,10.3,10.4},{0,10,20,30,40,50,60,62,64,66,68,70,72,74,76,78,80,85,90,95,100})</f>
        <v>80</v>
      </c>
      <c r="Q71" s="5">
        <v>4.09</v>
      </c>
      <c r="R71" s="36">
        <f t="shared" si="8"/>
        <v>5.91</v>
      </c>
      <c r="S71" s="29">
        <f>LOOKUP(R71,{0,4.74,4.84,4.94,5.44,5.54,5.64,5.69,5.74,5.79,5.84,5.89,5.94,5.99,6.44,6.49,6.54,6.61,6.68,6.74,6.8},{0,10,20,30,40,50,60,62,64,66,68,70,72,74,76,78,80,85,90,95,100})</f>
        <v>70</v>
      </c>
      <c r="T71" s="27"/>
      <c r="U71" s="27"/>
      <c r="V71" s="27">
        <f t="shared" si="9"/>
        <v>70</v>
      </c>
      <c r="W71" s="27"/>
      <c r="X71" s="19">
        <f t="shared" si="10"/>
        <v>53.6</v>
      </c>
      <c r="Y71" s="13">
        <f t="shared" si="11"/>
        <v>76.5714285714286</v>
      </c>
    </row>
    <row r="72" ht="15.6" spans="1:25">
      <c r="A72" s="27">
        <v>307</v>
      </c>
      <c r="B72" s="27">
        <v>39</v>
      </c>
      <c r="C72" s="28" t="s">
        <v>341</v>
      </c>
      <c r="D72" s="28" t="s">
        <v>46</v>
      </c>
      <c r="E72" s="27">
        <v>19.5</v>
      </c>
      <c r="F72" s="29">
        <f>LOOKUP(E72,{0,1.5,2.3,3.1,3.9,4.7,5.5,6.8,8.1,9.4,10.7,12,13.3,14.6,15.9,17.2,18.5,20.2,21.9,23.6,25.3},{0,10,20,30,40,50,60,62,64,66,68,70,72,74,76,78,80,85,90,95,100})</f>
        <v>80</v>
      </c>
      <c r="G72" s="27">
        <v>185</v>
      </c>
      <c r="H72" s="29">
        <f>LOOKUP(G72,{0,125,130,135,140,145,150,153,156,159,162,165,168,171,174,177,180,187,194,200,206},{0,10,20,30,40,50,60,62,64,66,68,70,72,74,76,78,80,85,90,95,100})</f>
        <v>80</v>
      </c>
      <c r="I72" s="27">
        <v>53</v>
      </c>
      <c r="J72" s="29">
        <f>LOOKUP(I72,{0,15,17,19,21,23,25,27,29,31,33,35,37,39,41,43,45,48,51,53,55},{0,10,20,30,40,50,60,62,64,66,68,70,72,74,76,78,80,85,90,95,100})</f>
        <v>95</v>
      </c>
      <c r="K72" s="35"/>
      <c r="L72" s="35"/>
      <c r="M72" s="35">
        <f t="shared" si="6"/>
        <v>95</v>
      </c>
      <c r="N72" s="35">
        <v>8.8</v>
      </c>
      <c r="O72" s="36">
        <f t="shared" si="7"/>
        <v>9.2</v>
      </c>
      <c r="P72" s="29">
        <f>LOOKUP(O72,{0,6.6,6.8,7,7.2,7.4,7.6,7.8,8,8.2,8.4,8.6,8.8,9,9.2,9.4,9.6,9.9,10.2,10.3,10.4},{0,10,20,30,40,50,60,62,64,66,68,70,72,74,76,78,80,85,90,95,100})</f>
        <v>76</v>
      </c>
      <c r="Q72" s="5">
        <v>4.23</v>
      </c>
      <c r="R72" s="36">
        <f t="shared" si="8"/>
        <v>5.77</v>
      </c>
      <c r="S72" s="29">
        <f>LOOKUP(R72,{0,4.74,4.84,4.94,5.44,5.54,5.64,5.69,5.74,5.79,5.84,5.89,5.94,5.99,6.44,6.49,6.54,6.61,6.68,6.74,6.8},{0,10,20,30,40,50,60,62,64,66,68,70,72,74,76,78,80,85,90,95,100})</f>
        <v>64</v>
      </c>
      <c r="T72" s="27"/>
      <c r="U72" s="27"/>
      <c r="V72" s="27">
        <f t="shared" si="9"/>
        <v>64</v>
      </c>
      <c r="W72" s="27"/>
      <c r="X72" s="19">
        <f t="shared" si="10"/>
        <v>53.5</v>
      </c>
      <c r="Y72" s="13">
        <f t="shared" si="11"/>
        <v>76.4285714285714</v>
      </c>
    </row>
    <row r="73" ht="15.6" spans="1:25">
      <c r="A73" s="27">
        <v>313</v>
      </c>
      <c r="B73" s="27">
        <v>23</v>
      </c>
      <c r="C73" s="28" t="s">
        <v>651</v>
      </c>
      <c r="D73" s="28" t="s">
        <v>46</v>
      </c>
      <c r="E73" s="27">
        <v>13.4</v>
      </c>
      <c r="F73" s="29">
        <f>LOOKUP(E73,{0,1.5,2.3,3.1,3.9,4.7,5.5,6.8,8.1,9.4,10.7,12,13.3,14.6,15.9,17.2,18.5,20.2,21.9,23.6,25.3},{0,10,20,30,40,50,60,62,64,66,68,70,72,74,76,78,80,85,90,95,100})</f>
        <v>72</v>
      </c>
      <c r="G73" s="27">
        <v>175</v>
      </c>
      <c r="H73" s="29">
        <f>LOOKUP(G73,{0,125,130,135,140,145,150,153,156,159,162,165,168,171,174,177,180,187,194,200,206},{0,10,20,30,40,50,60,62,64,66,68,70,72,74,76,78,80,85,90,95,100})</f>
        <v>76</v>
      </c>
      <c r="I73" s="27">
        <v>57</v>
      </c>
      <c r="J73" s="29">
        <f>LOOKUP(I73,{0,15,17,19,21,23,25,27,29,31,33,35,37,39,41,43,45,48,51,53,55},{0,10,20,30,40,50,60,62,64,66,68,70,72,74,76,78,80,85,90,95,100})</f>
        <v>100</v>
      </c>
      <c r="K73" s="34">
        <f>I73-55</f>
        <v>2</v>
      </c>
      <c r="L73" s="29">
        <f>LOOKUP(K73,{0,2,4,6,7,8,9,10,11,12,13},{0,1,2,3,4,5,6,7,8,9,10})</f>
        <v>1</v>
      </c>
      <c r="M73" s="35">
        <f t="shared" si="6"/>
        <v>101</v>
      </c>
      <c r="N73" s="35">
        <v>8.9</v>
      </c>
      <c r="O73" s="36">
        <f t="shared" si="7"/>
        <v>9.1</v>
      </c>
      <c r="P73" s="29">
        <f>LOOKUP(O73,{0,6.6,6.8,7,7.2,7.4,7.6,7.8,8,8.2,8.4,8.6,8.8,9,9.2,9.4,9.6,9.9,10.2,10.3,10.4},{0,10,20,30,40,50,60,62,64,66,68,70,72,74,76,78,80,85,90,95,100})</f>
        <v>74</v>
      </c>
      <c r="Q73" s="5">
        <v>4.17</v>
      </c>
      <c r="R73" s="36">
        <f t="shared" si="8"/>
        <v>5.83</v>
      </c>
      <c r="S73" s="29">
        <f>LOOKUP(R73,{0,4.74,4.84,4.94,5.44,5.54,5.64,5.69,5.74,5.79,5.84,5.89,5.94,5.99,6.44,6.49,6.54,6.61,6.68,6.74,6.8},{0,10,20,30,40,50,60,62,64,66,68,70,72,74,76,78,80,85,90,95,100})</f>
        <v>66</v>
      </c>
      <c r="T73" s="27"/>
      <c r="U73" s="27"/>
      <c r="V73" s="27">
        <f t="shared" si="9"/>
        <v>66</v>
      </c>
      <c r="W73" s="27"/>
      <c r="X73" s="19">
        <f t="shared" si="10"/>
        <v>52.8</v>
      </c>
      <c r="Y73" s="13">
        <f t="shared" si="11"/>
        <v>76.4285714285714</v>
      </c>
    </row>
    <row r="74" ht="15.6" spans="1:25">
      <c r="A74" s="27">
        <v>307</v>
      </c>
      <c r="B74" s="27">
        <v>23</v>
      </c>
      <c r="C74" s="28" t="s">
        <v>323</v>
      </c>
      <c r="D74" s="28" t="s">
        <v>46</v>
      </c>
      <c r="E74" s="27">
        <v>32.5</v>
      </c>
      <c r="F74" s="29">
        <f>LOOKUP(E74,{0,1.5,2.3,3.1,3.9,4.7,5.5,6.8,8.1,9.4,10.7,12,13.3,14.6,15.9,17.2,18.5,20.2,21.9,23.6,25.3},{0,10,20,30,40,50,60,62,64,66,68,70,72,74,76,78,80,85,90,95,100})</f>
        <v>100</v>
      </c>
      <c r="G74" s="27">
        <v>159</v>
      </c>
      <c r="H74" s="29">
        <f>LOOKUP(G74,{0,125,130,135,140,145,150,153,156,159,162,165,168,171,174,177,180,187,194,200,206},{0,10,20,30,40,50,60,62,64,66,68,70,72,74,76,78,80,85,90,95,100})</f>
        <v>66</v>
      </c>
      <c r="I74" s="27">
        <v>42</v>
      </c>
      <c r="J74" s="29">
        <f>LOOKUP(I74,{0,15,17,19,21,23,25,27,29,31,33,35,37,39,41,43,45,48,51,53,55},{0,10,20,30,40,50,60,62,64,66,68,70,72,74,76,78,80,85,90,95,100})</f>
        <v>76</v>
      </c>
      <c r="K74" s="35"/>
      <c r="L74" s="35"/>
      <c r="M74" s="35">
        <f t="shared" si="6"/>
        <v>76</v>
      </c>
      <c r="N74" s="35">
        <v>9.4</v>
      </c>
      <c r="O74" s="36">
        <f t="shared" si="7"/>
        <v>8.6</v>
      </c>
      <c r="P74" s="29">
        <f>LOOKUP(O74,{0,6.6,6.8,7,7.2,7.4,7.6,7.8,8,8.2,8.4,8.6,8.8,9,9.2,9.4,9.6,9.9,10.2,10.3,10.4},{0,10,20,30,40,50,60,62,64,66,68,70,72,74,76,78,80,85,90,95,100})</f>
        <v>70</v>
      </c>
      <c r="Q74" s="5">
        <v>3.55</v>
      </c>
      <c r="R74" s="36">
        <f t="shared" si="8"/>
        <v>6.45</v>
      </c>
      <c r="S74" s="29">
        <f>LOOKUP(R74,{0,4.74,4.84,4.94,5.44,5.54,5.64,5.69,5.74,5.79,5.84,5.89,5.94,5.99,6.44,6.49,6.54,6.61,6.68,6.74,6.8},{0,10,20,30,40,50,60,62,64,66,68,70,72,74,76,78,80,85,90,95,100})</f>
        <v>76</v>
      </c>
      <c r="T74" s="27"/>
      <c r="U74" s="27"/>
      <c r="V74" s="27">
        <f t="shared" si="9"/>
        <v>76</v>
      </c>
      <c r="W74" s="27"/>
      <c r="X74" s="19">
        <f t="shared" si="10"/>
        <v>53.4</v>
      </c>
      <c r="Y74" s="13">
        <f t="shared" si="11"/>
        <v>76.2857142857143</v>
      </c>
    </row>
    <row r="75" ht="15.6" spans="1:25">
      <c r="A75" s="27">
        <v>316</v>
      </c>
      <c r="B75" s="27">
        <v>37</v>
      </c>
      <c r="C75" s="28" t="s">
        <v>827</v>
      </c>
      <c r="D75" s="28" t="s">
        <v>46</v>
      </c>
      <c r="E75" s="27">
        <v>18</v>
      </c>
      <c r="F75" s="29">
        <f>LOOKUP(E75,{0,1.5,2.3,3.1,3.9,4.7,5.5,6.8,8.1,9.4,10.7,12,13.3,14.6,15.9,17.2,18.5,20.2,21.9,23.6,25.3},{0,10,20,30,40,50,60,62,64,66,68,70,72,74,76,78,80,85,90,95,100})</f>
        <v>78</v>
      </c>
      <c r="G75" s="27">
        <v>185</v>
      </c>
      <c r="H75" s="29">
        <f>LOOKUP(G75,{0,125,130,135,140,145,150,153,156,159,162,165,168,171,174,177,180,187,194,200,206},{0,10,20,30,40,50,60,62,64,66,68,70,72,74,76,78,80,85,90,95,100})</f>
        <v>80</v>
      </c>
      <c r="I75" s="27">
        <v>41</v>
      </c>
      <c r="J75" s="29">
        <f>LOOKUP(I75,{0,15,17,19,21,23,25,27,29,31,33,35,37,39,41,43,45,48,51,53,55},{0,10,20,30,40,50,60,62,64,66,68,70,72,74,76,78,80,85,90,95,100})</f>
        <v>76</v>
      </c>
      <c r="K75" s="35"/>
      <c r="L75" s="35"/>
      <c r="M75" s="35">
        <f t="shared" si="6"/>
        <v>76</v>
      </c>
      <c r="N75" s="35">
        <v>8.5</v>
      </c>
      <c r="O75" s="36">
        <f t="shared" si="7"/>
        <v>9.5</v>
      </c>
      <c r="P75" s="29">
        <f>LOOKUP(O75,{0,6.6,6.8,7,7.2,7.4,7.6,7.8,8,8.2,8.4,8.6,8.8,9,9.2,9.4,9.6,9.9,10.2,10.3,10.4},{0,10,20,30,40,50,60,62,64,66,68,70,72,74,76,78,80,85,90,95,100})</f>
        <v>78</v>
      </c>
      <c r="Q75" s="5">
        <v>4.03</v>
      </c>
      <c r="R75" s="36">
        <f t="shared" si="8"/>
        <v>5.97</v>
      </c>
      <c r="S75" s="29">
        <f>LOOKUP(R75,{0,4.74,4.84,4.94,5.44,5.54,5.64,5.69,5.74,5.79,5.84,5.89,5.94,5.99,6.44,6.49,6.54,6.61,6.68,6.74,6.8},{0,10,20,30,40,50,60,62,64,66,68,70,72,74,76,78,80,85,90,95,100})</f>
        <v>72</v>
      </c>
      <c r="T75" s="27"/>
      <c r="U75" s="27"/>
      <c r="V75" s="27">
        <f t="shared" si="9"/>
        <v>72</v>
      </c>
      <c r="W75" s="27"/>
      <c r="X75" s="19">
        <f t="shared" si="10"/>
        <v>53.4</v>
      </c>
      <c r="Y75" s="13">
        <f t="shared" si="11"/>
        <v>76.2857142857143</v>
      </c>
    </row>
    <row r="76" ht="15.6" spans="1:25">
      <c r="A76" s="27">
        <v>301</v>
      </c>
      <c r="B76" s="27">
        <v>34</v>
      </c>
      <c r="C76" s="27" t="s">
        <v>47</v>
      </c>
      <c r="D76" s="27" t="s">
        <v>46</v>
      </c>
      <c r="E76" s="27">
        <v>18</v>
      </c>
      <c r="F76" s="29">
        <f>LOOKUP(E76,{0,1.5,2.3,3.1,3.9,4.7,5.5,6.8,8.1,9.4,10.7,12,13.3,14.6,15.9,17.2,18.5,20.2,21.9,23.6,25.3},{0,10,20,30,40,50,60,62,64,66,68,70,72,74,76,78,80,85,90,95,100})</f>
        <v>78</v>
      </c>
      <c r="G76" s="27">
        <v>172</v>
      </c>
      <c r="H76" s="29">
        <f>LOOKUP(G76,{0,125,130,135,140,145,150,153,156,159,162,165,168,171,174,177,180,187,194,200,206},{0,10,20,30,40,50,60,62,64,66,68,70,72,74,76,78,80,85,90,95,100})</f>
        <v>74</v>
      </c>
      <c r="I76" s="27">
        <v>50</v>
      </c>
      <c r="J76" s="29">
        <f>LOOKUP(I76,{0,15,17,19,21,23,25,27,29,31,33,35,37,39,41,43,45,48,51,53,55},{0,10,20,30,40,50,60,62,64,66,68,70,72,74,76,78,80,85,90,95,100})</f>
        <v>85</v>
      </c>
      <c r="K76" s="35"/>
      <c r="L76" s="35"/>
      <c r="M76" s="35">
        <f t="shared" si="6"/>
        <v>85</v>
      </c>
      <c r="N76" s="35">
        <v>8.5</v>
      </c>
      <c r="O76" s="36">
        <f t="shared" si="7"/>
        <v>9.5</v>
      </c>
      <c r="P76" s="29">
        <f>LOOKUP(O76,{0,6.6,6.8,7,7.2,7.4,7.6,7.8,8,8.2,8.4,8.6,8.8,9,9.2,9.4,9.6,9.9,10.2,10.3,10.4},{0,10,20,30,40,50,60,62,64,66,68,70,72,74,76,78,80,85,90,95,100})</f>
        <v>78</v>
      </c>
      <c r="Q76" s="5">
        <v>4.09</v>
      </c>
      <c r="R76" s="36">
        <f t="shared" si="8"/>
        <v>5.91</v>
      </c>
      <c r="S76" s="29">
        <f>LOOKUP(R76,{0,4.74,4.84,4.94,5.44,5.54,5.64,5.69,5.74,5.79,5.84,5.89,5.94,5.99,6.44,6.49,6.54,6.61,6.68,6.74,6.8},{0,10,20,30,40,50,60,62,64,66,68,70,72,74,76,78,80,85,90,95,100})</f>
        <v>70</v>
      </c>
      <c r="T76" s="27"/>
      <c r="U76" s="27"/>
      <c r="V76" s="27">
        <f t="shared" si="9"/>
        <v>70</v>
      </c>
      <c r="W76" s="27"/>
      <c r="X76" s="19">
        <f t="shared" si="10"/>
        <v>53.3</v>
      </c>
      <c r="Y76" s="13">
        <f t="shared" si="11"/>
        <v>76.1428571428572</v>
      </c>
    </row>
    <row r="77" ht="15.6" spans="1:25">
      <c r="A77" s="27">
        <v>309</v>
      </c>
      <c r="B77" s="27">
        <v>40</v>
      </c>
      <c r="C77" s="27" t="s">
        <v>448</v>
      </c>
      <c r="D77" s="27" t="s">
        <v>46</v>
      </c>
      <c r="E77" s="27">
        <v>17</v>
      </c>
      <c r="F77" s="29">
        <f>LOOKUP(E77,{0,1.5,2.3,3.1,3.9,4.7,5.5,6.8,8.1,9.4,10.7,12,13.3,14.6,15.9,17.2,18.5,20.2,21.9,23.6,25.3},{0,10,20,30,40,50,60,62,64,66,68,70,72,74,76,78,80,85,90,95,100})</f>
        <v>76</v>
      </c>
      <c r="G77" s="27">
        <v>190</v>
      </c>
      <c r="H77" s="29">
        <f>LOOKUP(G77,{0,125,130,135,140,145,150,153,156,159,162,165,168,171,174,177,180,187,194,200,206},{0,10,20,30,40,50,60,62,64,66,68,70,72,74,76,78,80,85,90,95,100})</f>
        <v>85</v>
      </c>
      <c r="I77" s="27">
        <v>45</v>
      </c>
      <c r="J77" s="29">
        <f>LOOKUP(I77,{0,15,17,19,21,23,25,27,29,31,33,35,37,39,41,43,45,48,51,53,55},{0,10,20,30,40,50,60,62,64,66,68,70,72,74,76,78,80,85,90,95,100})</f>
        <v>80</v>
      </c>
      <c r="K77" s="35"/>
      <c r="L77" s="35"/>
      <c r="M77" s="35">
        <f t="shared" si="6"/>
        <v>80</v>
      </c>
      <c r="N77" s="35">
        <v>8.9</v>
      </c>
      <c r="O77" s="36">
        <f t="shared" si="7"/>
        <v>9.1</v>
      </c>
      <c r="P77" s="29">
        <f>LOOKUP(O77,{0,6.6,6.8,7,7.2,7.4,7.6,7.8,8,8.2,8.4,8.6,8.8,9,9.2,9.4,9.6,9.9,10.2,10.3,10.4},{0,10,20,30,40,50,60,62,64,66,68,70,72,74,76,78,80,85,90,95,100})</f>
        <v>74</v>
      </c>
      <c r="Q77" s="5">
        <v>4.03</v>
      </c>
      <c r="R77" s="36">
        <f t="shared" si="8"/>
        <v>5.97</v>
      </c>
      <c r="S77" s="29">
        <f>LOOKUP(R77,{0,4.74,4.84,4.94,5.44,5.54,5.64,5.69,5.74,5.79,5.84,5.89,5.94,5.99,6.44,6.49,6.54,6.61,6.68,6.74,6.8},{0,10,20,30,40,50,60,62,64,66,68,70,72,74,76,78,80,85,90,95,100})</f>
        <v>72</v>
      </c>
      <c r="T77" s="27"/>
      <c r="U77" s="27"/>
      <c r="V77" s="27">
        <f t="shared" si="9"/>
        <v>72</v>
      </c>
      <c r="W77" s="27"/>
      <c r="X77" s="19">
        <f t="shared" si="10"/>
        <v>53.3</v>
      </c>
      <c r="Y77" s="13">
        <f t="shared" si="11"/>
        <v>76.1428571428572</v>
      </c>
    </row>
    <row r="78" ht="15.6" spans="1:25">
      <c r="A78" s="27">
        <v>315</v>
      </c>
      <c r="B78" s="27">
        <v>49</v>
      </c>
      <c r="C78" s="28" t="s">
        <v>785</v>
      </c>
      <c r="D78" s="28" t="s">
        <v>46</v>
      </c>
      <c r="E78" s="27">
        <v>20.5</v>
      </c>
      <c r="F78" s="29">
        <f>LOOKUP(E78,{0,1.5,2.3,3.1,3.9,4.7,5.5,6.8,8.1,9.4,10.7,12,13.3,14.6,15.9,17.2,18.5,20.2,21.9,23.6,25.3},{0,10,20,30,40,50,60,62,64,66,68,70,72,74,76,78,80,85,90,95,100})</f>
        <v>85</v>
      </c>
      <c r="G78" s="27">
        <v>188</v>
      </c>
      <c r="H78" s="29">
        <f>LOOKUP(G78,{0,125,130,135,140,145,150,153,156,159,162,165,168,171,174,177,180,187,194,200,206},{0,10,20,30,40,50,60,62,64,66,68,70,72,74,76,78,80,85,90,95,100})</f>
        <v>85</v>
      </c>
      <c r="I78" s="27">
        <v>48</v>
      </c>
      <c r="J78" s="29">
        <f>LOOKUP(I78,{0,15,17,19,21,23,25,27,29,31,33,35,37,39,41,43,45,48,51,53,55},{0,10,20,30,40,50,60,62,64,66,68,70,72,74,76,78,80,85,90,95,100})</f>
        <v>85</v>
      </c>
      <c r="K78" s="35"/>
      <c r="L78" s="35"/>
      <c r="M78" s="35">
        <f t="shared" si="6"/>
        <v>85</v>
      </c>
      <c r="N78" s="35">
        <v>8.9</v>
      </c>
      <c r="O78" s="36">
        <f t="shared" si="7"/>
        <v>9.1</v>
      </c>
      <c r="P78" s="29">
        <f>LOOKUP(O78,{0,6.6,6.8,7,7.2,7.4,7.6,7.8,8,8.2,8.4,8.6,8.8,9,9.2,9.4,9.6,9.9,10.2,10.3,10.4},{0,10,20,30,40,50,60,62,64,66,68,70,72,74,76,78,80,85,90,95,100})</f>
        <v>74</v>
      </c>
      <c r="Q78" s="5">
        <v>4.26</v>
      </c>
      <c r="R78" s="36">
        <f t="shared" si="8"/>
        <v>5.74</v>
      </c>
      <c r="S78" s="29">
        <f>LOOKUP(R78,{0,4.74,4.84,4.94,5.44,5.54,5.64,5.69,5.74,5.79,5.84,5.89,5.94,5.99,6.44,6.49,6.54,6.61,6.68,6.74,6.8},{0,10,20,30,40,50,60,62,64,66,68,70,72,74,76,78,80,85,90,95,100})</f>
        <v>64</v>
      </c>
      <c r="T78" s="27"/>
      <c r="U78" s="27"/>
      <c r="V78" s="27">
        <f t="shared" si="9"/>
        <v>64</v>
      </c>
      <c r="W78" s="27"/>
      <c r="X78" s="19">
        <f t="shared" si="10"/>
        <v>53.1</v>
      </c>
      <c r="Y78" s="13">
        <f t="shared" si="11"/>
        <v>75.8571428571428</v>
      </c>
    </row>
    <row r="79" ht="15.6" spans="1:25">
      <c r="A79" s="27">
        <v>315</v>
      </c>
      <c r="B79" s="27">
        <v>44</v>
      </c>
      <c r="C79" s="28" t="s">
        <v>780</v>
      </c>
      <c r="D79" s="28" t="s">
        <v>46</v>
      </c>
      <c r="E79" s="27">
        <v>18.5</v>
      </c>
      <c r="F79" s="29">
        <f>LOOKUP(E79,{0,1.5,2.3,3.1,3.9,4.7,5.5,6.8,8.1,9.4,10.7,12,13.3,14.6,15.9,17.2,18.5,20.2,21.9,23.6,25.3},{0,10,20,30,40,50,60,62,64,66,68,70,72,74,76,78,80,85,90,95,100})</f>
        <v>80</v>
      </c>
      <c r="G79" s="27">
        <v>178</v>
      </c>
      <c r="H79" s="29">
        <f>LOOKUP(G79,{0,125,130,135,140,145,150,153,156,159,162,165,168,171,174,177,180,187,194,200,206},{0,10,20,30,40,50,60,62,64,66,68,70,72,74,76,78,80,85,90,95,100})</f>
        <v>78</v>
      </c>
      <c r="I79" s="27">
        <v>48</v>
      </c>
      <c r="J79" s="29">
        <f>LOOKUP(I79,{0,15,17,19,21,23,25,27,29,31,33,35,37,39,41,43,45,48,51,53,55},{0,10,20,30,40,50,60,62,64,66,68,70,72,74,76,78,80,85,90,95,100})</f>
        <v>85</v>
      </c>
      <c r="K79" s="35"/>
      <c r="L79" s="35"/>
      <c r="M79" s="35">
        <f t="shared" si="6"/>
        <v>85</v>
      </c>
      <c r="N79" s="35">
        <v>8.2</v>
      </c>
      <c r="O79" s="36">
        <f t="shared" si="7"/>
        <v>9.8</v>
      </c>
      <c r="P79" s="29">
        <f>LOOKUP(O79,{0,6.6,6.8,7,7.2,7.4,7.6,7.8,8,8.2,8.4,8.6,8.8,9,9.2,9.4,9.6,9.9,10.2,10.3,10.4},{0,10,20,30,40,50,60,62,64,66,68,70,72,74,76,78,80,85,90,95,100})</f>
        <v>80</v>
      </c>
      <c r="Q79" s="5">
        <v>4.3</v>
      </c>
      <c r="R79" s="36">
        <f t="shared" si="8"/>
        <v>5.7</v>
      </c>
      <c r="S79" s="29">
        <f>LOOKUP(R79,{0,4.74,4.84,4.94,5.44,5.54,5.64,5.69,5.74,5.79,5.84,5.89,5.94,5.99,6.44,6.49,6.54,6.61,6.68,6.74,6.8},{0,10,20,30,40,50,60,62,64,66,68,70,72,74,76,78,80,85,90,95,100})</f>
        <v>62</v>
      </c>
      <c r="T79" s="27"/>
      <c r="U79" s="27"/>
      <c r="V79" s="27">
        <f t="shared" si="9"/>
        <v>62</v>
      </c>
      <c r="W79" s="27"/>
      <c r="X79" s="19">
        <f t="shared" si="10"/>
        <v>52.7</v>
      </c>
      <c r="Y79" s="13">
        <f t="shared" si="11"/>
        <v>75.2857142857143</v>
      </c>
    </row>
    <row r="80" ht="15.6" spans="1:25">
      <c r="A80" s="27">
        <v>316</v>
      </c>
      <c r="B80" s="27">
        <v>36</v>
      </c>
      <c r="C80" s="28" t="s">
        <v>826</v>
      </c>
      <c r="D80" s="28" t="s">
        <v>46</v>
      </c>
      <c r="E80" s="27">
        <v>16</v>
      </c>
      <c r="F80" s="29">
        <f>LOOKUP(E80,{0,1.5,2.3,3.1,3.9,4.7,5.5,6.8,8.1,9.4,10.7,12,13.3,14.6,15.9,17.2,18.5,20.2,21.9,23.6,25.3},{0,10,20,30,40,50,60,62,64,66,68,70,72,74,76,78,80,85,90,95,100})</f>
        <v>76</v>
      </c>
      <c r="G80" s="27">
        <v>160</v>
      </c>
      <c r="H80" s="29">
        <f>LOOKUP(G80,{0,125,130,135,140,145,150,153,156,159,162,165,168,171,174,177,180,187,194,200,206},{0,10,20,30,40,50,60,62,64,66,68,70,72,74,76,78,80,85,90,95,100})</f>
        <v>66</v>
      </c>
      <c r="I80" s="27">
        <v>49</v>
      </c>
      <c r="J80" s="29">
        <f>LOOKUP(I80,{0,15,17,19,21,23,25,27,29,31,33,35,37,39,41,43,45,48,51,53,55},{0,10,20,30,40,50,60,62,64,66,68,70,72,74,76,78,80,85,90,95,100})</f>
        <v>85</v>
      </c>
      <c r="K80" s="35"/>
      <c r="L80" s="35"/>
      <c r="M80" s="35">
        <f t="shared" si="6"/>
        <v>85</v>
      </c>
      <c r="N80" s="35">
        <v>8.7</v>
      </c>
      <c r="O80" s="36">
        <f t="shared" si="7"/>
        <v>9.3</v>
      </c>
      <c r="P80" s="29">
        <f>LOOKUP(O80,{0,6.6,6.8,7,7.2,7.4,7.6,7.8,8,8.2,8.4,8.6,8.8,9,9.2,9.4,9.6,9.9,10.2,10.3,10.4},{0,10,20,30,40,50,60,62,64,66,68,70,72,74,76,78,80,85,90,95,100})</f>
        <v>76</v>
      </c>
      <c r="Q80" s="5">
        <v>4</v>
      </c>
      <c r="R80" s="36">
        <f t="shared" si="8"/>
        <v>6</v>
      </c>
      <c r="S80" s="29">
        <f>LOOKUP(R80,{0,4.74,4.84,4.94,5.44,5.54,5.64,5.69,5.74,5.79,5.84,5.89,5.94,5.99,6.44,6.49,6.54,6.61,6.68,6.74,6.8},{0,10,20,30,40,50,60,62,64,66,68,70,72,74,76,78,80,85,90,95,100})</f>
        <v>74</v>
      </c>
      <c r="T80" s="27"/>
      <c r="U80" s="27"/>
      <c r="V80" s="27">
        <f t="shared" si="9"/>
        <v>74</v>
      </c>
      <c r="W80" s="27"/>
      <c r="X80" s="19">
        <f t="shared" si="10"/>
        <v>52.7</v>
      </c>
      <c r="Y80" s="13">
        <f t="shared" si="11"/>
        <v>75.2857142857143</v>
      </c>
    </row>
    <row r="81" ht="15.6" spans="1:25">
      <c r="A81" s="27">
        <v>306</v>
      </c>
      <c r="B81" s="27">
        <v>43</v>
      </c>
      <c r="C81" s="30" t="s">
        <v>288</v>
      </c>
      <c r="D81" s="28" t="s">
        <v>46</v>
      </c>
      <c r="E81" s="27">
        <v>10.5</v>
      </c>
      <c r="F81" s="29">
        <f>LOOKUP(E81,{0,1.5,2.3,3.1,3.9,4.7,5.5,6.8,8.1,9.4,10.7,12,13.3,14.6,15.9,17.2,18.5,20.2,21.9,23.6,25.3},{0,10,20,30,40,50,60,62,64,66,68,70,72,74,76,78,80,85,90,95,100})</f>
        <v>66</v>
      </c>
      <c r="G81" s="27">
        <v>179</v>
      </c>
      <c r="H81" s="29">
        <f>LOOKUP(G81,{0,125,130,135,140,145,150,153,156,159,162,165,168,171,174,177,180,187,194,200,206},{0,10,20,30,40,50,60,62,64,66,68,70,72,74,76,78,80,85,90,95,100})</f>
        <v>78</v>
      </c>
      <c r="I81" s="27">
        <v>46</v>
      </c>
      <c r="J81" s="29">
        <f>LOOKUP(I81,{0,15,17,19,21,23,25,27,29,31,33,35,37,39,41,43,45,48,51,53,55},{0,10,20,30,40,50,60,62,64,66,68,70,72,74,76,78,80,85,90,95,100})</f>
        <v>80</v>
      </c>
      <c r="K81" s="35"/>
      <c r="L81" s="35"/>
      <c r="M81" s="35">
        <f t="shared" si="6"/>
        <v>80</v>
      </c>
      <c r="N81" s="35">
        <v>9.1</v>
      </c>
      <c r="O81" s="36">
        <f t="shared" si="7"/>
        <v>8.9</v>
      </c>
      <c r="P81" s="29">
        <f>LOOKUP(O81,{0,6.6,6.8,7,7.2,7.4,7.6,7.8,8,8.2,8.4,8.6,8.8,9,9.2,9.4,9.6,9.9,10.2,10.3,10.4},{0,10,20,30,40,50,60,62,64,66,68,70,72,74,76,78,80,85,90,95,100})</f>
        <v>72</v>
      </c>
      <c r="Q81" s="5">
        <v>3.48</v>
      </c>
      <c r="R81" s="36">
        <f t="shared" si="8"/>
        <v>6.52</v>
      </c>
      <c r="S81" s="29">
        <f>LOOKUP(R81,{0,4.74,4.84,4.94,5.44,5.54,5.64,5.69,5.74,5.79,5.84,5.89,5.94,5.99,6.44,6.49,6.54,6.61,6.68,6.74,6.8},{0,10,20,30,40,50,60,62,64,66,68,70,72,74,76,78,80,85,90,95,100})</f>
        <v>78</v>
      </c>
      <c r="T81" s="27"/>
      <c r="U81" s="27"/>
      <c r="V81" s="27">
        <f t="shared" si="9"/>
        <v>78</v>
      </c>
      <c r="W81" s="27"/>
      <c r="X81" s="19">
        <f t="shared" si="10"/>
        <v>52.4</v>
      </c>
      <c r="Y81" s="13">
        <f t="shared" si="11"/>
        <v>74.8571428571429</v>
      </c>
    </row>
    <row r="82" ht="15.6" spans="1:25">
      <c r="A82" s="27">
        <v>307</v>
      </c>
      <c r="B82" s="27">
        <v>43</v>
      </c>
      <c r="C82" s="28" t="s">
        <v>345</v>
      </c>
      <c r="D82" s="28" t="s">
        <v>46</v>
      </c>
      <c r="E82" s="27">
        <v>11</v>
      </c>
      <c r="F82" s="29">
        <f>LOOKUP(E82,{0,1.5,2.3,3.1,3.9,4.7,5.5,6.8,8.1,9.4,10.7,12,13.3,14.6,15.9,17.2,18.5,20.2,21.9,23.6,25.3},{0,10,20,30,40,50,60,62,64,66,68,70,72,74,76,78,80,85,90,95,100})</f>
        <v>68</v>
      </c>
      <c r="G82" s="27">
        <v>180</v>
      </c>
      <c r="H82" s="29">
        <f>LOOKUP(G82,{0,125,130,135,140,145,150,153,156,159,162,165,168,171,174,177,180,187,194,200,206},{0,10,20,30,40,50,60,62,64,66,68,70,72,74,76,78,80,85,90,95,100})</f>
        <v>80</v>
      </c>
      <c r="I82" s="27">
        <v>46</v>
      </c>
      <c r="J82" s="29">
        <f>LOOKUP(I82,{0,15,17,19,21,23,25,27,29,31,33,35,37,39,41,43,45,48,51,53,55},{0,10,20,30,40,50,60,62,64,66,68,70,72,74,76,78,80,85,90,95,100})</f>
        <v>80</v>
      </c>
      <c r="K82" s="35"/>
      <c r="L82" s="35"/>
      <c r="M82" s="35">
        <f t="shared" si="6"/>
        <v>80</v>
      </c>
      <c r="N82" s="35">
        <v>8.7</v>
      </c>
      <c r="O82" s="36">
        <f t="shared" si="7"/>
        <v>9.3</v>
      </c>
      <c r="P82" s="29">
        <f>LOOKUP(O82,{0,6.6,6.8,7,7.2,7.4,7.6,7.8,8,8.2,8.4,8.6,8.8,9,9.2,9.4,9.6,9.9,10.2,10.3,10.4},{0,10,20,30,40,50,60,62,64,66,68,70,72,74,76,78,80,85,90,95,100})</f>
        <v>76</v>
      </c>
      <c r="Q82" s="5">
        <v>4.05</v>
      </c>
      <c r="R82" s="36">
        <f t="shared" si="8"/>
        <v>5.95</v>
      </c>
      <c r="S82" s="29">
        <f>LOOKUP(R82,{0,4.74,4.84,4.94,5.44,5.54,5.64,5.69,5.74,5.79,5.84,5.89,5.94,5.99,6.44,6.49,6.54,6.61,6.68,6.74,6.8},{0,10,20,30,40,50,60,62,64,66,68,70,72,74,76,78,80,85,90,95,100})</f>
        <v>72</v>
      </c>
      <c r="T82" s="27"/>
      <c r="U82" s="27"/>
      <c r="V82" s="27">
        <f t="shared" si="9"/>
        <v>72</v>
      </c>
      <c r="W82" s="27"/>
      <c r="X82" s="19">
        <f t="shared" si="10"/>
        <v>52.4</v>
      </c>
      <c r="Y82" s="13">
        <f t="shared" si="11"/>
        <v>74.8571428571429</v>
      </c>
    </row>
    <row r="83" ht="15.6" spans="1:25">
      <c r="A83" s="27">
        <v>316</v>
      </c>
      <c r="B83" s="27">
        <v>39</v>
      </c>
      <c r="C83" s="28" t="s">
        <v>829</v>
      </c>
      <c r="D83" s="28" t="s">
        <v>46</v>
      </c>
      <c r="E83" s="27">
        <v>15</v>
      </c>
      <c r="F83" s="29">
        <f>LOOKUP(E83,{0,1.5,2.3,3.1,3.9,4.7,5.5,6.8,8.1,9.4,10.7,12,13.3,14.6,15.9,17.2,18.5,20.2,21.9,23.6,25.3},{0,10,20,30,40,50,60,62,64,66,68,70,72,74,76,78,80,85,90,95,100})</f>
        <v>74</v>
      </c>
      <c r="G83" s="27">
        <v>182</v>
      </c>
      <c r="H83" s="29">
        <f>LOOKUP(G83,{0,125,130,135,140,145,150,153,156,159,162,165,168,171,174,177,180,187,194,200,206},{0,10,20,30,40,50,60,62,64,66,68,70,72,74,76,78,80,85,90,95,100})</f>
        <v>80</v>
      </c>
      <c r="I83" s="27">
        <v>48</v>
      </c>
      <c r="J83" s="29">
        <f>LOOKUP(I83,{0,15,17,19,21,23,25,27,29,31,33,35,37,39,41,43,45,48,51,53,55},{0,10,20,30,40,50,60,62,64,66,68,70,72,74,76,78,80,85,90,95,100})</f>
        <v>85</v>
      </c>
      <c r="K83" s="35"/>
      <c r="L83" s="35"/>
      <c r="M83" s="35">
        <f t="shared" si="6"/>
        <v>85</v>
      </c>
      <c r="N83" s="35">
        <v>9.1</v>
      </c>
      <c r="O83" s="36">
        <f t="shared" si="7"/>
        <v>8.9</v>
      </c>
      <c r="P83" s="29">
        <f>LOOKUP(O83,{0,6.6,6.8,7,7.2,7.4,7.6,7.8,8,8.2,8.4,8.6,8.8,9,9.2,9.4,9.6,9.9,10.2,10.3,10.4},{0,10,20,30,40,50,60,62,64,66,68,70,72,74,76,78,80,85,90,95,100})</f>
        <v>72</v>
      </c>
      <c r="Q83" s="5">
        <v>4.11</v>
      </c>
      <c r="R83" s="36">
        <f t="shared" si="8"/>
        <v>5.89</v>
      </c>
      <c r="S83" s="29">
        <f>LOOKUP(R83,{0,4.74,4.84,4.94,5.44,5.54,5.64,5.69,5.74,5.79,5.84,5.89,5.94,5.99,6.44,6.49,6.54,6.61,6.68,6.74,6.8},{0,10,20,30,40,50,60,62,64,66,68,70,72,74,76,78,80,85,90,95,100})</f>
        <v>70</v>
      </c>
      <c r="T83" s="27"/>
      <c r="U83" s="27"/>
      <c r="V83" s="27">
        <f t="shared" si="9"/>
        <v>70</v>
      </c>
      <c r="W83" s="27"/>
      <c r="X83" s="19">
        <f t="shared" si="10"/>
        <v>52.3</v>
      </c>
      <c r="Y83" s="13">
        <f t="shared" si="11"/>
        <v>74.7142857142857</v>
      </c>
    </row>
    <row r="84" ht="15.6" spans="1:25">
      <c r="A84" s="27">
        <v>302</v>
      </c>
      <c r="B84" s="27">
        <v>35</v>
      </c>
      <c r="C84" s="27" t="s">
        <v>96</v>
      </c>
      <c r="D84" s="27" t="s">
        <v>46</v>
      </c>
      <c r="E84" s="27">
        <v>15</v>
      </c>
      <c r="F84" s="29">
        <f>LOOKUP(E84,{0,1.5,2.3,3.1,3.9,4.7,5.5,6.8,8.1,9.4,10.7,12,13.3,14.6,15.9,17.2,18.5,20.2,21.9,23.6,25.3},{0,10,20,30,40,50,60,62,64,66,68,70,72,74,76,78,80,85,90,95,100})</f>
        <v>74</v>
      </c>
      <c r="G84" s="27">
        <v>185</v>
      </c>
      <c r="H84" s="29">
        <f>LOOKUP(G84,{0,125,130,135,140,145,150,153,156,159,162,165,168,171,174,177,180,187,194,200,206},{0,10,20,30,40,50,60,62,64,66,68,70,72,74,76,78,80,85,90,95,100})</f>
        <v>80</v>
      </c>
      <c r="I84" s="27">
        <v>37</v>
      </c>
      <c r="J84" s="29">
        <f>LOOKUP(I84,{0,15,17,19,21,23,25,27,29,31,33,35,37,39,41,43,45,48,51,53,55},{0,10,20,30,40,50,60,62,64,66,68,70,72,74,76,78,80,85,90,95,100})</f>
        <v>72</v>
      </c>
      <c r="K84" s="35"/>
      <c r="L84" s="35"/>
      <c r="M84" s="35">
        <f t="shared" si="6"/>
        <v>72</v>
      </c>
      <c r="N84" s="35">
        <v>9</v>
      </c>
      <c r="O84" s="36">
        <f t="shared" si="7"/>
        <v>9</v>
      </c>
      <c r="P84" s="29">
        <f>LOOKUP(O84,{0,6.6,6.8,7,7.2,7.4,7.6,7.8,8,8.2,8.4,8.6,8.8,9,9.2,9.4,9.6,9.9,10.2,10.3,10.4},{0,10,20,30,40,50,60,62,64,66,68,70,72,74,76,78,80,85,90,95,100})</f>
        <v>74</v>
      </c>
      <c r="Q84" s="5">
        <v>3.57</v>
      </c>
      <c r="R84" s="36">
        <f t="shared" si="8"/>
        <v>6.43</v>
      </c>
      <c r="S84" s="29">
        <f>LOOKUP(R84,{0,4.74,4.84,4.94,5.44,5.54,5.64,5.69,5.74,5.79,5.84,5.89,5.94,5.99,6.44,6.49,6.54,6.61,6.68,6.74,6.8},{0,10,20,30,40,50,60,62,64,66,68,70,72,74,76,78,80,85,90,95,100})</f>
        <v>74</v>
      </c>
      <c r="T84" s="27"/>
      <c r="U84" s="27"/>
      <c r="V84" s="27">
        <f t="shared" si="9"/>
        <v>74</v>
      </c>
      <c r="W84" s="27"/>
      <c r="X84" s="19">
        <f t="shared" si="10"/>
        <v>52.2</v>
      </c>
      <c r="Y84" s="13">
        <f t="shared" si="11"/>
        <v>74.5714285714286</v>
      </c>
    </row>
    <row r="85" ht="15.6" spans="1:25">
      <c r="A85" s="27">
        <v>305</v>
      </c>
      <c r="B85" s="27">
        <v>52</v>
      </c>
      <c r="C85" s="28" t="s">
        <v>240</v>
      </c>
      <c r="D85" s="28" t="s">
        <v>46</v>
      </c>
      <c r="E85" s="27">
        <v>10.5</v>
      </c>
      <c r="F85" s="29">
        <f>LOOKUP(E85,{0,1.5,2.3,3.1,3.9,4.7,5.5,6.8,8.1,9.4,10.7,12,13.3,14.6,15.9,17.2,18.5,20.2,21.9,23.6,25.3},{0,10,20,30,40,50,60,62,64,66,68,70,72,74,76,78,80,85,90,95,100})</f>
        <v>66</v>
      </c>
      <c r="G85" s="27">
        <v>172</v>
      </c>
      <c r="H85" s="29">
        <f>LOOKUP(G85,{0,125,130,135,140,145,150,153,156,159,162,165,168,171,174,177,180,187,194,200,206},{0,10,20,30,40,50,60,62,64,66,68,70,72,74,76,78,80,85,90,95,100})</f>
        <v>74</v>
      </c>
      <c r="I85" s="27">
        <v>51</v>
      </c>
      <c r="J85" s="29">
        <f>LOOKUP(I85,{0,15,17,19,21,23,25,27,29,31,33,35,37,39,41,43,45,48,51,53,55},{0,10,20,30,40,50,60,62,64,66,68,70,72,74,76,78,80,85,90,95,100})</f>
        <v>90</v>
      </c>
      <c r="K85" s="35"/>
      <c r="L85" s="35"/>
      <c r="M85" s="35">
        <f t="shared" si="6"/>
        <v>90</v>
      </c>
      <c r="N85" s="35">
        <v>9.2</v>
      </c>
      <c r="O85" s="36">
        <f t="shared" si="7"/>
        <v>8.8</v>
      </c>
      <c r="P85" s="29">
        <f>LOOKUP(O85,{0,6.6,6.8,7,7.2,7.4,7.6,7.8,8,8.2,8.4,8.6,8.8,9,9.2,9.4,9.6,9.9,10.2,10.3,10.4},{0,10,20,30,40,50,60,62,64,66,68,70,72,74,76,78,80,85,90,95,100})</f>
        <v>72</v>
      </c>
      <c r="Q85" s="5">
        <v>4.01</v>
      </c>
      <c r="R85" s="36">
        <f t="shared" si="8"/>
        <v>5.99</v>
      </c>
      <c r="S85" s="29">
        <f>LOOKUP(R85,{0,4.74,4.84,4.94,5.44,5.54,5.64,5.69,5.74,5.79,5.84,5.89,5.94,5.99,6.44,6.49,6.54,6.61,6.68,6.74,6.8},{0,10,20,30,40,50,60,62,64,66,68,70,72,74,76,78,80,85,90,95,100})</f>
        <v>74</v>
      </c>
      <c r="T85" s="27"/>
      <c r="U85" s="27"/>
      <c r="V85" s="27">
        <f t="shared" si="9"/>
        <v>74</v>
      </c>
      <c r="W85" s="27"/>
      <c r="X85" s="19">
        <f t="shared" si="10"/>
        <v>52.2</v>
      </c>
      <c r="Y85" s="13">
        <f t="shared" si="11"/>
        <v>74.5714285714286</v>
      </c>
    </row>
    <row r="86" ht="15.6" spans="1:25">
      <c r="A86" s="27">
        <v>306</v>
      </c>
      <c r="B86" s="27">
        <v>42</v>
      </c>
      <c r="C86" s="28" t="s">
        <v>286</v>
      </c>
      <c r="D86" s="28" t="s">
        <v>46</v>
      </c>
      <c r="E86" s="27">
        <v>15.5</v>
      </c>
      <c r="F86" s="29">
        <f>LOOKUP(E86,{0,1.5,2.3,3.1,3.9,4.7,5.5,6.8,8.1,9.4,10.7,12,13.3,14.6,15.9,17.2,18.5,20.2,21.9,23.6,25.3},{0,10,20,30,40,50,60,62,64,66,68,70,72,74,76,78,80,85,90,95,100})</f>
        <v>74</v>
      </c>
      <c r="G86" s="27">
        <v>180</v>
      </c>
      <c r="H86" s="29">
        <f>LOOKUP(G86,{0,125,130,135,140,145,150,153,156,159,162,165,168,171,174,177,180,187,194,200,206},{0,10,20,30,40,50,60,62,64,66,68,70,72,74,76,78,80,85,90,95,100})</f>
        <v>80</v>
      </c>
      <c r="I86" s="27">
        <v>42</v>
      </c>
      <c r="J86" s="29">
        <f>LOOKUP(I86,{0,15,17,19,21,23,25,27,29,31,33,35,37,39,41,43,45,48,51,53,55},{0,10,20,30,40,50,60,62,64,66,68,70,72,74,76,78,80,85,90,95,100})</f>
        <v>76</v>
      </c>
      <c r="K86" s="35"/>
      <c r="L86" s="35"/>
      <c r="M86" s="35">
        <f t="shared" si="6"/>
        <v>76</v>
      </c>
      <c r="N86" s="35">
        <v>9.3</v>
      </c>
      <c r="O86" s="36">
        <f t="shared" si="7"/>
        <v>8.7</v>
      </c>
      <c r="P86" s="29">
        <f>LOOKUP(O86,{0,6.6,6.8,7,7.2,7.4,7.6,7.8,8,8.2,8.4,8.6,8.8,9,9.2,9.4,9.6,9.9,10.2,10.3,10.4},{0,10,20,30,40,50,60,62,64,66,68,70,72,74,76,78,80,85,90,95,100})</f>
        <v>70</v>
      </c>
      <c r="Q86" s="5">
        <v>3.56</v>
      </c>
      <c r="R86" s="36">
        <f t="shared" si="8"/>
        <v>6.44</v>
      </c>
      <c r="S86" s="29">
        <f>LOOKUP(R86,{0,4.74,4.84,4.94,5.44,5.54,5.64,5.69,5.74,5.79,5.84,5.89,5.94,5.99,6.44,6.49,6.54,6.61,6.68,6.74,6.8},{0,10,20,30,40,50,60,62,64,66,68,70,72,74,76,78,80,85,90,95,100})</f>
        <v>76</v>
      </c>
      <c r="T86" s="27"/>
      <c r="U86" s="27"/>
      <c r="V86" s="27">
        <f t="shared" si="9"/>
        <v>76</v>
      </c>
      <c r="W86" s="27"/>
      <c r="X86" s="19">
        <f t="shared" si="10"/>
        <v>52.2</v>
      </c>
      <c r="Y86" s="13">
        <f t="shared" si="11"/>
        <v>74.5714285714286</v>
      </c>
    </row>
    <row r="87" ht="15.6" spans="1:25">
      <c r="A87" s="27">
        <v>308</v>
      </c>
      <c r="B87" s="27">
        <v>30</v>
      </c>
      <c r="C87" s="28" t="s">
        <v>383</v>
      </c>
      <c r="D87" s="28" t="s">
        <v>46</v>
      </c>
      <c r="E87" s="27">
        <v>22</v>
      </c>
      <c r="F87" s="29">
        <f>LOOKUP(E87,{0,1.5,2.3,3.1,3.9,4.7,5.5,6.8,8.1,9.4,10.7,12,13.3,14.6,15.9,17.2,18.5,20.2,21.9,23.6,25.3},{0,10,20,30,40,50,60,62,64,66,68,70,72,74,76,78,80,85,90,95,100})</f>
        <v>90</v>
      </c>
      <c r="G87" s="27">
        <v>150</v>
      </c>
      <c r="H87" s="29">
        <f>LOOKUP(G87,{0,125,130,135,140,145,150,153,156,159,162,165,168,171,174,177,180,187,194,200,206},{0,10,20,30,40,50,60,62,64,66,68,70,72,74,76,78,80,85,90,95,100})</f>
        <v>60</v>
      </c>
      <c r="I87" s="27">
        <v>37</v>
      </c>
      <c r="J87" s="29">
        <f>LOOKUP(I87,{0,15,17,19,21,23,25,27,29,31,33,35,37,39,41,43,45,48,51,53,55},{0,10,20,30,40,50,60,62,64,66,68,70,72,74,76,78,80,85,90,95,100})</f>
        <v>72</v>
      </c>
      <c r="K87" s="35"/>
      <c r="L87" s="35"/>
      <c r="M87" s="35">
        <f t="shared" si="6"/>
        <v>72</v>
      </c>
      <c r="N87" s="35">
        <v>9.1</v>
      </c>
      <c r="O87" s="36">
        <f t="shared" si="7"/>
        <v>8.9</v>
      </c>
      <c r="P87" s="29">
        <f>LOOKUP(O87,{0,6.6,6.8,7,7.2,7.4,7.6,7.8,8,8.2,8.4,8.6,8.8,9,9.2,9.4,9.6,9.9,10.2,10.3,10.4},{0,10,20,30,40,50,60,62,64,66,68,70,72,74,76,78,80,85,90,95,100})</f>
        <v>72</v>
      </c>
      <c r="Q87" s="5">
        <v>3.49</v>
      </c>
      <c r="R87" s="36">
        <f t="shared" si="8"/>
        <v>6.51</v>
      </c>
      <c r="S87" s="29">
        <f>LOOKUP(R87,{0,4.74,4.84,4.94,5.44,5.54,5.64,5.69,5.74,5.79,5.84,5.89,5.94,5.99,6.44,6.49,6.54,6.61,6.68,6.74,6.8},{0,10,20,30,40,50,60,62,64,66,68,70,72,74,76,78,80,85,90,95,100})</f>
        <v>78</v>
      </c>
      <c r="T87" s="27"/>
      <c r="U87" s="27"/>
      <c r="V87" s="27">
        <f t="shared" si="9"/>
        <v>78</v>
      </c>
      <c r="W87" s="27"/>
      <c r="X87" s="19">
        <f t="shared" si="10"/>
        <v>52.2</v>
      </c>
      <c r="Y87" s="13">
        <f t="shared" si="11"/>
        <v>74.5714285714286</v>
      </c>
    </row>
    <row r="88" ht="15.6" spans="1:25">
      <c r="A88" s="27">
        <v>315</v>
      </c>
      <c r="B88" s="27">
        <v>34</v>
      </c>
      <c r="C88" s="28" t="s">
        <v>769</v>
      </c>
      <c r="D88" s="28" t="s">
        <v>46</v>
      </c>
      <c r="E88" s="27">
        <v>14.7</v>
      </c>
      <c r="F88" s="29">
        <f>LOOKUP(E88,{0,1.5,2.3,3.1,3.9,4.7,5.5,6.8,8.1,9.4,10.7,12,13.3,14.6,15.9,17.2,18.5,20.2,21.9,23.6,25.3},{0,10,20,30,40,50,60,62,64,66,68,70,72,74,76,78,80,85,90,95,100})</f>
        <v>74</v>
      </c>
      <c r="G88" s="27">
        <v>185</v>
      </c>
      <c r="H88" s="29">
        <f>LOOKUP(G88,{0,125,130,135,140,145,150,153,156,159,162,165,168,171,174,177,180,187,194,200,206},{0,10,20,30,40,50,60,62,64,66,68,70,72,74,76,78,80,85,90,95,100})</f>
        <v>80</v>
      </c>
      <c r="I88" s="27">
        <v>37</v>
      </c>
      <c r="J88" s="29">
        <f>LOOKUP(I88,{0,15,17,19,21,23,25,27,29,31,33,35,37,39,41,43,45,48,51,53,55},{0,10,20,30,40,50,60,62,64,66,68,70,72,74,76,78,80,85,90,95,100})</f>
        <v>72</v>
      </c>
      <c r="K88" s="35"/>
      <c r="L88" s="35"/>
      <c r="M88" s="35">
        <f t="shared" si="6"/>
        <v>72</v>
      </c>
      <c r="N88" s="35">
        <v>8.7</v>
      </c>
      <c r="O88" s="36">
        <f t="shared" si="7"/>
        <v>9.3</v>
      </c>
      <c r="P88" s="29">
        <f>LOOKUP(O88,{0,6.6,6.8,7,7.2,7.4,7.6,7.8,8,8.2,8.4,8.6,8.8,9,9.2,9.4,9.6,9.9,10.2,10.3,10.4},{0,10,20,30,40,50,60,62,64,66,68,70,72,74,76,78,80,85,90,95,100})</f>
        <v>76</v>
      </c>
      <c r="Q88" s="5">
        <v>4.03</v>
      </c>
      <c r="R88" s="36">
        <f t="shared" si="8"/>
        <v>5.97</v>
      </c>
      <c r="S88" s="29">
        <f>LOOKUP(R88,{0,4.74,4.84,4.94,5.44,5.54,5.64,5.69,5.74,5.79,5.84,5.89,5.94,5.99,6.44,6.49,6.54,6.61,6.68,6.74,6.8},{0,10,20,30,40,50,60,62,64,66,68,70,72,74,76,78,80,85,90,95,100})</f>
        <v>72</v>
      </c>
      <c r="T88" s="27"/>
      <c r="U88" s="27"/>
      <c r="V88" s="27">
        <f t="shared" si="9"/>
        <v>72</v>
      </c>
      <c r="W88" s="27"/>
      <c r="X88" s="19">
        <f t="shared" si="10"/>
        <v>52.2</v>
      </c>
      <c r="Y88" s="13">
        <f t="shared" si="11"/>
        <v>74.5714285714286</v>
      </c>
    </row>
    <row r="89" ht="15.6" spans="1:25">
      <c r="A89" s="27">
        <v>315</v>
      </c>
      <c r="B89" s="27">
        <v>45</v>
      </c>
      <c r="C89" s="28" t="s">
        <v>781</v>
      </c>
      <c r="D89" s="28" t="s">
        <v>46</v>
      </c>
      <c r="E89" s="27">
        <v>8.5</v>
      </c>
      <c r="F89" s="29">
        <f>LOOKUP(E89,{0,1.5,2.3,3.1,3.9,4.7,5.5,6.8,8.1,9.4,10.7,12,13.3,14.6,15.9,17.2,18.5,20.2,21.9,23.6,25.3},{0,10,20,30,40,50,60,62,64,66,68,70,72,74,76,78,80,85,90,95,100})</f>
        <v>64</v>
      </c>
      <c r="G89" s="27">
        <v>180</v>
      </c>
      <c r="H89" s="29">
        <f>LOOKUP(G89,{0,125,130,135,140,145,150,153,156,159,162,165,168,171,174,177,180,187,194,200,206},{0,10,20,30,40,50,60,62,64,66,68,70,72,74,76,78,80,85,90,95,100})</f>
        <v>80</v>
      </c>
      <c r="I89" s="27">
        <v>51</v>
      </c>
      <c r="J89" s="29">
        <f>LOOKUP(I89,{0,15,17,19,21,23,25,27,29,31,33,35,37,39,41,43,45,48,51,53,55},{0,10,20,30,40,50,60,62,64,66,68,70,72,74,76,78,80,85,90,95,100})</f>
        <v>90</v>
      </c>
      <c r="K89" s="35"/>
      <c r="L89" s="35"/>
      <c r="M89" s="35">
        <f t="shared" si="6"/>
        <v>90</v>
      </c>
      <c r="N89" s="35">
        <v>8.7</v>
      </c>
      <c r="O89" s="36">
        <f t="shared" si="7"/>
        <v>9.3</v>
      </c>
      <c r="P89" s="29">
        <f>LOOKUP(O89,{0,6.6,6.8,7,7.2,7.4,7.6,7.8,8,8.2,8.4,8.6,8.8,9,9.2,9.4,9.6,9.9,10.2,10.3,10.4},{0,10,20,30,40,50,60,62,64,66,68,70,72,74,76,78,80,85,90,95,100})</f>
        <v>76</v>
      </c>
      <c r="Q89" s="5">
        <v>4.14</v>
      </c>
      <c r="R89" s="36">
        <f t="shared" si="8"/>
        <v>5.86</v>
      </c>
      <c r="S89" s="29">
        <f>LOOKUP(R89,{0,4.74,4.84,4.94,5.44,5.54,5.64,5.69,5.74,5.79,5.84,5.89,5.94,5.99,6.44,6.49,6.54,6.61,6.68,6.74,6.8},{0,10,20,30,40,50,60,62,64,66,68,70,72,74,76,78,80,85,90,95,100})</f>
        <v>68</v>
      </c>
      <c r="T89" s="27"/>
      <c r="U89" s="27"/>
      <c r="V89" s="27">
        <f t="shared" si="9"/>
        <v>68</v>
      </c>
      <c r="W89" s="27"/>
      <c r="X89" s="19">
        <f t="shared" si="10"/>
        <v>52.2</v>
      </c>
      <c r="Y89" s="13">
        <f t="shared" si="11"/>
        <v>74.5714285714286</v>
      </c>
    </row>
    <row r="90" ht="15.6" spans="1:25">
      <c r="A90" s="27">
        <v>316</v>
      </c>
      <c r="B90" s="27">
        <v>33</v>
      </c>
      <c r="C90" s="28" t="s">
        <v>823</v>
      </c>
      <c r="D90" s="28" t="s">
        <v>46</v>
      </c>
      <c r="E90" s="27">
        <v>18.5</v>
      </c>
      <c r="F90" s="29">
        <f>LOOKUP(E90,{0,1.5,2.3,3.1,3.9,4.7,5.5,6.8,8.1,9.4,10.7,12,13.3,14.6,15.9,17.2,18.5,20.2,21.9,23.6,25.3},{0,10,20,30,40,50,60,62,64,66,68,70,72,74,76,78,80,85,90,95,100})</f>
        <v>80</v>
      </c>
      <c r="G90" s="27">
        <v>180</v>
      </c>
      <c r="H90" s="29">
        <f>LOOKUP(G90,{0,125,130,135,140,145,150,153,156,159,162,165,168,171,174,177,180,187,194,200,206},{0,10,20,30,40,50,60,62,64,66,68,70,72,74,76,78,80,85,90,95,100})</f>
        <v>80</v>
      </c>
      <c r="I90" s="27">
        <v>49</v>
      </c>
      <c r="J90" s="29">
        <f>LOOKUP(I90,{0,15,17,19,21,23,25,27,29,31,33,35,37,39,41,43,45,48,51,53,55},{0,10,20,30,40,50,60,62,64,66,68,70,72,74,76,78,80,85,90,95,100})</f>
        <v>85</v>
      </c>
      <c r="K90" s="35"/>
      <c r="L90" s="35"/>
      <c r="M90" s="35">
        <f t="shared" si="6"/>
        <v>85</v>
      </c>
      <c r="N90" s="35">
        <v>9.1</v>
      </c>
      <c r="O90" s="36">
        <f t="shared" si="7"/>
        <v>8.9</v>
      </c>
      <c r="P90" s="29">
        <f>LOOKUP(O90,{0,6.6,6.8,7,7.2,7.4,7.6,7.8,8,8.2,8.4,8.6,8.8,9,9.2,9.4,9.6,9.9,10.2,10.3,10.4},{0,10,20,30,40,50,60,62,64,66,68,70,72,74,76,78,80,85,90,95,100})</f>
        <v>72</v>
      </c>
      <c r="Q90" s="5">
        <v>4.2</v>
      </c>
      <c r="R90" s="36">
        <f t="shared" si="8"/>
        <v>5.8</v>
      </c>
      <c r="S90" s="29">
        <f>LOOKUP(R90,{0,4.74,4.84,4.94,5.44,5.54,5.64,5.69,5.74,5.79,5.84,5.89,5.94,5.99,6.44,6.49,6.54,6.61,6.68,6.74,6.8},{0,10,20,30,40,50,60,62,64,66,68,70,72,74,76,78,80,85,90,95,100})</f>
        <v>66</v>
      </c>
      <c r="T90" s="27"/>
      <c r="U90" s="27"/>
      <c r="V90" s="27">
        <f t="shared" si="9"/>
        <v>66</v>
      </c>
      <c r="W90" s="27"/>
      <c r="X90" s="19">
        <f t="shared" si="10"/>
        <v>52.1</v>
      </c>
      <c r="Y90" s="13">
        <f t="shared" si="11"/>
        <v>74.4285714285714</v>
      </c>
    </row>
    <row r="91" ht="15.6" spans="1:25">
      <c r="A91" s="27">
        <v>305</v>
      </c>
      <c r="B91" s="27">
        <v>45</v>
      </c>
      <c r="C91" s="28" t="s">
        <v>233</v>
      </c>
      <c r="D91" s="28" t="s">
        <v>46</v>
      </c>
      <c r="E91" s="27">
        <v>12.5</v>
      </c>
      <c r="F91" s="29">
        <f>LOOKUP(E91,{0,1.5,2.3,3.1,3.9,4.7,5.5,6.8,8.1,9.4,10.7,12,13.3,14.6,15.9,17.2,18.5,20.2,21.9,23.6,25.3},{0,10,20,30,40,50,60,62,64,66,68,70,72,74,76,78,80,85,90,95,100})</f>
        <v>70</v>
      </c>
      <c r="G91" s="27">
        <v>157</v>
      </c>
      <c r="H91" s="29">
        <f>LOOKUP(G91,{0,125,130,135,140,145,150,153,156,159,162,165,168,171,174,177,180,187,194,200,206},{0,10,20,30,40,50,60,62,64,66,68,70,72,74,76,78,80,85,90,95,100})</f>
        <v>64</v>
      </c>
      <c r="I91" s="27">
        <v>48</v>
      </c>
      <c r="J91" s="29">
        <f>LOOKUP(I91,{0,15,17,19,21,23,25,27,29,31,33,35,37,39,41,43,45,48,51,53,55},{0,10,20,30,40,50,60,62,64,66,68,70,72,74,76,78,80,85,90,95,100})</f>
        <v>85</v>
      </c>
      <c r="K91" s="35"/>
      <c r="L91" s="35"/>
      <c r="M91" s="35">
        <f t="shared" si="6"/>
        <v>85</v>
      </c>
      <c r="N91" s="35">
        <v>9.1</v>
      </c>
      <c r="O91" s="36">
        <f t="shared" si="7"/>
        <v>8.9</v>
      </c>
      <c r="P91" s="29">
        <f>LOOKUP(O91,{0,6.6,6.8,7,7.2,7.4,7.6,7.8,8,8.2,8.4,8.6,8.8,9,9.2,9.4,9.6,9.9,10.2,10.3,10.4},{0,10,20,30,40,50,60,62,64,66,68,70,72,74,76,78,80,85,90,95,100})</f>
        <v>72</v>
      </c>
      <c r="Q91" s="5">
        <v>3.51</v>
      </c>
      <c r="R91" s="36">
        <f t="shared" si="8"/>
        <v>6.49</v>
      </c>
      <c r="S91" s="29">
        <f>LOOKUP(R91,{0,4.74,4.84,4.94,5.44,5.54,5.64,5.69,5.74,5.79,5.84,5.89,5.94,5.99,6.44,6.49,6.54,6.61,6.68,6.74,6.8},{0,10,20,30,40,50,60,62,64,66,68,70,72,74,76,78,80,85,90,95,100})</f>
        <v>78</v>
      </c>
      <c r="T91" s="27"/>
      <c r="U91" s="27"/>
      <c r="V91" s="27">
        <f t="shared" si="9"/>
        <v>78</v>
      </c>
      <c r="W91" s="27"/>
      <c r="X91" s="19">
        <f t="shared" si="10"/>
        <v>51.9</v>
      </c>
      <c r="Y91" s="13">
        <f t="shared" si="11"/>
        <v>74.1428571428571</v>
      </c>
    </row>
    <row r="92" ht="15.6" spans="1:25">
      <c r="A92" s="27">
        <v>313</v>
      </c>
      <c r="B92" s="27">
        <v>24</v>
      </c>
      <c r="C92" s="28" t="s">
        <v>652</v>
      </c>
      <c r="D92" s="28" t="s">
        <v>46</v>
      </c>
      <c r="E92" s="27">
        <v>24</v>
      </c>
      <c r="F92" s="29">
        <f>LOOKUP(E92,{0,1.5,2.3,3.1,3.9,4.7,5.5,6.8,8.1,9.4,10.7,12,13.3,14.6,15.9,17.2,18.5,20.2,21.9,23.6,25.3},{0,10,20,30,40,50,60,62,64,66,68,70,72,74,76,78,80,85,90,95,100})</f>
        <v>95</v>
      </c>
      <c r="G92" s="27">
        <v>180</v>
      </c>
      <c r="H92" s="29">
        <f>LOOKUP(G92,{0,125,130,135,140,145,150,153,156,159,162,165,168,171,174,177,180,187,194,200,206},{0,10,20,30,40,50,60,62,64,66,68,70,72,74,76,78,80,85,90,95,100})</f>
        <v>80</v>
      </c>
      <c r="I92" s="27">
        <v>42</v>
      </c>
      <c r="J92" s="29">
        <f>LOOKUP(I92,{0,15,17,19,21,23,25,27,29,31,33,35,37,39,41,43,45,48,51,53,55},{0,10,20,30,40,50,60,62,64,66,68,70,72,74,76,78,80,85,90,95,100})</f>
        <v>76</v>
      </c>
      <c r="K92" s="35"/>
      <c r="L92" s="35"/>
      <c r="M92" s="35">
        <f t="shared" si="6"/>
        <v>76</v>
      </c>
      <c r="N92" s="35">
        <v>9.2</v>
      </c>
      <c r="O92" s="36">
        <f t="shared" si="7"/>
        <v>8.8</v>
      </c>
      <c r="P92" s="29">
        <f>LOOKUP(O92,{0,6.6,6.8,7,7.2,7.4,7.6,7.8,8,8.2,8.4,8.6,8.8,9,9.2,9.4,9.6,9.9,10.2,10.3,10.4},{0,10,20,30,40,50,60,62,64,66,68,70,72,74,76,78,80,85,90,95,100})</f>
        <v>72</v>
      </c>
      <c r="Q92" s="5">
        <v>4.3</v>
      </c>
      <c r="R92" s="36">
        <f t="shared" si="8"/>
        <v>5.7</v>
      </c>
      <c r="S92" s="29">
        <f>LOOKUP(R92,{0,4.74,4.84,4.94,5.44,5.54,5.64,5.69,5.74,5.79,5.84,5.89,5.94,5.99,6.44,6.49,6.54,6.61,6.68,6.74,6.8},{0,10,20,30,40,50,60,62,64,66,68,70,72,74,76,78,80,85,90,95,100})</f>
        <v>62</v>
      </c>
      <c r="T92" s="27"/>
      <c r="U92" s="27"/>
      <c r="V92" s="27">
        <f t="shared" si="9"/>
        <v>62</v>
      </c>
      <c r="W92" s="27"/>
      <c r="X92" s="19">
        <f t="shared" si="10"/>
        <v>51.9</v>
      </c>
      <c r="Y92" s="13">
        <f t="shared" si="11"/>
        <v>74.1428571428571</v>
      </c>
    </row>
    <row r="93" ht="15.6" spans="1:25">
      <c r="A93" s="27">
        <v>306</v>
      </c>
      <c r="B93" s="27">
        <v>38</v>
      </c>
      <c r="C93" s="28" t="s">
        <v>282</v>
      </c>
      <c r="D93" s="28" t="s">
        <v>46</v>
      </c>
      <c r="E93" s="27">
        <v>25.5</v>
      </c>
      <c r="F93" s="29">
        <f>LOOKUP(E93,{0,1.5,2.3,3.1,3.9,4.7,5.5,6.8,8.1,9.4,10.7,12,13.3,14.6,15.9,17.2,18.5,20.2,21.9,23.6,25.3},{0,10,20,30,40,50,60,62,64,66,68,70,72,74,76,78,80,85,90,95,100})</f>
        <v>100</v>
      </c>
      <c r="G93" s="27">
        <v>165</v>
      </c>
      <c r="H93" s="29">
        <f>LOOKUP(G93,{0,125,130,135,140,145,150,153,156,159,162,165,168,171,174,177,180,187,194,200,206},{0,10,20,30,40,50,60,62,64,66,68,70,72,74,76,78,80,85,90,95,100})</f>
        <v>70</v>
      </c>
      <c r="I93" s="27">
        <v>42</v>
      </c>
      <c r="J93" s="29">
        <f>LOOKUP(I93,{0,15,17,19,21,23,25,27,29,31,33,35,37,39,41,43,45,48,51,53,55},{0,10,20,30,40,50,60,62,64,66,68,70,72,74,76,78,80,85,90,95,100})</f>
        <v>76</v>
      </c>
      <c r="K93" s="35"/>
      <c r="L93" s="35"/>
      <c r="M93" s="35">
        <f t="shared" si="6"/>
        <v>76</v>
      </c>
      <c r="N93" s="35">
        <v>9.9</v>
      </c>
      <c r="O93" s="36">
        <f t="shared" si="7"/>
        <v>8.1</v>
      </c>
      <c r="P93" s="29">
        <f>LOOKUP(O93,{0,6.6,6.8,7,7.2,7.4,7.6,7.8,8,8.2,8.4,8.6,8.8,9,9.2,9.4,9.6,9.9,10.2,10.3,10.4},{0,10,20,30,40,50,60,62,64,66,68,70,72,74,76,78,80,85,90,95,100})</f>
        <v>64</v>
      </c>
      <c r="Q93" s="5">
        <v>4.04</v>
      </c>
      <c r="R93" s="36">
        <f t="shared" si="8"/>
        <v>5.96</v>
      </c>
      <c r="S93" s="29">
        <f>LOOKUP(R93,{0,4.74,4.84,4.94,5.44,5.54,5.64,5.69,5.74,5.79,5.84,5.89,5.94,5.99,6.44,6.49,6.54,6.61,6.68,6.74,6.8},{0,10,20,30,40,50,60,62,64,66,68,70,72,74,76,78,80,85,90,95,100})</f>
        <v>72</v>
      </c>
      <c r="T93" s="27"/>
      <c r="U93" s="27"/>
      <c r="V93" s="27">
        <f t="shared" si="9"/>
        <v>72</v>
      </c>
      <c r="W93" s="27"/>
      <c r="X93" s="19">
        <f t="shared" si="10"/>
        <v>51.8</v>
      </c>
      <c r="Y93" s="13">
        <f t="shared" si="11"/>
        <v>74</v>
      </c>
    </row>
    <row r="94" ht="15.6" spans="1:25">
      <c r="A94" s="27">
        <v>312</v>
      </c>
      <c r="B94" s="27">
        <v>36</v>
      </c>
      <c r="C94" s="28" t="s">
        <v>611</v>
      </c>
      <c r="D94" s="28" t="s">
        <v>46</v>
      </c>
      <c r="E94" s="27">
        <v>22</v>
      </c>
      <c r="F94" s="29">
        <f>LOOKUP(E94,{0,1.5,2.3,3.1,3.9,4.7,5.5,6.8,8.1,9.4,10.7,12,13.3,14.6,15.9,17.2,18.5,20.2,21.9,23.6,25.3},{0,10,20,30,40,50,60,62,64,66,68,70,72,74,76,78,80,85,90,95,100})</f>
        <v>90</v>
      </c>
      <c r="G94" s="27">
        <v>180</v>
      </c>
      <c r="H94" s="29">
        <f>LOOKUP(G94,{0,125,130,135,140,145,150,153,156,159,162,165,168,171,174,177,180,187,194,200,206},{0,10,20,30,40,50,60,62,64,66,68,70,72,74,76,78,80,85,90,95,100})</f>
        <v>80</v>
      </c>
      <c r="I94" s="27">
        <v>47</v>
      </c>
      <c r="J94" s="29">
        <f>LOOKUP(I94,{0,15,17,19,21,23,25,27,29,31,33,35,37,39,41,43,45,48,51,53,55},{0,10,20,30,40,50,60,62,64,66,68,70,72,74,76,78,80,85,90,95,100})</f>
        <v>80</v>
      </c>
      <c r="K94" s="35"/>
      <c r="L94" s="35"/>
      <c r="M94" s="35">
        <f t="shared" si="6"/>
        <v>80</v>
      </c>
      <c r="N94" s="35">
        <v>9.4</v>
      </c>
      <c r="O94" s="36">
        <f t="shared" si="7"/>
        <v>8.6</v>
      </c>
      <c r="P94" s="29">
        <f>LOOKUP(O94,{0,6.6,6.8,7,7.2,7.4,7.6,7.8,8,8.2,8.4,8.6,8.8,9,9.2,9.4,9.6,9.9,10.2,10.3,10.4},{0,10,20,30,40,50,60,62,64,66,68,70,72,74,76,78,80,85,90,95,100})</f>
        <v>70</v>
      </c>
      <c r="Q94" s="5">
        <v>4.25</v>
      </c>
      <c r="R94" s="36">
        <f t="shared" si="8"/>
        <v>5.75</v>
      </c>
      <c r="S94" s="29">
        <f>LOOKUP(R94,{0,4.74,4.84,4.94,5.44,5.54,5.64,5.69,5.74,5.79,5.84,5.89,5.94,5.99,6.44,6.49,6.54,6.61,6.68,6.74,6.8},{0,10,20,30,40,50,60,62,64,66,68,70,72,74,76,78,80,85,90,95,100})</f>
        <v>64</v>
      </c>
      <c r="T94" s="27"/>
      <c r="U94" s="27"/>
      <c r="V94" s="27">
        <f t="shared" si="9"/>
        <v>64</v>
      </c>
      <c r="W94" s="27"/>
      <c r="X94" s="19">
        <f t="shared" si="10"/>
        <v>51.8</v>
      </c>
      <c r="Y94" s="13">
        <f t="shared" si="11"/>
        <v>74</v>
      </c>
    </row>
    <row r="95" ht="15.6" spans="1:25">
      <c r="A95" s="27">
        <v>313</v>
      </c>
      <c r="B95" s="27">
        <v>45</v>
      </c>
      <c r="C95" s="28" t="s">
        <v>675</v>
      </c>
      <c r="D95" s="28" t="s">
        <v>46</v>
      </c>
      <c r="E95" s="27">
        <v>12</v>
      </c>
      <c r="F95" s="29">
        <f>LOOKUP(E95,{0,1.5,2.3,3.1,3.9,4.7,5.5,6.8,8.1,9.4,10.7,12,13.3,14.6,15.9,17.2,18.5,20.2,21.9,23.6,25.3},{0,10,20,30,40,50,60,62,64,66,68,70,72,74,76,78,80,85,90,95,100})</f>
        <v>70</v>
      </c>
      <c r="G95" s="27">
        <v>165</v>
      </c>
      <c r="H95" s="29">
        <f>LOOKUP(G95,{0,125,130,135,140,145,150,153,156,159,162,165,168,171,174,177,180,187,194,200,206},{0,10,20,30,40,50,60,62,64,66,68,70,72,74,76,78,80,85,90,95,100})</f>
        <v>70</v>
      </c>
      <c r="I95" s="27">
        <v>43</v>
      </c>
      <c r="J95" s="29">
        <f>LOOKUP(I95,{0,15,17,19,21,23,25,27,29,31,33,35,37,39,41,43,45,48,51,53,55},{0,10,20,30,40,50,60,62,64,66,68,70,72,74,76,78,80,85,90,95,100})</f>
        <v>78</v>
      </c>
      <c r="K95" s="35"/>
      <c r="L95" s="35"/>
      <c r="M95" s="35">
        <f t="shared" si="6"/>
        <v>78</v>
      </c>
      <c r="N95" s="35">
        <v>8.8</v>
      </c>
      <c r="O95" s="36">
        <f t="shared" si="7"/>
        <v>9.2</v>
      </c>
      <c r="P95" s="29">
        <f>LOOKUP(O95,{0,6.6,6.8,7,7.2,7.4,7.6,7.8,8,8.2,8.4,8.6,8.8,9,9.2,9.4,9.6,9.9,10.2,10.3,10.4},{0,10,20,30,40,50,60,62,64,66,68,70,72,74,76,78,80,85,90,95,100})</f>
        <v>76</v>
      </c>
      <c r="Q95" s="5">
        <v>3.57</v>
      </c>
      <c r="R95" s="36">
        <f t="shared" si="8"/>
        <v>6.43</v>
      </c>
      <c r="S95" s="29">
        <f>LOOKUP(R95,{0,4.74,4.84,4.94,5.44,5.54,5.64,5.69,5.74,5.79,5.84,5.89,5.94,5.99,6.44,6.49,6.54,6.61,6.68,6.74,6.8},{0,10,20,30,40,50,60,62,64,66,68,70,72,74,76,78,80,85,90,95,100})</f>
        <v>74</v>
      </c>
      <c r="T95" s="27"/>
      <c r="U95" s="27"/>
      <c r="V95" s="27">
        <f t="shared" si="9"/>
        <v>74</v>
      </c>
      <c r="W95" s="27"/>
      <c r="X95" s="19">
        <f t="shared" si="10"/>
        <v>51.8</v>
      </c>
      <c r="Y95" s="13">
        <f t="shared" si="11"/>
        <v>74</v>
      </c>
    </row>
    <row r="96" ht="15.6" spans="1:25">
      <c r="A96" s="27">
        <v>313</v>
      </c>
      <c r="B96" s="27">
        <v>50</v>
      </c>
      <c r="C96" s="28" t="s">
        <v>680</v>
      </c>
      <c r="D96" s="28" t="s">
        <v>46</v>
      </c>
      <c r="E96" s="27">
        <v>23</v>
      </c>
      <c r="F96" s="29">
        <f>LOOKUP(E96,{0,1.5,2.3,3.1,3.9,4.7,5.5,6.8,8.1,9.4,10.7,12,13.3,14.6,15.9,17.2,18.5,20.2,21.9,23.6,25.3},{0,10,20,30,40,50,60,62,64,66,68,70,72,74,76,78,80,85,90,95,100})</f>
        <v>90</v>
      </c>
      <c r="G96" s="27">
        <v>180</v>
      </c>
      <c r="H96" s="29">
        <f>LOOKUP(G96,{0,125,130,135,140,145,150,153,156,159,162,165,168,171,174,177,180,187,194,200,206},{0,10,20,30,40,50,60,62,64,66,68,70,72,74,76,78,80,85,90,95,100})</f>
        <v>80</v>
      </c>
      <c r="I96" s="27">
        <v>42</v>
      </c>
      <c r="J96" s="29">
        <f>LOOKUP(I96,{0,15,17,19,21,23,25,27,29,31,33,35,37,39,41,43,45,48,51,53,55},{0,10,20,30,40,50,60,62,64,66,68,70,72,74,76,78,80,85,90,95,100})</f>
        <v>76</v>
      </c>
      <c r="K96" s="35"/>
      <c r="L96" s="35"/>
      <c r="M96" s="35">
        <f t="shared" si="6"/>
        <v>76</v>
      </c>
      <c r="N96" s="35">
        <v>9.4</v>
      </c>
      <c r="O96" s="36">
        <f t="shared" si="7"/>
        <v>8.6</v>
      </c>
      <c r="P96" s="29">
        <f>LOOKUP(O96,{0,6.6,6.8,7,7.2,7.4,7.6,7.8,8,8.2,8.4,8.6,8.8,9,9.2,9.4,9.6,9.9,10.2,10.3,10.4},{0,10,20,30,40,50,60,62,64,66,68,70,72,74,76,78,80,85,90,95,100})</f>
        <v>70</v>
      </c>
      <c r="Q96" s="5">
        <v>4.18</v>
      </c>
      <c r="R96" s="36">
        <f t="shared" si="8"/>
        <v>5.82</v>
      </c>
      <c r="S96" s="29">
        <f>LOOKUP(R96,{0,4.74,4.84,4.94,5.44,5.54,5.64,5.69,5.74,5.79,5.84,5.89,5.94,5.99,6.44,6.49,6.54,6.61,6.68,6.74,6.8},{0,10,20,30,40,50,60,62,64,66,68,70,72,74,76,78,80,85,90,95,100})</f>
        <v>66</v>
      </c>
      <c r="T96" s="27"/>
      <c r="U96" s="27"/>
      <c r="V96" s="27">
        <f t="shared" si="9"/>
        <v>66</v>
      </c>
      <c r="W96" s="27"/>
      <c r="X96" s="19">
        <f t="shared" si="10"/>
        <v>51.8</v>
      </c>
      <c r="Y96" s="13">
        <f t="shared" si="11"/>
        <v>74</v>
      </c>
    </row>
    <row r="97" ht="15.6" spans="1:25">
      <c r="A97" s="27">
        <v>316</v>
      </c>
      <c r="B97" s="27">
        <v>32</v>
      </c>
      <c r="C97" s="30" t="s">
        <v>822</v>
      </c>
      <c r="D97" s="28" t="s">
        <v>46</v>
      </c>
      <c r="E97" s="27">
        <v>21.5</v>
      </c>
      <c r="F97" s="29">
        <f>LOOKUP(E97,{0,1.5,2.3,3.1,3.9,4.7,5.5,6.8,8.1,9.4,10.7,12,13.3,14.6,15.9,17.2,18.5,20.2,21.9,23.6,25.3},{0,10,20,30,40,50,60,62,64,66,68,70,72,74,76,78,80,85,90,95,100})</f>
        <v>85</v>
      </c>
      <c r="G97" s="27">
        <v>174</v>
      </c>
      <c r="H97" s="29">
        <f>LOOKUP(G97,{0,125,130,135,140,145,150,153,156,159,162,165,168,171,174,177,180,187,194,200,206},{0,10,20,30,40,50,60,62,64,66,68,70,72,74,76,78,80,85,90,95,100})</f>
        <v>76</v>
      </c>
      <c r="I97" s="27">
        <v>48</v>
      </c>
      <c r="J97" s="29">
        <f>LOOKUP(I97,{0,15,17,19,21,23,25,27,29,31,33,35,37,39,41,43,45,48,51,53,55},{0,10,20,30,40,50,60,62,64,66,68,70,72,74,76,78,80,85,90,95,100})</f>
        <v>85</v>
      </c>
      <c r="K97" s="35"/>
      <c r="L97" s="35"/>
      <c r="M97" s="35">
        <f t="shared" si="6"/>
        <v>85</v>
      </c>
      <c r="N97" s="35">
        <v>9.7</v>
      </c>
      <c r="O97" s="36">
        <f t="shared" si="7"/>
        <v>8.3</v>
      </c>
      <c r="P97" s="29">
        <f>LOOKUP(O97,{0,6.6,6.8,7,7.2,7.4,7.6,7.8,8,8.2,8.4,8.6,8.8,9,9.2,9.4,9.6,9.9,10.2,10.3,10.4},{0,10,20,30,40,50,60,62,64,66,68,70,72,74,76,78,80,85,90,95,100})</f>
        <v>66</v>
      </c>
      <c r="Q97" s="5">
        <v>4.11</v>
      </c>
      <c r="R97" s="36">
        <f t="shared" si="8"/>
        <v>5.89</v>
      </c>
      <c r="S97" s="29">
        <f>LOOKUP(R97,{0,4.74,4.84,4.94,5.44,5.54,5.64,5.69,5.74,5.79,5.84,5.89,5.94,5.99,6.44,6.49,6.54,6.61,6.68,6.74,6.8},{0,10,20,30,40,50,60,62,64,66,68,70,72,74,76,78,80,85,90,95,100})</f>
        <v>70</v>
      </c>
      <c r="T97" s="27"/>
      <c r="U97" s="27"/>
      <c r="V97" s="27">
        <f t="shared" si="9"/>
        <v>70</v>
      </c>
      <c r="W97" s="27"/>
      <c r="X97" s="19">
        <f t="shared" si="10"/>
        <v>51.8</v>
      </c>
      <c r="Y97" s="13">
        <f t="shared" si="11"/>
        <v>74</v>
      </c>
    </row>
    <row r="98" ht="15.6" spans="1:25">
      <c r="A98" s="27">
        <v>303</v>
      </c>
      <c r="B98" s="27">
        <v>42</v>
      </c>
      <c r="C98" s="27" t="s">
        <v>145</v>
      </c>
      <c r="D98" s="27" t="s">
        <v>46</v>
      </c>
      <c r="E98" s="27">
        <v>19</v>
      </c>
      <c r="F98" s="29">
        <f>LOOKUP(E98,{0,1.5,2.3,3.1,3.9,4.7,5.5,6.8,8.1,9.4,10.7,12,13.3,14.6,15.9,17.2,18.5,20.2,21.9,23.6,25.3},{0,10,20,30,40,50,60,62,64,66,68,70,72,74,76,78,80,85,90,95,100})</f>
        <v>80</v>
      </c>
      <c r="G98" s="27">
        <v>190</v>
      </c>
      <c r="H98" s="29">
        <f>LOOKUP(G98,{0,125,130,135,140,145,150,153,156,159,162,165,168,171,174,177,180,187,194,200,206},{0,10,20,30,40,50,60,62,64,66,68,70,72,74,76,78,80,85,90,95,100})</f>
        <v>85</v>
      </c>
      <c r="I98" s="27">
        <v>46</v>
      </c>
      <c r="J98" s="29">
        <f>LOOKUP(I98,{0,15,17,19,21,23,25,27,29,31,33,35,37,39,41,43,45,48,51,53,55},{0,10,20,30,40,50,60,62,64,66,68,70,72,74,76,78,80,85,90,95,100})</f>
        <v>80</v>
      </c>
      <c r="K98" s="35"/>
      <c r="L98" s="35"/>
      <c r="M98" s="35">
        <f t="shared" si="6"/>
        <v>80</v>
      </c>
      <c r="N98" s="35">
        <v>9.4</v>
      </c>
      <c r="O98" s="36">
        <f t="shared" si="7"/>
        <v>8.6</v>
      </c>
      <c r="P98" s="29">
        <f>LOOKUP(O98,{0,6.6,6.8,7,7.2,7.4,7.6,7.8,8,8.2,8.4,8.6,8.8,9,9.2,9.4,9.6,9.9,10.2,10.3,10.4},{0,10,20,30,40,50,60,62,64,66,68,70,72,74,76,78,80,85,90,95,100})</f>
        <v>70</v>
      </c>
      <c r="Q98" s="5">
        <v>4.19</v>
      </c>
      <c r="R98" s="36">
        <f t="shared" si="8"/>
        <v>5.81</v>
      </c>
      <c r="S98" s="29">
        <f>LOOKUP(R98,{0,4.74,4.84,4.94,5.44,5.54,5.64,5.69,5.74,5.79,5.84,5.89,5.94,5.99,6.44,6.49,6.54,6.61,6.68,6.74,6.8},{0,10,20,30,40,50,60,62,64,66,68,70,72,74,76,78,80,85,90,95,100})</f>
        <v>66</v>
      </c>
      <c r="T98" s="27"/>
      <c r="U98" s="27"/>
      <c r="V98" s="27">
        <f t="shared" si="9"/>
        <v>66</v>
      </c>
      <c r="W98" s="27"/>
      <c r="X98" s="19">
        <f t="shared" si="10"/>
        <v>51.7</v>
      </c>
      <c r="Y98" s="13">
        <f t="shared" si="11"/>
        <v>73.8571428571429</v>
      </c>
    </row>
    <row r="99" ht="15.6" spans="1:25">
      <c r="A99" s="27">
        <v>307</v>
      </c>
      <c r="B99" s="27">
        <v>35</v>
      </c>
      <c r="C99" s="28" t="s">
        <v>336</v>
      </c>
      <c r="D99" s="28" t="s">
        <v>46</v>
      </c>
      <c r="E99" s="27">
        <v>5.5</v>
      </c>
      <c r="F99" s="29">
        <f>LOOKUP(E99,{0,1.5,2.3,3.1,3.9,4.7,5.5,6.8,8.1,9.4,10.7,12,13.3,14.6,15.9,17.2,18.5,20.2,21.9,23.6,25.3},{0,10,20,30,40,50,60,62,64,66,68,70,72,74,76,78,80,85,90,95,100})</f>
        <v>60</v>
      </c>
      <c r="G99" s="27">
        <v>160</v>
      </c>
      <c r="H99" s="29">
        <f>LOOKUP(G99,{0,125,130,135,140,145,150,153,156,159,162,165,168,171,174,177,180,187,194,200,206},{0,10,20,30,40,50,60,62,64,66,68,70,72,74,76,78,80,85,90,95,100})</f>
        <v>66</v>
      </c>
      <c r="I99" s="27">
        <v>51</v>
      </c>
      <c r="J99" s="29">
        <f>LOOKUP(I99,{0,15,17,19,21,23,25,27,29,31,33,35,37,39,41,43,45,48,51,53,55},{0,10,20,30,40,50,60,62,64,66,68,70,72,74,76,78,80,85,90,95,100})</f>
        <v>90</v>
      </c>
      <c r="K99" s="35"/>
      <c r="L99" s="35"/>
      <c r="M99" s="35">
        <f t="shared" si="6"/>
        <v>90</v>
      </c>
      <c r="N99" s="35">
        <v>9</v>
      </c>
      <c r="O99" s="36">
        <f t="shared" si="7"/>
        <v>9</v>
      </c>
      <c r="P99" s="29">
        <f>LOOKUP(O99,{0,6.6,6.8,7,7.2,7.4,7.6,7.8,8,8.2,8.4,8.6,8.8,9,9.2,9.4,9.6,9.9,10.2,10.3,10.4},{0,10,20,30,40,50,60,62,64,66,68,70,72,74,76,78,80,85,90,95,100})</f>
        <v>74</v>
      </c>
      <c r="Q99" s="5">
        <v>3.52</v>
      </c>
      <c r="R99" s="36">
        <f t="shared" si="8"/>
        <v>6.48</v>
      </c>
      <c r="S99" s="29">
        <f>LOOKUP(R99,{0,4.74,4.84,4.94,5.44,5.54,5.64,5.69,5.74,5.79,5.84,5.89,5.94,5.99,6.44,6.49,6.54,6.61,6.68,6.74,6.8},{0,10,20,30,40,50,60,62,64,66,68,70,72,74,76,78,80,85,90,95,100})</f>
        <v>76</v>
      </c>
      <c r="T99" s="27"/>
      <c r="U99" s="27"/>
      <c r="V99" s="27">
        <f t="shared" si="9"/>
        <v>76</v>
      </c>
      <c r="W99" s="27"/>
      <c r="X99" s="19">
        <f t="shared" si="10"/>
        <v>51.6</v>
      </c>
      <c r="Y99" s="13">
        <f t="shared" si="11"/>
        <v>73.7142857142857</v>
      </c>
    </row>
    <row r="100" ht="15.6" spans="1:25">
      <c r="A100" s="27">
        <v>315</v>
      </c>
      <c r="B100" s="27">
        <v>46</v>
      </c>
      <c r="C100" s="28" t="s">
        <v>782</v>
      </c>
      <c r="D100" s="28" t="s">
        <v>46</v>
      </c>
      <c r="E100" s="27">
        <v>23.5</v>
      </c>
      <c r="F100" s="29">
        <f>LOOKUP(E100,{0,1.5,2.3,3.1,3.9,4.7,5.5,6.8,8.1,9.4,10.7,12,13.3,14.6,15.9,17.2,18.5,20.2,21.9,23.6,25.3},{0,10,20,30,40,50,60,62,64,66,68,70,72,74,76,78,80,85,90,95,100})</f>
        <v>90</v>
      </c>
      <c r="G100" s="27">
        <v>170</v>
      </c>
      <c r="H100" s="29">
        <f>LOOKUP(G100,{0,125,130,135,140,145,150,153,156,159,162,165,168,171,174,177,180,187,194,200,206},{0,10,20,30,40,50,60,62,64,66,68,70,72,74,76,78,80,85,90,95,100})</f>
        <v>72</v>
      </c>
      <c r="I100" s="27">
        <v>35</v>
      </c>
      <c r="J100" s="29">
        <f>LOOKUP(I100,{0,15,17,19,21,23,25,27,29,31,33,35,37,39,41,43,45,48,51,53,55},{0,10,20,30,40,50,60,62,64,66,68,70,72,74,76,78,80,85,90,95,100})</f>
        <v>70</v>
      </c>
      <c r="K100" s="35"/>
      <c r="L100" s="35"/>
      <c r="M100" s="35">
        <f t="shared" si="6"/>
        <v>70</v>
      </c>
      <c r="N100" s="35">
        <v>8.7</v>
      </c>
      <c r="O100" s="36">
        <f t="shared" si="7"/>
        <v>9.3</v>
      </c>
      <c r="P100" s="29">
        <f>LOOKUP(O100,{0,6.6,6.8,7,7.2,7.4,7.6,7.8,8,8.2,8.4,8.6,8.8,9,9.2,9.4,9.6,9.9,10.2,10.3,10.4},{0,10,20,30,40,50,60,62,64,66,68,70,72,74,76,78,80,85,90,95,100})</f>
        <v>76</v>
      </c>
      <c r="Q100" s="5">
        <v>4.18</v>
      </c>
      <c r="R100" s="36">
        <f t="shared" si="8"/>
        <v>5.82</v>
      </c>
      <c r="S100" s="29">
        <f>LOOKUP(R100,{0,4.74,4.84,4.94,5.44,5.54,5.64,5.69,5.74,5.79,5.84,5.89,5.94,5.99,6.44,6.49,6.54,6.61,6.68,6.74,6.8},{0,10,20,30,40,50,60,62,64,66,68,70,72,74,76,78,80,85,90,95,100})</f>
        <v>66</v>
      </c>
      <c r="T100" s="27"/>
      <c r="U100" s="27"/>
      <c r="V100" s="27">
        <f t="shared" si="9"/>
        <v>66</v>
      </c>
      <c r="W100" s="27"/>
      <c r="X100" s="19">
        <f t="shared" si="10"/>
        <v>51.6</v>
      </c>
      <c r="Y100" s="13">
        <f t="shared" si="11"/>
        <v>73.7142857142857</v>
      </c>
    </row>
    <row r="101" ht="15.6" spans="1:25">
      <c r="A101" s="27">
        <v>316</v>
      </c>
      <c r="B101" s="27">
        <v>17</v>
      </c>
      <c r="C101" s="28" t="s">
        <v>805</v>
      </c>
      <c r="D101" s="28" t="s">
        <v>46</v>
      </c>
      <c r="E101" s="27">
        <v>6</v>
      </c>
      <c r="F101" s="29">
        <f>LOOKUP(E101,{0,1.5,2.3,3.1,3.9,4.7,5.5,6.8,8.1,9.4,10.7,12,13.3,14.6,15.9,17.2,18.5,20.2,21.9,23.6,25.3},{0,10,20,30,40,50,60,62,64,66,68,70,72,74,76,78,80,85,90,95,100})</f>
        <v>60</v>
      </c>
      <c r="G101" s="27">
        <v>185</v>
      </c>
      <c r="H101" s="29">
        <f>LOOKUP(G101,{0,125,130,135,140,145,150,153,156,159,162,165,168,171,174,177,180,187,194,200,206},{0,10,20,30,40,50,60,62,64,66,68,70,72,74,76,78,80,85,90,95,100})</f>
        <v>80</v>
      </c>
      <c r="I101" s="27">
        <v>45</v>
      </c>
      <c r="J101" s="29">
        <f>LOOKUP(I101,{0,15,17,19,21,23,25,27,29,31,33,35,37,39,41,43,45,48,51,53,55},{0,10,20,30,40,50,60,62,64,66,68,70,72,74,76,78,80,85,90,95,100})</f>
        <v>80</v>
      </c>
      <c r="K101" s="35"/>
      <c r="L101" s="35"/>
      <c r="M101" s="35">
        <f t="shared" si="6"/>
        <v>80</v>
      </c>
      <c r="N101" s="35">
        <v>8.7</v>
      </c>
      <c r="O101" s="36">
        <f t="shared" si="7"/>
        <v>9.3</v>
      </c>
      <c r="P101" s="29">
        <f>LOOKUP(O101,{0,6.6,6.8,7,7.2,7.4,7.6,7.8,8,8.2,8.4,8.6,8.8,9,9.2,9.4,9.6,9.9,10.2,10.3,10.4},{0,10,20,30,40,50,60,62,64,66,68,70,72,74,76,78,80,85,90,95,100})</f>
        <v>76</v>
      </c>
      <c r="Q101" s="5">
        <v>4.04</v>
      </c>
      <c r="R101" s="36">
        <f t="shared" si="8"/>
        <v>5.96</v>
      </c>
      <c r="S101" s="29">
        <f>LOOKUP(R101,{0,4.74,4.84,4.94,5.44,5.54,5.64,5.69,5.74,5.79,5.84,5.89,5.94,5.99,6.44,6.49,6.54,6.61,6.68,6.74,6.8},{0,10,20,30,40,50,60,62,64,66,68,70,72,74,76,78,80,85,90,95,100})</f>
        <v>72</v>
      </c>
      <c r="T101" s="27"/>
      <c r="U101" s="27"/>
      <c r="V101" s="27">
        <f t="shared" si="9"/>
        <v>72</v>
      </c>
      <c r="W101" s="27"/>
      <c r="X101" s="19">
        <f t="shared" si="10"/>
        <v>51.6</v>
      </c>
      <c r="Y101" s="13">
        <f t="shared" si="11"/>
        <v>73.7142857142857</v>
      </c>
    </row>
    <row r="102" ht="15.6" spans="1:25">
      <c r="A102" s="27">
        <v>316</v>
      </c>
      <c r="B102" s="27">
        <v>26</v>
      </c>
      <c r="C102" s="28" t="s">
        <v>815</v>
      </c>
      <c r="D102" s="28" t="s">
        <v>46</v>
      </c>
      <c r="E102" s="27">
        <v>14</v>
      </c>
      <c r="F102" s="29">
        <f>LOOKUP(E102,{0,1.5,2.3,3.1,3.9,4.7,5.5,6.8,8.1,9.4,10.7,12,13.3,14.6,15.9,17.2,18.5,20.2,21.9,23.6,25.3},{0,10,20,30,40,50,60,62,64,66,68,70,72,74,76,78,80,85,90,95,100})</f>
        <v>72</v>
      </c>
      <c r="G102" s="27">
        <v>184</v>
      </c>
      <c r="H102" s="29">
        <f>LOOKUP(G102,{0,125,130,135,140,145,150,153,156,159,162,165,168,171,174,177,180,187,194,200,206},{0,10,20,30,40,50,60,62,64,66,68,70,72,74,76,78,80,85,90,95,100})</f>
        <v>80</v>
      </c>
      <c r="I102" s="27">
        <v>45</v>
      </c>
      <c r="J102" s="29">
        <f>LOOKUP(I102,{0,15,17,19,21,23,25,27,29,31,33,35,37,39,41,43,45,48,51,53,55},{0,10,20,30,40,50,60,62,64,66,68,70,72,74,76,78,80,85,90,95,100})</f>
        <v>80</v>
      </c>
      <c r="K102" s="35"/>
      <c r="L102" s="35"/>
      <c r="M102" s="35">
        <f t="shared" si="6"/>
        <v>80</v>
      </c>
      <c r="N102" s="35">
        <v>9.1</v>
      </c>
      <c r="O102" s="36">
        <f t="shared" si="7"/>
        <v>8.9</v>
      </c>
      <c r="P102" s="29">
        <f>LOOKUP(O102,{0,6.6,6.8,7,7.2,7.4,7.6,7.8,8,8.2,8.4,8.6,8.8,9,9.2,9.4,9.6,9.9,10.2,10.3,10.4},{0,10,20,30,40,50,60,62,64,66,68,70,72,74,76,78,80,85,90,95,100})</f>
        <v>72</v>
      </c>
      <c r="Q102" s="5">
        <v>4.08</v>
      </c>
      <c r="R102" s="36">
        <f t="shared" si="8"/>
        <v>5.92</v>
      </c>
      <c r="S102" s="29">
        <f>LOOKUP(R102,{0,4.74,4.84,4.94,5.44,5.54,5.64,5.69,5.74,5.79,5.84,5.89,5.94,5.99,6.44,6.49,6.54,6.61,6.68,6.74,6.8},{0,10,20,30,40,50,60,62,64,66,68,70,72,74,76,78,80,85,90,95,100})</f>
        <v>70</v>
      </c>
      <c r="T102" s="27"/>
      <c r="U102" s="27"/>
      <c r="V102" s="27">
        <f t="shared" si="9"/>
        <v>70</v>
      </c>
      <c r="W102" s="27"/>
      <c r="X102" s="19">
        <f t="shared" si="10"/>
        <v>51.6</v>
      </c>
      <c r="Y102" s="13">
        <f t="shared" si="11"/>
        <v>73.7142857142857</v>
      </c>
    </row>
    <row r="103" ht="15.6" spans="1:25">
      <c r="A103" s="27">
        <v>316</v>
      </c>
      <c r="B103" s="27">
        <v>31</v>
      </c>
      <c r="C103" s="28" t="s">
        <v>820</v>
      </c>
      <c r="D103" s="28" t="s">
        <v>46</v>
      </c>
      <c r="E103" s="27">
        <v>8.2</v>
      </c>
      <c r="F103" s="29">
        <f>LOOKUP(E103,{0,1.5,2.3,3.1,3.9,4.7,5.5,6.8,8.1,9.4,10.7,12,13.3,14.6,15.9,17.2,18.5,20.2,21.9,23.6,25.3},{0,10,20,30,40,50,60,62,64,66,68,70,72,74,76,78,80,85,90,95,100})</f>
        <v>64</v>
      </c>
      <c r="G103" s="27">
        <v>182</v>
      </c>
      <c r="H103" s="29">
        <f>LOOKUP(G103,{0,125,130,135,140,145,150,153,156,159,162,165,168,171,174,177,180,187,194,200,206},{0,10,20,30,40,50,60,62,64,66,68,70,72,74,76,78,80,85,90,95,100})</f>
        <v>80</v>
      </c>
      <c r="I103" s="27">
        <v>41</v>
      </c>
      <c r="J103" s="29">
        <f>LOOKUP(I103,{0,15,17,19,21,23,25,27,29,31,33,35,37,39,41,43,45,48,51,53,55},{0,10,20,30,40,50,60,62,64,66,68,70,72,74,76,78,80,85,90,95,100})</f>
        <v>76</v>
      </c>
      <c r="K103" s="35"/>
      <c r="L103" s="35"/>
      <c r="M103" s="35">
        <f t="shared" si="6"/>
        <v>76</v>
      </c>
      <c r="N103" s="35">
        <v>8.4</v>
      </c>
      <c r="O103" s="36">
        <f t="shared" si="7"/>
        <v>9.6</v>
      </c>
      <c r="P103" s="29">
        <f>LOOKUP(O103,{0,6.6,6.8,7,7.2,7.4,7.6,7.8,8,8.2,8.4,8.6,8.8,9,9.2,9.4,9.6,9.9,10.2,10.3,10.4},{0,10,20,30,40,50,60,62,64,66,68,70,72,74,76,78,80,85,90,95,100})</f>
        <v>80</v>
      </c>
      <c r="Q103" s="5">
        <v>4.13</v>
      </c>
      <c r="R103" s="36">
        <f t="shared" si="8"/>
        <v>5.87</v>
      </c>
      <c r="S103" s="29">
        <f>LOOKUP(R103,{0,4.74,4.84,4.94,5.44,5.54,5.64,5.69,5.74,5.79,5.84,5.89,5.94,5.99,6.44,6.49,6.54,6.61,6.68,6.74,6.8},{0,10,20,30,40,50,60,62,64,66,68,70,72,74,76,78,80,85,90,95,100})</f>
        <v>68</v>
      </c>
      <c r="T103" s="27"/>
      <c r="U103" s="27"/>
      <c r="V103" s="27">
        <f t="shared" si="9"/>
        <v>68</v>
      </c>
      <c r="W103" s="27"/>
      <c r="X103" s="19">
        <f t="shared" si="10"/>
        <v>51.6</v>
      </c>
      <c r="Y103" s="13">
        <f t="shared" si="11"/>
        <v>73.7142857142857</v>
      </c>
    </row>
    <row r="104" ht="15.6" spans="1:25">
      <c r="A104" s="27">
        <v>315</v>
      </c>
      <c r="B104" s="27">
        <v>39</v>
      </c>
      <c r="C104" s="28" t="s">
        <v>774</v>
      </c>
      <c r="D104" s="28" t="s">
        <v>46</v>
      </c>
      <c r="E104" s="27">
        <v>10.5</v>
      </c>
      <c r="F104" s="29">
        <f>LOOKUP(E104,{0,1.5,2.3,3.1,3.9,4.7,5.5,6.8,8.1,9.4,10.7,12,13.3,14.6,15.9,17.2,18.5,20.2,21.9,23.6,25.3},{0,10,20,30,40,50,60,62,64,66,68,70,72,74,76,78,80,85,90,95,100})</f>
        <v>66</v>
      </c>
      <c r="G104" s="27">
        <v>175</v>
      </c>
      <c r="H104" s="29">
        <f>LOOKUP(G104,{0,125,130,135,140,145,150,153,156,159,162,165,168,171,174,177,180,187,194,200,206},{0,10,20,30,40,50,60,62,64,66,68,70,72,74,76,78,80,85,90,95,100})</f>
        <v>76</v>
      </c>
      <c r="I104" s="27">
        <v>50</v>
      </c>
      <c r="J104" s="29">
        <f>LOOKUP(I104,{0,15,17,19,21,23,25,27,29,31,33,35,37,39,41,43,45,48,51,53,55},{0,10,20,30,40,50,60,62,64,66,68,70,72,74,76,78,80,85,90,95,100})</f>
        <v>85</v>
      </c>
      <c r="K104" s="35"/>
      <c r="L104" s="35"/>
      <c r="M104" s="35">
        <f t="shared" si="6"/>
        <v>85</v>
      </c>
      <c r="N104" s="35">
        <v>8.4</v>
      </c>
      <c r="O104" s="36">
        <f t="shared" si="7"/>
        <v>9.6</v>
      </c>
      <c r="P104" s="29">
        <f>LOOKUP(O104,{0,6.6,6.8,7,7.2,7.4,7.6,7.8,8,8.2,8.4,8.6,8.8,9,9.2,9.4,9.6,9.9,10.2,10.3,10.4},{0,10,20,30,40,50,60,62,64,66,68,70,72,74,76,78,80,85,90,95,100})</f>
        <v>80</v>
      </c>
      <c r="Q104" s="5">
        <v>4.25</v>
      </c>
      <c r="R104" s="36">
        <f t="shared" si="8"/>
        <v>5.75</v>
      </c>
      <c r="S104" s="29">
        <f>LOOKUP(R104,{0,4.74,4.84,4.94,5.44,5.54,5.64,5.69,5.74,5.79,5.84,5.89,5.94,5.99,6.44,6.49,6.54,6.61,6.68,6.74,6.8},{0,10,20,30,40,50,60,62,64,66,68,70,72,74,76,78,80,85,90,95,100})</f>
        <v>64</v>
      </c>
      <c r="T104" s="27"/>
      <c r="U104" s="27"/>
      <c r="V104" s="27">
        <f t="shared" si="9"/>
        <v>64</v>
      </c>
      <c r="W104" s="27"/>
      <c r="X104" s="19">
        <f t="shared" si="10"/>
        <v>51.5</v>
      </c>
      <c r="Y104" s="13">
        <f t="shared" si="11"/>
        <v>73.5714285714286</v>
      </c>
    </row>
    <row r="105" ht="15.6" spans="1:25">
      <c r="A105" s="27">
        <v>316</v>
      </c>
      <c r="B105" s="27">
        <v>13</v>
      </c>
      <c r="C105" s="30" t="s">
        <v>801</v>
      </c>
      <c r="D105" s="28" t="s">
        <v>46</v>
      </c>
      <c r="E105" s="27">
        <v>16</v>
      </c>
      <c r="F105" s="29">
        <f>LOOKUP(E105,{0,1.5,2.3,3.1,3.9,4.7,5.5,6.8,8.1,9.4,10.7,12,13.3,14.6,15.9,17.2,18.5,20.2,21.9,23.6,25.3},{0,10,20,30,40,50,60,62,64,66,68,70,72,74,76,78,80,85,90,95,100})</f>
        <v>76</v>
      </c>
      <c r="G105" s="27">
        <v>172</v>
      </c>
      <c r="H105" s="29">
        <f>LOOKUP(G105,{0,125,130,135,140,145,150,153,156,159,162,165,168,171,174,177,180,187,194,200,206},{0,10,20,30,40,50,60,62,64,66,68,70,72,74,76,78,80,85,90,95,100})</f>
        <v>74</v>
      </c>
      <c r="I105" s="27">
        <v>48</v>
      </c>
      <c r="J105" s="29">
        <f>LOOKUP(I105,{0,15,17,19,21,23,25,27,29,31,33,35,37,39,41,43,45,48,51,53,55},{0,10,20,30,40,50,60,62,64,66,68,70,72,74,76,78,80,85,90,95,100})</f>
        <v>85</v>
      </c>
      <c r="K105" s="35"/>
      <c r="L105" s="35"/>
      <c r="M105" s="35">
        <f t="shared" si="6"/>
        <v>85</v>
      </c>
      <c r="N105" s="35">
        <v>9.6</v>
      </c>
      <c r="O105" s="36">
        <f t="shared" si="7"/>
        <v>8.4</v>
      </c>
      <c r="P105" s="29">
        <f>LOOKUP(O105,{0,6.6,6.8,7,7.2,7.4,7.6,7.8,8,8.2,8.4,8.6,8.8,9,9.2,9.4,9.6,9.9,10.2,10.3,10.4},{0,10,20,30,40,50,60,62,64,66,68,70,72,74,76,78,80,85,90,95,100})</f>
        <v>68</v>
      </c>
      <c r="Q105" s="5">
        <v>4.05</v>
      </c>
      <c r="R105" s="36">
        <f t="shared" si="8"/>
        <v>5.95</v>
      </c>
      <c r="S105" s="29">
        <f>LOOKUP(R105,{0,4.74,4.84,4.94,5.44,5.54,5.64,5.69,5.74,5.79,5.84,5.89,5.94,5.99,6.44,6.49,6.54,6.61,6.68,6.74,6.8},{0,10,20,30,40,50,60,62,64,66,68,70,72,74,76,78,80,85,90,95,100})</f>
        <v>72</v>
      </c>
      <c r="T105" s="27"/>
      <c r="U105" s="27"/>
      <c r="V105" s="27">
        <f t="shared" si="9"/>
        <v>72</v>
      </c>
      <c r="W105" s="27"/>
      <c r="X105" s="19">
        <f t="shared" si="10"/>
        <v>51.5</v>
      </c>
      <c r="Y105" s="13">
        <f t="shared" si="11"/>
        <v>73.5714285714286</v>
      </c>
    </row>
    <row r="106" ht="15.6" spans="1:25">
      <c r="A106" s="27">
        <v>307</v>
      </c>
      <c r="B106" s="27">
        <v>37</v>
      </c>
      <c r="C106" s="28" t="s">
        <v>338</v>
      </c>
      <c r="D106" s="28" t="s">
        <v>46</v>
      </c>
      <c r="E106" s="27">
        <v>16.4</v>
      </c>
      <c r="F106" s="29">
        <f>LOOKUP(E106,{0,1.5,2.3,3.1,3.9,4.7,5.5,6.8,8.1,9.4,10.7,12,13.3,14.6,15.9,17.2,18.5,20.2,21.9,23.6,25.3},{0,10,20,30,40,50,60,62,64,66,68,70,72,74,76,78,80,85,90,95,100})</f>
        <v>76</v>
      </c>
      <c r="G106" s="27">
        <v>150</v>
      </c>
      <c r="H106" s="29">
        <f>LOOKUP(G106,{0,125,130,135,140,145,150,153,156,159,162,165,168,171,174,177,180,187,194,200,206},{0,10,20,30,40,50,60,62,64,66,68,70,72,74,76,78,80,85,90,95,100})</f>
        <v>60</v>
      </c>
      <c r="I106" s="27">
        <v>36</v>
      </c>
      <c r="J106" s="29">
        <f>LOOKUP(I106,{0,15,17,19,21,23,25,27,29,31,33,35,37,39,41,43,45,48,51,53,55},{0,10,20,30,40,50,60,62,64,66,68,70,72,74,76,78,80,85,90,95,100})</f>
        <v>70</v>
      </c>
      <c r="K106" s="35"/>
      <c r="L106" s="35"/>
      <c r="M106" s="35">
        <f t="shared" si="6"/>
        <v>70</v>
      </c>
      <c r="N106" s="35">
        <v>8.5</v>
      </c>
      <c r="O106" s="36">
        <f t="shared" si="7"/>
        <v>9.5</v>
      </c>
      <c r="P106" s="29">
        <f>LOOKUP(O106,{0,6.6,6.8,7,7.2,7.4,7.6,7.8,8,8.2,8.4,8.6,8.8,9,9.2,9.4,9.6,9.9,10.2,10.3,10.4},{0,10,20,30,40,50,60,62,64,66,68,70,72,74,76,78,80,85,90,95,100})</f>
        <v>78</v>
      </c>
      <c r="Q106" s="5">
        <v>3.54</v>
      </c>
      <c r="R106" s="36">
        <f t="shared" si="8"/>
        <v>6.46</v>
      </c>
      <c r="S106" s="29">
        <f>LOOKUP(R106,{0,4.74,4.84,4.94,5.44,5.54,5.64,5.69,5.74,5.79,5.84,5.89,5.94,5.99,6.44,6.49,6.54,6.61,6.68,6.74,6.8},{0,10,20,30,40,50,60,62,64,66,68,70,72,74,76,78,80,85,90,95,100})</f>
        <v>76</v>
      </c>
      <c r="T106" s="27"/>
      <c r="U106" s="27"/>
      <c r="V106" s="27">
        <f t="shared" si="9"/>
        <v>76</v>
      </c>
      <c r="W106" s="27"/>
      <c r="X106" s="19">
        <f t="shared" si="10"/>
        <v>51.4</v>
      </c>
      <c r="Y106" s="13">
        <f t="shared" si="11"/>
        <v>73.4285714285714</v>
      </c>
    </row>
    <row r="107" ht="15.6" spans="1:25">
      <c r="A107" s="27">
        <v>312</v>
      </c>
      <c r="B107" s="27">
        <v>46</v>
      </c>
      <c r="C107" s="28" t="s">
        <v>622</v>
      </c>
      <c r="D107" s="28" t="s">
        <v>46</v>
      </c>
      <c r="E107" s="27">
        <v>20</v>
      </c>
      <c r="F107" s="29">
        <f>LOOKUP(E107,{0,1.5,2.3,3.1,3.9,4.7,5.5,6.8,8.1,9.4,10.7,12,13.3,14.6,15.9,17.2,18.5,20.2,21.9,23.6,25.3},{0,10,20,30,40,50,60,62,64,66,68,70,72,74,76,78,80,85,90,95,100})</f>
        <v>80</v>
      </c>
      <c r="G107" s="27">
        <v>155</v>
      </c>
      <c r="H107" s="29">
        <f>LOOKUP(G107,{0,125,130,135,140,145,150,153,156,159,162,165,168,171,174,177,180,187,194,200,206},{0,10,20,30,40,50,60,62,64,66,68,70,72,74,76,78,80,85,90,95,100})</f>
        <v>62</v>
      </c>
      <c r="I107" s="27">
        <v>56</v>
      </c>
      <c r="J107" s="29">
        <f>LOOKUP(I107,{0,15,17,19,21,23,25,27,29,31,33,35,37,39,41,43,45,48,51,53,55},{0,10,20,30,40,50,60,62,64,66,68,70,72,74,76,78,80,85,90,95,100})</f>
        <v>100</v>
      </c>
      <c r="K107" s="34">
        <f>I107-55</f>
        <v>1</v>
      </c>
      <c r="L107" s="29">
        <f>LOOKUP(K107,{0,2,4,6,7,8,9,10,11,12,13},{0,1,2,3,4,5,6,7,8,9,10})</f>
        <v>0</v>
      </c>
      <c r="M107" s="35">
        <f t="shared" si="6"/>
        <v>100</v>
      </c>
      <c r="N107" s="35">
        <v>9.9</v>
      </c>
      <c r="O107" s="36">
        <f t="shared" si="7"/>
        <v>8.1</v>
      </c>
      <c r="P107" s="29">
        <f>LOOKUP(O107,{0,6.6,6.8,7,7.2,7.4,7.6,7.8,8,8.2,8.4,8.6,8.8,9,9.2,9.4,9.6,9.9,10.2,10.3,10.4},{0,10,20,30,40,50,60,62,64,66,68,70,72,74,76,78,80,85,90,95,100})</f>
        <v>64</v>
      </c>
      <c r="Q107" s="5">
        <v>4.02</v>
      </c>
      <c r="R107" s="36">
        <f t="shared" si="8"/>
        <v>5.98</v>
      </c>
      <c r="S107" s="29">
        <f>LOOKUP(R107,{0,4.74,4.84,4.94,5.44,5.54,5.64,5.69,5.74,5.79,5.84,5.89,5.94,5.99,6.44,6.49,6.54,6.61,6.68,6.74,6.8},{0,10,20,30,40,50,60,62,64,66,68,70,72,74,76,78,80,85,90,95,100})</f>
        <v>72</v>
      </c>
      <c r="T107" s="27"/>
      <c r="U107" s="27"/>
      <c r="V107" s="27">
        <f t="shared" si="9"/>
        <v>72</v>
      </c>
      <c r="W107" s="27"/>
      <c r="X107" s="19">
        <f t="shared" si="10"/>
        <v>51.4</v>
      </c>
      <c r="Y107" s="13">
        <f t="shared" si="11"/>
        <v>73.4285714285714</v>
      </c>
    </row>
    <row r="108" ht="15.6" spans="1:25">
      <c r="A108" s="27">
        <v>305</v>
      </c>
      <c r="B108" s="27">
        <v>42</v>
      </c>
      <c r="C108" s="28" t="s">
        <v>230</v>
      </c>
      <c r="D108" s="28" t="s">
        <v>46</v>
      </c>
      <c r="E108" s="27">
        <v>13</v>
      </c>
      <c r="F108" s="29">
        <f>LOOKUP(E108,{0,1.5,2.3,3.1,3.9,4.7,5.5,6.8,8.1,9.4,10.7,12,13.3,14.6,15.9,17.2,18.5,20.2,21.9,23.6,25.3},{0,10,20,30,40,50,60,62,64,66,68,70,72,74,76,78,80,85,90,95,100})</f>
        <v>70</v>
      </c>
      <c r="G108" s="27">
        <v>154</v>
      </c>
      <c r="H108" s="29">
        <f>LOOKUP(G108,{0,125,130,135,140,145,150,153,156,159,162,165,168,171,174,177,180,187,194,200,206},{0,10,20,30,40,50,60,62,64,66,68,70,72,74,76,78,80,85,90,95,100})</f>
        <v>62</v>
      </c>
      <c r="I108" s="27">
        <v>50</v>
      </c>
      <c r="J108" s="29">
        <f>LOOKUP(I108,{0,15,17,19,21,23,25,27,29,31,33,35,37,39,41,43,45,48,51,53,55},{0,10,20,30,40,50,60,62,64,66,68,70,72,74,76,78,80,85,90,95,100})</f>
        <v>85</v>
      </c>
      <c r="K108" s="35"/>
      <c r="L108" s="35"/>
      <c r="M108" s="35">
        <f t="shared" si="6"/>
        <v>85</v>
      </c>
      <c r="N108" s="35">
        <v>9.1</v>
      </c>
      <c r="O108" s="36">
        <f t="shared" si="7"/>
        <v>8.9</v>
      </c>
      <c r="P108" s="29">
        <f>LOOKUP(O108,{0,6.6,6.8,7,7.2,7.4,7.6,7.8,8,8.2,8.4,8.6,8.8,9,9.2,9.4,9.6,9.9,10.2,10.3,10.4},{0,10,20,30,40,50,60,62,64,66,68,70,72,74,76,78,80,85,90,95,100})</f>
        <v>72</v>
      </c>
      <c r="Q108" s="5">
        <v>3.56</v>
      </c>
      <c r="R108" s="36">
        <f t="shared" si="8"/>
        <v>6.44</v>
      </c>
      <c r="S108" s="29">
        <f>LOOKUP(R108,{0,4.74,4.84,4.94,5.44,5.54,5.64,5.69,5.74,5.79,5.84,5.89,5.94,5.99,6.44,6.49,6.54,6.61,6.68,6.74,6.8},{0,10,20,30,40,50,60,62,64,66,68,70,72,74,76,78,80,85,90,95,100})</f>
        <v>76</v>
      </c>
      <c r="T108" s="27"/>
      <c r="U108" s="27"/>
      <c r="V108" s="27">
        <f t="shared" si="9"/>
        <v>76</v>
      </c>
      <c r="W108" s="27"/>
      <c r="X108" s="19">
        <f t="shared" si="10"/>
        <v>51.3</v>
      </c>
      <c r="Y108" s="13">
        <f t="shared" si="11"/>
        <v>73.2857142857143</v>
      </c>
    </row>
    <row r="109" ht="15.6" spans="1:25">
      <c r="A109" s="27">
        <v>312</v>
      </c>
      <c r="B109" s="27">
        <v>40</v>
      </c>
      <c r="C109" s="28" t="s">
        <v>615</v>
      </c>
      <c r="D109" s="28" t="s">
        <v>46</v>
      </c>
      <c r="E109" s="27">
        <v>24</v>
      </c>
      <c r="F109" s="29">
        <f>LOOKUP(E109,{0,1.5,2.3,3.1,3.9,4.7,5.5,6.8,8.1,9.4,10.7,12,13.3,14.6,15.9,17.2,18.5,20.2,21.9,23.6,25.3},{0,10,20,30,40,50,60,62,64,66,68,70,72,74,76,78,80,85,90,95,100})</f>
        <v>95</v>
      </c>
      <c r="G109" s="27">
        <v>165</v>
      </c>
      <c r="H109" s="29">
        <f>LOOKUP(G109,{0,125,130,135,140,145,150,153,156,159,162,165,168,171,174,177,180,187,194,200,206},{0,10,20,30,40,50,60,62,64,66,68,70,72,74,76,78,80,85,90,95,100})</f>
        <v>70</v>
      </c>
      <c r="I109" s="27">
        <v>37</v>
      </c>
      <c r="J109" s="29">
        <f>LOOKUP(I109,{0,15,17,19,21,23,25,27,29,31,33,35,37,39,41,43,45,48,51,53,55},{0,10,20,30,40,50,60,62,64,66,68,70,72,74,76,78,80,85,90,95,100})</f>
        <v>72</v>
      </c>
      <c r="K109" s="35"/>
      <c r="L109" s="35"/>
      <c r="M109" s="35">
        <f t="shared" si="6"/>
        <v>72</v>
      </c>
      <c r="N109" s="35">
        <v>8.6</v>
      </c>
      <c r="O109" s="36">
        <f t="shared" si="7"/>
        <v>9.4</v>
      </c>
      <c r="P109" s="29">
        <f>LOOKUP(O109,{0,6.6,6.8,7,7.2,7.4,7.6,7.8,8,8.2,8.4,8.6,8.8,9,9.2,9.4,9.6,9.9,10.2,10.3,10.4},{0,10,20,30,40,50,60,62,64,66,68,70,72,74,76,78,80,85,90,95,100})</f>
        <v>78</v>
      </c>
      <c r="Q109" s="5">
        <v>4.35</v>
      </c>
      <c r="R109" s="36">
        <f t="shared" si="8"/>
        <v>5.65</v>
      </c>
      <c r="S109" s="29">
        <f>LOOKUP(R109,{0,4.74,4.84,4.94,5.44,5.54,5.64,5.69,5.74,5.79,5.84,5.89,5.94,5.99,6.44,6.49,6.54,6.61,6.68,6.74,6.8},{0,10,20,30,40,50,60,62,64,66,68,70,72,74,76,78,80,85,90,95,100})</f>
        <v>60</v>
      </c>
      <c r="T109" s="27"/>
      <c r="U109" s="27"/>
      <c r="V109" s="27">
        <f t="shared" si="9"/>
        <v>60</v>
      </c>
      <c r="W109" s="27"/>
      <c r="X109" s="19">
        <f t="shared" si="10"/>
        <v>51.3</v>
      </c>
      <c r="Y109" s="13">
        <f t="shared" si="11"/>
        <v>73.2857142857143</v>
      </c>
    </row>
    <row r="110" ht="15.6" spans="1:25">
      <c r="A110" s="27">
        <v>314</v>
      </c>
      <c r="B110" s="27">
        <v>24</v>
      </c>
      <c r="C110" s="28" t="s">
        <v>706</v>
      </c>
      <c r="D110" s="28" t="s">
        <v>46</v>
      </c>
      <c r="E110" s="27">
        <v>17.5</v>
      </c>
      <c r="F110" s="29">
        <f>LOOKUP(E110,{0,1.5,2.3,3.1,3.9,4.7,5.5,6.8,8.1,9.4,10.7,12,13.3,14.6,15.9,17.2,18.5,20.2,21.9,23.6,25.3},{0,10,20,30,40,50,60,62,64,66,68,70,72,74,76,78,80,85,90,95,100})</f>
        <v>78</v>
      </c>
      <c r="G110" s="27">
        <v>189</v>
      </c>
      <c r="H110" s="29">
        <f>LOOKUP(G110,{0,125,130,135,140,145,150,153,156,159,162,165,168,171,174,177,180,187,194,200,206},{0,10,20,30,40,50,60,62,64,66,68,70,72,74,76,78,80,85,90,95,100})</f>
        <v>85</v>
      </c>
      <c r="I110" s="27">
        <v>40</v>
      </c>
      <c r="J110" s="29">
        <f>LOOKUP(I110,{0,15,17,19,21,23,25,27,29,31,33,35,37,39,41,43,45,48,51,53,55},{0,10,20,30,40,50,60,62,64,66,68,70,72,74,76,78,80,85,90,95,100})</f>
        <v>74</v>
      </c>
      <c r="K110" s="35"/>
      <c r="L110" s="35"/>
      <c r="M110" s="35">
        <f t="shared" si="6"/>
        <v>74</v>
      </c>
      <c r="N110" s="35">
        <v>8.6</v>
      </c>
      <c r="O110" s="36">
        <f t="shared" si="7"/>
        <v>9.4</v>
      </c>
      <c r="P110" s="29">
        <f>LOOKUP(O110,{0,6.6,6.8,7,7.2,7.4,7.6,7.8,8,8.2,8.4,8.6,8.8,9,9.2,9.4,9.6,9.9,10.2,10.3,10.4},{0,10,20,30,40,50,60,62,64,66,68,70,72,74,76,78,80,85,90,95,100})</f>
        <v>78</v>
      </c>
      <c r="Q110" s="5">
        <v>4.34</v>
      </c>
      <c r="R110" s="36">
        <f t="shared" si="8"/>
        <v>5.66</v>
      </c>
      <c r="S110" s="29">
        <f>LOOKUP(R110,{0,4.74,4.84,4.94,5.44,5.54,5.64,5.69,5.74,5.79,5.84,5.89,5.94,5.99,6.44,6.49,6.54,6.61,6.68,6.74,6.8},{0,10,20,30,40,50,60,62,64,66,68,70,72,74,76,78,80,85,90,95,100})</f>
        <v>60</v>
      </c>
      <c r="T110" s="27"/>
      <c r="U110" s="27"/>
      <c r="V110" s="27">
        <f t="shared" si="9"/>
        <v>60</v>
      </c>
      <c r="W110" s="27"/>
      <c r="X110" s="19">
        <f t="shared" si="10"/>
        <v>51.3</v>
      </c>
      <c r="Y110" s="13">
        <f t="shared" si="11"/>
        <v>73.2857142857143</v>
      </c>
    </row>
    <row r="111" ht="15.6" spans="1:25">
      <c r="A111" s="27">
        <v>315</v>
      </c>
      <c r="B111" s="27">
        <v>35</v>
      </c>
      <c r="C111" s="28" t="s">
        <v>770</v>
      </c>
      <c r="D111" s="28" t="s">
        <v>46</v>
      </c>
      <c r="E111" s="27">
        <v>24</v>
      </c>
      <c r="F111" s="29">
        <f>LOOKUP(E111,{0,1.5,2.3,3.1,3.9,4.7,5.5,6.8,8.1,9.4,10.7,12,13.3,14.6,15.9,17.2,18.5,20.2,21.9,23.6,25.3},{0,10,20,30,40,50,60,62,64,66,68,70,72,74,76,78,80,85,90,95,100})</f>
        <v>95</v>
      </c>
      <c r="G111" s="27">
        <v>175</v>
      </c>
      <c r="H111" s="29">
        <f>LOOKUP(G111,{0,125,130,135,140,145,150,153,156,159,162,165,168,171,174,177,180,187,194,200,206},{0,10,20,30,40,50,60,62,64,66,68,70,72,74,76,78,80,85,90,95,100})</f>
        <v>76</v>
      </c>
      <c r="I111" s="27">
        <v>36</v>
      </c>
      <c r="J111" s="29">
        <f>LOOKUP(I111,{0,15,17,19,21,23,25,27,29,31,33,35,37,39,41,43,45,48,51,53,55},{0,10,20,30,40,50,60,62,64,66,68,70,72,74,76,78,80,85,90,95,100})</f>
        <v>70</v>
      </c>
      <c r="K111" s="35"/>
      <c r="L111" s="35"/>
      <c r="M111" s="35">
        <f t="shared" si="6"/>
        <v>70</v>
      </c>
      <c r="N111" s="35">
        <v>9.4</v>
      </c>
      <c r="O111" s="36">
        <f t="shared" si="7"/>
        <v>8.6</v>
      </c>
      <c r="P111" s="29">
        <f>LOOKUP(O111,{0,6.6,6.8,7,7.2,7.4,7.6,7.8,8,8.2,8.4,8.6,8.8,9,9.2,9.4,9.6,9.9,10.2,10.3,10.4},{0,10,20,30,40,50,60,62,64,66,68,70,72,74,76,78,80,85,90,95,100})</f>
        <v>70</v>
      </c>
      <c r="Q111" s="5">
        <v>4.19</v>
      </c>
      <c r="R111" s="36">
        <f t="shared" si="8"/>
        <v>5.81</v>
      </c>
      <c r="S111" s="29">
        <f>LOOKUP(R111,{0,4.74,4.84,4.94,5.44,5.54,5.64,5.69,5.74,5.79,5.84,5.89,5.94,5.99,6.44,6.49,6.54,6.61,6.68,6.74,6.8},{0,10,20,30,40,50,60,62,64,66,68,70,72,74,76,78,80,85,90,95,100})</f>
        <v>66</v>
      </c>
      <c r="T111" s="27"/>
      <c r="U111" s="27"/>
      <c r="V111" s="27">
        <f t="shared" si="9"/>
        <v>66</v>
      </c>
      <c r="W111" s="27"/>
      <c r="X111" s="19">
        <f t="shared" si="10"/>
        <v>51.3</v>
      </c>
      <c r="Y111" s="13">
        <f t="shared" si="11"/>
        <v>73.2857142857143</v>
      </c>
    </row>
    <row r="112" ht="15.6" spans="1:25">
      <c r="A112" s="27">
        <v>312</v>
      </c>
      <c r="B112" s="27">
        <v>43</v>
      </c>
      <c r="C112" s="28" t="s">
        <v>619</v>
      </c>
      <c r="D112" s="28" t="s">
        <v>46</v>
      </c>
      <c r="E112" s="27">
        <v>17</v>
      </c>
      <c r="F112" s="29">
        <f>LOOKUP(E112,{0,1.5,2.3,3.1,3.9,4.7,5.5,6.8,8.1,9.4,10.7,12,13.3,14.6,15.9,17.2,18.5,20.2,21.9,23.6,25.3},{0,10,20,30,40,50,60,62,64,66,68,70,72,74,76,78,80,85,90,95,100})</f>
        <v>76</v>
      </c>
      <c r="G112" s="27">
        <v>170</v>
      </c>
      <c r="H112" s="29">
        <f>LOOKUP(G112,{0,125,130,135,140,145,150,153,156,159,162,165,168,171,174,177,180,187,194,200,206},{0,10,20,30,40,50,60,62,64,66,68,70,72,74,76,78,80,85,90,95,100})</f>
        <v>72</v>
      </c>
      <c r="I112" s="27">
        <v>42</v>
      </c>
      <c r="J112" s="29">
        <f>LOOKUP(I112,{0,15,17,19,21,23,25,27,29,31,33,35,37,39,41,43,45,48,51,53,55},{0,10,20,30,40,50,60,62,64,66,68,70,72,74,76,78,80,85,90,95,100})</f>
        <v>76</v>
      </c>
      <c r="K112" s="35"/>
      <c r="L112" s="35"/>
      <c r="M112" s="35">
        <f t="shared" si="6"/>
        <v>76</v>
      </c>
      <c r="N112" s="35">
        <v>9.1</v>
      </c>
      <c r="O112" s="36">
        <f t="shared" si="7"/>
        <v>8.9</v>
      </c>
      <c r="P112" s="29">
        <f>LOOKUP(O112,{0,6.6,6.8,7,7.2,7.4,7.6,7.8,8,8.2,8.4,8.6,8.8,9,9.2,9.4,9.6,9.9,10.2,10.3,10.4},{0,10,20,30,40,50,60,62,64,66,68,70,72,74,76,78,80,85,90,95,100})</f>
        <v>72</v>
      </c>
      <c r="Q112" s="5">
        <v>4.03</v>
      </c>
      <c r="R112" s="36">
        <f t="shared" si="8"/>
        <v>5.97</v>
      </c>
      <c r="S112" s="29">
        <f>LOOKUP(R112,{0,4.74,4.84,4.94,5.44,5.54,5.64,5.69,5.74,5.79,5.84,5.89,5.94,5.99,6.44,6.49,6.54,6.61,6.68,6.74,6.8},{0,10,20,30,40,50,60,62,64,66,68,70,72,74,76,78,80,85,90,95,100})</f>
        <v>72</v>
      </c>
      <c r="T112" s="27"/>
      <c r="U112" s="27"/>
      <c r="V112" s="27">
        <f t="shared" si="9"/>
        <v>72</v>
      </c>
      <c r="W112" s="27"/>
      <c r="X112" s="19">
        <f t="shared" si="10"/>
        <v>51.2</v>
      </c>
      <c r="Y112" s="13">
        <f t="shared" si="11"/>
        <v>73.1428571428572</v>
      </c>
    </row>
    <row r="113" ht="15.6" spans="1:25">
      <c r="A113" s="27">
        <v>313</v>
      </c>
      <c r="B113" s="27">
        <v>32</v>
      </c>
      <c r="C113" s="28" t="s">
        <v>661</v>
      </c>
      <c r="D113" s="28" t="s">
        <v>46</v>
      </c>
      <c r="E113" s="27">
        <v>13</v>
      </c>
      <c r="F113" s="29">
        <f>LOOKUP(E113,{0,1.5,2.3,3.1,3.9,4.7,5.5,6.8,8.1,9.4,10.7,12,13.3,14.6,15.9,17.2,18.5,20.2,21.9,23.6,25.3},{0,10,20,30,40,50,60,62,64,66,68,70,72,74,76,78,80,85,90,95,100})</f>
        <v>70</v>
      </c>
      <c r="G113" s="27">
        <v>185</v>
      </c>
      <c r="H113" s="29">
        <f>LOOKUP(G113,{0,125,130,135,140,145,150,153,156,159,162,165,168,171,174,177,180,187,194,200,206},{0,10,20,30,40,50,60,62,64,66,68,70,72,74,76,78,80,85,90,95,100})</f>
        <v>80</v>
      </c>
      <c r="I113" s="27">
        <v>35</v>
      </c>
      <c r="J113" s="29">
        <f>LOOKUP(I113,{0,15,17,19,21,23,25,27,29,31,33,35,37,39,41,43,45,48,51,53,55},{0,10,20,30,40,50,60,62,64,66,68,70,72,74,76,78,80,85,90,95,100})</f>
        <v>70</v>
      </c>
      <c r="K113" s="35"/>
      <c r="L113" s="35"/>
      <c r="M113" s="35">
        <f t="shared" si="6"/>
        <v>70</v>
      </c>
      <c r="N113" s="35">
        <v>9.1</v>
      </c>
      <c r="O113" s="36">
        <f t="shared" si="7"/>
        <v>8.9</v>
      </c>
      <c r="P113" s="29">
        <f>LOOKUP(O113,{0,6.6,6.8,7,7.2,7.4,7.6,7.8,8,8.2,8.4,8.6,8.8,9,9.2,9.4,9.6,9.9,10.2,10.3,10.4},{0,10,20,30,40,50,60,62,64,66,68,70,72,74,76,78,80,85,90,95,100})</f>
        <v>72</v>
      </c>
      <c r="Q113" s="5">
        <v>3.57</v>
      </c>
      <c r="R113" s="36">
        <f t="shared" si="8"/>
        <v>6.43</v>
      </c>
      <c r="S113" s="29">
        <f>LOOKUP(R113,{0,4.74,4.84,4.94,5.44,5.54,5.64,5.69,5.74,5.79,5.84,5.89,5.94,5.99,6.44,6.49,6.54,6.61,6.68,6.74,6.8},{0,10,20,30,40,50,60,62,64,66,68,70,72,74,76,78,80,85,90,95,100})</f>
        <v>74</v>
      </c>
      <c r="T113" s="27"/>
      <c r="U113" s="27"/>
      <c r="V113" s="27">
        <f t="shared" si="9"/>
        <v>74</v>
      </c>
      <c r="W113" s="27"/>
      <c r="X113" s="19">
        <f t="shared" si="10"/>
        <v>51.2</v>
      </c>
      <c r="Y113" s="13">
        <f t="shared" si="11"/>
        <v>73.1428571428572</v>
      </c>
    </row>
    <row r="114" ht="15.6" spans="1:25">
      <c r="A114" s="27">
        <v>309</v>
      </c>
      <c r="B114" s="27">
        <v>44</v>
      </c>
      <c r="C114" s="28" t="s">
        <v>452</v>
      </c>
      <c r="D114" s="28" t="s">
        <v>46</v>
      </c>
      <c r="E114" s="27">
        <v>9</v>
      </c>
      <c r="F114" s="29">
        <f>LOOKUP(E114,{0,1.5,2.3,3.1,3.9,4.7,5.5,6.8,8.1,9.4,10.7,12,13.3,14.6,15.9,17.2,18.5,20.2,21.9,23.6,25.3},{0,10,20,30,40,50,60,62,64,66,68,70,72,74,76,78,80,85,90,95,100})</f>
        <v>64</v>
      </c>
      <c r="G114" s="27">
        <v>160</v>
      </c>
      <c r="H114" s="29">
        <f>LOOKUP(G114,{0,125,130,135,140,145,150,153,156,159,162,165,168,171,174,177,180,187,194,200,206},{0,10,20,30,40,50,60,62,64,66,68,70,72,74,76,78,80,85,90,95,100})</f>
        <v>66</v>
      </c>
      <c r="I114" s="27">
        <v>41</v>
      </c>
      <c r="J114" s="29">
        <f>LOOKUP(I114,{0,15,17,19,21,23,25,27,29,31,33,35,37,39,41,43,45,48,51,53,55},{0,10,20,30,40,50,60,62,64,66,68,70,72,74,76,78,80,85,90,95,100})</f>
        <v>76</v>
      </c>
      <c r="K114" s="35"/>
      <c r="L114" s="35"/>
      <c r="M114" s="35">
        <f t="shared" si="6"/>
        <v>76</v>
      </c>
      <c r="N114" s="35">
        <v>8.2</v>
      </c>
      <c r="O114" s="36">
        <f t="shared" si="7"/>
        <v>9.8</v>
      </c>
      <c r="P114" s="29">
        <f>LOOKUP(O114,{0,6.6,6.8,7,7.2,7.4,7.6,7.8,8,8.2,8.4,8.6,8.8,9,9.2,9.4,9.6,9.9,10.2,10.3,10.4},{0,10,20,30,40,50,60,62,64,66,68,70,72,74,76,78,80,85,90,95,100})</f>
        <v>80</v>
      </c>
      <c r="Q114" s="5">
        <v>4.04</v>
      </c>
      <c r="R114" s="36">
        <f t="shared" si="8"/>
        <v>5.96</v>
      </c>
      <c r="S114" s="29">
        <f>LOOKUP(R114,{0,4.74,4.84,4.94,5.44,5.54,5.64,5.69,5.74,5.79,5.84,5.89,5.94,5.99,6.44,6.49,6.54,6.61,6.68,6.74,6.8},{0,10,20,30,40,50,60,62,64,66,68,70,72,74,76,78,80,85,90,95,100})</f>
        <v>72</v>
      </c>
      <c r="T114" s="27"/>
      <c r="U114" s="27"/>
      <c r="V114" s="27">
        <f t="shared" si="9"/>
        <v>72</v>
      </c>
      <c r="W114" s="27"/>
      <c r="X114" s="19">
        <f t="shared" si="10"/>
        <v>51</v>
      </c>
      <c r="Y114" s="13">
        <f t="shared" si="11"/>
        <v>72.8571428571429</v>
      </c>
    </row>
    <row r="115" ht="15.6" spans="1:25">
      <c r="A115" s="27">
        <v>315</v>
      </c>
      <c r="B115" s="27">
        <v>22</v>
      </c>
      <c r="C115" s="28" t="s">
        <v>756</v>
      </c>
      <c r="D115" s="28" t="s">
        <v>46</v>
      </c>
      <c r="E115" s="27">
        <v>16.6</v>
      </c>
      <c r="F115" s="29">
        <f>LOOKUP(E115,{0,1.5,2.3,3.1,3.9,4.7,5.5,6.8,8.1,9.4,10.7,12,13.3,14.6,15.9,17.2,18.5,20.2,21.9,23.6,25.3},{0,10,20,30,40,50,60,62,64,66,68,70,72,74,76,78,80,85,90,95,100})</f>
        <v>76</v>
      </c>
      <c r="G115" s="27">
        <v>165</v>
      </c>
      <c r="H115" s="29">
        <f>LOOKUP(G115,{0,125,130,135,140,145,150,153,156,159,162,165,168,171,174,177,180,187,194,200,206},{0,10,20,30,40,50,60,62,64,66,68,70,72,74,76,78,80,85,90,95,100})</f>
        <v>70</v>
      </c>
      <c r="I115" s="27">
        <v>45</v>
      </c>
      <c r="J115" s="29">
        <f>LOOKUP(I115,{0,15,17,19,21,23,25,27,29,31,33,35,37,39,41,43,45,48,51,53,55},{0,10,20,30,40,50,60,62,64,66,68,70,72,74,76,78,80,85,90,95,100})</f>
        <v>80</v>
      </c>
      <c r="K115" s="35"/>
      <c r="L115" s="35"/>
      <c r="M115" s="35">
        <f t="shared" si="6"/>
        <v>80</v>
      </c>
      <c r="N115" s="35">
        <v>8.9</v>
      </c>
      <c r="O115" s="36">
        <f t="shared" si="7"/>
        <v>9.1</v>
      </c>
      <c r="P115" s="29">
        <f>LOOKUP(O115,{0,6.6,6.8,7,7.2,7.4,7.6,7.8,8,8.2,8.4,8.6,8.8,9,9.2,9.4,9.6,9.9,10.2,10.3,10.4},{0,10,20,30,40,50,60,62,64,66,68,70,72,74,76,78,80,85,90,95,100})</f>
        <v>74</v>
      </c>
      <c r="Q115" s="5">
        <v>4.13</v>
      </c>
      <c r="R115" s="36">
        <f t="shared" si="8"/>
        <v>5.87</v>
      </c>
      <c r="S115" s="29">
        <f>LOOKUP(R115,{0,4.74,4.84,4.94,5.44,5.54,5.64,5.69,5.74,5.79,5.84,5.89,5.94,5.99,6.44,6.49,6.54,6.61,6.68,6.74,6.8},{0,10,20,30,40,50,60,62,64,66,68,70,72,74,76,78,80,85,90,95,100})</f>
        <v>68</v>
      </c>
      <c r="T115" s="27"/>
      <c r="U115" s="27"/>
      <c r="V115" s="27">
        <f t="shared" si="9"/>
        <v>68</v>
      </c>
      <c r="W115" s="27"/>
      <c r="X115" s="19">
        <f t="shared" si="10"/>
        <v>51</v>
      </c>
      <c r="Y115" s="13">
        <f t="shared" si="11"/>
        <v>72.8571428571429</v>
      </c>
    </row>
    <row r="116" ht="15.6" spans="1:25">
      <c r="A116" s="27">
        <v>311</v>
      </c>
      <c r="B116" s="27">
        <v>55</v>
      </c>
      <c r="C116" s="28" t="s">
        <v>572</v>
      </c>
      <c r="D116" s="28" t="s">
        <v>46</v>
      </c>
      <c r="E116" s="27">
        <v>17</v>
      </c>
      <c r="F116" s="29">
        <f>LOOKUP(E116,{0,1.5,2.3,3.1,3.9,4.7,5.5,6.8,8.1,9.4,10.7,12,13.3,14.6,15.9,17.2,18.5,20.2,21.9,23.6,25.3},{0,10,20,30,40,50,60,62,64,66,68,70,72,74,76,78,80,85,90,95,100})</f>
        <v>76</v>
      </c>
      <c r="G116" s="27">
        <v>185</v>
      </c>
      <c r="H116" s="29">
        <f>LOOKUP(G116,{0,125,130,135,140,145,150,153,156,159,162,165,168,171,174,177,180,187,194,200,206},{0,10,20,30,40,50,60,62,64,66,68,70,72,74,76,78,80,85,90,95,100})</f>
        <v>80</v>
      </c>
      <c r="I116" s="27">
        <v>48</v>
      </c>
      <c r="J116" s="29">
        <f>LOOKUP(I116,{0,15,17,19,21,23,25,27,29,31,33,35,37,39,41,43,45,48,51,53,55},{0,10,20,30,40,50,60,62,64,66,68,70,72,74,76,78,80,85,90,95,100})</f>
        <v>85</v>
      </c>
      <c r="K116" s="35"/>
      <c r="L116" s="35"/>
      <c r="M116" s="35">
        <f t="shared" si="6"/>
        <v>85</v>
      </c>
      <c r="N116" s="35">
        <v>9.3</v>
      </c>
      <c r="O116" s="36">
        <f t="shared" si="7"/>
        <v>8.7</v>
      </c>
      <c r="P116" s="29">
        <f>LOOKUP(O116,{0,6.6,6.8,7,7.2,7.4,7.6,7.8,8,8.2,8.4,8.6,8.8,9,9.2,9.4,9.6,9.9,10.2,10.3,10.4},{0,10,20,30,40,50,60,62,64,66,68,70,72,74,76,78,80,85,90,95,100})</f>
        <v>70</v>
      </c>
      <c r="Q116" s="5">
        <v>4.26</v>
      </c>
      <c r="R116" s="36">
        <f t="shared" si="8"/>
        <v>5.74</v>
      </c>
      <c r="S116" s="29">
        <f>LOOKUP(R116,{0,4.74,4.84,4.94,5.44,5.54,5.64,5.69,5.74,5.79,5.84,5.89,5.94,5.99,6.44,6.49,6.54,6.61,6.68,6.74,6.8},{0,10,20,30,40,50,60,62,64,66,68,70,72,74,76,78,80,85,90,95,100})</f>
        <v>64</v>
      </c>
      <c r="T116" s="27"/>
      <c r="U116" s="27"/>
      <c r="V116" s="27">
        <f t="shared" si="9"/>
        <v>64</v>
      </c>
      <c r="W116" s="27"/>
      <c r="X116" s="19">
        <f t="shared" si="10"/>
        <v>50.9</v>
      </c>
      <c r="Y116" s="13">
        <f t="shared" si="11"/>
        <v>72.7142857142857</v>
      </c>
    </row>
    <row r="117" ht="15.6" spans="1:25">
      <c r="A117" s="27">
        <v>316</v>
      </c>
      <c r="B117" s="27">
        <v>25</v>
      </c>
      <c r="C117" s="28" t="s">
        <v>814</v>
      </c>
      <c r="D117" s="28" t="s">
        <v>46</v>
      </c>
      <c r="E117" s="27">
        <v>21.6</v>
      </c>
      <c r="F117" s="29">
        <f>LOOKUP(E117,{0,1.5,2.3,3.1,3.9,4.7,5.5,6.8,8.1,9.4,10.7,12,13.3,14.6,15.9,17.2,18.5,20.2,21.9,23.6,25.3},{0,10,20,30,40,50,60,62,64,66,68,70,72,74,76,78,80,85,90,95,100})</f>
        <v>85</v>
      </c>
      <c r="G117" s="27">
        <v>175</v>
      </c>
      <c r="H117" s="29">
        <f>LOOKUP(G117,{0,125,130,135,140,145,150,153,156,159,162,165,168,171,174,177,180,187,194,200,206},{0,10,20,30,40,50,60,62,64,66,68,70,72,74,76,78,80,85,90,95,100})</f>
        <v>76</v>
      </c>
      <c r="I117" s="27">
        <v>46</v>
      </c>
      <c r="J117" s="29">
        <f>LOOKUP(I117,{0,15,17,19,21,23,25,27,29,31,33,35,37,39,41,43,45,48,51,53,55},{0,10,20,30,40,50,60,62,64,66,68,70,72,74,76,78,80,85,90,95,100})</f>
        <v>80</v>
      </c>
      <c r="K117" s="35"/>
      <c r="L117" s="35"/>
      <c r="M117" s="35">
        <f t="shared" si="6"/>
        <v>80</v>
      </c>
      <c r="N117" s="35">
        <v>9</v>
      </c>
      <c r="O117" s="36">
        <f t="shared" si="7"/>
        <v>9</v>
      </c>
      <c r="P117" s="29">
        <f>LOOKUP(O117,{0,6.6,6.8,7,7.2,7.4,7.6,7.8,8,8.2,8.4,8.6,8.8,9,9.2,9.4,9.6,9.9,10.2,10.3,10.4},{0,10,20,30,40,50,60,62,64,66,68,70,72,74,76,78,80,85,90,95,100})</f>
        <v>74</v>
      </c>
      <c r="Q117" s="5">
        <v>4.36</v>
      </c>
      <c r="R117" s="36">
        <f t="shared" si="8"/>
        <v>5.64</v>
      </c>
      <c r="S117" s="29">
        <f>LOOKUP(R117,{0,4.74,4.84,4.94,5.44,5.54,5.64,5.69,5.74,5.79,5.84,5.89,5.94,5.99,6.44,6.49,6.54,6.61,6.68,6.74,6.8},{0,10,20,30,40,50,60,62,64,66,68,70,72,74,76,78,80,85,90,95,100})</f>
        <v>60</v>
      </c>
      <c r="T117" s="27"/>
      <c r="U117" s="27"/>
      <c r="V117" s="27">
        <f t="shared" si="9"/>
        <v>60</v>
      </c>
      <c r="W117" s="27"/>
      <c r="X117" s="19">
        <f t="shared" si="10"/>
        <v>50.9</v>
      </c>
      <c r="Y117" s="13">
        <f t="shared" si="11"/>
        <v>72.7142857142857</v>
      </c>
    </row>
    <row r="118" ht="15.6" spans="1:25">
      <c r="A118" s="27">
        <v>301</v>
      </c>
      <c r="B118" s="27">
        <v>43</v>
      </c>
      <c r="C118" s="27" t="s">
        <v>56</v>
      </c>
      <c r="D118" s="27" t="s">
        <v>46</v>
      </c>
      <c r="E118" s="27">
        <v>19</v>
      </c>
      <c r="F118" s="29">
        <f>LOOKUP(E118,{0,1.5,2.3,3.1,3.9,4.7,5.5,6.8,8.1,9.4,10.7,12,13.3,14.6,15.9,17.2,18.5,20.2,21.9,23.6,25.3},{0,10,20,30,40,50,60,62,64,66,68,70,72,74,76,78,80,85,90,95,100})</f>
        <v>80</v>
      </c>
      <c r="G118" s="27">
        <v>185</v>
      </c>
      <c r="H118" s="29">
        <f>LOOKUP(G118,{0,125,130,135,140,145,150,153,156,159,162,165,168,171,174,177,180,187,194,200,206},{0,10,20,30,40,50,60,62,64,66,68,70,72,74,76,78,80,85,90,95,100})</f>
        <v>80</v>
      </c>
      <c r="I118" s="27">
        <v>38</v>
      </c>
      <c r="J118" s="29">
        <f>LOOKUP(I118,{0,15,17,19,21,23,25,27,29,31,33,35,37,39,41,43,45,48,51,53,55},{0,10,20,30,40,50,60,62,64,66,68,70,72,74,76,78,80,85,90,95,100})</f>
        <v>72</v>
      </c>
      <c r="K118" s="35"/>
      <c r="L118" s="35"/>
      <c r="M118" s="35">
        <f t="shared" si="6"/>
        <v>72</v>
      </c>
      <c r="N118" s="35">
        <v>9</v>
      </c>
      <c r="O118" s="36">
        <f t="shared" si="7"/>
        <v>9</v>
      </c>
      <c r="P118" s="29">
        <f>LOOKUP(O118,{0,6.6,6.8,7,7.2,7.4,7.6,7.8,8,8.2,8.4,8.6,8.8,9,9.2,9.4,9.6,9.9,10.2,10.3,10.4},{0,10,20,30,40,50,60,62,64,66,68,70,72,74,76,78,80,85,90,95,100})</f>
        <v>74</v>
      </c>
      <c r="Q118" s="5">
        <v>4.24</v>
      </c>
      <c r="R118" s="36">
        <f t="shared" si="8"/>
        <v>5.76</v>
      </c>
      <c r="S118" s="29">
        <f>LOOKUP(R118,{0,4.74,4.84,4.94,5.44,5.54,5.64,5.69,5.74,5.79,5.84,5.89,5.94,5.99,6.44,6.49,6.54,6.61,6.68,6.74,6.8},{0,10,20,30,40,50,60,62,64,66,68,70,72,74,76,78,80,85,90,95,100})</f>
        <v>64</v>
      </c>
      <c r="T118" s="27"/>
      <c r="U118" s="27"/>
      <c r="V118" s="27">
        <f t="shared" si="9"/>
        <v>64</v>
      </c>
      <c r="W118" s="27"/>
      <c r="X118" s="19">
        <f t="shared" si="10"/>
        <v>50.8</v>
      </c>
      <c r="Y118" s="13">
        <f t="shared" si="11"/>
        <v>72.5714285714286</v>
      </c>
    </row>
    <row r="119" ht="15.6" spans="1:25">
      <c r="A119" s="27">
        <v>305</v>
      </c>
      <c r="B119" s="27">
        <v>41</v>
      </c>
      <c r="C119" s="28" t="s">
        <v>229</v>
      </c>
      <c r="D119" s="28" t="s">
        <v>46</v>
      </c>
      <c r="E119" s="27">
        <v>17</v>
      </c>
      <c r="F119" s="29">
        <f>LOOKUP(E119,{0,1.5,2.3,3.1,3.9,4.7,5.5,6.8,8.1,9.4,10.7,12,13.3,14.6,15.9,17.2,18.5,20.2,21.9,23.6,25.3},{0,10,20,30,40,50,60,62,64,66,68,70,72,74,76,78,80,85,90,95,100})</f>
        <v>76</v>
      </c>
      <c r="G119" s="27">
        <v>160</v>
      </c>
      <c r="H119" s="29">
        <f>LOOKUP(G119,{0,125,130,135,140,145,150,153,156,159,162,165,168,171,174,177,180,187,194,200,206},{0,10,20,30,40,50,60,62,64,66,68,70,72,74,76,78,80,85,90,95,100})</f>
        <v>66</v>
      </c>
      <c r="I119" s="27">
        <v>48</v>
      </c>
      <c r="J119" s="29">
        <f>LOOKUP(I119,{0,15,17,19,21,23,25,27,29,31,33,35,37,39,41,43,45,48,51,53,55},{0,10,20,30,40,50,60,62,64,66,68,70,72,74,76,78,80,85,90,95,100})</f>
        <v>85</v>
      </c>
      <c r="K119" s="35"/>
      <c r="L119" s="35"/>
      <c r="M119" s="35">
        <f t="shared" si="6"/>
        <v>85</v>
      </c>
      <c r="N119" s="35">
        <v>9.6</v>
      </c>
      <c r="O119" s="36">
        <f t="shared" si="7"/>
        <v>8.4</v>
      </c>
      <c r="P119" s="29">
        <f>LOOKUP(O119,{0,6.6,6.8,7,7.2,7.4,7.6,7.8,8,8.2,8.4,8.6,8.8,9,9.2,9.4,9.6,9.9,10.2,10.3,10.4},{0,10,20,30,40,50,60,62,64,66,68,70,72,74,76,78,80,85,90,95,100})</f>
        <v>68</v>
      </c>
      <c r="Q119" s="5">
        <v>4.06</v>
      </c>
      <c r="R119" s="36">
        <f t="shared" si="8"/>
        <v>5.94</v>
      </c>
      <c r="S119" s="29">
        <f>LOOKUP(R119,{0,4.74,4.84,4.94,5.44,5.54,5.64,5.69,5.74,5.79,5.84,5.89,5.94,5.99,6.44,6.49,6.54,6.61,6.68,6.74,6.8},{0,10,20,30,40,50,60,62,64,66,68,70,72,74,76,78,80,85,90,95,100})</f>
        <v>72</v>
      </c>
      <c r="T119" s="27"/>
      <c r="U119" s="27"/>
      <c r="V119" s="27">
        <f t="shared" si="9"/>
        <v>72</v>
      </c>
      <c r="W119" s="27"/>
      <c r="X119" s="19">
        <f t="shared" si="10"/>
        <v>50.7</v>
      </c>
      <c r="Y119" s="13">
        <f t="shared" si="11"/>
        <v>72.4285714285714</v>
      </c>
    </row>
    <row r="120" ht="15.6" spans="1:25">
      <c r="A120" s="27">
        <v>307</v>
      </c>
      <c r="B120" s="27">
        <v>32</v>
      </c>
      <c r="C120" s="28" t="s">
        <v>333</v>
      </c>
      <c r="D120" s="28" t="s">
        <v>46</v>
      </c>
      <c r="E120" s="27">
        <v>13.2</v>
      </c>
      <c r="F120" s="29">
        <f>LOOKUP(E120,{0,1.5,2.3,3.1,3.9,4.7,5.5,6.8,8.1,9.4,10.7,12,13.3,14.6,15.9,17.2,18.5,20.2,21.9,23.6,25.3},{0,10,20,30,40,50,60,62,64,66,68,70,72,74,76,78,80,85,90,95,100})</f>
        <v>70</v>
      </c>
      <c r="G120" s="27">
        <v>175</v>
      </c>
      <c r="H120" s="29">
        <f>LOOKUP(G120,{0,125,130,135,140,145,150,153,156,159,162,165,168,171,174,177,180,187,194,200,206},{0,10,20,30,40,50,60,62,64,66,68,70,72,74,76,78,80,85,90,95,100})</f>
        <v>76</v>
      </c>
      <c r="I120" s="27">
        <v>50</v>
      </c>
      <c r="J120" s="29">
        <f>LOOKUP(I120,{0,15,17,19,21,23,25,27,29,31,33,35,37,39,41,43,45,48,51,53,55},{0,10,20,30,40,50,60,62,64,66,68,70,72,74,76,78,80,85,90,95,100})</f>
        <v>85</v>
      </c>
      <c r="K120" s="35"/>
      <c r="L120" s="35"/>
      <c r="M120" s="35">
        <f t="shared" si="6"/>
        <v>85</v>
      </c>
      <c r="N120" s="35">
        <v>8.9</v>
      </c>
      <c r="O120" s="36">
        <f t="shared" si="7"/>
        <v>9.1</v>
      </c>
      <c r="P120" s="29">
        <f>LOOKUP(O120,{0,6.6,6.8,7,7.2,7.4,7.6,7.8,8,8.2,8.4,8.6,8.8,9,9.2,9.4,9.6,9.9,10.2,10.3,10.4},{0,10,20,30,40,50,60,62,64,66,68,70,72,74,76,78,80,85,90,95,100})</f>
        <v>74</v>
      </c>
      <c r="Q120" s="5">
        <v>4.25</v>
      </c>
      <c r="R120" s="36">
        <f t="shared" si="8"/>
        <v>5.75</v>
      </c>
      <c r="S120" s="29">
        <f>LOOKUP(R120,{0,4.74,4.84,4.94,5.44,5.54,5.64,5.69,5.74,5.79,5.84,5.89,5.94,5.99,6.44,6.49,6.54,6.61,6.68,6.74,6.8},{0,10,20,30,40,50,60,62,64,66,68,70,72,74,76,78,80,85,90,95,100})</f>
        <v>64</v>
      </c>
      <c r="T120" s="27"/>
      <c r="U120" s="27"/>
      <c r="V120" s="27">
        <f t="shared" si="9"/>
        <v>64</v>
      </c>
      <c r="W120" s="27"/>
      <c r="X120" s="19">
        <f t="shared" si="10"/>
        <v>50.7</v>
      </c>
      <c r="Y120" s="13">
        <f t="shared" si="11"/>
        <v>72.4285714285714</v>
      </c>
    </row>
    <row r="121" ht="15.6" spans="1:25">
      <c r="A121" s="27">
        <v>314</v>
      </c>
      <c r="B121" s="27">
        <v>16</v>
      </c>
      <c r="C121" s="28" t="s">
        <v>697</v>
      </c>
      <c r="D121" s="28" t="s">
        <v>46</v>
      </c>
      <c r="E121" s="27">
        <v>17</v>
      </c>
      <c r="F121" s="29">
        <f>LOOKUP(E121,{0,1.5,2.3,3.1,3.9,4.7,5.5,6.8,8.1,9.4,10.7,12,13.3,14.6,15.9,17.2,18.5,20.2,21.9,23.6,25.3},{0,10,20,30,40,50,60,62,64,66,68,70,72,74,76,78,80,85,90,95,100})</f>
        <v>76</v>
      </c>
      <c r="G121" s="27">
        <v>160</v>
      </c>
      <c r="H121" s="29">
        <f>LOOKUP(G121,{0,125,130,135,140,145,150,153,156,159,162,165,168,171,174,177,180,187,194,200,206},{0,10,20,30,40,50,60,62,64,66,68,70,72,74,76,78,80,85,90,95,100})</f>
        <v>66</v>
      </c>
      <c r="I121" s="27">
        <v>48</v>
      </c>
      <c r="J121" s="29">
        <f>LOOKUP(I121,{0,15,17,19,21,23,25,27,29,31,33,35,37,39,41,43,45,48,51,53,55},{0,10,20,30,40,50,60,62,64,66,68,70,72,74,76,78,80,85,90,95,100})</f>
        <v>85</v>
      </c>
      <c r="K121" s="35"/>
      <c r="L121" s="35"/>
      <c r="M121" s="35">
        <f t="shared" si="6"/>
        <v>85</v>
      </c>
      <c r="N121" s="35">
        <v>8.4</v>
      </c>
      <c r="O121" s="36">
        <f t="shared" si="7"/>
        <v>9.6</v>
      </c>
      <c r="P121" s="29">
        <f>LOOKUP(O121,{0,6.6,6.8,7,7.2,7.4,7.6,7.8,8,8.2,8.4,8.6,8.8,9,9.2,9.4,9.6,9.9,10.2,10.3,10.4},{0,10,20,30,40,50,60,62,64,66,68,70,72,74,76,78,80,85,90,95,100})</f>
        <v>80</v>
      </c>
      <c r="Q121" s="5">
        <v>4.35</v>
      </c>
      <c r="R121" s="36">
        <f t="shared" si="8"/>
        <v>5.65</v>
      </c>
      <c r="S121" s="29">
        <f>LOOKUP(R121,{0,4.74,4.84,4.94,5.44,5.54,5.64,5.69,5.74,5.79,5.84,5.89,5.94,5.99,6.44,6.49,6.54,6.61,6.68,6.74,6.8},{0,10,20,30,40,50,60,62,64,66,68,70,72,74,76,78,80,85,90,95,100})</f>
        <v>60</v>
      </c>
      <c r="T121" s="27"/>
      <c r="U121" s="27"/>
      <c r="V121" s="27">
        <f t="shared" si="9"/>
        <v>60</v>
      </c>
      <c r="W121" s="27"/>
      <c r="X121" s="19">
        <f t="shared" si="10"/>
        <v>50.7</v>
      </c>
      <c r="Y121" s="13">
        <f t="shared" si="11"/>
        <v>72.4285714285714</v>
      </c>
    </row>
    <row r="122" ht="15.6" spans="1:25">
      <c r="A122" s="27">
        <v>301</v>
      </c>
      <c r="B122" s="27">
        <v>41</v>
      </c>
      <c r="C122" s="27" t="s">
        <v>54</v>
      </c>
      <c r="D122" s="27" t="s">
        <v>46</v>
      </c>
      <c r="E122" s="27">
        <v>15</v>
      </c>
      <c r="F122" s="29">
        <f>LOOKUP(E122,{0,1.5,2.3,3.1,3.9,4.7,5.5,6.8,8.1,9.4,10.7,12,13.3,14.6,15.9,17.2,18.5,20.2,21.9,23.6,25.3},{0,10,20,30,40,50,60,62,64,66,68,70,72,74,76,78,80,85,90,95,100})</f>
        <v>74</v>
      </c>
      <c r="G122" s="27">
        <v>155</v>
      </c>
      <c r="H122" s="29">
        <f>LOOKUP(G122,{0,125,130,135,140,145,150,153,156,159,162,165,168,171,174,177,180,187,194,200,206},{0,10,20,30,40,50,60,62,64,66,68,70,72,74,76,78,80,85,90,95,100})</f>
        <v>62</v>
      </c>
      <c r="I122" s="27">
        <v>35</v>
      </c>
      <c r="J122" s="29">
        <f>LOOKUP(I122,{0,15,17,19,21,23,25,27,29,31,33,35,37,39,41,43,45,48,51,53,55},{0,10,20,30,40,50,60,62,64,66,68,70,72,74,76,78,80,85,90,95,100})</f>
        <v>70</v>
      </c>
      <c r="K122" s="35"/>
      <c r="L122" s="35"/>
      <c r="M122" s="35">
        <f t="shared" si="6"/>
        <v>70</v>
      </c>
      <c r="N122" s="35">
        <v>9</v>
      </c>
      <c r="O122" s="36">
        <f t="shared" si="7"/>
        <v>9</v>
      </c>
      <c r="P122" s="29">
        <f>LOOKUP(O122,{0,6.6,6.8,7,7.2,7.4,7.6,7.8,8,8.2,8.4,8.6,8.8,9,9.2,9.4,9.6,9.9,10.2,10.3,10.4},{0,10,20,30,40,50,60,62,64,66,68,70,72,74,76,78,80,85,90,95,100})</f>
        <v>74</v>
      </c>
      <c r="Q122" s="5">
        <v>3.56</v>
      </c>
      <c r="R122" s="36">
        <f t="shared" si="8"/>
        <v>6.44</v>
      </c>
      <c r="S122" s="29">
        <f>LOOKUP(R122,{0,4.74,4.84,4.94,5.44,5.54,5.64,5.69,5.74,5.79,5.84,5.89,5.94,5.99,6.44,6.49,6.54,6.61,6.68,6.74,6.8},{0,10,20,30,40,50,60,62,64,66,68,70,72,74,76,78,80,85,90,95,100})</f>
        <v>76</v>
      </c>
      <c r="T122" s="27"/>
      <c r="U122" s="27"/>
      <c r="V122" s="27">
        <f t="shared" si="9"/>
        <v>76</v>
      </c>
      <c r="W122" s="27"/>
      <c r="X122" s="19">
        <f t="shared" si="10"/>
        <v>50.6</v>
      </c>
      <c r="Y122" s="13">
        <f t="shared" si="11"/>
        <v>72.2857142857143</v>
      </c>
    </row>
    <row r="123" ht="15.6" spans="1:25">
      <c r="A123" s="27">
        <v>309</v>
      </c>
      <c r="B123" s="27">
        <v>41</v>
      </c>
      <c r="C123" s="28" t="s">
        <v>449</v>
      </c>
      <c r="D123" s="28" t="s">
        <v>46</v>
      </c>
      <c r="E123" s="27">
        <v>18.2</v>
      </c>
      <c r="F123" s="29">
        <f>LOOKUP(E123,{0,1.5,2.3,3.1,3.9,4.7,5.5,6.8,8.1,9.4,10.7,12,13.3,14.6,15.9,17.2,18.5,20.2,21.9,23.6,25.3},{0,10,20,30,40,50,60,62,64,66,68,70,72,74,76,78,80,85,90,95,100})</f>
        <v>78</v>
      </c>
      <c r="G123" s="27">
        <v>170</v>
      </c>
      <c r="H123" s="29">
        <f>LOOKUP(G123,{0,125,130,135,140,145,150,153,156,159,162,165,168,171,174,177,180,187,194,200,206},{0,10,20,30,40,50,60,62,64,66,68,70,72,74,76,78,80,85,90,95,100})</f>
        <v>72</v>
      </c>
      <c r="I123" s="27">
        <v>42</v>
      </c>
      <c r="J123" s="29">
        <f>LOOKUP(I123,{0,15,17,19,21,23,25,27,29,31,33,35,37,39,41,43,45,48,51,53,55},{0,10,20,30,40,50,60,62,64,66,68,70,72,74,76,78,80,85,90,95,100})</f>
        <v>76</v>
      </c>
      <c r="K123" s="35"/>
      <c r="L123" s="35"/>
      <c r="M123" s="35">
        <f t="shared" si="6"/>
        <v>76</v>
      </c>
      <c r="N123" s="35">
        <v>9.3</v>
      </c>
      <c r="O123" s="36">
        <f t="shared" si="7"/>
        <v>8.7</v>
      </c>
      <c r="P123" s="29">
        <f>LOOKUP(O123,{0,6.6,6.8,7,7.2,7.4,7.6,7.8,8,8.2,8.4,8.6,8.8,9,9.2,9.4,9.6,9.9,10.2,10.3,10.4},{0,10,20,30,40,50,60,62,64,66,68,70,72,74,76,78,80,85,90,95,100})</f>
        <v>70</v>
      </c>
      <c r="Q123" s="5">
        <v>4.1</v>
      </c>
      <c r="R123" s="36">
        <f t="shared" si="8"/>
        <v>5.9</v>
      </c>
      <c r="S123" s="29">
        <f>LOOKUP(R123,{0,4.74,4.84,4.94,5.44,5.54,5.64,5.69,5.74,5.79,5.84,5.89,5.94,5.99,6.44,6.49,6.54,6.61,6.68,6.74,6.8},{0,10,20,30,40,50,60,62,64,66,68,70,72,74,76,78,80,85,90,95,100})</f>
        <v>70</v>
      </c>
      <c r="T123" s="27"/>
      <c r="U123" s="27"/>
      <c r="V123" s="27">
        <f t="shared" si="9"/>
        <v>70</v>
      </c>
      <c r="W123" s="27"/>
      <c r="X123" s="19">
        <f t="shared" si="10"/>
        <v>50.6</v>
      </c>
      <c r="Y123" s="13">
        <f t="shared" si="11"/>
        <v>72.2857142857143</v>
      </c>
    </row>
    <row r="124" ht="15.6" spans="1:25">
      <c r="A124" s="27">
        <v>314</v>
      </c>
      <c r="B124" s="27">
        <v>8</v>
      </c>
      <c r="C124" s="28" t="s">
        <v>689</v>
      </c>
      <c r="D124" s="28" t="s">
        <v>46</v>
      </c>
      <c r="E124" s="27">
        <v>28.5</v>
      </c>
      <c r="F124" s="29">
        <f>LOOKUP(E124,{0,1.5,2.3,3.1,3.9,4.7,5.5,6.8,8.1,9.4,10.7,12,13.3,14.6,15.9,17.2,18.5,20.2,21.9,23.6,25.3},{0,10,20,30,40,50,60,62,64,66,68,70,72,74,76,78,80,85,90,95,100})</f>
        <v>100</v>
      </c>
      <c r="G124" s="27">
        <v>175</v>
      </c>
      <c r="H124" s="29">
        <f>LOOKUP(G124,{0,125,130,135,140,145,150,153,156,159,162,165,168,171,174,177,180,187,194,200,206},{0,10,20,30,40,50,60,62,64,66,68,70,72,74,76,78,80,85,90,95,100})</f>
        <v>76</v>
      </c>
      <c r="I124" s="27">
        <v>39</v>
      </c>
      <c r="J124" s="29">
        <f>LOOKUP(I124,{0,15,17,19,21,23,25,27,29,31,33,35,37,39,41,43,45,48,51,53,55},{0,10,20,30,40,50,60,62,64,66,68,70,72,74,76,78,80,85,90,95,100})</f>
        <v>74</v>
      </c>
      <c r="K124" s="35"/>
      <c r="L124" s="35"/>
      <c r="M124" s="35">
        <f t="shared" si="6"/>
        <v>74</v>
      </c>
      <c r="N124" s="35">
        <v>9.8</v>
      </c>
      <c r="O124" s="36">
        <f t="shared" si="7"/>
        <v>8.2</v>
      </c>
      <c r="P124" s="29">
        <f>LOOKUP(O124,{0,6.6,6.8,7,7.2,7.4,7.6,7.8,8,8.2,8.4,8.6,8.8,9,9.2,9.4,9.6,9.9,10.2,10.3,10.4},{0,10,20,30,40,50,60,62,64,66,68,70,72,74,76,78,80,85,90,95,100})</f>
        <v>66</v>
      </c>
      <c r="Q124" s="5">
        <v>4.3</v>
      </c>
      <c r="R124" s="36">
        <f t="shared" si="8"/>
        <v>5.7</v>
      </c>
      <c r="S124" s="29">
        <f>LOOKUP(R124,{0,4.74,4.84,4.94,5.44,5.54,5.64,5.69,5.74,5.79,5.84,5.89,5.94,5.99,6.44,6.49,6.54,6.61,6.68,6.74,6.8},{0,10,20,30,40,50,60,62,64,66,68,70,72,74,76,78,80,85,90,95,100})</f>
        <v>62</v>
      </c>
      <c r="T124" s="27"/>
      <c r="U124" s="27"/>
      <c r="V124" s="27">
        <f t="shared" si="9"/>
        <v>62</v>
      </c>
      <c r="W124" s="27"/>
      <c r="X124" s="19">
        <f t="shared" si="10"/>
        <v>50.6</v>
      </c>
      <c r="Y124" s="13">
        <f t="shared" si="11"/>
        <v>72.2857142857143</v>
      </c>
    </row>
    <row r="125" ht="15.6" spans="1:25">
      <c r="A125" s="27">
        <v>316</v>
      </c>
      <c r="B125" s="27">
        <v>44</v>
      </c>
      <c r="C125" s="28" t="s">
        <v>835</v>
      </c>
      <c r="D125" s="28" t="s">
        <v>46</v>
      </c>
      <c r="E125" s="27">
        <v>12.5</v>
      </c>
      <c r="F125" s="29">
        <f>LOOKUP(E125,{0,1.5,2.3,3.1,3.9,4.7,5.5,6.8,8.1,9.4,10.7,12,13.3,14.6,15.9,17.2,18.5,20.2,21.9,23.6,25.3},{0,10,20,30,40,50,60,62,64,66,68,70,72,74,76,78,80,85,90,95,100})</f>
        <v>70</v>
      </c>
      <c r="G125" s="27">
        <v>170</v>
      </c>
      <c r="H125" s="29">
        <f>LOOKUP(G125,{0,125,130,135,140,145,150,153,156,159,162,165,168,171,174,177,180,187,194,200,206},{0,10,20,30,40,50,60,62,64,66,68,70,72,74,76,78,80,85,90,95,100})</f>
        <v>72</v>
      </c>
      <c r="I125" s="27">
        <v>45</v>
      </c>
      <c r="J125" s="29">
        <f>LOOKUP(I125,{0,15,17,19,21,23,25,27,29,31,33,35,37,39,41,43,45,48,51,53,55},{0,10,20,30,40,50,60,62,64,66,68,70,72,74,76,78,80,85,90,95,100})</f>
        <v>80</v>
      </c>
      <c r="K125" s="35"/>
      <c r="L125" s="35"/>
      <c r="M125" s="35">
        <f t="shared" si="6"/>
        <v>80</v>
      </c>
      <c r="N125" s="35">
        <v>9</v>
      </c>
      <c r="O125" s="36">
        <f t="shared" si="7"/>
        <v>9</v>
      </c>
      <c r="P125" s="29">
        <f>LOOKUP(O125,{0,6.6,6.8,7,7.2,7.4,7.6,7.8,8,8.2,8.4,8.6,8.8,9,9.2,9.4,9.6,9.9,10.2,10.3,10.4},{0,10,20,30,40,50,60,62,64,66,68,70,72,74,76,78,80,85,90,95,100})</f>
        <v>74</v>
      </c>
      <c r="Q125" s="5">
        <v>4.14</v>
      </c>
      <c r="R125" s="36">
        <f t="shared" si="8"/>
        <v>5.86</v>
      </c>
      <c r="S125" s="29">
        <f>LOOKUP(R125,{0,4.74,4.84,4.94,5.44,5.54,5.64,5.69,5.74,5.79,5.84,5.89,5.94,5.99,6.44,6.49,6.54,6.61,6.68,6.74,6.8},{0,10,20,30,40,50,60,62,64,66,68,70,72,74,76,78,80,85,90,95,100})</f>
        <v>68</v>
      </c>
      <c r="T125" s="27"/>
      <c r="U125" s="27"/>
      <c r="V125" s="27">
        <f t="shared" si="9"/>
        <v>68</v>
      </c>
      <c r="W125" s="27"/>
      <c r="X125" s="19">
        <f t="shared" si="10"/>
        <v>50.6</v>
      </c>
      <c r="Y125" s="13">
        <f t="shared" si="11"/>
        <v>72.2857142857143</v>
      </c>
    </row>
    <row r="126" ht="15.6" spans="1:25">
      <c r="A126" s="27">
        <v>315</v>
      </c>
      <c r="B126" s="27">
        <v>25</v>
      </c>
      <c r="C126" s="28" t="s">
        <v>759</v>
      </c>
      <c r="D126" s="28" t="s">
        <v>46</v>
      </c>
      <c r="E126" s="27">
        <v>10</v>
      </c>
      <c r="F126" s="29">
        <f>LOOKUP(E126,{0,1.5,2.3,3.1,3.9,4.7,5.5,6.8,8.1,9.4,10.7,12,13.3,14.6,15.9,17.2,18.5,20.2,21.9,23.6,25.3},{0,10,20,30,40,50,60,62,64,66,68,70,72,74,76,78,80,85,90,95,100})</f>
        <v>66</v>
      </c>
      <c r="G126" s="27">
        <v>165</v>
      </c>
      <c r="H126" s="29">
        <f>LOOKUP(G126,{0,125,130,135,140,145,150,153,156,159,162,165,168,171,174,177,180,187,194,200,206},{0,10,20,30,40,50,60,62,64,66,68,70,72,74,76,78,80,85,90,95,100})</f>
        <v>70</v>
      </c>
      <c r="I126" s="27">
        <v>48</v>
      </c>
      <c r="J126" s="29">
        <f>LOOKUP(I126,{0,15,17,19,21,23,25,27,29,31,33,35,37,39,41,43,45,48,51,53,55},{0,10,20,30,40,50,60,62,64,66,68,70,72,74,76,78,80,85,90,95,100})</f>
        <v>85</v>
      </c>
      <c r="K126" s="35"/>
      <c r="L126" s="35"/>
      <c r="M126" s="35">
        <f t="shared" si="6"/>
        <v>85</v>
      </c>
      <c r="N126" s="35">
        <v>9.2</v>
      </c>
      <c r="O126" s="36">
        <f t="shared" si="7"/>
        <v>8.8</v>
      </c>
      <c r="P126" s="29">
        <f>LOOKUP(O126,{0,6.6,6.8,7,7.2,7.4,7.6,7.8,8,8.2,8.4,8.6,8.8,9,9.2,9.4,9.6,9.9,10.2,10.3,10.4},{0,10,20,30,40,50,60,62,64,66,68,70,72,74,76,78,80,85,90,95,100})</f>
        <v>72</v>
      </c>
      <c r="Q126" s="5">
        <v>4.08</v>
      </c>
      <c r="R126" s="36">
        <f t="shared" si="8"/>
        <v>5.92</v>
      </c>
      <c r="S126" s="29">
        <f>LOOKUP(R126,{0,4.74,4.84,4.94,5.44,5.54,5.64,5.69,5.74,5.79,5.84,5.89,5.94,5.99,6.44,6.49,6.54,6.61,6.68,6.74,6.8},{0,10,20,30,40,50,60,62,64,66,68,70,72,74,76,78,80,85,90,95,100})</f>
        <v>70</v>
      </c>
      <c r="T126" s="27"/>
      <c r="U126" s="27"/>
      <c r="V126" s="27">
        <f t="shared" si="9"/>
        <v>70</v>
      </c>
      <c r="W126" s="27"/>
      <c r="X126" s="19">
        <f t="shared" si="10"/>
        <v>50.5</v>
      </c>
      <c r="Y126" s="13">
        <f t="shared" si="11"/>
        <v>72.1428571428572</v>
      </c>
    </row>
    <row r="127" ht="15.6" spans="1:25">
      <c r="A127" s="27">
        <v>314</v>
      </c>
      <c r="B127" s="27">
        <v>10</v>
      </c>
      <c r="C127" s="28" t="s">
        <v>691</v>
      </c>
      <c r="D127" s="28" t="s">
        <v>46</v>
      </c>
      <c r="E127" s="27">
        <v>11</v>
      </c>
      <c r="F127" s="29">
        <f>LOOKUP(E127,{0,1.5,2.3,3.1,3.9,4.7,5.5,6.8,8.1,9.4,10.7,12,13.3,14.6,15.9,17.2,18.5,20.2,21.9,23.6,25.3},{0,10,20,30,40,50,60,62,64,66,68,70,72,74,76,78,80,85,90,95,100})</f>
        <v>68</v>
      </c>
      <c r="G127" s="27">
        <v>160</v>
      </c>
      <c r="H127" s="29">
        <f>LOOKUP(G127,{0,125,130,135,140,145,150,153,156,159,162,165,168,171,174,177,180,187,194,200,206},{0,10,20,30,40,50,60,62,64,66,68,70,72,74,76,78,80,85,90,95,100})</f>
        <v>66</v>
      </c>
      <c r="I127" s="27">
        <v>35</v>
      </c>
      <c r="J127" s="29">
        <f>LOOKUP(I127,{0,15,17,19,21,23,25,27,29,31,33,35,37,39,41,43,45,48,51,53,55},{0,10,20,30,40,50,60,62,64,66,68,70,72,74,76,78,80,85,90,95,100})</f>
        <v>70</v>
      </c>
      <c r="K127" s="35"/>
      <c r="L127" s="35"/>
      <c r="M127" s="35">
        <f t="shared" si="6"/>
        <v>70</v>
      </c>
      <c r="N127" s="35">
        <v>9.1</v>
      </c>
      <c r="O127" s="36">
        <f t="shared" si="7"/>
        <v>8.9</v>
      </c>
      <c r="P127" s="29">
        <f>LOOKUP(O127,{0,6.6,6.8,7,7.2,7.4,7.6,7.8,8,8.2,8.4,8.6,8.8,9,9.2,9.4,9.6,9.9,10.2,10.3,10.4},{0,10,20,30,40,50,60,62,64,66,68,70,72,74,76,78,80,85,90,95,100})</f>
        <v>72</v>
      </c>
      <c r="Q127" s="5">
        <v>3.5</v>
      </c>
      <c r="R127" s="36">
        <f t="shared" si="8"/>
        <v>6.5</v>
      </c>
      <c r="S127" s="29">
        <f>LOOKUP(R127,{0,4.74,4.84,4.94,5.44,5.54,5.64,5.69,5.74,5.79,5.84,5.89,5.94,5.99,6.44,6.49,6.54,6.61,6.68,6.74,6.8},{0,10,20,30,40,50,60,62,64,66,68,70,72,74,76,78,80,85,90,95,100})</f>
        <v>78</v>
      </c>
      <c r="T127" s="27"/>
      <c r="U127" s="27"/>
      <c r="V127" s="27">
        <f t="shared" si="9"/>
        <v>78</v>
      </c>
      <c r="W127" s="27"/>
      <c r="X127" s="19">
        <f t="shared" si="10"/>
        <v>50.4</v>
      </c>
      <c r="Y127" s="13">
        <f t="shared" si="11"/>
        <v>72</v>
      </c>
    </row>
    <row r="128" ht="15.6" spans="1:25">
      <c r="A128" s="27">
        <v>314</v>
      </c>
      <c r="B128" s="27">
        <v>44</v>
      </c>
      <c r="C128" s="28" t="s">
        <v>728</v>
      </c>
      <c r="D128" s="28" t="s">
        <v>46</v>
      </c>
      <c r="E128" s="27">
        <v>16.5</v>
      </c>
      <c r="F128" s="29">
        <f>LOOKUP(E128,{0,1.5,2.3,3.1,3.9,4.7,5.5,6.8,8.1,9.4,10.7,12,13.3,14.6,15.9,17.2,18.5,20.2,21.9,23.6,25.3},{0,10,20,30,40,50,60,62,64,66,68,70,72,74,76,78,80,85,90,95,100})</f>
        <v>76</v>
      </c>
      <c r="G128" s="27">
        <v>182</v>
      </c>
      <c r="H128" s="29">
        <f>LOOKUP(G128,{0,125,130,135,140,145,150,153,156,159,162,165,168,171,174,177,180,187,194,200,206},{0,10,20,30,40,50,60,62,64,66,68,70,72,74,76,78,80,85,90,95,100})</f>
        <v>80</v>
      </c>
      <c r="I128" s="27">
        <v>45</v>
      </c>
      <c r="J128" s="29">
        <f>LOOKUP(I128,{0,15,17,19,21,23,25,27,29,31,33,35,37,39,41,43,45,48,51,53,55},{0,10,20,30,40,50,60,62,64,66,68,70,72,74,76,78,80,85,90,95,100})</f>
        <v>80</v>
      </c>
      <c r="K128" s="35"/>
      <c r="L128" s="35"/>
      <c r="M128" s="35">
        <f t="shared" si="6"/>
        <v>80</v>
      </c>
      <c r="N128" s="35">
        <v>9.4</v>
      </c>
      <c r="O128" s="36">
        <f t="shared" si="7"/>
        <v>8.6</v>
      </c>
      <c r="P128" s="29">
        <f>LOOKUP(O128,{0,6.6,6.8,7,7.2,7.4,7.6,7.8,8,8.2,8.4,8.6,8.8,9,9.2,9.4,9.6,9.9,10.2,10.3,10.4},{0,10,20,30,40,50,60,62,64,66,68,70,72,74,76,78,80,85,90,95,100})</f>
        <v>70</v>
      </c>
      <c r="Q128" s="5">
        <v>4.22</v>
      </c>
      <c r="R128" s="36">
        <f t="shared" si="8"/>
        <v>5.78</v>
      </c>
      <c r="S128" s="29">
        <f>LOOKUP(R128,{0,4.74,4.84,4.94,5.44,5.54,5.64,5.69,5.74,5.79,5.84,5.89,5.94,5.99,6.44,6.49,6.54,6.61,6.68,6.74,6.8},{0,10,20,30,40,50,60,62,64,66,68,70,72,74,76,78,80,85,90,95,100})</f>
        <v>64</v>
      </c>
      <c r="T128" s="27"/>
      <c r="U128" s="27"/>
      <c r="V128" s="27">
        <f t="shared" si="9"/>
        <v>64</v>
      </c>
      <c r="W128" s="27"/>
      <c r="X128" s="19">
        <f t="shared" si="10"/>
        <v>50.4</v>
      </c>
      <c r="Y128" s="13">
        <f t="shared" si="11"/>
        <v>72</v>
      </c>
    </row>
    <row r="129" ht="15.6" spans="1:25">
      <c r="A129" s="27">
        <v>307</v>
      </c>
      <c r="B129" s="27">
        <v>19</v>
      </c>
      <c r="C129" s="28" t="s">
        <v>319</v>
      </c>
      <c r="D129" s="28" t="s">
        <v>46</v>
      </c>
      <c r="E129" s="27">
        <v>8</v>
      </c>
      <c r="F129" s="29">
        <f>LOOKUP(E129,{0,1.5,2.3,3.1,3.9,4.7,5.5,6.8,8.1,9.4,10.7,12,13.3,14.6,15.9,17.2,18.5,20.2,21.9,23.6,25.3},{0,10,20,30,40,50,60,62,64,66,68,70,72,74,76,78,80,85,90,95,100})</f>
        <v>62</v>
      </c>
      <c r="G129" s="27">
        <v>180</v>
      </c>
      <c r="H129" s="29">
        <f>LOOKUP(G129,{0,125,130,135,140,145,150,153,156,159,162,165,168,171,174,177,180,187,194,200,206},{0,10,20,30,40,50,60,62,64,66,68,70,72,74,76,78,80,85,90,95,100})</f>
        <v>80</v>
      </c>
      <c r="I129" s="27">
        <v>45</v>
      </c>
      <c r="J129" s="29">
        <f>LOOKUP(I129,{0,15,17,19,21,23,25,27,29,31,33,35,37,39,41,43,45,48,51,53,55},{0,10,20,30,40,50,60,62,64,66,68,70,72,74,76,78,80,85,90,95,100})</f>
        <v>80</v>
      </c>
      <c r="K129" s="35"/>
      <c r="L129" s="35"/>
      <c r="M129" s="35">
        <f t="shared" si="6"/>
        <v>80</v>
      </c>
      <c r="N129" s="35">
        <v>9.1</v>
      </c>
      <c r="O129" s="36">
        <f t="shared" si="7"/>
        <v>8.9</v>
      </c>
      <c r="P129" s="29">
        <f>LOOKUP(O129,{0,6.6,6.8,7,7.2,7.4,7.6,7.8,8,8.2,8.4,8.6,8.8,9,9.2,9.4,9.6,9.9,10.2,10.3,10.4},{0,10,20,30,40,50,60,62,64,66,68,70,72,74,76,78,80,85,90,95,100})</f>
        <v>72</v>
      </c>
      <c r="Q129" s="5">
        <v>4.14</v>
      </c>
      <c r="R129" s="36">
        <f t="shared" si="8"/>
        <v>5.86</v>
      </c>
      <c r="S129" s="29">
        <f>LOOKUP(R129,{0,4.74,4.84,4.94,5.44,5.54,5.64,5.69,5.74,5.79,5.84,5.89,5.94,5.99,6.44,6.49,6.54,6.61,6.68,6.74,6.8},{0,10,20,30,40,50,60,62,64,66,68,70,72,74,76,78,80,85,90,95,100})</f>
        <v>68</v>
      </c>
      <c r="T129" s="27"/>
      <c r="U129" s="27"/>
      <c r="V129" s="27">
        <f t="shared" si="9"/>
        <v>68</v>
      </c>
      <c r="W129" s="27"/>
      <c r="X129" s="19">
        <f t="shared" si="10"/>
        <v>50.2</v>
      </c>
      <c r="Y129" s="13">
        <f t="shared" si="11"/>
        <v>71.7142857142857</v>
      </c>
    </row>
    <row r="130" ht="15.6" spans="1:25">
      <c r="A130" s="27">
        <v>307</v>
      </c>
      <c r="B130" s="27">
        <v>20</v>
      </c>
      <c r="C130" s="28" t="s">
        <v>320</v>
      </c>
      <c r="D130" s="28" t="s">
        <v>46</v>
      </c>
      <c r="E130" s="27">
        <v>13.5</v>
      </c>
      <c r="F130" s="29">
        <f>LOOKUP(E130,{0,1.5,2.3,3.1,3.9,4.7,5.5,6.8,8.1,9.4,10.7,12,13.3,14.6,15.9,17.2,18.5,20.2,21.9,23.6,25.3},{0,10,20,30,40,50,60,62,64,66,68,70,72,74,76,78,80,85,90,95,100})</f>
        <v>72</v>
      </c>
      <c r="G130" s="27">
        <v>175</v>
      </c>
      <c r="H130" s="29">
        <f>LOOKUP(G130,{0,125,130,135,140,145,150,153,156,159,162,165,168,171,174,177,180,187,194,200,206},{0,10,20,30,40,50,60,62,64,66,68,70,72,74,76,78,80,85,90,95,100})</f>
        <v>76</v>
      </c>
      <c r="I130" s="27">
        <v>39</v>
      </c>
      <c r="J130" s="29">
        <f>LOOKUP(I130,{0,15,17,19,21,23,25,27,29,31,33,35,37,39,41,43,45,48,51,53,55},{0,10,20,30,40,50,60,62,64,66,68,70,72,74,76,78,80,85,90,95,100})</f>
        <v>74</v>
      </c>
      <c r="K130" s="35"/>
      <c r="L130" s="35"/>
      <c r="M130" s="35">
        <f t="shared" ref="M130:M188" si="12">J130+L130</f>
        <v>74</v>
      </c>
      <c r="N130" s="35">
        <v>8.3</v>
      </c>
      <c r="O130" s="36">
        <f t="shared" ref="O130:O188" si="13">18-N130</f>
        <v>9.7</v>
      </c>
      <c r="P130" s="29">
        <f>LOOKUP(O130,{0,6.6,6.8,7,7.2,7.4,7.6,7.8,8,8.2,8.4,8.6,8.8,9,9.2,9.4,9.6,9.9,10.2,10.3,10.4},{0,10,20,30,40,50,60,62,64,66,68,70,72,74,76,78,80,85,90,95,100})</f>
        <v>80</v>
      </c>
      <c r="Q130" s="5">
        <v>4.35</v>
      </c>
      <c r="R130" s="36">
        <f t="shared" ref="R130:R188" si="14">10-Q130</f>
        <v>5.65</v>
      </c>
      <c r="S130" s="29">
        <f>LOOKUP(R130,{0,4.74,4.84,4.94,5.44,5.54,5.64,5.69,5.74,5.79,5.84,5.89,5.94,5.99,6.44,6.49,6.54,6.61,6.68,6.74,6.8},{0,10,20,30,40,50,60,62,64,66,68,70,72,74,76,78,80,85,90,95,100})</f>
        <v>60</v>
      </c>
      <c r="T130" s="27"/>
      <c r="U130" s="27"/>
      <c r="V130" s="27">
        <f t="shared" ref="V130:V188" si="15">S130+U130</f>
        <v>60</v>
      </c>
      <c r="W130" s="27"/>
      <c r="X130" s="19">
        <f t="shared" ref="X130:X188" si="16">F130*0.1+H130*0.1+J130*0.1+P130*0.2+S130*0.2</f>
        <v>50.2</v>
      </c>
      <c r="Y130" s="13">
        <f t="shared" ref="Y130:Y188" si="17">X130/0.7+L130+U130</f>
        <v>71.7142857142857</v>
      </c>
    </row>
    <row r="131" ht="15.6" spans="1:25">
      <c r="A131" s="27">
        <v>308</v>
      </c>
      <c r="B131" s="27">
        <v>35</v>
      </c>
      <c r="C131" s="28" t="s">
        <v>389</v>
      </c>
      <c r="D131" s="28" t="s">
        <v>46</v>
      </c>
      <c r="E131" s="27">
        <v>18</v>
      </c>
      <c r="F131" s="29">
        <f>LOOKUP(E131,{0,1.5,2.3,3.1,3.9,4.7,5.5,6.8,8.1,9.4,10.7,12,13.3,14.6,15.9,17.2,18.5,20.2,21.9,23.6,25.3},{0,10,20,30,40,50,60,62,64,66,68,70,72,74,76,78,80,85,90,95,100})</f>
        <v>78</v>
      </c>
      <c r="G131" s="27">
        <v>152</v>
      </c>
      <c r="H131" s="29">
        <f>LOOKUP(G131,{0,125,130,135,140,145,150,153,156,159,162,165,168,171,174,177,180,187,194,200,206},{0,10,20,30,40,50,60,62,64,66,68,70,72,74,76,78,80,85,90,95,100})</f>
        <v>60</v>
      </c>
      <c r="I131" s="27">
        <v>45</v>
      </c>
      <c r="J131" s="29">
        <f>LOOKUP(I131,{0,15,17,19,21,23,25,27,29,31,33,35,37,39,41,43,45,48,51,53,55},{0,10,20,30,40,50,60,62,64,66,68,70,72,74,76,78,80,85,90,95,100})</f>
        <v>80</v>
      </c>
      <c r="K131" s="35"/>
      <c r="L131" s="35"/>
      <c r="M131" s="35">
        <f t="shared" si="12"/>
        <v>80</v>
      </c>
      <c r="N131" s="35">
        <v>9.2</v>
      </c>
      <c r="O131" s="36">
        <f t="shared" si="13"/>
        <v>8.8</v>
      </c>
      <c r="P131" s="29">
        <f>LOOKUP(O131,{0,6.6,6.8,7,7.2,7.4,7.6,7.8,8,8.2,8.4,8.6,8.8,9,9.2,9.4,9.6,9.9,10.2,10.3,10.4},{0,10,20,30,40,50,60,62,64,66,68,70,72,74,76,78,80,85,90,95,100})</f>
        <v>72</v>
      </c>
      <c r="Q131" s="5">
        <v>4.1</v>
      </c>
      <c r="R131" s="36">
        <f t="shared" si="14"/>
        <v>5.9</v>
      </c>
      <c r="S131" s="29">
        <f>LOOKUP(R131,{0,4.74,4.84,4.94,5.44,5.54,5.64,5.69,5.74,5.79,5.84,5.89,5.94,5.99,6.44,6.49,6.54,6.61,6.68,6.74,6.8},{0,10,20,30,40,50,60,62,64,66,68,70,72,74,76,78,80,85,90,95,100})</f>
        <v>70</v>
      </c>
      <c r="T131" s="27"/>
      <c r="U131" s="27"/>
      <c r="V131" s="27">
        <f t="shared" si="15"/>
        <v>70</v>
      </c>
      <c r="W131" s="27"/>
      <c r="X131" s="19">
        <f t="shared" si="16"/>
        <v>50.2</v>
      </c>
      <c r="Y131" s="13">
        <f t="shared" si="17"/>
        <v>71.7142857142857</v>
      </c>
    </row>
    <row r="132" ht="15.6" spans="1:25">
      <c r="A132" s="27">
        <v>314</v>
      </c>
      <c r="B132" s="27">
        <v>28</v>
      </c>
      <c r="C132" s="28" t="s">
        <v>711</v>
      </c>
      <c r="D132" s="28" t="s">
        <v>46</v>
      </c>
      <c r="E132" s="27">
        <v>19.5</v>
      </c>
      <c r="F132" s="29">
        <f>LOOKUP(E132,{0,1.5,2.3,3.1,3.9,4.7,5.5,6.8,8.1,9.4,10.7,12,13.3,14.6,15.9,17.2,18.5,20.2,21.9,23.6,25.3},{0,10,20,30,40,50,60,62,64,66,68,70,72,74,76,78,80,85,90,95,100})</f>
        <v>80</v>
      </c>
      <c r="G132" s="27">
        <v>160</v>
      </c>
      <c r="H132" s="29">
        <f>LOOKUP(G132,{0,125,130,135,140,145,150,153,156,159,162,165,168,171,174,177,180,187,194,200,206},{0,10,20,30,40,50,60,62,64,66,68,70,72,74,76,78,80,85,90,95,100})</f>
        <v>66</v>
      </c>
      <c r="I132" s="27">
        <v>47</v>
      </c>
      <c r="J132" s="29">
        <f>LOOKUP(I132,{0,15,17,19,21,23,25,27,29,31,33,35,37,39,41,43,45,48,51,53,55},{0,10,20,30,40,50,60,62,64,66,68,70,72,74,76,78,80,85,90,95,100})</f>
        <v>80</v>
      </c>
      <c r="K132" s="35"/>
      <c r="L132" s="35"/>
      <c r="M132" s="35">
        <f t="shared" si="12"/>
        <v>80</v>
      </c>
      <c r="N132" s="35">
        <v>8.5</v>
      </c>
      <c r="O132" s="36">
        <f t="shared" si="13"/>
        <v>9.5</v>
      </c>
      <c r="P132" s="29">
        <f>LOOKUP(O132,{0,6.6,6.8,7,7.2,7.4,7.6,7.8,8,8.2,8.4,8.6,8.8,9,9.2,9.4,9.6,9.9,10.2,10.3,10.4},{0,10,20,30,40,50,60,62,64,66,68,70,72,74,76,78,80,85,90,95,100})</f>
        <v>78</v>
      </c>
      <c r="Q132" s="5">
        <v>4.35</v>
      </c>
      <c r="R132" s="36">
        <f t="shared" si="14"/>
        <v>5.65</v>
      </c>
      <c r="S132" s="29">
        <f>LOOKUP(R132,{0,4.74,4.84,4.94,5.44,5.54,5.64,5.69,5.74,5.79,5.84,5.89,5.94,5.99,6.44,6.49,6.54,6.61,6.68,6.74,6.8},{0,10,20,30,40,50,60,62,64,66,68,70,72,74,76,78,80,85,90,95,100})</f>
        <v>60</v>
      </c>
      <c r="T132" s="27"/>
      <c r="U132" s="27"/>
      <c r="V132" s="27">
        <f t="shared" si="15"/>
        <v>60</v>
      </c>
      <c r="W132" s="27"/>
      <c r="X132" s="19">
        <f t="shared" si="16"/>
        <v>50.2</v>
      </c>
      <c r="Y132" s="13">
        <f t="shared" si="17"/>
        <v>71.7142857142857</v>
      </c>
    </row>
    <row r="133" ht="15.6" spans="1:25">
      <c r="A133" s="27">
        <v>316</v>
      </c>
      <c r="B133" s="27">
        <v>19</v>
      </c>
      <c r="C133" s="28" t="s">
        <v>807</v>
      </c>
      <c r="D133" s="28" t="s">
        <v>46</v>
      </c>
      <c r="E133" s="27">
        <v>18.5</v>
      </c>
      <c r="F133" s="29">
        <f>LOOKUP(E133,{0,1.5,2.3,3.1,3.9,4.7,5.5,6.8,8.1,9.4,10.7,12,13.3,14.6,15.9,17.2,18.5,20.2,21.9,23.6,25.3},{0,10,20,30,40,50,60,62,64,66,68,70,72,74,76,78,80,85,90,95,100})</f>
        <v>80</v>
      </c>
      <c r="G133" s="27">
        <v>163</v>
      </c>
      <c r="H133" s="29">
        <f>LOOKUP(G133,{0,125,130,135,140,145,150,153,156,159,162,165,168,171,174,177,180,187,194,200,206},{0,10,20,30,40,50,60,62,64,66,68,70,72,74,76,78,80,85,90,95,100})</f>
        <v>68</v>
      </c>
      <c r="I133" s="27">
        <v>40</v>
      </c>
      <c r="J133" s="29">
        <f>LOOKUP(I133,{0,15,17,19,21,23,25,27,29,31,33,35,37,39,41,43,45,48,51,53,55},{0,10,20,30,40,50,60,62,64,66,68,70,72,74,76,78,80,85,90,95,100})</f>
        <v>74</v>
      </c>
      <c r="K133" s="35"/>
      <c r="L133" s="35"/>
      <c r="M133" s="35">
        <f t="shared" si="12"/>
        <v>74</v>
      </c>
      <c r="N133" s="35">
        <v>9.1</v>
      </c>
      <c r="O133" s="36">
        <f t="shared" si="13"/>
        <v>8.9</v>
      </c>
      <c r="P133" s="29">
        <f>LOOKUP(O133,{0,6.6,6.8,7,7.2,7.4,7.6,7.8,8,8.2,8.4,8.6,8.8,9,9.2,9.4,9.6,9.9,10.2,10.3,10.4},{0,10,20,30,40,50,60,62,64,66,68,70,72,74,76,78,80,85,90,95,100})</f>
        <v>72</v>
      </c>
      <c r="Q133" s="5">
        <v>4.16</v>
      </c>
      <c r="R133" s="36">
        <f t="shared" si="14"/>
        <v>5.84</v>
      </c>
      <c r="S133" s="29">
        <f>LOOKUP(R133,{0,4.74,4.84,4.94,5.44,5.54,5.64,5.69,5.74,5.79,5.84,5.89,5.94,5.99,6.44,6.49,6.54,6.61,6.68,6.74,6.8},{0,10,20,30,40,50,60,62,64,66,68,70,72,74,76,78,80,85,90,95,100})</f>
        <v>68</v>
      </c>
      <c r="T133" s="27"/>
      <c r="U133" s="27"/>
      <c r="V133" s="27">
        <f t="shared" si="15"/>
        <v>68</v>
      </c>
      <c r="W133" s="27"/>
      <c r="X133" s="19">
        <f t="shared" si="16"/>
        <v>50.2</v>
      </c>
      <c r="Y133" s="13">
        <f t="shared" si="17"/>
        <v>71.7142857142857</v>
      </c>
    </row>
    <row r="134" ht="15.6" spans="1:26">
      <c r="A134" s="27">
        <v>315</v>
      </c>
      <c r="B134" s="27">
        <v>26</v>
      </c>
      <c r="C134" s="28" t="s">
        <v>760</v>
      </c>
      <c r="D134" s="28" t="s">
        <v>46</v>
      </c>
      <c r="E134" s="27">
        <v>14</v>
      </c>
      <c r="F134" s="29">
        <f>LOOKUP(E134,{0,1.5,2.3,3.1,3.9,4.7,5.5,6.8,8.1,9.4,10.7,12,13.3,14.6,15.9,17.2,18.5,20.2,21.9,23.6,25.3},{0,10,20,30,40,50,60,62,64,66,68,70,72,74,76,78,80,85,90,95,100})</f>
        <v>72</v>
      </c>
      <c r="G134" s="27">
        <v>157</v>
      </c>
      <c r="H134" s="29">
        <f>LOOKUP(G134,{0,125,130,135,140,145,150,153,156,159,162,165,168,171,174,177,180,187,194,200,206},{0,10,20,30,40,50,60,62,64,66,68,70,72,74,76,78,80,85,90,95,100})</f>
        <v>64</v>
      </c>
      <c r="I134" s="27">
        <v>50</v>
      </c>
      <c r="J134" s="29">
        <f>LOOKUP(I134,{0,15,17,19,21,23,25,27,29,31,33,35,37,39,41,43,45,48,51,53,55},{0,10,20,30,40,50,60,62,64,66,68,70,72,74,76,78,80,85,90,95,100})</f>
        <v>85</v>
      </c>
      <c r="K134" s="35"/>
      <c r="L134" s="35"/>
      <c r="M134" s="35">
        <f t="shared" si="12"/>
        <v>85</v>
      </c>
      <c r="N134" s="35">
        <v>9.4</v>
      </c>
      <c r="O134" s="36">
        <f t="shared" si="13"/>
        <v>8.6</v>
      </c>
      <c r="P134" s="29">
        <f>LOOKUP(O134,{0,6.6,6.8,7,7.2,7.4,7.6,7.8,8,8.2,8.4,8.6,8.8,9,9.2,9.4,9.6,9.9,10.2,10.3,10.4},{0,10,20,30,40,50,60,62,64,66,68,70,72,74,76,78,80,85,90,95,100})</f>
        <v>70</v>
      </c>
      <c r="Q134" s="5">
        <v>4.07</v>
      </c>
      <c r="R134" s="36">
        <f t="shared" si="14"/>
        <v>5.93</v>
      </c>
      <c r="S134" s="29">
        <f>LOOKUP(R134,{0,4.74,4.84,4.94,5.44,5.54,5.64,5.69,5.74,5.79,5.84,5.89,5.94,5.99,6.44,6.49,6.54,6.61,6.68,6.74,6.8},{0,10,20,30,40,50,60,62,64,66,68,70,72,74,76,78,80,85,90,95,100})</f>
        <v>70</v>
      </c>
      <c r="T134" s="27"/>
      <c r="U134" s="27"/>
      <c r="V134" s="27">
        <f t="shared" si="15"/>
        <v>70</v>
      </c>
      <c r="W134" s="27"/>
      <c r="X134" s="19">
        <f t="shared" si="16"/>
        <v>50.1</v>
      </c>
      <c r="Y134" s="13">
        <f t="shared" si="17"/>
        <v>71.5714285714286</v>
      </c>
      <c r="Z134" s="19"/>
    </row>
    <row r="135" ht="15.6" spans="1:26">
      <c r="A135" s="27">
        <v>314</v>
      </c>
      <c r="B135" s="27">
        <v>40</v>
      </c>
      <c r="C135" s="28" t="s">
        <v>724</v>
      </c>
      <c r="D135" s="28" t="s">
        <v>46</v>
      </c>
      <c r="E135" s="27">
        <v>7</v>
      </c>
      <c r="F135" s="29">
        <f>LOOKUP(E135,{0,1.5,2.3,3.1,3.9,4.7,5.5,6.8,8.1,9.4,10.7,12,13.3,14.6,15.9,17.2,18.5,20.2,21.9,23.6,25.3},{0,10,20,30,40,50,60,62,64,66,68,70,72,74,76,78,80,85,90,95,100})</f>
        <v>62</v>
      </c>
      <c r="G135" s="27">
        <v>183</v>
      </c>
      <c r="H135" s="29">
        <f>LOOKUP(G135,{0,125,130,135,140,145,150,153,156,159,162,165,168,171,174,177,180,187,194,200,206},{0,10,20,30,40,50,60,62,64,66,68,70,72,74,76,78,80,85,90,95,100})</f>
        <v>80</v>
      </c>
      <c r="I135" s="27">
        <v>36</v>
      </c>
      <c r="J135" s="29">
        <f>LOOKUP(I135,{0,15,17,19,21,23,25,27,29,31,33,35,37,39,41,43,45,48,51,53,55},{0,10,20,30,40,50,60,62,64,66,68,70,72,74,76,78,80,85,90,95,100})</f>
        <v>70</v>
      </c>
      <c r="K135" s="35"/>
      <c r="L135" s="35"/>
      <c r="M135" s="35">
        <f t="shared" si="12"/>
        <v>70</v>
      </c>
      <c r="N135" s="35">
        <v>8.8</v>
      </c>
      <c r="O135" s="36">
        <f t="shared" si="13"/>
        <v>9.2</v>
      </c>
      <c r="P135" s="29">
        <f>LOOKUP(O135,{0,6.6,6.8,7,7.2,7.4,7.6,7.8,8,8.2,8.4,8.6,8.8,9,9.2,9.4,9.6,9.9,10.2,10.3,10.4},{0,10,20,30,40,50,60,62,64,66,68,70,72,74,76,78,80,85,90,95,100})</f>
        <v>76</v>
      </c>
      <c r="Q135" s="5">
        <v>4.14</v>
      </c>
      <c r="R135" s="36">
        <f t="shared" si="14"/>
        <v>5.86</v>
      </c>
      <c r="S135" s="29">
        <f>LOOKUP(R135,{0,4.74,4.84,4.94,5.44,5.54,5.64,5.69,5.74,5.79,5.84,5.89,5.94,5.99,6.44,6.49,6.54,6.61,6.68,6.74,6.8},{0,10,20,30,40,50,60,62,64,66,68,70,72,74,76,78,80,85,90,95,100})</f>
        <v>68</v>
      </c>
      <c r="T135" s="27"/>
      <c r="U135" s="27"/>
      <c r="V135" s="27">
        <f t="shared" si="15"/>
        <v>68</v>
      </c>
      <c r="W135" s="27"/>
      <c r="X135" s="19">
        <f t="shared" si="16"/>
        <v>50</v>
      </c>
      <c r="Y135" s="13">
        <f t="shared" si="17"/>
        <v>71.4285714285714</v>
      </c>
      <c r="Z135" s="19"/>
    </row>
    <row r="136" ht="15.6" spans="1:26">
      <c r="A136" s="27">
        <v>315</v>
      </c>
      <c r="B136" s="27">
        <v>11</v>
      </c>
      <c r="C136" s="28" t="s">
        <v>744</v>
      </c>
      <c r="D136" s="28" t="s">
        <v>46</v>
      </c>
      <c r="E136" s="27">
        <v>19</v>
      </c>
      <c r="F136" s="29">
        <f>LOOKUP(E136,{0,1.5,2.3,3.1,3.9,4.7,5.5,6.8,8.1,9.4,10.7,12,13.3,14.6,15.9,17.2,18.5,20.2,21.9,23.6,25.3},{0,10,20,30,40,50,60,62,64,66,68,70,72,74,76,78,80,85,90,95,100})</f>
        <v>80</v>
      </c>
      <c r="G136" s="27">
        <v>165</v>
      </c>
      <c r="H136" s="29">
        <f>LOOKUP(G136,{0,125,130,135,140,145,150,153,156,159,162,165,168,171,174,177,180,187,194,200,206},{0,10,20,30,40,50,60,62,64,66,68,70,72,74,76,78,80,85,90,95,100})</f>
        <v>70</v>
      </c>
      <c r="I136" s="27">
        <v>35</v>
      </c>
      <c r="J136" s="29">
        <f>LOOKUP(I136,{0,15,17,19,21,23,25,27,29,31,33,35,37,39,41,43,45,48,51,53,55},{0,10,20,30,40,50,60,62,64,66,68,70,72,74,76,78,80,85,90,95,100})</f>
        <v>70</v>
      </c>
      <c r="K136" s="35"/>
      <c r="L136" s="35"/>
      <c r="M136" s="35">
        <f t="shared" si="12"/>
        <v>70</v>
      </c>
      <c r="N136" s="35">
        <v>9.2</v>
      </c>
      <c r="O136" s="36">
        <f t="shared" si="13"/>
        <v>8.8</v>
      </c>
      <c r="P136" s="29">
        <f>LOOKUP(O136,{0,6.6,6.8,7,7.2,7.4,7.6,7.8,8,8.2,8.4,8.6,8.8,9,9.2,9.4,9.6,9.9,10.2,10.3,10.4},{0,10,20,30,40,50,60,62,64,66,68,70,72,74,76,78,80,85,90,95,100})</f>
        <v>72</v>
      </c>
      <c r="Q136" s="5">
        <v>4.15</v>
      </c>
      <c r="R136" s="36">
        <f t="shared" si="14"/>
        <v>5.85</v>
      </c>
      <c r="S136" s="29">
        <f>LOOKUP(R136,{0,4.74,4.84,4.94,5.44,5.54,5.64,5.69,5.74,5.79,5.84,5.89,5.94,5.99,6.44,6.49,6.54,6.61,6.68,6.74,6.8},{0,10,20,30,40,50,60,62,64,66,68,70,72,74,76,78,80,85,90,95,100})</f>
        <v>68</v>
      </c>
      <c r="T136" s="27"/>
      <c r="U136" s="27"/>
      <c r="V136" s="27">
        <f t="shared" si="15"/>
        <v>68</v>
      </c>
      <c r="W136" s="27"/>
      <c r="X136" s="19">
        <f t="shared" si="16"/>
        <v>50</v>
      </c>
      <c r="Y136" s="13">
        <f t="shared" si="17"/>
        <v>71.4285714285714</v>
      </c>
      <c r="Z136" s="19"/>
    </row>
    <row r="137" ht="15.6" spans="1:26">
      <c r="A137" s="27">
        <v>316</v>
      </c>
      <c r="B137" s="27">
        <v>24</v>
      </c>
      <c r="C137" s="28" t="s">
        <v>813</v>
      </c>
      <c r="D137" s="28" t="s">
        <v>46</v>
      </c>
      <c r="E137" s="27">
        <v>11.5</v>
      </c>
      <c r="F137" s="29">
        <f>LOOKUP(E137,{0,1.5,2.3,3.1,3.9,4.7,5.5,6.8,8.1,9.4,10.7,12,13.3,14.6,15.9,17.2,18.5,20.2,21.9,23.6,25.3},{0,10,20,30,40,50,60,62,64,66,68,70,72,74,76,78,80,85,90,95,100})</f>
        <v>68</v>
      </c>
      <c r="G137" s="27">
        <v>175</v>
      </c>
      <c r="H137" s="29">
        <f>LOOKUP(G137,{0,125,130,135,140,145,150,153,156,159,162,165,168,171,174,177,180,187,194,200,206},{0,10,20,30,40,50,60,62,64,66,68,70,72,74,76,78,80,85,90,95,100})</f>
        <v>76</v>
      </c>
      <c r="I137" s="27">
        <v>41</v>
      </c>
      <c r="J137" s="29">
        <f>LOOKUP(I137,{0,15,17,19,21,23,25,27,29,31,33,35,37,39,41,43,45,48,51,53,55},{0,10,20,30,40,50,60,62,64,66,68,70,72,74,76,78,80,85,90,95,100})</f>
        <v>76</v>
      </c>
      <c r="K137" s="35"/>
      <c r="L137" s="39"/>
      <c r="M137" s="35">
        <f t="shared" si="12"/>
        <v>76</v>
      </c>
      <c r="N137" s="35">
        <v>9</v>
      </c>
      <c r="O137" s="36">
        <f t="shared" si="13"/>
        <v>9</v>
      </c>
      <c r="P137" s="29">
        <f>LOOKUP(O137,{0,6.6,6.8,7,7.2,7.4,7.6,7.8,8,8.2,8.4,8.6,8.8,9,9.2,9.4,9.6,9.9,10.2,10.3,10.4},{0,10,20,30,40,50,60,62,64,66,68,70,72,74,76,78,80,85,90,95,100})</f>
        <v>74</v>
      </c>
      <c r="Q137" s="5">
        <v>4.19</v>
      </c>
      <c r="R137" s="36">
        <f t="shared" si="14"/>
        <v>5.81</v>
      </c>
      <c r="S137" s="29">
        <f>LOOKUP(R137,{0,4.74,4.84,4.94,5.44,5.54,5.64,5.69,5.74,5.79,5.84,5.89,5.94,5.99,6.44,6.49,6.54,6.61,6.68,6.74,6.8},{0,10,20,30,40,50,60,62,64,66,68,70,72,74,76,78,80,85,90,95,100})</f>
        <v>66</v>
      </c>
      <c r="T137" s="27"/>
      <c r="U137" s="27"/>
      <c r="V137" s="27">
        <f t="shared" si="15"/>
        <v>66</v>
      </c>
      <c r="W137" s="27"/>
      <c r="X137" s="19">
        <f t="shared" si="16"/>
        <v>50</v>
      </c>
      <c r="Y137" s="13">
        <f t="shared" si="17"/>
        <v>71.4285714285714</v>
      </c>
      <c r="Z137" s="19"/>
    </row>
    <row r="138" ht="15.6" spans="1:26">
      <c r="A138" s="27">
        <v>310</v>
      </c>
      <c r="B138" s="27">
        <v>45</v>
      </c>
      <c r="C138" s="28" t="s">
        <v>506</v>
      </c>
      <c r="D138" s="28" t="s">
        <v>46</v>
      </c>
      <c r="E138" s="27">
        <v>22.8</v>
      </c>
      <c r="F138" s="29">
        <f>LOOKUP(E138,{0,1.5,2.3,3.1,3.9,4.7,5.5,6.8,8.1,9.4,10.7,12,13.3,14.6,15.9,17.2,18.5,20.2,21.9,23.6,25.3},{0,10,20,30,40,50,60,62,64,66,68,70,72,74,76,78,80,85,90,95,100})</f>
        <v>90</v>
      </c>
      <c r="G138" s="27">
        <v>187</v>
      </c>
      <c r="H138" s="29">
        <f>LOOKUP(G138,{0,125,130,135,140,145,150,153,156,159,162,165,168,171,174,177,180,187,194,200,206},{0,10,20,30,40,50,60,62,64,66,68,70,72,74,76,78,80,85,90,95,100})</f>
        <v>85</v>
      </c>
      <c r="I138" s="27">
        <v>38</v>
      </c>
      <c r="J138" s="29">
        <f>LOOKUP(I138,{0,15,17,19,21,23,25,27,29,31,33,35,37,39,41,43,45,48,51,53,55},{0,10,20,30,40,50,60,62,64,66,68,70,72,74,76,78,80,85,90,95,100})</f>
        <v>72</v>
      </c>
      <c r="K138" s="35"/>
      <c r="L138" s="35"/>
      <c r="M138" s="35">
        <f t="shared" si="12"/>
        <v>72</v>
      </c>
      <c r="N138" s="35">
        <v>8.8</v>
      </c>
      <c r="O138" s="36">
        <f t="shared" si="13"/>
        <v>9.2</v>
      </c>
      <c r="P138" s="29">
        <f>LOOKUP(O138,{0,6.6,6.8,7,7.2,7.4,7.6,7.8,8,8.2,8.4,8.6,8.8,9,9.2,9.4,9.6,9.9,10.2,10.3,10.4},{0,10,20,30,40,50,60,62,64,66,68,70,72,74,76,78,80,85,90,95,100})</f>
        <v>76</v>
      </c>
      <c r="Q138" s="5">
        <v>4.44</v>
      </c>
      <c r="R138" s="36">
        <f t="shared" si="14"/>
        <v>5.56</v>
      </c>
      <c r="S138" s="29">
        <f>LOOKUP(R138,{0,4.74,4.84,4.94,5.44,5.54,5.64,5.69,5.74,5.79,5.84,5.89,5.94,5.99,6.44,6.49,6.54,6.61,6.68,6.74,6.8},{0,10,20,30,40,50,60,62,64,66,68,70,72,74,76,78,80,85,90,95,100})</f>
        <v>50</v>
      </c>
      <c r="T138" s="27"/>
      <c r="U138" s="27"/>
      <c r="V138" s="27">
        <f t="shared" si="15"/>
        <v>50</v>
      </c>
      <c r="W138" s="27"/>
      <c r="X138" s="19">
        <f t="shared" si="16"/>
        <v>49.9</v>
      </c>
      <c r="Y138" s="13">
        <f t="shared" si="17"/>
        <v>71.2857142857143</v>
      </c>
      <c r="Z138" s="19"/>
    </row>
    <row r="139" ht="15.6" spans="1:26">
      <c r="A139" s="27">
        <v>313</v>
      </c>
      <c r="B139" s="27">
        <v>29</v>
      </c>
      <c r="C139" s="28" t="s">
        <v>658</v>
      </c>
      <c r="D139" s="28" t="s">
        <v>46</v>
      </c>
      <c r="E139" s="27">
        <v>15</v>
      </c>
      <c r="F139" s="29">
        <f>LOOKUP(E139,{0,1.5,2.3,3.1,3.9,4.7,5.5,6.8,8.1,9.4,10.7,12,13.3,14.6,15.9,17.2,18.5,20.2,21.9,23.6,25.3},{0,10,20,30,40,50,60,62,64,66,68,70,72,74,76,78,80,85,90,95,100})</f>
        <v>74</v>
      </c>
      <c r="G139" s="27">
        <v>165</v>
      </c>
      <c r="H139" s="29">
        <f>LOOKUP(G139,{0,125,130,135,140,145,150,153,156,159,162,165,168,171,174,177,180,187,194,200,206},{0,10,20,30,40,50,60,62,64,66,68,70,72,74,76,78,80,85,90,95,100})</f>
        <v>70</v>
      </c>
      <c r="I139" s="27">
        <v>40</v>
      </c>
      <c r="J139" s="29">
        <f>LOOKUP(I139,{0,15,17,19,21,23,25,27,29,31,33,35,37,39,41,43,45,48,51,53,55},{0,10,20,30,40,50,60,62,64,66,68,70,72,74,76,78,80,85,90,95,100})</f>
        <v>74</v>
      </c>
      <c r="K139" s="35"/>
      <c r="L139" s="35"/>
      <c r="M139" s="35">
        <f t="shared" si="12"/>
        <v>74</v>
      </c>
      <c r="N139" s="35">
        <v>9.7</v>
      </c>
      <c r="O139" s="36">
        <f t="shared" si="13"/>
        <v>8.3</v>
      </c>
      <c r="P139" s="29">
        <f>LOOKUP(O139,{0,6.6,6.8,7,7.2,7.4,7.6,7.8,8,8.2,8.4,8.6,8.8,9,9.2,9.4,9.6,9.9,10.2,10.3,10.4},{0,10,20,30,40,50,60,62,64,66,68,70,72,74,76,78,80,85,90,95,100})</f>
        <v>66</v>
      </c>
      <c r="Q139" s="5">
        <v>4</v>
      </c>
      <c r="R139" s="36">
        <f t="shared" si="14"/>
        <v>6</v>
      </c>
      <c r="S139" s="29">
        <f>LOOKUP(R139,{0,4.74,4.84,4.94,5.44,5.54,5.64,5.69,5.74,5.79,5.84,5.89,5.94,5.99,6.44,6.49,6.54,6.61,6.68,6.74,6.8},{0,10,20,30,40,50,60,62,64,66,68,70,72,74,76,78,80,85,90,95,100})</f>
        <v>74</v>
      </c>
      <c r="T139" s="27"/>
      <c r="U139" s="27"/>
      <c r="V139" s="27">
        <f t="shared" si="15"/>
        <v>74</v>
      </c>
      <c r="W139" s="27"/>
      <c r="X139" s="19">
        <f t="shared" si="16"/>
        <v>49.8</v>
      </c>
      <c r="Y139" s="13">
        <f t="shared" si="17"/>
        <v>71.1428571428571</v>
      </c>
      <c r="Z139" s="19"/>
    </row>
    <row r="140" ht="15.6" spans="1:26">
      <c r="A140" s="27">
        <v>314</v>
      </c>
      <c r="B140" s="27">
        <v>18</v>
      </c>
      <c r="C140" s="28" t="s">
        <v>700</v>
      </c>
      <c r="D140" s="28" t="s">
        <v>46</v>
      </c>
      <c r="E140" s="27">
        <v>28</v>
      </c>
      <c r="F140" s="29">
        <f>LOOKUP(E140,{0,1.5,2.3,3.1,3.9,4.7,5.5,6.8,8.1,9.4,10.7,12,13.3,14.6,15.9,17.2,18.5,20.2,21.9,23.6,25.3},{0,10,20,30,40,50,60,62,64,66,68,70,72,74,76,78,80,85,90,95,100})</f>
        <v>100</v>
      </c>
      <c r="G140" s="27">
        <v>155</v>
      </c>
      <c r="H140" s="29">
        <f>LOOKUP(G140,{0,125,130,135,140,145,150,153,156,159,162,165,168,171,174,177,180,187,194,200,206},{0,10,20,30,40,50,60,62,64,66,68,70,72,74,76,78,80,85,90,95,100})</f>
        <v>62</v>
      </c>
      <c r="I140" s="27">
        <v>42</v>
      </c>
      <c r="J140" s="29">
        <f>LOOKUP(I140,{0,15,17,19,21,23,25,27,29,31,33,35,37,39,41,43,45,48,51,53,55},{0,10,20,30,40,50,60,62,64,66,68,70,72,74,76,78,80,85,90,95,100})</f>
        <v>76</v>
      </c>
      <c r="K140" s="35"/>
      <c r="L140" s="35"/>
      <c r="M140" s="35">
        <f t="shared" si="12"/>
        <v>76</v>
      </c>
      <c r="N140" s="35">
        <v>9.4</v>
      </c>
      <c r="O140" s="36">
        <f t="shared" si="13"/>
        <v>8.6</v>
      </c>
      <c r="P140" s="29">
        <f>LOOKUP(O140,{0,6.6,6.8,7,7.2,7.4,7.6,7.8,8,8.2,8.4,8.6,8.8,9,9.2,9.4,9.6,9.9,10.2,10.3,10.4},{0,10,20,30,40,50,60,62,64,66,68,70,72,74,76,78,80,85,90,95,100})</f>
        <v>70</v>
      </c>
      <c r="Q140" s="5">
        <v>4.35</v>
      </c>
      <c r="R140" s="36">
        <f t="shared" si="14"/>
        <v>5.65</v>
      </c>
      <c r="S140" s="29">
        <f>LOOKUP(R140,{0,4.74,4.84,4.94,5.44,5.54,5.64,5.69,5.74,5.79,5.84,5.89,5.94,5.99,6.44,6.49,6.54,6.61,6.68,6.74,6.8},{0,10,20,30,40,50,60,62,64,66,68,70,72,74,76,78,80,85,90,95,100})</f>
        <v>60</v>
      </c>
      <c r="T140" s="27"/>
      <c r="U140" s="27"/>
      <c r="V140" s="27">
        <f t="shared" si="15"/>
        <v>60</v>
      </c>
      <c r="W140" s="27"/>
      <c r="X140" s="19">
        <f t="shared" si="16"/>
        <v>49.8</v>
      </c>
      <c r="Y140" s="13">
        <f t="shared" si="17"/>
        <v>71.1428571428571</v>
      </c>
      <c r="Z140" s="19"/>
    </row>
    <row r="141" ht="15.6" spans="1:26">
      <c r="A141" s="27">
        <v>308</v>
      </c>
      <c r="B141" s="27">
        <v>34</v>
      </c>
      <c r="C141" s="28" t="s">
        <v>388</v>
      </c>
      <c r="D141" s="28" t="s">
        <v>46</v>
      </c>
      <c r="E141" s="27">
        <v>7.5</v>
      </c>
      <c r="F141" s="29">
        <f>LOOKUP(E141,{0,1.5,2.3,3.1,3.9,4.7,5.5,6.8,8.1,9.4,10.7,12,13.3,14.6,15.9,17.2,18.5,20.2,21.9,23.6,25.3},{0,10,20,30,40,50,60,62,64,66,68,70,72,74,76,78,80,85,90,95,100})</f>
        <v>62</v>
      </c>
      <c r="G141" s="27">
        <v>172</v>
      </c>
      <c r="H141" s="29">
        <f>LOOKUP(G141,{0,125,130,135,140,145,150,153,156,159,162,165,168,171,174,177,180,187,194,200,206},{0,10,20,30,40,50,60,62,64,66,68,70,72,74,76,78,80,85,90,95,100})</f>
        <v>74</v>
      </c>
      <c r="I141" s="27">
        <v>55</v>
      </c>
      <c r="J141" s="29">
        <f>LOOKUP(I141,{0,15,17,19,21,23,25,27,29,31,33,35,37,39,41,43,45,48,51,53,55},{0,10,20,30,40,50,60,62,64,66,68,70,72,74,76,78,80,85,90,95,100})</f>
        <v>100</v>
      </c>
      <c r="K141" s="35"/>
      <c r="L141" s="35"/>
      <c r="M141" s="35">
        <f t="shared" si="12"/>
        <v>100</v>
      </c>
      <c r="N141" s="35">
        <v>9.5</v>
      </c>
      <c r="O141" s="36">
        <f t="shared" si="13"/>
        <v>8.5</v>
      </c>
      <c r="P141" s="29">
        <f>LOOKUP(O141,{0,6.6,6.8,7,7.2,7.4,7.6,7.8,8,8.2,8.4,8.6,8.8,9,9.2,9.4,9.6,9.9,10.2,10.3,10.4},{0,10,20,30,40,50,60,62,64,66,68,70,72,74,76,78,80,85,90,95,100})</f>
        <v>68</v>
      </c>
      <c r="Q141" s="5">
        <v>4.27</v>
      </c>
      <c r="R141" s="36">
        <f t="shared" si="14"/>
        <v>5.73</v>
      </c>
      <c r="S141" s="29">
        <f>LOOKUP(R141,{0,4.74,4.84,4.94,5.44,5.54,5.64,5.69,5.74,5.79,5.84,5.89,5.94,5.99,6.44,6.49,6.54,6.61,6.68,6.74,6.8},{0,10,20,30,40,50,60,62,64,66,68,70,72,74,76,78,80,85,90,95,100})</f>
        <v>62</v>
      </c>
      <c r="T141" s="27"/>
      <c r="U141" s="27"/>
      <c r="V141" s="27">
        <f t="shared" si="15"/>
        <v>62</v>
      </c>
      <c r="W141" s="27"/>
      <c r="X141" s="19">
        <f t="shared" si="16"/>
        <v>49.6</v>
      </c>
      <c r="Y141" s="13">
        <f t="shared" si="17"/>
        <v>70.8571428571429</v>
      </c>
      <c r="Z141" s="19"/>
    </row>
    <row r="142" ht="15.6" spans="1:26">
      <c r="A142" s="27">
        <v>316</v>
      </c>
      <c r="B142" s="27">
        <v>28</v>
      </c>
      <c r="C142" s="28" t="s">
        <v>817</v>
      </c>
      <c r="D142" s="28" t="s">
        <v>46</v>
      </c>
      <c r="E142" s="27">
        <v>22.5</v>
      </c>
      <c r="F142" s="29">
        <f>LOOKUP(E142,{0,1.5,2.3,3.1,3.9,4.7,5.5,6.8,8.1,9.4,10.7,12,13.3,14.6,15.9,17.2,18.5,20.2,21.9,23.6,25.3},{0,10,20,30,40,50,60,62,64,66,68,70,72,74,76,78,80,85,90,95,100})</f>
        <v>90</v>
      </c>
      <c r="G142" s="27">
        <v>192</v>
      </c>
      <c r="H142" s="29">
        <f>LOOKUP(G142,{0,125,130,135,140,145,150,153,156,159,162,165,168,171,174,177,180,187,194,200,206},{0,10,20,30,40,50,60,62,64,66,68,70,72,74,76,78,80,85,90,95,100})</f>
        <v>85</v>
      </c>
      <c r="I142" s="27">
        <v>55</v>
      </c>
      <c r="J142" s="29">
        <f>LOOKUP(I142,{0,15,17,19,21,23,25,27,29,31,33,35,37,39,41,43,45,48,51,53,55},{0,10,20,30,40,50,60,62,64,66,68,70,72,74,76,78,80,85,90,95,100})</f>
        <v>100</v>
      </c>
      <c r="K142" s="35"/>
      <c r="L142" s="35"/>
      <c r="M142" s="35">
        <f t="shared" si="12"/>
        <v>100</v>
      </c>
      <c r="N142" s="35">
        <v>8.4</v>
      </c>
      <c r="O142" s="36">
        <f t="shared" si="13"/>
        <v>9.6</v>
      </c>
      <c r="P142" s="29">
        <f>LOOKUP(O142,{0,6.6,6.8,7,7.2,7.4,7.6,7.8,8,8.2,8.4,8.6,8.8,9,9.2,9.4,9.6,9.9,10.2,10.3,10.4},{0,10,20,30,40,50,60,62,64,66,68,70,72,74,76,78,80,85,90,95,100})</f>
        <v>80</v>
      </c>
      <c r="Q142" s="5">
        <v>4.58</v>
      </c>
      <c r="R142" s="36">
        <f t="shared" si="14"/>
        <v>5.42</v>
      </c>
      <c r="S142" s="29">
        <f>LOOKUP(R142,{0,4.74,4.84,4.94,5.44,5.54,5.64,5.69,5.74,5.79,5.84,5.89,5.94,5.99,6.44,6.49,6.54,6.61,6.68,6.74,6.8},{0,10,20,30,40,50,60,62,64,66,68,70,72,74,76,78,80,85,90,95,100})</f>
        <v>30</v>
      </c>
      <c r="T142" s="27"/>
      <c r="U142" s="27"/>
      <c r="V142" s="27">
        <f t="shared" si="15"/>
        <v>30</v>
      </c>
      <c r="W142" s="27"/>
      <c r="X142" s="19">
        <f t="shared" si="16"/>
        <v>49.5</v>
      </c>
      <c r="Y142" s="13">
        <f t="shared" si="17"/>
        <v>70.7142857142857</v>
      </c>
      <c r="Z142" s="19"/>
    </row>
    <row r="143" ht="15.6" spans="1:26">
      <c r="A143" s="27">
        <v>306</v>
      </c>
      <c r="B143" s="27">
        <v>46</v>
      </c>
      <c r="C143" s="28" t="s">
        <v>291</v>
      </c>
      <c r="D143" s="28" t="s">
        <v>46</v>
      </c>
      <c r="E143" s="27">
        <v>12.5</v>
      </c>
      <c r="F143" s="29">
        <f>LOOKUP(E143,{0,1.5,2.3,3.1,3.9,4.7,5.5,6.8,8.1,9.4,10.7,12,13.3,14.6,15.9,17.2,18.5,20.2,21.9,23.6,25.3},{0,10,20,30,40,50,60,62,64,66,68,70,72,74,76,78,80,85,90,95,100})</f>
        <v>70</v>
      </c>
      <c r="G143" s="27">
        <v>173</v>
      </c>
      <c r="H143" s="29">
        <f>LOOKUP(G143,{0,125,130,135,140,145,150,153,156,159,162,165,168,171,174,177,180,187,194,200,206},{0,10,20,30,40,50,60,62,64,66,68,70,72,74,76,78,80,85,90,95,100})</f>
        <v>74</v>
      </c>
      <c r="I143" s="27">
        <v>43</v>
      </c>
      <c r="J143" s="29">
        <f>LOOKUP(I143,{0,15,17,19,21,23,25,27,29,31,33,35,37,39,41,43,45,48,51,53,55},{0,10,20,30,40,50,60,62,64,66,68,70,72,74,76,78,80,85,90,95,100})</f>
        <v>78</v>
      </c>
      <c r="K143" s="35"/>
      <c r="L143" s="35"/>
      <c r="M143" s="35">
        <f t="shared" si="12"/>
        <v>78</v>
      </c>
      <c r="N143" s="35">
        <v>9.1</v>
      </c>
      <c r="O143" s="36">
        <f t="shared" si="13"/>
        <v>8.9</v>
      </c>
      <c r="P143" s="29">
        <f>LOOKUP(O143,{0,6.6,6.8,7,7.2,7.4,7.6,7.8,8,8.2,8.4,8.6,8.8,9,9.2,9.4,9.6,9.9,10.2,10.3,10.4},{0,10,20,30,40,50,60,62,64,66,68,70,72,74,76,78,80,85,90,95,100})</f>
        <v>72</v>
      </c>
      <c r="Q143" s="5">
        <v>4.23</v>
      </c>
      <c r="R143" s="36">
        <f t="shared" si="14"/>
        <v>5.77</v>
      </c>
      <c r="S143" s="29">
        <f>LOOKUP(R143,{0,4.74,4.84,4.94,5.44,5.54,5.64,5.69,5.74,5.79,5.84,5.89,5.94,5.99,6.44,6.49,6.54,6.61,6.68,6.74,6.8},{0,10,20,30,40,50,60,62,64,66,68,70,72,74,76,78,80,85,90,95,100})</f>
        <v>64</v>
      </c>
      <c r="T143" s="27"/>
      <c r="U143" s="27"/>
      <c r="V143" s="27">
        <f t="shared" si="15"/>
        <v>64</v>
      </c>
      <c r="W143" s="27"/>
      <c r="X143" s="19">
        <f t="shared" si="16"/>
        <v>49.4</v>
      </c>
      <c r="Y143" s="13">
        <f t="shared" si="17"/>
        <v>70.5714285714286</v>
      </c>
      <c r="Z143" s="19"/>
    </row>
    <row r="144" ht="15.6" spans="1:26">
      <c r="A144" s="27">
        <v>307</v>
      </c>
      <c r="B144" s="27">
        <v>26</v>
      </c>
      <c r="C144" s="28" t="s">
        <v>326</v>
      </c>
      <c r="D144" s="28" t="s">
        <v>46</v>
      </c>
      <c r="E144" s="27">
        <v>8.5</v>
      </c>
      <c r="F144" s="29">
        <f>LOOKUP(E144,{0,1.5,2.3,3.1,3.9,4.7,5.5,6.8,8.1,9.4,10.7,12,13.3,14.6,15.9,17.2,18.5,20.2,21.9,23.6,25.3},{0,10,20,30,40,50,60,62,64,66,68,70,72,74,76,78,80,85,90,95,100})</f>
        <v>64</v>
      </c>
      <c r="G144" s="27">
        <v>165</v>
      </c>
      <c r="H144" s="29">
        <f>LOOKUP(G144,{0,125,130,135,140,145,150,153,156,159,162,165,168,171,174,177,180,187,194,200,206},{0,10,20,30,40,50,60,62,64,66,68,70,72,74,76,78,80,85,90,95,100})</f>
        <v>70</v>
      </c>
      <c r="I144" s="27">
        <v>47</v>
      </c>
      <c r="J144" s="29">
        <f>LOOKUP(I144,{0,15,17,19,21,23,25,27,29,31,33,35,37,39,41,43,45,48,51,53,55},{0,10,20,30,40,50,60,62,64,66,68,70,72,74,76,78,80,85,90,95,100})</f>
        <v>80</v>
      </c>
      <c r="K144" s="35"/>
      <c r="L144" s="35"/>
      <c r="M144" s="35">
        <f t="shared" si="12"/>
        <v>80</v>
      </c>
      <c r="N144" s="35">
        <v>9.5</v>
      </c>
      <c r="O144" s="36">
        <f t="shared" si="13"/>
        <v>8.5</v>
      </c>
      <c r="P144" s="29">
        <f>LOOKUP(O144,{0,6.6,6.8,7,7.2,7.4,7.6,7.8,8,8.2,8.4,8.6,8.8,9,9.2,9.4,9.6,9.9,10.2,10.3,10.4},{0,10,20,30,40,50,60,62,64,66,68,70,72,74,76,78,80,85,90,95,100})</f>
        <v>68</v>
      </c>
      <c r="Q144" s="5">
        <v>4.05</v>
      </c>
      <c r="R144" s="36">
        <f t="shared" si="14"/>
        <v>5.95</v>
      </c>
      <c r="S144" s="29">
        <f>LOOKUP(R144,{0,4.74,4.84,4.94,5.44,5.54,5.64,5.69,5.74,5.79,5.84,5.89,5.94,5.99,6.44,6.49,6.54,6.61,6.68,6.74,6.8},{0,10,20,30,40,50,60,62,64,66,68,70,72,74,76,78,80,85,90,95,100})</f>
        <v>72</v>
      </c>
      <c r="T144" s="27"/>
      <c r="U144" s="27"/>
      <c r="V144" s="27">
        <f t="shared" si="15"/>
        <v>72</v>
      </c>
      <c r="W144" s="27"/>
      <c r="X144" s="19">
        <f t="shared" si="16"/>
        <v>49.4</v>
      </c>
      <c r="Y144" s="13">
        <f t="shared" si="17"/>
        <v>70.5714285714286</v>
      </c>
      <c r="Z144" s="19"/>
    </row>
    <row r="145" ht="15.6" spans="1:26">
      <c r="A145" s="27">
        <v>315</v>
      </c>
      <c r="B145" s="27">
        <v>20</v>
      </c>
      <c r="C145" s="30" t="s">
        <v>754</v>
      </c>
      <c r="D145" s="28" t="s">
        <v>46</v>
      </c>
      <c r="E145" s="27">
        <v>18.5</v>
      </c>
      <c r="F145" s="29">
        <f>LOOKUP(E145,{0,1.5,2.3,3.1,3.9,4.7,5.5,6.8,8.1,9.4,10.7,12,13.3,14.6,15.9,17.2,18.5,20.2,21.9,23.6,25.3},{0,10,20,30,40,50,60,62,64,66,68,70,72,74,76,78,80,85,90,95,100})</f>
        <v>80</v>
      </c>
      <c r="G145" s="27">
        <v>170</v>
      </c>
      <c r="H145" s="29">
        <f>LOOKUP(G145,{0,125,130,135,140,145,150,153,156,159,162,165,168,171,174,177,180,187,194,200,206},{0,10,20,30,40,50,60,62,64,66,68,70,72,74,76,78,80,85,90,95,100})</f>
        <v>72</v>
      </c>
      <c r="I145" s="27">
        <v>43</v>
      </c>
      <c r="J145" s="29">
        <f>LOOKUP(I145,{0,15,17,19,21,23,25,27,29,31,33,35,37,39,41,43,45,48,51,53,55},{0,10,20,30,40,50,60,62,64,66,68,70,72,74,76,78,80,85,90,95,100})</f>
        <v>78</v>
      </c>
      <c r="K145" s="35"/>
      <c r="L145" s="35"/>
      <c r="M145" s="35">
        <f t="shared" si="12"/>
        <v>78</v>
      </c>
      <c r="N145" s="35">
        <v>9.3</v>
      </c>
      <c r="O145" s="36">
        <f t="shared" si="13"/>
        <v>8.7</v>
      </c>
      <c r="P145" s="29">
        <f>LOOKUP(O145,{0,6.6,6.8,7,7.2,7.4,7.6,7.8,8,8.2,8.4,8.6,8.8,9,9.2,9.4,9.6,9.9,10.2,10.3,10.4},{0,10,20,30,40,50,60,62,64,66,68,70,72,74,76,78,80,85,90,95,100})</f>
        <v>70</v>
      </c>
      <c r="Q145" s="5">
        <v>4.3</v>
      </c>
      <c r="R145" s="36">
        <f t="shared" si="14"/>
        <v>5.7</v>
      </c>
      <c r="S145" s="29">
        <f>LOOKUP(R145,{0,4.74,4.84,4.94,5.44,5.54,5.64,5.69,5.74,5.79,5.84,5.89,5.94,5.99,6.44,6.49,6.54,6.61,6.68,6.74,6.8},{0,10,20,30,40,50,60,62,64,66,68,70,72,74,76,78,80,85,90,95,100})</f>
        <v>62</v>
      </c>
      <c r="T145" s="27"/>
      <c r="U145" s="27"/>
      <c r="V145" s="27">
        <f t="shared" si="15"/>
        <v>62</v>
      </c>
      <c r="W145" s="27"/>
      <c r="X145" s="19">
        <f t="shared" si="16"/>
        <v>49.4</v>
      </c>
      <c r="Y145" s="13">
        <f t="shared" si="17"/>
        <v>70.5714285714286</v>
      </c>
      <c r="Z145" s="19"/>
    </row>
    <row r="146" ht="15.6" spans="1:26">
      <c r="A146" s="27">
        <v>315</v>
      </c>
      <c r="B146" s="27">
        <v>50</v>
      </c>
      <c r="C146" s="38" t="s">
        <v>786</v>
      </c>
      <c r="D146" s="38" t="s">
        <v>46</v>
      </c>
      <c r="E146" s="27">
        <v>8.5</v>
      </c>
      <c r="F146" s="29">
        <f>LOOKUP(E146,{0,1.5,2.3,3.1,3.9,4.7,5.5,6.8,8.1,9.4,10.7,12,13.3,14.6,15.9,17.2,18.5,20.2,21.9,23.6,25.3},{0,10,20,30,40,50,60,62,64,66,68,70,72,74,76,78,80,85,90,95,100})</f>
        <v>64</v>
      </c>
      <c r="G146" s="27">
        <v>175</v>
      </c>
      <c r="H146" s="29">
        <f>LOOKUP(G146,{0,125,130,135,140,145,150,153,156,159,162,165,168,171,174,177,180,187,194,200,206},{0,10,20,30,40,50,60,62,64,66,68,70,72,74,76,78,80,85,90,95,100})</f>
        <v>76</v>
      </c>
      <c r="I146" s="27">
        <v>39</v>
      </c>
      <c r="J146" s="29">
        <f>LOOKUP(I146,{0,15,17,19,21,23,25,27,29,31,33,35,37,39,41,43,45,48,51,53,55},{0,10,20,30,40,50,60,62,64,66,68,70,72,74,76,78,80,85,90,95,100})</f>
        <v>74</v>
      </c>
      <c r="K146" s="35"/>
      <c r="L146" s="35"/>
      <c r="M146" s="35">
        <f t="shared" si="12"/>
        <v>74</v>
      </c>
      <c r="N146" s="35">
        <v>8.7</v>
      </c>
      <c r="O146" s="36">
        <f t="shared" si="13"/>
        <v>9.3</v>
      </c>
      <c r="P146" s="29">
        <f>LOOKUP(O146,{0,6.6,6.8,7,7.2,7.4,7.6,7.8,8,8.2,8.4,8.6,8.8,9,9.2,9.4,9.6,9.9,10.2,10.3,10.4},{0,10,20,30,40,50,60,62,64,66,68,70,72,74,76,78,80,85,90,95,100})</f>
        <v>76</v>
      </c>
      <c r="Q146" s="5">
        <v>4.24</v>
      </c>
      <c r="R146" s="36">
        <f t="shared" si="14"/>
        <v>5.76</v>
      </c>
      <c r="S146" s="29">
        <f>LOOKUP(R146,{0,4.74,4.84,4.94,5.44,5.54,5.64,5.69,5.74,5.79,5.84,5.89,5.94,5.99,6.44,6.49,6.54,6.61,6.68,6.74,6.8},{0,10,20,30,40,50,60,62,64,66,68,70,72,74,76,78,80,85,90,95,100})</f>
        <v>64</v>
      </c>
      <c r="T146" s="27"/>
      <c r="U146" s="27"/>
      <c r="V146" s="27">
        <f t="shared" si="15"/>
        <v>64</v>
      </c>
      <c r="W146" s="27"/>
      <c r="X146" s="19">
        <f t="shared" si="16"/>
        <v>49.4</v>
      </c>
      <c r="Y146" s="13">
        <f t="shared" si="17"/>
        <v>70.5714285714286</v>
      </c>
      <c r="Z146" s="19"/>
    </row>
    <row r="147" ht="15.6" spans="1:26">
      <c r="A147" s="27">
        <v>315</v>
      </c>
      <c r="B147" s="27">
        <v>30</v>
      </c>
      <c r="C147" s="30" t="s">
        <v>765</v>
      </c>
      <c r="D147" s="28" t="s">
        <v>46</v>
      </c>
      <c r="E147" s="27">
        <v>20.4</v>
      </c>
      <c r="F147" s="29">
        <f>LOOKUP(E147,{0,1.5,2.3,3.1,3.9,4.7,5.5,6.8,8.1,9.4,10.7,12,13.3,14.6,15.9,17.2,18.5,20.2,21.9,23.6,25.3},{0,10,20,30,40,50,60,62,64,66,68,70,72,74,76,78,80,85,90,95,100})</f>
        <v>85</v>
      </c>
      <c r="G147" s="27">
        <v>160</v>
      </c>
      <c r="H147" s="29">
        <f>LOOKUP(G147,{0,125,130,135,140,145,150,153,156,159,162,165,168,171,174,177,180,187,194,200,206},{0,10,20,30,40,50,60,62,64,66,68,70,72,74,76,78,80,85,90,95,100})</f>
        <v>66</v>
      </c>
      <c r="I147" s="27">
        <v>36</v>
      </c>
      <c r="J147" s="29">
        <f>LOOKUP(I147,{0,15,17,19,21,23,25,27,29,31,33,35,37,39,41,43,45,48,51,53,55},{0,10,20,30,40,50,60,62,64,66,68,70,72,74,76,78,80,85,90,95,100})</f>
        <v>70</v>
      </c>
      <c r="K147" s="35"/>
      <c r="L147" s="35"/>
      <c r="M147" s="35">
        <f t="shared" si="12"/>
        <v>70</v>
      </c>
      <c r="N147" s="35">
        <v>9.4</v>
      </c>
      <c r="O147" s="36">
        <f t="shared" si="13"/>
        <v>8.6</v>
      </c>
      <c r="P147" s="29">
        <f>LOOKUP(O147,{0,6.6,6.8,7,7.2,7.4,7.6,7.8,8,8.2,8.4,8.6,8.8,9,9.2,9.4,9.6,9.9,10.2,10.3,10.4},{0,10,20,30,40,50,60,62,64,66,68,70,72,74,76,78,80,85,90,95,100})</f>
        <v>70</v>
      </c>
      <c r="Q147" s="5">
        <v>4.17</v>
      </c>
      <c r="R147" s="36">
        <f t="shared" si="14"/>
        <v>5.83</v>
      </c>
      <c r="S147" s="29">
        <f>LOOKUP(R147,{0,4.74,4.84,4.94,5.44,5.54,5.64,5.69,5.74,5.79,5.84,5.89,5.94,5.99,6.44,6.49,6.54,6.61,6.68,6.74,6.8},{0,10,20,30,40,50,60,62,64,66,68,70,72,74,76,78,80,85,90,95,100})</f>
        <v>66</v>
      </c>
      <c r="T147" s="27"/>
      <c r="U147" s="27"/>
      <c r="V147" s="27">
        <f t="shared" si="15"/>
        <v>66</v>
      </c>
      <c r="W147" s="27"/>
      <c r="X147" s="19">
        <f t="shared" si="16"/>
        <v>49.3</v>
      </c>
      <c r="Y147" s="13">
        <f t="shared" si="17"/>
        <v>70.4285714285714</v>
      </c>
      <c r="Z147" s="19"/>
    </row>
    <row r="148" ht="15.6" spans="1:26">
      <c r="A148" s="27">
        <v>301</v>
      </c>
      <c r="B148" s="27">
        <v>42</v>
      </c>
      <c r="C148" s="27" t="s">
        <v>55</v>
      </c>
      <c r="D148" s="27" t="s">
        <v>46</v>
      </c>
      <c r="E148" s="27">
        <v>9.6</v>
      </c>
      <c r="F148" s="29">
        <f>LOOKUP(E148,{0,1.5,2.3,3.1,3.9,4.7,5.5,6.8,8.1,9.4,10.7,12,13.3,14.6,15.9,17.2,18.5,20.2,21.9,23.6,25.3},{0,10,20,30,40,50,60,62,64,66,68,70,72,74,76,78,80,85,90,95,100})</f>
        <v>66</v>
      </c>
      <c r="G148" s="27">
        <v>166</v>
      </c>
      <c r="H148" s="29">
        <f>LOOKUP(G148,{0,125,130,135,140,145,150,153,156,159,162,165,168,171,174,177,180,187,194,200,206},{0,10,20,30,40,50,60,62,64,66,68,70,72,74,76,78,80,85,90,95,100})</f>
        <v>70</v>
      </c>
      <c r="I148" s="27">
        <v>41</v>
      </c>
      <c r="J148" s="29">
        <f>LOOKUP(I148,{0,15,17,19,21,23,25,27,29,31,33,35,37,39,41,43,45,48,51,53,55},{0,10,20,30,40,50,60,62,64,66,68,70,72,74,76,78,80,85,90,95,100})</f>
        <v>76</v>
      </c>
      <c r="K148" s="35"/>
      <c r="L148" s="35"/>
      <c r="M148" s="35">
        <f t="shared" si="12"/>
        <v>76</v>
      </c>
      <c r="N148" s="35">
        <v>9.3</v>
      </c>
      <c r="O148" s="36">
        <f t="shared" si="13"/>
        <v>8.7</v>
      </c>
      <c r="P148" s="29">
        <f>LOOKUP(O148,{0,6.6,6.8,7,7.2,7.4,7.6,7.8,8,8.2,8.4,8.6,8.8,9,9.2,9.4,9.6,9.9,10.2,10.3,10.4},{0,10,20,30,40,50,60,62,64,66,68,70,72,74,76,78,80,85,90,95,100})</f>
        <v>70</v>
      </c>
      <c r="Q148" s="5">
        <v>4.07</v>
      </c>
      <c r="R148" s="36">
        <f t="shared" si="14"/>
        <v>5.93</v>
      </c>
      <c r="S148" s="29">
        <f>LOOKUP(R148,{0,4.74,4.84,4.94,5.44,5.54,5.64,5.69,5.74,5.79,5.84,5.89,5.94,5.99,6.44,6.49,6.54,6.61,6.68,6.74,6.8},{0,10,20,30,40,50,60,62,64,66,68,70,72,74,76,78,80,85,90,95,100})</f>
        <v>70</v>
      </c>
      <c r="T148" s="27"/>
      <c r="U148" s="27"/>
      <c r="V148" s="27">
        <f t="shared" si="15"/>
        <v>70</v>
      </c>
      <c r="W148" s="27"/>
      <c r="X148" s="19">
        <f t="shared" si="16"/>
        <v>49.2</v>
      </c>
      <c r="Y148" s="13">
        <f t="shared" si="17"/>
        <v>70.2857142857143</v>
      </c>
      <c r="Z148" s="19"/>
    </row>
    <row r="149" ht="15.6" spans="1:26">
      <c r="A149" s="27">
        <v>302</v>
      </c>
      <c r="B149" s="27">
        <v>37</v>
      </c>
      <c r="C149" s="27" t="s">
        <v>98</v>
      </c>
      <c r="D149" s="27" t="s">
        <v>46</v>
      </c>
      <c r="E149" s="27">
        <v>18.5</v>
      </c>
      <c r="F149" s="29">
        <f>LOOKUP(E149,{0,1.5,2.3,3.1,3.9,4.7,5.5,6.8,8.1,9.4,10.7,12,13.3,14.6,15.9,17.2,18.5,20.2,21.9,23.6,25.3},{0,10,20,30,40,50,60,62,64,66,68,70,72,74,76,78,80,85,90,95,100})</f>
        <v>80</v>
      </c>
      <c r="G149" s="27">
        <v>147</v>
      </c>
      <c r="H149" s="29">
        <f>LOOKUP(G149,{0,125,130,135,140,145,150,153,156,159,162,165,168,171,174,177,180,187,194,200,206},{0,10,20,30,40,50,60,62,64,66,68,70,72,74,76,78,80,85,90,95,100})</f>
        <v>50</v>
      </c>
      <c r="I149" s="27">
        <v>39</v>
      </c>
      <c r="J149" s="29">
        <f>LOOKUP(I149,{0,15,17,19,21,23,25,27,29,31,33,35,37,39,41,43,45,48,51,53,55},{0,10,20,30,40,50,60,62,64,66,68,70,72,74,76,78,80,85,90,95,100})</f>
        <v>74</v>
      </c>
      <c r="K149" s="35"/>
      <c r="L149" s="35"/>
      <c r="M149" s="35">
        <f t="shared" si="12"/>
        <v>74</v>
      </c>
      <c r="N149" s="35">
        <v>9.5</v>
      </c>
      <c r="O149" s="36">
        <f t="shared" si="13"/>
        <v>8.5</v>
      </c>
      <c r="P149" s="29">
        <f>LOOKUP(O149,{0,6.6,6.8,7,7.2,7.4,7.6,7.8,8,8.2,8.4,8.6,8.8,9,9.2,9.4,9.6,9.9,10.2,10.3,10.4},{0,10,20,30,40,50,60,62,64,66,68,70,72,74,76,78,80,85,90,95,100})</f>
        <v>68</v>
      </c>
      <c r="Q149" s="5">
        <v>3.54</v>
      </c>
      <c r="R149" s="36">
        <f t="shared" si="14"/>
        <v>6.46</v>
      </c>
      <c r="S149" s="29">
        <f>LOOKUP(R149,{0,4.74,4.84,4.94,5.44,5.54,5.64,5.69,5.74,5.79,5.84,5.89,5.94,5.99,6.44,6.49,6.54,6.61,6.68,6.74,6.8},{0,10,20,30,40,50,60,62,64,66,68,70,72,74,76,78,80,85,90,95,100})</f>
        <v>76</v>
      </c>
      <c r="T149" s="27"/>
      <c r="U149" s="27"/>
      <c r="V149" s="27">
        <f t="shared" si="15"/>
        <v>76</v>
      </c>
      <c r="W149" s="27"/>
      <c r="X149" s="19">
        <f t="shared" si="16"/>
        <v>49.2</v>
      </c>
      <c r="Y149" s="13">
        <f t="shared" si="17"/>
        <v>70.2857142857143</v>
      </c>
      <c r="Z149" s="19"/>
    </row>
    <row r="150" ht="15.6" spans="1:26">
      <c r="A150" s="27">
        <v>314</v>
      </c>
      <c r="B150" s="27">
        <v>33</v>
      </c>
      <c r="C150" s="28" t="s">
        <v>716</v>
      </c>
      <c r="D150" s="28" t="s">
        <v>46</v>
      </c>
      <c r="E150" s="27">
        <v>9</v>
      </c>
      <c r="F150" s="29">
        <f>LOOKUP(E150,{0,1.5,2.3,3.1,3.9,4.7,5.5,6.8,8.1,9.4,10.7,12,13.3,14.6,15.9,17.2,18.5,20.2,21.9,23.6,25.3},{0,10,20,30,40,50,60,62,64,66,68,70,72,74,76,78,80,85,90,95,100})</f>
        <v>64</v>
      </c>
      <c r="G150" s="27">
        <v>175</v>
      </c>
      <c r="H150" s="29">
        <f>LOOKUP(G150,{0,125,130,135,140,145,150,153,156,159,162,165,168,171,174,177,180,187,194,200,206},{0,10,20,30,40,50,60,62,64,66,68,70,72,74,76,78,80,85,90,95,100})</f>
        <v>76</v>
      </c>
      <c r="I150" s="27">
        <v>47</v>
      </c>
      <c r="J150" s="29">
        <f>LOOKUP(I150,{0,15,17,19,21,23,25,27,29,31,33,35,37,39,41,43,45,48,51,53,55},{0,10,20,30,40,50,60,62,64,66,68,70,72,74,76,78,80,85,90,95,100})</f>
        <v>80</v>
      </c>
      <c r="K150" s="35"/>
      <c r="L150" s="35"/>
      <c r="M150" s="35">
        <f t="shared" si="12"/>
        <v>80</v>
      </c>
      <c r="N150" s="35">
        <v>8.8</v>
      </c>
      <c r="O150" s="36">
        <f t="shared" si="13"/>
        <v>9.2</v>
      </c>
      <c r="P150" s="29">
        <f>LOOKUP(O150,{0,6.6,6.8,7,7.2,7.4,7.6,7.8,8,8.2,8.4,8.6,8.8,9,9.2,9.4,9.6,9.9,10.2,10.3,10.4},{0,10,20,30,40,50,60,62,64,66,68,70,72,74,76,78,80,85,90,95,100})</f>
        <v>76</v>
      </c>
      <c r="Q150" s="5">
        <v>4.33</v>
      </c>
      <c r="R150" s="36">
        <f t="shared" si="14"/>
        <v>5.67</v>
      </c>
      <c r="S150" s="29">
        <f>LOOKUP(R150,{0,4.74,4.84,4.94,5.44,5.54,5.64,5.69,5.74,5.79,5.84,5.89,5.94,5.99,6.44,6.49,6.54,6.61,6.68,6.74,6.8},{0,10,20,30,40,50,60,62,64,66,68,70,72,74,76,78,80,85,90,95,100})</f>
        <v>60</v>
      </c>
      <c r="T150" s="27"/>
      <c r="U150" s="27"/>
      <c r="V150" s="27">
        <f t="shared" si="15"/>
        <v>60</v>
      </c>
      <c r="W150" s="27"/>
      <c r="X150" s="19">
        <f t="shared" si="16"/>
        <v>49.2</v>
      </c>
      <c r="Y150" s="13">
        <f t="shared" si="17"/>
        <v>70.2857142857143</v>
      </c>
      <c r="Z150" s="19"/>
    </row>
    <row r="151" ht="15.6" spans="1:26">
      <c r="A151" s="27">
        <v>306</v>
      </c>
      <c r="B151" s="27">
        <v>47</v>
      </c>
      <c r="C151" s="28" t="s">
        <v>292</v>
      </c>
      <c r="D151" s="28" t="s">
        <v>46</v>
      </c>
      <c r="E151" s="27">
        <v>10</v>
      </c>
      <c r="F151" s="29">
        <f>LOOKUP(E151,{0,1.5,2.3,3.1,3.9,4.7,5.5,6.8,8.1,9.4,10.7,12,13.3,14.6,15.9,17.2,18.5,20.2,21.9,23.6,25.3},{0,10,20,30,40,50,60,62,64,66,68,70,72,74,76,78,80,85,90,95,100})</f>
        <v>66</v>
      </c>
      <c r="G151" s="27">
        <v>163</v>
      </c>
      <c r="H151" s="29">
        <f>LOOKUP(G151,{0,125,130,135,140,145,150,153,156,159,162,165,168,171,174,177,180,187,194,200,206},{0,10,20,30,40,50,60,62,64,66,68,70,72,74,76,78,80,85,90,95,100})</f>
        <v>68</v>
      </c>
      <c r="I151" s="27">
        <v>41</v>
      </c>
      <c r="J151" s="29">
        <f>LOOKUP(I151,{0,15,17,19,21,23,25,27,29,31,33,35,37,39,41,43,45,48,51,53,55},{0,10,20,30,40,50,60,62,64,66,68,70,72,74,76,78,80,85,90,95,100})</f>
        <v>76</v>
      </c>
      <c r="K151" s="35"/>
      <c r="L151" s="35"/>
      <c r="M151" s="35">
        <f t="shared" si="12"/>
        <v>76</v>
      </c>
      <c r="N151" s="35">
        <v>9.6</v>
      </c>
      <c r="O151" s="36">
        <f t="shared" si="13"/>
        <v>8.4</v>
      </c>
      <c r="P151" s="29">
        <f>LOOKUP(O151,{0,6.6,6.8,7,7.2,7.4,7.6,7.8,8,8.2,8.4,8.6,8.8,9,9.2,9.4,9.6,9.9,10.2,10.3,10.4},{0,10,20,30,40,50,60,62,64,66,68,70,72,74,76,78,80,85,90,95,100})</f>
        <v>68</v>
      </c>
      <c r="Q151" s="5">
        <v>4.05</v>
      </c>
      <c r="R151" s="36">
        <f t="shared" si="14"/>
        <v>5.95</v>
      </c>
      <c r="S151" s="29">
        <f>LOOKUP(R151,{0,4.74,4.84,4.94,5.44,5.54,5.64,5.69,5.74,5.79,5.84,5.89,5.94,5.99,6.44,6.49,6.54,6.61,6.68,6.74,6.8},{0,10,20,30,40,50,60,62,64,66,68,70,72,74,76,78,80,85,90,95,100})</f>
        <v>72</v>
      </c>
      <c r="T151" s="27"/>
      <c r="U151" s="27"/>
      <c r="V151" s="27">
        <f t="shared" si="15"/>
        <v>72</v>
      </c>
      <c r="W151" s="27"/>
      <c r="X151" s="19">
        <f t="shared" si="16"/>
        <v>49</v>
      </c>
      <c r="Y151" s="13">
        <f t="shared" si="17"/>
        <v>70</v>
      </c>
      <c r="Z151" s="19"/>
    </row>
    <row r="152" ht="15.6" spans="1:26">
      <c r="A152" s="27">
        <v>307</v>
      </c>
      <c r="B152" s="27">
        <v>21</v>
      </c>
      <c r="C152" s="28" t="s">
        <v>321</v>
      </c>
      <c r="D152" s="28" t="s">
        <v>46</v>
      </c>
      <c r="E152" s="27">
        <v>12.5</v>
      </c>
      <c r="F152" s="29">
        <f>LOOKUP(E152,{0,1.5,2.3,3.1,3.9,4.7,5.5,6.8,8.1,9.4,10.7,12,13.3,14.6,15.9,17.2,18.5,20.2,21.9,23.6,25.3},{0,10,20,30,40,50,60,62,64,66,68,70,72,74,76,78,80,85,90,95,100})</f>
        <v>70</v>
      </c>
      <c r="G152" s="27">
        <v>168</v>
      </c>
      <c r="H152" s="29">
        <f>LOOKUP(G152,{0,125,130,135,140,145,150,153,156,159,162,165,168,171,174,177,180,187,194,200,206},{0,10,20,30,40,50,60,62,64,66,68,70,72,74,76,78,80,85,90,95,100})</f>
        <v>72</v>
      </c>
      <c r="I152" s="27">
        <v>45</v>
      </c>
      <c r="J152" s="29">
        <f>LOOKUP(I152,{0,15,17,19,21,23,25,27,29,31,33,35,37,39,41,43,45,48,51,53,55},{0,10,20,30,40,50,60,62,64,66,68,70,72,74,76,78,80,85,90,95,100})</f>
        <v>80</v>
      </c>
      <c r="K152" s="35"/>
      <c r="L152" s="35"/>
      <c r="M152" s="35">
        <f t="shared" si="12"/>
        <v>80</v>
      </c>
      <c r="N152" s="35">
        <v>9</v>
      </c>
      <c r="O152" s="36">
        <f t="shared" si="13"/>
        <v>9</v>
      </c>
      <c r="P152" s="29">
        <f>LOOKUP(O152,{0,6.6,6.8,7,7.2,7.4,7.6,7.8,8,8.2,8.4,8.6,8.8,9,9.2,9.4,9.6,9.9,10.2,10.3,10.4},{0,10,20,30,40,50,60,62,64,66,68,70,72,74,76,78,80,85,90,95,100})</f>
        <v>74</v>
      </c>
      <c r="Q152" s="5">
        <v>4.35</v>
      </c>
      <c r="R152" s="36">
        <f t="shared" si="14"/>
        <v>5.65</v>
      </c>
      <c r="S152" s="29">
        <f>LOOKUP(R152,{0,4.74,4.84,4.94,5.44,5.54,5.64,5.69,5.74,5.79,5.84,5.89,5.94,5.99,6.44,6.49,6.54,6.61,6.68,6.74,6.8},{0,10,20,30,40,50,60,62,64,66,68,70,72,74,76,78,80,85,90,95,100})</f>
        <v>60</v>
      </c>
      <c r="T152" s="27"/>
      <c r="U152" s="27"/>
      <c r="V152" s="27">
        <f t="shared" si="15"/>
        <v>60</v>
      </c>
      <c r="W152" s="27"/>
      <c r="X152" s="19">
        <f t="shared" si="16"/>
        <v>49</v>
      </c>
      <c r="Y152" s="13">
        <f t="shared" si="17"/>
        <v>70</v>
      </c>
      <c r="Z152" s="19"/>
    </row>
    <row r="153" ht="15.6" spans="1:26">
      <c r="A153" s="27">
        <v>316</v>
      </c>
      <c r="B153" s="27">
        <v>21</v>
      </c>
      <c r="C153" s="28" t="s">
        <v>809</v>
      </c>
      <c r="D153" s="28" t="s">
        <v>46</v>
      </c>
      <c r="E153" s="27">
        <v>27.5</v>
      </c>
      <c r="F153" s="29">
        <f>LOOKUP(E153,{0,1.5,2.3,3.1,3.9,4.7,5.5,6.8,8.1,9.4,10.7,12,13.3,14.6,15.9,17.2,18.5,20.2,21.9,23.6,25.3},{0,10,20,30,40,50,60,62,64,66,68,70,72,74,76,78,80,85,90,95,100})</f>
        <v>100</v>
      </c>
      <c r="G153" s="27">
        <v>155</v>
      </c>
      <c r="H153" s="29">
        <f>LOOKUP(G153,{0,125,130,135,140,145,150,153,156,159,162,165,168,171,174,177,180,187,194,200,206},{0,10,20,30,40,50,60,62,64,66,68,70,72,74,76,78,80,85,90,95,100})</f>
        <v>62</v>
      </c>
      <c r="I153" s="27">
        <v>30</v>
      </c>
      <c r="J153" s="29">
        <f>LOOKUP(I153,{0,15,17,19,21,23,25,27,29,31,33,35,37,39,41,43,45,48,51,53,55},{0,10,20,30,40,50,60,62,64,66,68,70,72,74,76,78,80,85,90,95,100})</f>
        <v>64</v>
      </c>
      <c r="K153" s="35"/>
      <c r="L153" s="35"/>
      <c r="M153" s="35">
        <f t="shared" si="12"/>
        <v>64</v>
      </c>
      <c r="N153" s="35">
        <v>9.9</v>
      </c>
      <c r="O153" s="36">
        <f t="shared" si="13"/>
        <v>8.1</v>
      </c>
      <c r="P153" s="29">
        <f>LOOKUP(O153,{0,6.6,6.8,7,7.2,7.4,7.6,7.8,8,8.2,8.4,8.6,8.8,9,9.2,9.4,9.6,9.9,10.2,10.3,10.4},{0,10,20,30,40,50,60,62,64,66,68,70,72,74,76,78,80,85,90,95,100})</f>
        <v>64</v>
      </c>
      <c r="Q153" s="5">
        <v>4.14</v>
      </c>
      <c r="R153" s="36">
        <f t="shared" si="14"/>
        <v>5.86</v>
      </c>
      <c r="S153" s="29">
        <f>LOOKUP(R153,{0,4.74,4.84,4.94,5.44,5.54,5.64,5.69,5.74,5.79,5.84,5.89,5.94,5.99,6.44,6.49,6.54,6.61,6.68,6.74,6.8},{0,10,20,30,40,50,60,62,64,66,68,70,72,74,76,78,80,85,90,95,100})</f>
        <v>68</v>
      </c>
      <c r="T153" s="27"/>
      <c r="U153" s="27"/>
      <c r="V153" s="27">
        <f t="shared" si="15"/>
        <v>68</v>
      </c>
      <c r="W153" s="27"/>
      <c r="X153" s="19">
        <f t="shared" si="16"/>
        <v>49</v>
      </c>
      <c r="Y153" s="13">
        <f t="shared" si="17"/>
        <v>70</v>
      </c>
      <c r="Z153" s="20"/>
    </row>
    <row r="154" ht="15.6" spans="1:26">
      <c r="A154" s="27">
        <v>303</v>
      </c>
      <c r="B154" s="27">
        <v>39</v>
      </c>
      <c r="C154" s="27" t="s">
        <v>142</v>
      </c>
      <c r="D154" s="27" t="s">
        <v>46</v>
      </c>
      <c r="E154" s="27">
        <v>17.5</v>
      </c>
      <c r="F154" s="29">
        <f>LOOKUP(E154,{0,1.5,2.3,3.1,3.9,4.7,5.5,6.8,8.1,9.4,10.7,12,13.3,14.6,15.9,17.2,18.5,20.2,21.9,23.6,25.3},{0,10,20,30,40,50,60,62,64,66,68,70,72,74,76,78,80,85,90,95,100})</f>
        <v>78</v>
      </c>
      <c r="G154" s="27">
        <v>168</v>
      </c>
      <c r="H154" s="29">
        <f>LOOKUP(G154,{0,125,130,135,140,145,150,153,156,159,162,165,168,171,174,177,180,187,194,200,206},{0,10,20,30,40,50,60,62,64,66,68,70,72,74,76,78,80,85,90,95,100})</f>
        <v>72</v>
      </c>
      <c r="I154" s="27">
        <v>50</v>
      </c>
      <c r="J154" s="29">
        <f>LOOKUP(I154,{0,15,17,19,21,23,25,27,29,31,33,35,37,39,41,43,45,48,51,53,55},{0,10,20,30,40,50,60,62,64,66,68,70,72,74,76,78,80,85,90,95,100})</f>
        <v>85</v>
      </c>
      <c r="K154" s="35"/>
      <c r="L154" s="35"/>
      <c r="M154" s="35">
        <f t="shared" si="12"/>
        <v>85</v>
      </c>
      <c r="N154" s="35">
        <v>8.8</v>
      </c>
      <c r="O154" s="36">
        <f t="shared" si="13"/>
        <v>9.2</v>
      </c>
      <c r="P154" s="29">
        <f>LOOKUP(O154,{0,6.6,6.8,7,7.2,7.4,7.6,7.8,8,8.2,8.4,8.6,8.8,9,9.2,9.4,9.6,9.9,10.2,10.3,10.4},{0,10,20,30,40,50,60,62,64,66,68,70,72,74,76,78,80,85,90,95,100})</f>
        <v>76</v>
      </c>
      <c r="Q154" s="5">
        <v>4.44</v>
      </c>
      <c r="R154" s="36">
        <f t="shared" si="14"/>
        <v>5.56</v>
      </c>
      <c r="S154" s="29">
        <f>LOOKUP(R154,{0,4.74,4.84,4.94,5.44,5.54,5.64,5.69,5.74,5.79,5.84,5.89,5.94,5.99,6.44,6.49,6.54,6.61,6.68,6.74,6.8},{0,10,20,30,40,50,60,62,64,66,68,70,72,74,76,78,80,85,90,95,100})</f>
        <v>50</v>
      </c>
      <c r="T154" s="27"/>
      <c r="U154" s="27"/>
      <c r="V154" s="27">
        <f t="shared" si="15"/>
        <v>50</v>
      </c>
      <c r="W154" s="27"/>
      <c r="X154" s="19">
        <f t="shared" si="16"/>
        <v>48.7</v>
      </c>
      <c r="Y154" s="13">
        <f t="shared" si="17"/>
        <v>69.5714285714286</v>
      </c>
      <c r="Z154" s="19"/>
    </row>
    <row r="155" ht="15.6" spans="1:26">
      <c r="A155" s="27">
        <v>306</v>
      </c>
      <c r="B155" s="27">
        <v>37</v>
      </c>
      <c r="C155" s="28" t="s">
        <v>281</v>
      </c>
      <c r="D155" s="28" t="s">
        <v>46</v>
      </c>
      <c r="E155" s="27">
        <v>7</v>
      </c>
      <c r="F155" s="29">
        <f>LOOKUP(E155,{0,1.5,2.3,3.1,3.9,4.7,5.5,6.8,8.1,9.4,10.7,12,13.3,14.6,15.9,17.2,18.5,20.2,21.9,23.6,25.3},{0,10,20,30,40,50,60,62,64,66,68,70,72,74,76,78,80,85,90,95,100})</f>
        <v>62</v>
      </c>
      <c r="G155" s="27">
        <v>174</v>
      </c>
      <c r="H155" s="29">
        <f>LOOKUP(G155,{0,125,130,135,140,145,150,153,156,159,162,165,168,171,174,177,180,187,194,200,206},{0,10,20,30,40,50,60,62,64,66,68,70,72,74,76,78,80,85,90,95,100})</f>
        <v>76</v>
      </c>
      <c r="I155" s="27">
        <v>41</v>
      </c>
      <c r="J155" s="29">
        <f>LOOKUP(I155,{0,15,17,19,21,23,25,27,29,31,33,35,37,39,41,43,45,48,51,53,55},{0,10,20,30,40,50,60,62,64,66,68,70,72,74,76,78,80,85,90,95,100})</f>
        <v>76</v>
      </c>
      <c r="K155" s="35"/>
      <c r="L155" s="35"/>
      <c r="M155" s="35">
        <f t="shared" si="12"/>
        <v>76</v>
      </c>
      <c r="N155" s="35">
        <v>9.7</v>
      </c>
      <c r="O155" s="36">
        <f t="shared" si="13"/>
        <v>8.3</v>
      </c>
      <c r="P155" s="29">
        <f>LOOKUP(O155,{0,6.6,6.8,7,7.2,7.4,7.6,7.8,8,8.2,8.4,8.6,8.8,9,9.2,9.4,9.6,9.9,10.2,10.3,10.4},{0,10,20,30,40,50,60,62,64,66,68,70,72,74,76,78,80,85,90,95,100})</f>
        <v>66</v>
      </c>
      <c r="Q155" s="5">
        <v>4.11</v>
      </c>
      <c r="R155" s="36">
        <f t="shared" si="14"/>
        <v>5.89</v>
      </c>
      <c r="S155" s="29">
        <f>LOOKUP(R155,{0,4.74,4.84,4.94,5.44,5.54,5.64,5.69,5.74,5.79,5.84,5.89,5.94,5.99,6.44,6.49,6.54,6.61,6.68,6.74,6.8},{0,10,20,30,40,50,60,62,64,66,68,70,72,74,76,78,80,85,90,95,100})</f>
        <v>70</v>
      </c>
      <c r="T155" s="27"/>
      <c r="U155" s="27"/>
      <c r="V155" s="27">
        <f t="shared" si="15"/>
        <v>70</v>
      </c>
      <c r="W155" s="27"/>
      <c r="X155" s="19">
        <f t="shared" si="16"/>
        <v>48.6</v>
      </c>
      <c r="Y155" s="13">
        <f t="shared" si="17"/>
        <v>69.4285714285714</v>
      </c>
      <c r="Z155" s="19"/>
    </row>
    <row r="156" ht="15.6" spans="1:26">
      <c r="A156" s="27">
        <v>313</v>
      </c>
      <c r="B156" s="27">
        <v>49</v>
      </c>
      <c r="C156" s="28" t="s">
        <v>679</v>
      </c>
      <c r="D156" s="28" t="s">
        <v>46</v>
      </c>
      <c r="E156" s="27">
        <v>9.7</v>
      </c>
      <c r="F156" s="29">
        <f>LOOKUP(E156,{0,1.5,2.3,3.1,3.9,4.7,5.5,6.8,8.1,9.4,10.7,12,13.3,14.6,15.9,17.2,18.5,20.2,21.9,23.6,25.3},{0,10,20,30,40,50,60,62,64,66,68,70,72,74,76,78,80,85,90,95,100})</f>
        <v>66</v>
      </c>
      <c r="G156" s="27">
        <v>154</v>
      </c>
      <c r="H156" s="29">
        <f>LOOKUP(G156,{0,125,130,135,140,145,150,153,156,159,162,165,168,171,174,177,180,187,194,200,206},{0,10,20,30,40,50,60,62,64,66,68,70,72,74,76,78,80,85,90,95,100})</f>
        <v>62</v>
      </c>
      <c r="I156" s="27">
        <v>42</v>
      </c>
      <c r="J156" s="29">
        <f>LOOKUP(I156,{0,15,17,19,21,23,25,27,29,31,33,35,37,39,41,43,45,48,51,53,55},{0,10,20,30,40,50,60,62,64,66,68,70,72,74,76,78,80,85,90,95,100})</f>
        <v>76</v>
      </c>
      <c r="K156" s="35"/>
      <c r="L156" s="35"/>
      <c r="M156" s="35">
        <f t="shared" si="12"/>
        <v>76</v>
      </c>
      <c r="N156" s="35">
        <v>8.8</v>
      </c>
      <c r="O156" s="36">
        <f t="shared" si="13"/>
        <v>9.2</v>
      </c>
      <c r="P156" s="29">
        <f>LOOKUP(O156,{0,6.6,6.8,7,7.2,7.4,7.6,7.8,8,8.2,8.4,8.6,8.8,9,9.2,9.4,9.6,9.9,10.2,10.3,10.4},{0,10,20,30,40,50,60,62,64,66,68,70,72,74,76,78,80,85,90,95,100})</f>
        <v>76</v>
      </c>
      <c r="Q156" s="5">
        <v>4.26</v>
      </c>
      <c r="R156" s="36">
        <f t="shared" si="14"/>
        <v>5.74</v>
      </c>
      <c r="S156" s="29">
        <f>LOOKUP(R156,{0,4.74,4.84,4.94,5.44,5.54,5.64,5.69,5.74,5.79,5.84,5.89,5.94,5.99,6.44,6.49,6.54,6.61,6.68,6.74,6.8},{0,10,20,30,40,50,60,62,64,66,68,70,72,74,76,78,80,85,90,95,100})</f>
        <v>64</v>
      </c>
      <c r="T156" s="27"/>
      <c r="U156" s="27"/>
      <c r="V156" s="27">
        <f t="shared" si="15"/>
        <v>64</v>
      </c>
      <c r="W156" s="27"/>
      <c r="X156" s="19">
        <f t="shared" si="16"/>
        <v>48.4</v>
      </c>
      <c r="Y156" s="13">
        <f t="shared" si="17"/>
        <v>69.1428571428572</v>
      </c>
      <c r="Z156" s="19"/>
    </row>
    <row r="157" ht="15.6" spans="1:26">
      <c r="A157" s="27">
        <v>312</v>
      </c>
      <c r="B157" s="27">
        <v>38</v>
      </c>
      <c r="C157" s="28" t="s">
        <v>613</v>
      </c>
      <c r="D157" s="28" t="s">
        <v>46</v>
      </c>
      <c r="E157" s="27">
        <v>8.5</v>
      </c>
      <c r="F157" s="29">
        <f>LOOKUP(E157,{0,1.5,2.3,3.1,3.9,4.7,5.5,6.8,8.1,9.4,10.7,12,13.3,14.6,15.9,17.2,18.5,20.2,21.9,23.6,25.3},{0,10,20,30,40,50,60,62,64,66,68,70,72,74,76,78,80,85,90,95,100})</f>
        <v>64</v>
      </c>
      <c r="G157" s="27">
        <v>173</v>
      </c>
      <c r="H157" s="29">
        <f>LOOKUP(G157,{0,125,130,135,140,145,150,153,156,159,162,165,168,171,174,177,180,187,194,200,206},{0,10,20,30,40,50,60,62,64,66,68,70,72,74,76,78,80,85,90,95,100})</f>
        <v>74</v>
      </c>
      <c r="I157" s="27">
        <v>42</v>
      </c>
      <c r="J157" s="29">
        <f>LOOKUP(I157,{0,15,17,19,21,23,25,27,29,31,33,35,37,39,41,43,45,48,51,53,55},{0,10,20,30,40,50,60,62,64,66,68,70,72,74,76,78,80,85,90,95,100})</f>
        <v>76</v>
      </c>
      <c r="K157" s="35"/>
      <c r="L157" s="35"/>
      <c r="M157" s="35">
        <f t="shared" si="12"/>
        <v>76</v>
      </c>
      <c r="N157" s="35">
        <v>9.4</v>
      </c>
      <c r="O157" s="36">
        <f t="shared" si="13"/>
        <v>8.6</v>
      </c>
      <c r="P157" s="29">
        <f>LOOKUP(O157,{0,6.6,6.8,7,7.2,7.4,7.6,7.8,8,8.2,8.4,8.6,8.8,9,9.2,9.4,9.6,9.9,10.2,10.3,10.4},{0,10,20,30,40,50,60,62,64,66,68,70,72,74,76,78,80,85,90,95,100})</f>
        <v>70</v>
      </c>
      <c r="Q157" s="5">
        <v>4.23</v>
      </c>
      <c r="R157" s="36">
        <f t="shared" si="14"/>
        <v>5.77</v>
      </c>
      <c r="S157" s="29">
        <f>LOOKUP(R157,{0,4.74,4.84,4.94,5.44,5.54,5.64,5.69,5.74,5.79,5.84,5.89,5.94,5.99,6.44,6.49,6.54,6.61,6.68,6.74,6.8},{0,10,20,30,40,50,60,62,64,66,68,70,72,74,76,78,80,85,90,95,100})</f>
        <v>64</v>
      </c>
      <c r="T157" s="27"/>
      <c r="U157" s="27"/>
      <c r="V157" s="27">
        <f t="shared" si="15"/>
        <v>64</v>
      </c>
      <c r="W157" s="27"/>
      <c r="X157" s="19">
        <f t="shared" si="16"/>
        <v>48.2</v>
      </c>
      <c r="Y157" s="13">
        <f t="shared" si="17"/>
        <v>68.8571428571429</v>
      </c>
      <c r="Z157" s="19"/>
    </row>
    <row r="158" ht="15.6" spans="1:26">
      <c r="A158" s="27">
        <v>310</v>
      </c>
      <c r="B158" s="27">
        <v>46</v>
      </c>
      <c r="C158" s="28" t="s">
        <v>507</v>
      </c>
      <c r="D158" s="28" t="s">
        <v>46</v>
      </c>
      <c r="E158" s="27">
        <v>16</v>
      </c>
      <c r="F158" s="29">
        <f>LOOKUP(E158,{0,1.5,2.3,3.1,3.9,4.7,5.5,6.8,8.1,9.4,10.7,12,13.3,14.6,15.9,17.2,18.5,20.2,21.9,23.6,25.3},{0,10,20,30,40,50,60,62,64,66,68,70,72,74,76,78,80,85,90,95,100})</f>
        <v>76</v>
      </c>
      <c r="G158" s="27">
        <v>174</v>
      </c>
      <c r="H158" s="29">
        <f>LOOKUP(G158,{0,125,130,135,140,145,150,153,156,159,162,165,168,171,174,177,180,187,194,200,206},{0,10,20,30,40,50,60,62,64,66,68,70,72,74,76,78,80,85,90,95,100})</f>
        <v>76</v>
      </c>
      <c r="I158" s="27">
        <v>50</v>
      </c>
      <c r="J158" s="29">
        <f>LOOKUP(I158,{0,15,17,19,21,23,25,27,29,31,33,35,37,39,41,43,45,48,51,53,55},{0,10,20,30,40,50,60,62,64,66,68,70,72,74,76,78,80,85,90,95,100})</f>
        <v>85</v>
      </c>
      <c r="K158" s="35"/>
      <c r="L158" s="35"/>
      <c r="M158" s="35">
        <f t="shared" si="12"/>
        <v>85</v>
      </c>
      <c r="N158" s="35">
        <v>9.1</v>
      </c>
      <c r="O158" s="36">
        <f t="shared" si="13"/>
        <v>8.9</v>
      </c>
      <c r="P158" s="29">
        <f>LOOKUP(O158,{0,6.6,6.8,7,7.2,7.4,7.6,7.8,8,8.2,8.4,8.6,8.8,9,9.2,9.4,9.6,9.9,10.2,10.3,10.4},{0,10,20,30,40,50,60,62,64,66,68,70,72,74,76,78,80,85,90,95,100})</f>
        <v>72</v>
      </c>
      <c r="Q158" s="5">
        <v>4.42</v>
      </c>
      <c r="R158" s="36">
        <f t="shared" si="14"/>
        <v>5.58</v>
      </c>
      <c r="S158" s="29">
        <f>LOOKUP(R158,{0,4.74,4.84,4.94,5.44,5.54,5.64,5.69,5.74,5.79,5.84,5.89,5.94,5.99,6.44,6.49,6.54,6.61,6.68,6.74,6.8},{0,10,20,30,40,50,60,62,64,66,68,70,72,74,76,78,80,85,90,95,100})</f>
        <v>50</v>
      </c>
      <c r="T158" s="27"/>
      <c r="U158" s="27"/>
      <c r="V158" s="27">
        <f t="shared" si="15"/>
        <v>50</v>
      </c>
      <c r="W158" s="27"/>
      <c r="X158" s="19">
        <f t="shared" si="16"/>
        <v>48.1</v>
      </c>
      <c r="Y158" s="13">
        <f t="shared" si="17"/>
        <v>68.7142857142857</v>
      </c>
      <c r="Z158" s="19"/>
    </row>
    <row r="159" ht="15.6" spans="1:26">
      <c r="A159" s="27">
        <v>314</v>
      </c>
      <c r="B159" s="27">
        <v>20</v>
      </c>
      <c r="C159" s="28" t="s">
        <v>702</v>
      </c>
      <c r="D159" s="28" t="s">
        <v>46</v>
      </c>
      <c r="E159" s="27">
        <v>8.5</v>
      </c>
      <c r="F159" s="29">
        <f>LOOKUP(E159,{0,1.5,2.3,3.1,3.9,4.7,5.5,6.8,8.1,9.4,10.7,12,13.3,14.6,15.9,17.2,18.5,20.2,21.9,23.6,25.3},{0,10,20,30,40,50,60,62,64,66,68,70,72,74,76,78,80,85,90,95,100})</f>
        <v>64</v>
      </c>
      <c r="G159" s="27">
        <v>153</v>
      </c>
      <c r="H159" s="29">
        <f>LOOKUP(G159,{0,125,130,135,140,145,150,153,156,159,162,165,168,171,174,177,180,187,194,200,206},{0,10,20,30,40,50,60,62,64,66,68,70,72,74,76,78,80,85,90,95,100})</f>
        <v>62</v>
      </c>
      <c r="I159" s="27">
        <v>52</v>
      </c>
      <c r="J159" s="29">
        <f>LOOKUP(I159,{0,15,17,19,21,23,25,27,29,31,33,35,37,39,41,43,45,48,51,53,55},{0,10,20,30,40,50,60,62,64,66,68,70,72,74,76,78,80,85,90,95,100})</f>
        <v>90</v>
      </c>
      <c r="K159" s="35"/>
      <c r="L159" s="35"/>
      <c r="M159" s="35">
        <f t="shared" si="12"/>
        <v>90</v>
      </c>
      <c r="N159" s="35">
        <v>9.2</v>
      </c>
      <c r="O159" s="36">
        <f t="shared" si="13"/>
        <v>8.8</v>
      </c>
      <c r="P159" s="29">
        <f>LOOKUP(O159,{0,6.6,6.8,7,7.2,7.4,7.6,7.8,8,8.2,8.4,8.6,8.8,9,9.2,9.4,9.6,9.9,10.2,10.3,10.4},{0,10,20,30,40,50,60,62,64,66,68,70,72,74,76,78,80,85,90,95,100})</f>
        <v>72</v>
      </c>
      <c r="Q159" s="5">
        <v>4.34</v>
      </c>
      <c r="R159" s="36">
        <f t="shared" si="14"/>
        <v>5.66</v>
      </c>
      <c r="S159" s="29">
        <f>LOOKUP(R159,{0,4.74,4.84,4.94,5.44,5.54,5.64,5.69,5.74,5.79,5.84,5.89,5.94,5.99,6.44,6.49,6.54,6.61,6.68,6.74,6.8},{0,10,20,30,40,50,60,62,64,66,68,70,72,74,76,78,80,85,90,95,100})</f>
        <v>60</v>
      </c>
      <c r="T159" s="27"/>
      <c r="U159" s="27"/>
      <c r="V159" s="27">
        <f t="shared" si="15"/>
        <v>60</v>
      </c>
      <c r="W159" s="27"/>
      <c r="X159" s="19">
        <f t="shared" si="16"/>
        <v>48</v>
      </c>
      <c r="Y159" s="13">
        <f t="shared" si="17"/>
        <v>68.5714285714286</v>
      </c>
      <c r="Z159" s="19"/>
    </row>
    <row r="160" ht="15.6" spans="1:26">
      <c r="A160" s="27">
        <v>315</v>
      </c>
      <c r="B160" s="27">
        <v>27</v>
      </c>
      <c r="C160" s="28" t="s">
        <v>761</v>
      </c>
      <c r="D160" s="28" t="s">
        <v>46</v>
      </c>
      <c r="E160" s="27">
        <v>15.5</v>
      </c>
      <c r="F160" s="29">
        <f>LOOKUP(E160,{0,1.5,2.3,3.1,3.9,4.7,5.5,6.8,8.1,9.4,10.7,12,13.3,14.6,15.9,17.2,18.5,20.2,21.9,23.6,25.3},{0,10,20,30,40,50,60,62,64,66,68,70,72,74,76,78,80,85,90,95,100})</f>
        <v>74</v>
      </c>
      <c r="G160" s="27">
        <v>160</v>
      </c>
      <c r="H160" s="29">
        <f>LOOKUP(G160,{0,125,130,135,140,145,150,153,156,159,162,165,168,171,174,177,180,187,194,200,206},{0,10,20,30,40,50,60,62,64,66,68,70,72,74,76,78,80,85,90,95,100})</f>
        <v>66</v>
      </c>
      <c r="I160" s="27">
        <v>45</v>
      </c>
      <c r="J160" s="29">
        <f>LOOKUP(I160,{0,15,17,19,21,23,25,27,29,31,33,35,37,39,41,43,45,48,51,53,55},{0,10,20,30,40,50,60,62,64,66,68,70,72,74,76,78,80,85,90,95,100})</f>
        <v>80</v>
      </c>
      <c r="K160" s="35"/>
      <c r="L160" s="39"/>
      <c r="M160" s="35">
        <f t="shared" si="12"/>
        <v>80</v>
      </c>
      <c r="N160" s="35">
        <v>9.5</v>
      </c>
      <c r="O160" s="36">
        <f t="shared" si="13"/>
        <v>8.5</v>
      </c>
      <c r="P160" s="29">
        <f>LOOKUP(O160,{0,6.6,6.8,7,7.2,7.4,7.6,7.8,8,8.2,8.4,8.6,8.8,9,9.2,9.4,9.6,9.9,10.2,10.3,10.4},{0,10,20,30,40,50,60,62,64,66,68,70,72,74,76,78,80,85,90,95,100})</f>
        <v>68</v>
      </c>
      <c r="Q160" s="5">
        <v>4.3</v>
      </c>
      <c r="R160" s="36">
        <f t="shared" si="14"/>
        <v>5.7</v>
      </c>
      <c r="S160" s="29">
        <f>LOOKUP(R160,{0,4.74,4.84,4.94,5.44,5.54,5.64,5.69,5.74,5.79,5.84,5.89,5.94,5.99,6.44,6.49,6.54,6.61,6.68,6.74,6.8},{0,10,20,30,40,50,60,62,64,66,68,70,72,74,76,78,80,85,90,95,100})</f>
        <v>62</v>
      </c>
      <c r="T160" s="27"/>
      <c r="U160" s="27"/>
      <c r="V160" s="27">
        <f t="shared" si="15"/>
        <v>62</v>
      </c>
      <c r="W160" s="27"/>
      <c r="X160" s="19">
        <f t="shared" si="16"/>
        <v>48</v>
      </c>
      <c r="Y160" s="13">
        <f t="shared" si="17"/>
        <v>68.5714285714286</v>
      </c>
      <c r="Z160" s="19"/>
    </row>
    <row r="161" ht="15.6" spans="1:26">
      <c r="A161" s="27">
        <v>308</v>
      </c>
      <c r="B161" s="27">
        <v>47</v>
      </c>
      <c r="C161" s="28" t="s">
        <v>402</v>
      </c>
      <c r="D161" s="28" t="s">
        <v>46</v>
      </c>
      <c r="E161" s="27">
        <v>13</v>
      </c>
      <c r="F161" s="29">
        <f>LOOKUP(E161,{0,1.5,2.3,3.1,3.9,4.7,5.5,6.8,8.1,9.4,10.7,12,13.3,14.6,15.9,17.2,18.5,20.2,21.9,23.6,25.3},{0,10,20,30,40,50,60,62,64,66,68,70,72,74,76,78,80,85,90,95,100})</f>
        <v>70</v>
      </c>
      <c r="G161" s="27">
        <v>220</v>
      </c>
      <c r="H161" s="29">
        <f>LOOKUP(G161,{0,125,130,135,140,145,150,153,156,159,162,165,168,171,174,177,180,187,194,200,206},{0,10,20,30,40,50,60,62,64,66,68,70,72,74,76,78,80,85,90,95,100})</f>
        <v>100</v>
      </c>
      <c r="I161" s="27">
        <v>43</v>
      </c>
      <c r="J161" s="29">
        <f>LOOKUP(I161,{0,15,17,19,21,23,25,27,29,31,33,35,37,39,41,43,45,48,51,53,55},{0,10,20,30,40,50,60,62,64,66,68,70,72,74,76,78,80,85,90,95,100})</f>
        <v>78</v>
      </c>
      <c r="K161" s="35"/>
      <c r="L161" s="35"/>
      <c r="M161" s="35">
        <f t="shared" si="12"/>
        <v>78</v>
      </c>
      <c r="N161" s="35">
        <v>8</v>
      </c>
      <c r="O161" s="36">
        <f t="shared" si="13"/>
        <v>10</v>
      </c>
      <c r="P161" s="29">
        <f>LOOKUP(O161,{0,6.6,6.8,7,7.2,7.4,7.6,7.8,8,8.2,8.4,8.6,8.8,9,9.2,9.4,9.6,9.9,10.2,10.3,10.4},{0,10,20,30,40,50,60,62,64,66,68,70,72,74,76,78,80,85,90,95,100})</f>
        <v>85</v>
      </c>
      <c r="Q161" s="5">
        <v>4.57</v>
      </c>
      <c r="R161" s="36">
        <f t="shared" si="14"/>
        <v>5.43</v>
      </c>
      <c r="S161" s="29">
        <f>LOOKUP(R161,{0,4.74,4.84,4.94,5.44,5.54,5.64,5.69,5.74,5.79,5.84,5.89,5.94,5.99,6.44,6.49,6.54,6.61,6.68,6.74,6.8},{0,10,20,30,40,50,60,62,64,66,68,70,72,74,76,78,80,85,90,95,100})</f>
        <v>30</v>
      </c>
      <c r="T161" s="27"/>
      <c r="U161" s="27"/>
      <c r="V161" s="27">
        <f t="shared" si="15"/>
        <v>30</v>
      </c>
      <c r="W161" s="27"/>
      <c r="X161" s="19">
        <f t="shared" si="16"/>
        <v>47.8</v>
      </c>
      <c r="Y161" s="13">
        <f t="shared" si="17"/>
        <v>68.2857142857143</v>
      </c>
      <c r="Z161" s="19"/>
    </row>
    <row r="162" ht="15.6" spans="1:26">
      <c r="A162" s="27">
        <v>309</v>
      </c>
      <c r="B162" s="27">
        <v>45</v>
      </c>
      <c r="C162" s="28" t="s">
        <v>453</v>
      </c>
      <c r="D162" s="28" t="s">
        <v>46</v>
      </c>
      <c r="E162" s="27">
        <v>1</v>
      </c>
      <c r="F162" s="29">
        <f>LOOKUP(E162,{0,1.5,2.3,3.1,3.9,4.7,5.5,6.8,8.1,9.4,10.7,12,13.3,14.6,15.9,17.2,18.5,20.2,21.9,23.6,25.3},{0,10,20,30,40,50,60,62,64,66,68,70,72,74,76,78,80,85,90,95,100})</f>
        <v>0</v>
      </c>
      <c r="G162" s="27">
        <v>150</v>
      </c>
      <c r="H162" s="29">
        <f>LOOKUP(G162,{0,125,130,135,140,145,150,153,156,159,162,165,168,171,174,177,180,187,194,200,206},{0,10,20,30,40,50,60,62,64,66,68,70,72,74,76,78,80,85,90,95,100})</f>
        <v>60</v>
      </c>
      <c r="I162" s="27">
        <v>31</v>
      </c>
      <c r="J162" s="29">
        <f>LOOKUP(I162,{0,15,17,19,21,23,25,27,29,31,33,35,37,39,41,43,45,48,51,53,55},{0,10,20,30,40,50,60,62,64,66,68,70,72,74,76,78,80,85,90,95,100})</f>
        <v>66</v>
      </c>
      <c r="K162" s="35"/>
      <c r="L162" s="35"/>
      <c r="M162" s="35">
        <f t="shared" si="12"/>
        <v>66</v>
      </c>
      <c r="N162" s="35">
        <v>9.1</v>
      </c>
      <c r="O162" s="36">
        <f t="shared" si="13"/>
        <v>8.9</v>
      </c>
      <c r="P162" s="29">
        <f>LOOKUP(O162,{0,6.6,6.8,7,7.2,7.4,7.6,7.8,8,8.2,8.4,8.6,8.8,9,9.2,9.4,9.6,9.9,10.2,10.3,10.4},{0,10,20,30,40,50,60,62,64,66,68,70,72,74,76,78,80,85,90,95,100})</f>
        <v>72</v>
      </c>
      <c r="Q162" s="5">
        <v>3.15</v>
      </c>
      <c r="R162" s="36">
        <f t="shared" si="14"/>
        <v>6.85</v>
      </c>
      <c r="S162" s="29">
        <f>LOOKUP(R162,{0,4.74,4.84,4.94,5.44,5.54,5.64,5.69,5.74,5.79,5.84,5.89,5.94,5.99,6.44,6.49,6.54,6.61,6.68,6.74,6.8},{0,10,20,30,40,50,60,62,64,66,68,70,72,74,76,78,80,85,90,95,100})</f>
        <v>100</v>
      </c>
      <c r="T162" s="36">
        <f>3.2-Q162</f>
        <v>0.0500000000000003</v>
      </c>
      <c r="U162" s="29">
        <f>LOOKUP(T162,{0,0.05,0.1,0.15,0.2,0.25,0.3,0.35,0.4,0.45,0.5},{0,1,2,3,4,5,6,7,8,9,10})</f>
        <v>1</v>
      </c>
      <c r="V162" s="27">
        <f t="shared" si="15"/>
        <v>101</v>
      </c>
      <c r="W162" s="27"/>
      <c r="X162" s="19">
        <f t="shared" si="16"/>
        <v>47</v>
      </c>
      <c r="Y162" s="13">
        <f t="shared" si="17"/>
        <v>68.1428571428572</v>
      </c>
      <c r="Z162" s="19"/>
    </row>
    <row r="163" ht="15.6" spans="1:26">
      <c r="A163" s="27">
        <v>308</v>
      </c>
      <c r="B163" s="27">
        <v>42</v>
      </c>
      <c r="C163" s="28" t="s">
        <v>397</v>
      </c>
      <c r="D163" s="28" t="s">
        <v>46</v>
      </c>
      <c r="E163" s="27">
        <v>22.8</v>
      </c>
      <c r="F163" s="29">
        <f>LOOKUP(E163,{0,1.5,2.3,3.1,3.9,4.7,5.5,6.8,8.1,9.4,10.7,12,13.3,14.6,15.9,17.2,18.5,20.2,21.9,23.6,25.3},{0,10,20,30,40,50,60,62,64,66,68,70,72,74,76,78,80,85,90,95,100})</f>
        <v>90</v>
      </c>
      <c r="G163" s="27">
        <v>164</v>
      </c>
      <c r="H163" s="29">
        <f>LOOKUP(G163,{0,125,130,135,140,145,150,153,156,159,162,165,168,171,174,177,180,187,194,200,206},{0,10,20,30,40,50,60,62,64,66,68,70,72,74,76,78,80,85,90,95,100})</f>
        <v>68</v>
      </c>
      <c r="I163" s="27">
        <v>52</v>
      </c>
      <c r="J163" s="29">
        <f>LOOKUP(I163,{0,15,17,19,21,23,25,27,29,31,33,35,37,39,41,43,45,48,51,53,55},{0,10,20,30,40,50,60,62,64,66,68,70,72,74,76,78,80,85,90,95,100})</f>
        <v>90</v>
      </c>
      <c r="K163" s="35"/>
      <c r="L163" s="35"/>
      <c r="M163" s="35">
        <f t="shared" si="12"/>
        <v>90</v>
      </c>
      <c r="N163" s="35">
        <v>8.9</v>
      </c>
      <c r="O163" s="36">
        <f t="shared" si="13"/>
        <v>9.1</v>
      </c>
      <c r="P163" s="29">
        <f>LOOKUP(O163,{0,6.6,6.8,7,7.2,7.4,7.6,7.8,8,8.2,8.4,8.6,8.8,9,9.2,9.4,9.6,9.9,10.2,10.3,10.4},{0,10,20,30,40,50,60,62,64,66,68,70,72,74,76,78,80,85,90,95,100})</f>
        <v>74</v>
      </c>
      <c r="Q163" s="5">
        <v>4.54</v>
      </c>
      <c r="R163" s="36">
        <f t="shared" si="14"/>
        <v>5.46</v>
      </c>
      <c r="S163" s="29">
        <f>LOOKUP(R163,{0,4.74,4.84,4.94,5.44,5.54,5.64,5.69,5.74,5.79,5.84,5.89,5.94,5.99,6.44,6.49,6.54,6.61,6.68,6.74,6.8},{0,10,20,30,40,50,60,62,64,66,68,70,72,74,76,78,80,85,90,95,100})</f>
        <v>40</v>
      </c>
      <c r="T163" s="27"/>
      <c r="U163" s="27"/>
      <c r="V163" s="27">
        <f t="shared" si="15"/>
        <v>40</v>
      </c>
      <c r="W163" s="27"/>
      <c r="X163" s="19">
        <f t="shared" si="16"/>
        <v>47.6</v>
      </c>
      <c r="Y163" s="13">
        <f t="shared" si="17"/>
        <v>68</v>
      </c>
      <c r="Z163" s="19"/>
    </row>
    <row r="164" ht="15.6" spans="1:26">
      <c r="A164" s="27">
        <v>313</v>
      </c>
      <c r="B164" s="27">
        <v>35</v>
      </c>
      <c r="C164" s="28" t="s">
        <v>664</v>
      </c>
      <c r="D164" s="28" t="s">
        <v>46</v>
      </c>
      <c r="E164" s="27">
        <v>13.3</v>
      </c>
      <c r="F164" s="29">
        <f>LOOKUP(E164,{0,1.5,2.3,3.1,3.9,4.7,5.5,6.8,8.1,9.4,10.7,12,13.3,14.6,15.9,17.2,18.5,20.2,21.9,23.6,25.3},{0,10,20,30,40,50,60,62,64,66,68,70,72,74,76,78,80,85,90,95,100})</f>
        <v>72</v>
      </c>
      <c r="G164" s="27">
        <v>160</v>
      </c>
      <c r="H164" s="29">
        <f>LOOKUP(G164,{0,125,130,135,140,145,150,153,156,159,162,165,168,171,174,177,180,187,194,200,206},{0,10,20,30,40,50,60,62,64,66,68,70,72,74,76,78,80,85,90,95,100})</f>
        <v>66</v>
      </c>
      <c r="I164" s="27">
        <v>44</v>
      </c>
      <c r="J164" s="29">
        <f>LOOKUP(I164,{0,15,17,19,21,23,25,27,29,31,33,35,37,39,41,43,45,48,51,53,55},{0,10,20,30,40,50,60,62,64,66,68,70,72,74,76,78,80,85,90,95,100})</f>
        <v>78</v>
      </c>
      <c r="K164" s="35"/>
      <c r="L164" s="35"/>
      <c r="M164" s="35">
        <f t="shared" si="12"/>
        <v>78</v>
      </c>
      <c r="N164" s="35">
        <v>9.6</v>
      </c>
      <c r="O164" s="36">
        <f t="shared" si="13"/>
        <v>8.4</v>
      </c>
      <c r="P164" s="29">
        <f>LOOKUP(O164,{0,6.6,6.8,7,7.2,7.4,7.6,7.8,8,8.2,8.4,8.6,8.8,9,9.2,9.4,9.6,9.9,10.2,10.3,10.4},{0,10,20,30,40,50,60,62,64,66,68,70,72,74,76,78,80,85,90,95,100})</f>
        <v>68</v>
      </c>
      <c r="Q164" s="5">
        <v>4.27</v>
      </c>
      <c r="R164" s="36">
        <f t="shared" si="14"/>
        <v>5.73</v>
      </c>
      <c r="S164" s="29">
        <f>LOOKUP(R164,{0,4.74,4.84,4.94,5.44,5.54,5.64,5.69,5.74,5.79,5.84,5.89,5.94,5.99,6.44,6.49,6.54,6.61,6.68,6.74,6.8},{0,10,20,30,40,50,60,62,64,66,68,70,72,74,76,78,80,85,90,95,100})</f>
        <v>62</v>
      </c>
      <c r="T164" s="27"/>
      <c r="U164" s="27"/>
      <c r="V164" s="27">
        <f t="shared" si="15"/>
        <v>62</v>
      </c>
      <c r="W164" s="27"/>
      <c r="X164" s="19">
        <f t="shared" si="16"/>
        <v>47.6</v>
      </c>
      <c r="Y164" s="13">
        <f t="shared" si="17"/>
        <v>68</v>
      </c>
      <c r="Z164" s="19"/>
    </row>
    <row r="165" ht="15.6" spans="1:26">
      <c r="A165" s="27">
        <v>316</v>
      </c>
      <c r="B165" s="27">
        <v>35</v>
      </c>
      <c r="C165" s="28" t="s">
        <v>825</v>
      </c>
      <c r="D165" s="28" t="s">
        <v>46</v>
      </c>
      <c r="E165" s="27">
        <v>9.5</v>
      </c>
      <c r="F165" s="29">
        <f>LOOKUP(E165,{0,1.5,2.3,3.1,3.9,4.7,5.5,6.8,8.1,9.4,10.7,12,13.3,14.6,15.9,17.2,18.5,20.2,21.9,23.6,25.3},{0,10,20,30,40,50,60,62,64,66,68,70,72,74,76,78,80,85,90,95,100})</f>
        <v>66</v>
      </c>
      <c r="G165" s="27">
        <v>169</v>
      </c>
      <c r="H165" s="29">
        <f>LOOKUP(G165,{0,125,130,135,140,145,150,153,156,159,162,165,168,171,174,177,180,187,194,200,206},{0,10,20,30,40,50,60,62,64,66,68,70,72,74,76,78,80,85,90,95,100})</f>
        <v>72</v>
      </c>
      <c r="I165" s="27">
        <v>32</v>
      </c>
      <c r="J165" s="29">
        <f>LOOKUP(I165,{0,15,17,19,21,23,25,27,29,31,33,35,37,39,41,43,45,48,51,53,55},{0,10,20,30,40,50,60,62,64,66,68,70,72,74,76,78,80,85,90,95,100})</f>
        <v>66</v>
      </c>
      <c r="K165" s="35"/>
      <c r="L165" s="35"/>
      <c r="M165" s="35">
        <f t="shared" si="12"/>
        <v>66</v>
      </c>
      <c r="N165" s="35">
        <v>9.1</v>
      </c>
      <c r="O165" s="36">
        <f t="shared" si="13"/>
        <v>8.9</v>
      </c>
      <c r="P165" s="29">
        <f>LOOKUP(O165,{0,6.6,6.8,7,7.2,7.4,7.6,7.8,8,8.2,8.4,8.6,8.8,9,9.2,9.4,9.6,9.9,10.2,10.3,10.4},{0,10,20,30,40,50,60,62,64,66,68,70,72,74,76,78,80,85,90,95,100})</f>
        <v>72</v>
      </c>
      <c r="Q165" s="5">
        <v>4.25</v>
      </c>
      <c r="R165" s="36">
        <f t="shared" si="14"/>
        <v>5.75</v>
      </c>
      <c r="S165" s="29">
        <f>LOOKUP(R165,{0,4.74,4.84,4.94,5.44,5.54,5.64,5.69,5.74,5.79,5.84,5.89,5.94,5.99,6.44,6.49,6.54,6.61,6.68,6.74,6.8},{0,10,20,30,40,50,60,62,64,66,68,70,72,74,76,78,80,85,90,95,100})</f>
        <v>64</v>
      </c>
      <c r="T165" s="27"/>
      <c r="U165" s="27"/>
      <c r="V165" s="27">
        <f t="shared" si="15"/>
        <v>64</v>
      </c>
      <c r="W165" s="27"/>
      <c r="X165" s="19">
        <f t="shared" si="16"/>
        <v>47.6</v>
      </c>
      <c r="Y165" s="13">
        <f t="shared" si="17"/>
        <v>68</v>
      </c>
      <c r="Z165" s="19"/>
    </row>
    <row r="166" ht="15.6" spans="1:26">
      <c r="A166" s="27">
        <v>314</v>
      </c>
      <c r="B166" s="27">
        <v>47</v>
      </c>
      <c r="C166" s="28" t="s">
        <v>731</v>
      </c>
      <c r="D166" s="28" t="s">
        <v>46</v>
      </c>
      <c r="E166" s="27">
        <v>19</v>
      </c>
      <c r="F166" s="29">
        <f>LOOKUP(E166,{0,1.5,2.3,3.1,3.9,4.7,5.5,6.8,8.1,9.4,10.7,12,13.3,14.6,15.9,17.2,18.5,20.2,21.9,23.6,25.3},{0,10,20,30,40,50,60,62,64,66,68,70,72,74,76,78,80,85,90,95,100})</f>
        <v>80</v>
      </c>
      <c r="G166" s="27">
        <v>166</v>
      </c>
      <c r="H166" s="29">
        <f>LOOKUP(G166,{0,125,130,135,140,145,150,153,156,159,162,165,168,171,174,177,180,187,194,200,206},{0,10,20,30,40,50,60,62,64,66,68,70,72,74,76,78,80,85,90,95,100})</f>
        <v>70</v>
      </c>
      <c r="I166" s="27">
        <v>50</v>
      </c>
      <c r="J166" s="29">
        <f>LOOKUP(I166,{0,15,17,19,21,23,25,27,29,31,33,35,37,39,41,43,45,48,51,53,55},{0,10,20,30,40,50,60,62,64,66,68,70,72,74,76,78,80,85,90,95,100})</f>
        <v>85</v>
      </c>
      <c r="K166" s="35"/>
      <c r="L166" s="35"/>
      <c r="M166" s="35">
        <f t="shared" si="12"/>
        <v>85</v>
      </c>
      <c r="N166" s="35">
        <v>9.4</v>
      </c>
      <c r="O166" s="36">
        <f t="shared" si="13"/>
        <v>8.6</v>
      </c>
      <c r="P166" s="29">
        <f>LOOKUP(O166,{0,6.6,6.8,7,7.2,7.4,7.6,7.8,8,8.2,8.4,8.6,8.8,9,9.2,9.4,9.6,9.9,10.2,10.3,10.4},{0,10,20,30,40,50,60,62,64,66,68,70,72,74,76,78,80,85,90,95,100})</f>
        <v>70</v>
      </c>
      <c r="Q166" s="5">
        <v>4.38</v>
      </c>
      <c r="R166" s="36">
        <f t="shared" si="14"/>
        <v>5.62</v>
      </c>
      <c r="S166" s="29">
        <f>LOOKUP(R166,{0,4.74,4.84,4.94,5.44,5.54,5.64,5.69,5.74,5.79,5.84,5.89,5.94,5.99,6.44,6.49,6.54,6.61,6.68,6.74,6.8},{0,10,20,30,40,50,60,62,64,66,68,70,72,74,76,78,80,85,90,95,100})</f>
        <v>50</v>
      </c>
      <c r="T166" s="27"/>
      <c r="U166" s="27"/>
      <c r="V166" s="27">
        <f t="shared" si="15"/>
        <v>50</v>
      </c>
      <c r="W166" s="27"/>
      <c r="X166" s="19">
        <f t="shared" si="16"/>
        <v>47.5</v>
      </c>
      <c r="Y166" s="13">
        <f t="shared" si="17"/>
        <v>67.8571428571429</v>
      </c>
      <c r="Z166" s="19"/>
    </row>
    <row r="167" ht="15.6" spans="1:26">
      <c r="A167" s="27">
        <v>313</v>
      </c>
      <c r="B167" s="27">
        <v>37</v>
      </c>
      <c r="C167" s="28" t="s">
        <v>666</v>
      </c>
      <c r="D167" s="28" t="s">
        <v>46</v>
      </c>
      <c r="E167" s="27">
        <v>13</v>
      </c>
      <c r="F167" s="29">
        <f>LOOKUP(E167,{0,1.5,2.3,3.1,3.9,4.7,5.5,6.8,8.1,9.4,10.7,12,13.3,14.6,15.9,17.2,18.5,20.2,21.9,23.6,25.3},{0,10,20,30,40,50,60,62,64,66,68,70,72,74,76,78,80,85,90,95,100})</f>
        <v>70</v>
      </c>
      <c r="G167" s="27">
        <v>170</v>
      </c>
      <c r="H167" s="29">
        <f>LOOKUP(G167,{0,125,130,135,140,145,150,153,156,159,162,165,168,171,174,177,180,187,194,200,206},{0,10,20,30,40,50,60,62,64,66,68,70,72,74,76,78,80,85,90,95,100})</f>
        <v>72</v>
      </c>
      <c r="I167" s="27">
        <v>47</v>
      </c>
      <c r="J167" s="29">
        <f>LOOKUP(I167,{0,15,17,19,21,23,25,27,29,31,33,35,37,39,41,43,45,48,51,53,55},{0,10,20,30,40,50,60,62,64,66,68,70,72,74,76,78,80,85,90,95,100})</f>
        <v>80</v>
      </c>
      <c r="K167" s="35"/>
      <c r="L167" s="35"/>
      <c r="M167" s="35">
        <f t="shared" si="12"/>
        <v>80</v>
      </c>
      <c r="N167" s="35">
        <v>8.7</v>
      </c>
      <c r="O167" s="36">
        <f t="shared" si="13"/>
        <v>9.3</v>
      </c>
      <c r="P167" s="29">
        <f>LOOKUP(O167,{0,6.6,6.8,7,7.2,7.4,7.6,7.8,8,8.2,8.4,8.6,8.8,9,9.2,9.4,9.6,9.9,10.2,10.3,10.4},{0,10,20,30,40,50,60,62,64,66,68,70,72,74,76,78,80,85,90,95,100})</f>
        <v>76</v>
      </c>
      <c r="Q167" s="5">
        <v>4.39</v>
      </c>
      <c r="R167" s="36">
        <f t="shared" si="14"/>
        <v>5.61</v>
      </c>
      <c r="S167" s="29">
        <f>LOOKUP(R167,{0,4.74,4.84,4.94,5.44,5.54,5.64,5.69,5.74,5.79,5.84,5.89,5.94,5.99,6.44,6.49,6.54,6.61,6.68,6.74,6.8},{0,10,20,30,40,50,60,62,64,66,68,70,72,74,76,78,80,85,90,95,100})</f>
        <v>50</v>
      </c>
      <c r="T167" s="27"/>
      <c r="U167" s="27"/>
      <c r="V167" s="27">
        <f t="shared" si="15"/>
        <v>50</v>
      </c>
      <c r="W167" s="27"/>
      <c r="X167" s="19">
        <f t="shared" si="16"/>
        <v>47.4</v>
      </c>
      <c r="Y167" s="13">
        <f t="shared" si="17"/>
        <v>67.7142857142857</v>
      </c>
      <c r="Z167" s="19"/>
    </row>
    <row r="168" ht="15.6" spans="1:26">
      <c r="A168" s="27">
        <v>311</v>
      </c>
      <c r="B168" s="27">
        <v>50</v>
      </c>
      <c r="C168" s="28" t="s">
        <v>567</v>
      </c>
      <c r="D168" s="28" t="s">
        <v>46</v>
      </c>
      <c r="E168" s="27">
        <v>19</v>
      </c>
      <c r="F168" s="29">
        <f>LOOKUP(E168,{0,1.5,2.3,3.1,3.9,4.7,5.5,6.8,8.1,9.4,10.7,12,13.3,14.6,15.9,17.2,18.5,20.2,21.9,23.6,25.3},{0,10,20,30,40,50,60,62,64,66,68,70,72,74,76,78,80,85,90,95,100})</f>
        <v>80</v>
      </c>
      <c r="G168" s="27">
        <v>180</v>
      </c>
      <c r="H168" s="29">
        <f>LOOKUP(G168,{0,125,130,135,140,145,150,153,156,159,162,165,168,171,174,177,180,187,194,200,206},{0,10,20,30,40,50,60,62,64,66,68,70,72,74,76,78,80,85,90,95,100})</f>
        <v>80</v>
      </c>
      <c r="I168" s="27">
        <v>50</v>
      </c>
      <c r="J168" s="29">
        <f>LOOKUP(I168,{0,15,17,19,21,23,25,27,29,31,33,35,37,39,41,43,45,48,51,53,55},{0,10,20,30,40,50,60,62,64,66,68,70,72,74,76,78,80,85,90,95,100})</f>
        <v>85</v>
      </c>
      <c r="K168" s="35"/>
      <c r="L168" s="35"/>
      <c r="M168" s="35">
        <f t="shared" si="12"/>
        <v>85</v>
      </c>
      <c r="N168" s="35">
        <v>9</v>
      </c>
      <c r="O168" s="36">
        <f t="shared" si="13"/>
        <v>9</v>
      </c>
      <c r="P168" s="29">
        <f>LOOKUP(O168,{0,6.6,6.8,7,7.2,7.4,7.6,7.8,8,8.2,8.4,8.6,8.8,9,9.2,9.4,9.6,9.9,10.2,10.3,10.4},{0,10,20,30,40,50,60,62,64,66,68,70,72,74,76,78,80,85,90,95,100})</f>
        <v>74</v>
      </c>
      <c r="Q168" s="5">
        <v>4.55</v>
      </c>
      <c r="R168" s="36">
        <f t="shared" si="14"/>
        <v>5.45</v>
      </c>
      <c r="S168" s="29">
        <f>LOOKUP(R168,{0,4.74,4.84,4.94,5.44,5.54,5.64,5.69,5.74,5.79,5.84,5.89,5.94,5.99,6.44,6.49,6.54,6.61,6.68,6.74,6.8},{0,10,20,30,40,50,60,62,64,66,68,70,72,74,76,78,80,85,90,95,100})</f>
        <v>40</v>
      </c>
      <c r="T168" s="27"/>
      <c r="U168" s="27"/>
      <c r="V168" s="27">
        <f t="shared" si="15"/>
        <v>40</v>
      </c>
      <c r="W168" s="27"/>
      <c r="X168" s="19">
        <f t="shared" si="16"/>
        <v>47.3</v>
      </c>
      <c r="Y168" s="13">
        <f t="shared" si="17"/>
        <v>67.5714285714286</v>
      </c>
      <c r="Z168" s="19"/>
    </row>
    <row r="169" ht="15.6" spans="1:26">
      <c r="A169" s="27">
        <v>313</v>
      </c>
      <c r="B169" s="27">
        <v>41</v>
      </c>
      <c r="C169" s="28" t="s">
        <v>671</v>
      </c>
      <c r="D169" s="28" t="s">
        <v>46</v>
      </c>
      <c r="E169" s="27">
        <v>18</v>
      </c>
      <c r="F169" s="29">
        <f>LOOKUP(E169,{0,1.5,2.3,3.1,3.9,4.7,5.5,6.8,8.1,9.4,10.7,12,13.3,14.6,15.9,17.2,18.5,20.2,21.9,23.6,25.3},{0,10,20,30,40,50,60,62,64,66,68,70,72,74,76,78,80,85,90,95,100})</f>
        <v>78</v>
      </c>
      <c r="G169" s="27">
        <v>155</v>
      </c>
      <c r="H169" s="29">
        <f>LOOKUP(G169,{0,125,130,135,140,145,150,153,156,159,162,165,168,171,174,177,180,187,194,200,206},{0,10,20,30,40,50,60,62,64,66,68,70,72,74,76,78,80,85,90,95,100})</f>
        <v>62</v>
      </c>
      <c r="I169" s="27">
        <v>38</v>
      </c>
      <c r="J169" s="29">
        <f>LOOKUP(I169,{0,15,17,19,21,23,25,27,29,31,33,35,37,39,41,43,45,48,51,53,55},{0,10,20,30,40,50,60,62,64,66,68,70,72,74,76,78,80,85,90,95,100})</f>
        <v>72</v>
      </c>
      <c r="K169" s="35"/>
      <c r="L169" s="35"/>
      <c r="M169" s="35">
        <f t="shared" si="12"/>
        <v>72</v>
      </c>
      <c r="N169" s="35">
        <v>9.6</v>
      </c>
      <c r="O169" s="36">
        <f t="shared" si="13"/>
        <v>8.4</v>
      </c>
      <c r="P169" s="29">
        <f>LOOKUP(O169,{0,6.6,6.8,7,7.2,7.4,7.6,7.8,8,8.2,8.4,8.6,8.8,9,9.2,9.4,9.6,9.9,10.2,10.3,10.4},{0,10,20,30,40,50,60,62,64,66,68,70,72,74,76,78,80,85,90,95,100})</f>
        <v>68</v>
      </c>
      <c r="Q169" s="5">
        <v>4.29</v>
      </c>
      <c r="R169" s="36">
        <f t="shared" si="14"/>
        <v>5.71</v>
      </c>
      <c r="S169" s="29">
        <f>LOOKUP(R169,{0,4.74,4.84,4.94,5.44,5.54,5.64,5.69,5.74,5.79,5.84,5.89,5.94,5.99,6.44,6.49,6.54,6.61,6.68,6.74,6.8},{0,10,20,30,40,50,60,62,64,66,68,70,72,74,76,78,80,85,90,95,100})</f>
        <v>62</v>
      </c>
      <c r="T169" s="27"/>
      <c r="U169" s="27"/>
      <c r="V169" s="27">
        <f t="shared" si="15"/>
        <v>62</v>
      </c>
      <c r="W169" s="27"/>
      <c r="X169" s="19">
        <f t="shared" si="16"/>
        <v>47.2</v>
      </c>
      <c r="Y169" s="13">
        <f t="shared" si="17"/>
        <v>67.4285714285714</v>
      </c>
      <c r="Z169" s="19"/>
    </row>
    <row r="170" ht="15.6" spans="1:26">
      <c r="A170" s="27">
        <v>314</v>
      </c>
      <c r="B170" s="27">
        <v>12</v>
      </c>
      <c r="C170" s="28" t="s">
        <v>693</v>
      </c>
      <c r="D170" s="28" t="s">
        <v>46</v>
      </c>
      <c r="E170" s="27">
        <v>13.5</v>
      </c>
      <c r="F170" s="29">
        <f>LOOKUP(E170,{0,1.5,2.3,3.1,3.9,4.7,5.5,6.8,8.1,9.4,10.7,12,13.3,14.6,15.9,17.2,18.5,20.2,21.9,23.6,25.3},{0,10,20,30,40,50,60,62,64,66,68,70,72,74,76,78,80,85,90,95,100})</f>
        <v>72</v>
      </c>
      <c r="G170" s="27">
        <v>162</v>
      </c>
      <c r="H170" s="29">
        <f>LOOKUP(G170,{0,125,130,135,140,145,150,153,156,159,162,165,168,171,174,177,180,187,194,200,206},{0,10,20,30,40,50,60,62,64,66,68,70,72,74,76,78,80,85,90,95,100})</f>
        <v>68</v>
      </c>
      <c r="I170" s="27">
        <v>37</v>
      </c>
      <c r="J170" s="29">
        <f>LOOKUP(I170,{0,15,17,19,21,23,25,27,29,31,33,35,37,39,41,43,45,48,51,53,55},{0,10,20,30,40,50,60,62,64,66,68,70,72,74,76,78,80,85,90,95,100})</f>
        <v>72</v>
      </c>
      <c r="K170" s="35"/>
      <c r="L170" s="35"/>
      <c r="M170" s="35">
        <f t="shared" si="12"/>
        <v>72</v>
      </c>
      <c r="N170" s="35">
        <v>9.5</v>
      </c>
      <c r="O170" s="36">
        <f t="shared" si="13"/>
        <v>8.5</v>
      </c>
      <c r="P170" s="29">
        <f>LOOKUP(O170,{0,6.6,6.8,7,7.2,7.4,7.6,7.8,8,8.2,8.4,8.6,8.8,9,9.2,9.4,9.6,9.9,10.2,10.3,10.4},{0,10,20,30,40,50,60,62,64,66,68,70,72,74,76,78,80,85,90,95,100})</f>
        <v>68</v>
      </c>
      <c r="Q170" s="5">
        <v>4.29</v>
      </c>
      <c r="R170" s="36">
        <f t="shared" si="14"/>
        <v>5.71</v>
      </c>
      <c r="S170" s="29">
        <f>LOOKUP(R170,{0,4.74,4.84,4.94,5.44,5.54,5.64,5.69,5.74,5.79,5.84,5.89,5.94,5.99,6.44,6.49,6.54,6.61,6.68,6.74,6.8},{0,10,20,30,40,50,60,62,64,66,68,70,72,74,76,78,80,85,90,95,100})</f>
        <v>62</v>
      </c>
      <c r="T170" s="27"/>
      <c r="U170" s="27"/>
      <c r="V170" s="27">
        <f t="shared" si="15"/>
        <v>62</v>
      </c>
      <c r="W170" s="27"/>
      <c r="X170" s="19">
        <f t="shared" si="16"/>
        <v>47.2</v>
      </c>
      <c r="Y170" s="13">
        <f t="shared" si="17"/>
        <v>67.4285714285714</v>
      </c>
      <c r="Z170" s="19"/>
    </row>
    <row r="171" ht="15.6" spans="1:26">
      <c r="A171" s="27">
        <v>314</v>
      </c>
      <c r="B171" s="27">
        <v>19</v>
      </c>
      <c r="C171" s="28" t="s">
        <v>701</v>
      </c>
      <c r="D171" s="28" t="s">
        <v>46</v>
      </c>
      <c r="E171" s="27">
        <v>22.5</v>
      </c>
      <c r="F171" s="29">
        <f>LOOKUP(E171,{0,1.5,2.3,3.1,3.9,4.7,5.5,6.8,8.1,9.4,10.7,12,13.3,14.6,15.9,17.2,18.5,20.2,21.9,23.6,25.3},{0,10,20,30,40,50,60,62,64,66,68,70,72,74,76,78,80,85,90,95,100})</f>
        <v>90</v>
      </c>
      <c r="G171" s="27">
        <v>154</v>
      </c>
      <c r="H171" s="29">
        <f>LOOKUP(G171,{0,125,130,135,140,145,150,153,156,159,162,165,168,171,174,177,180,187,194,200,206},{0,10,20,30,40,50,60,62,64,66,68,70,72,74,76,78,80,85,90,95,100})</f>
        <v>62</v>
      </c>
      <c r="I171" s="27">
        <v>41</v>
      </c>
      <c r="J171" s="29">
        <f>LOOKUP(I171,{0,15,17,19,21,23,25,27,29,31,33,35,37,39,41,43,45,48,51,53,55},{0,10,20,30,40,50,60,62,64,66,68,70,72,74,76,78,80,85,90,95,100})</f>
        <v>76</v>
      </c>
      <c r="K171" s="35"/>
      <c r="L171" s="35"/>
      <c r="M171" s="35">
        <f t="shared" si="12"/>
        <v>76</v>
      </c>
      <c r="N171" s="35">
        <v>9.2</v>
      </c>
      <c r="O171" s="36">
        <f t="shared" si="13"/>
        <v>8.8</v>
      </c>
      <c r="P171" s="29">
        <f>LOOKUP(O171,{0,6.6,6.8,7,7.2,7.4,7.6,7.8,8,8.2,8.4,8.6,8.8,9,9.2,9.4,9.6,9.9,10.2,10.3,10.4},{0,10,20,30,40,50,60,62,64,66,68,70,72,74,76,78,80,85,90,95,100})</f>
        <v>72</v>
      </c>
      <c r="Q171" s="5">
        <v>4.4</v>
      </c>
      <c r="R171" s="36">
        <f t="shared" si="14"/>
        <v>5.6</v>
      </c>
      <c r="S171" s="29">
        <f>LOOKUP(R171,{0,4.74,4.84,4.94,5.44,5.54,5.64,5.69,5.74,5.79,5.84,5.89,5.94,5.99,6.44,6.49,6.54,6.61,6.68,6.74,6.8},{0,10,20,30,40,50,60,62,64,66,68,70,72,74,76,78,80,85,90,95,100})</f>
        <v>50</v>
      </c>
      <c r="T171" s="27"/>
      <c r="U171" s="27"/>
      <c r="V171" s="27">
        <f t="shared" si="15"/>
        <v>50</v>
      </c>
      <c r="W171" s="27"/>
      <c r="X171" s="19">
        <f t="shared" si="16"/>
        <v>47.2</v>
      </c>
      <c r="Y171" s="13">
        <f t="shared" si="17"/>
        <v>67.4285714285714</v>
      </c>
      <c r="Z171" s="19"/>
    </row>
    <row r="172" ht="15.6" spans="1:26">
      <c r="A172" s="27">
        <v>314</v>
      </c>
      <c r="B172" s="27">
        <v>11</v>
      </c>
      <c r="C172" s="28" t="s">
        <v>692</v>
      </c>
      <c r="D172" s="28" t="s">
        <v>46</v>
      </c>
      <c r="E172" s="27">
        <v>11</v>
      </c>
      <c r="F172" s="29">
        <f>LOOKUP(E172,{0,1.5,2.3,3.1,3.9,4.7,5.5,6.8,8.1,9.4,10.7,12,13.3,14.6,15.9,17.2,18.5,20.2,21.9,23.6,25.3},{0,10,20,30,40,50,60,62,64,66,68,70,72,74,76,78,80,85,90,95,100})</f>
        <v>68</v>
      </c>
      <c r="G172" s="27">
        <v>160</v>
      </c>
      <c r="H172" s="29">
        <f>LOOKUP(G172,{0,125,130,135,140,145,150,153,156,159,162,165,168,171,174,177,180,187,194,200,206},{0,10,20,30,40,50,60,62,64,66,68,70,72,74,76,78,80,85,90,95,100})</f>
        <v>66</v>
      </c>
      <c r="I172" s="27">
        <v>41</v>
      </c>
      <c r="J172" s="29">
        <f>LOOKUP(I172,{0,15,17,19,21,23,25,27,29,31,33,35,37,39,41,43,45,48,51,53,55},{0,10,20,30,40,50,60,62,64,66,68,70,72,74,76,78,80,85,90,95,100})</f>
        <v>76</v>
      </c>
      <c r="K172" s="35"/>
      <c r="L172" s="35"/>
      <c r="M172" s="35">
        <f t="shared" si="12"/>
        <v>76</v>
      </c>
      <c r="N172" s="35">
        <v>9.8</v>
      </c>
      <c r="O172" s="36">
        <f t="shared" si="13"/>
        <v>8.2</v>
      </c>
      <c r="P172" s="29">
        <f>LOOKUP(O172,{0,6.6,6.8,7,7.2,7.4,7.6,7.8,8,8.2,8.4,8.6,8.8,9,9.2,9.4,9.6,9.9,10.2,10.3,10.4},{0,10,20,30,40,50,60,62,64,66,68,70,72,74,76,78,80,85,90,95,100})</f>
        <v>66</v>
      </c>
      <c r="Q172" s="5">
        <v>4.22</v>
      </c>
      <c r="R172" s="36">
        <f t="shared" si="14"/>
        <v>5.78</v>
      </c>
      <c r="S172" s="29">
        <f>LOOKUP(R172,{0,4.74,4.84,4.94,5.44,5.54,5.64,5.69,5.74,5.79,5.84,5.89,5.94,5.99,6.44,6.49,6.54,6.61,6.68,6.74,6.8},{0,10,20,30,40,50,60,62,64,66,68,70,72,74,76,78,80,85,90,95,100})</f>
        <v>64</v>
      </c>
      <c r="T172" s="27"/>
      <c r="U172" s="27"/>
      <c r="V172" s="27">
        <f t="shared" si="15"/>
        <v>64</v>
      </c>
      <c r="W172" s="27"/>
      <c r="X172" s="19">
        <f t="shared" si="16"/>
        <v>47</v>
      </c>
      <c r="Y172" s="13">
        <f t="shared" si="17"/>
        <v>67.1428571428572</v>
      </c>
      <c r="Z172" s="19"/>
    </row>
    <row r="173" ht="15.6" spans="1:26">
      <c r="A173" s="27">
        <v>314</v>
      </c>
      <c r="B173" s="27">
        <v>42</v>
      </c>
      <c r="C173" s="28" t="s">
        <v>726</v>
      </c>
      <c r="D173" s="28" t="s">
        <v>46</v>
      </c>
      <c r="E173" s="27">
        <v>14</v>
      </c>
      <c r="F173" s="29">
        <f>LOOKUP(E173,{0,1.5,2.3,3.1,3.9,4.7,5.5,6.8,8.1,9.4,10.7,12,13.3,14.6,15.9,17.2,18.5,20.2,21.9,23.6,25.3},{0,10,20,30,40,50,60,62,64,66,68,70,72,74,76,78,80,85,90,95,100})</f>
        <v>72</v>
      </c>
      <c r="G173" s="27">
        <v>160</v>
      </c>
      <c r="H173" s="29">
        <f>LOOKUP(G173,{0,125,130,135,140,145,150,153,156,159,162,165,168,171,174,177,180,187,194,200,206},{0,10,20,30,40,50,60,62,64,66,68,70,72,74,76,78,80,85,90,95,100})</f>
        <v>66</v>
      </c>
      <c r="I173" s="27">
        <v>38</v>
      </c>
      <c r="J173" s="29">
        <f>LOOKUP(I173,{0,15,17,19,21,23,25,27,29,31,33,35,37,39,41,43,45,48,51,53,55},{0,10,20,30,40,50,60,62,64,66,68,70,72,74,76,78,80,85,90,95,100})</f>
        <v>72</v>
      </c>
      <c r="K173" s="35"/>
      <c r="L173" s="35"/>
      <c r="M173" s="35">
        <f t="shared" si="12"/>
        <v>72</v>
      </c>
      <c r="N173" s="35">
        <v>9.7</v>
      </c>
      <c r="O173" s="36">
        <f t="shared" si="13"/>
        <v>8.3</v>
      </c>
      <c r="P173" s="29">
        <f>LOOKUP(O173,{0,6.6,6.8,7,7.2,7.4,7.6,7.8,8,8.2,8.4,8.6,8.8,9,9.2,9.4,9.6,9.9,10.2,10.3,10.4},{0,10,20,30,40,50,60,62,64,66,68,70,72,74,76,78,80,85,90,95,100})</f>
        <v>66</v>
      </c>
      <c r="Q173" s="5">
        <v>4.23</v>
      </c>
      <c r="R173" s="36">
        <f t="shared" si="14"/>
        <v>5.77</v>
      </c>
      <c r="S173" s="29">
        <f>LOOKUP(R173,{0,4.74,4.84,4.94,5.44,5.54,5.64,5.69,5.74,5.79,5.84,5.89,5.94,5.99,6.44,6.49,6.54,6.61,6.68,6.74,6.8},{0,10,20,30,40,50,60,62,64,66,68,70,72,74,76,78,80,85,90,95,100})</f>
        <v>64</v>
      </c>
      <c r="T173" s="27"/>
      <c r="U173" s="27"/>
      <c r="V173" s="27">
        <f t="shared" si="15"/>
        <v>64</v>
      </c>
      <c r="W173" s="27"/>
      <c r="X173" s="19">
        <f t="shared" si="16"/>
        <v>47</v>
      </c>
      <c r="Y173" s="13">
        <f t="shared" si="17"/>
        <v>67.1428571428572</v>
      </c>
      <c r="Z173" s="19"/>
    </row>
    <row r="174" ht="15.6" spans="1:26">
      <c r="A174" s="27">
        <v>313</v>
      </c>
      <c r="B174" s="27">
        <v>28</v>
      </c>
      <c r="C174" s="30" t="s">
        <v>657</v>
      </c>
      <c r="D174" s="28" t="s">
        <v>46</v>
      </c>
      <c r="E174" s="27">
        <v>14.1</v>
      </c>
      <c r="F174" s="29">
        <f>LOOKUP(E174,{0,1.5,2.3,3.1,3.9,4.7,5.5,6.8,8.1,9.4,10.7,12,13.3,14.6,15.9,17.2,18.5,20.2,21.9,23.6,25.3},{0,10,20,30,40,50,60,62,64,66,68,70,72,74,76,78,80,85,90,95,100})</f>
        <v>72</v>
      </c>
      <c r="G174" s="27">
        <v>175</v>
      </c>
      <c r="H174" s="29">
        <f>LOOKUP(G174,{0,125,130,135,140,145,150,153,156,159,162,165,168,171,174,177,180,187,194,200,206},{0,10,20,30,40,50,60,62,64,66,68,70,72,74,76,78,80,85,90,95,100})</f>
        <v>76</v>
      </c>
      <c r="I174" s="27">
        <v>45</v>
      </c>
      <c r="J174" s="29">
        <f>LOOKUP(I174,{0,15,17,19,21,23,25,27,29,31,33,35,37,39,41,43,45,48,51,53,55},{0,10,20,30,40,50,60,62,64,66,68,70,72,74,76,78,80,85,90,95,100})</f>
        <v>80</v>
      </c>
      <c r="K174" s="35"/>
      <c r="L174" s="35"/>
      <c r="M174" s="35">
        <f t="shared" si="12"/>
        <v>80</v>
      </c>
      <c r="N174" s="35">
        <v>9.4</v>
      </c>
      <c r="O174" s="36">
        <f t="shared" si="13"/>
        <v>8.6</v>
      </c>
      <c r="P174" s="29">
        <f>LOOKUP(O174,{0,6.6,6.8,7,7.2,7.4,7.6,7.8,8,8.2,8.4,8.6,8.8,9,9.2,9.4,9.6,9.9,10.2,10.3,10.4},{0,10,20,30,40,50,60,62,64,66,68,70,72,74,76,78,80,85,90,95,100})</f>
        <v>70</v>
      </c>
      <c r="Q174" s="5">
        <v>4.4</v>
      </c>
      <c r="R174" s="36">
        <f t="shared" si="14"/>
        <v>5.6</v>
      </c>
      <c r="S174" s="29">
        <f>LOOKUP(R174,{0,4.74,4.84,4.94,5.44,5.54,5.64,5.69,5.74,5.79,5.84,5.89,5.94,5.99,6.44,6.49,6.54,6.61,6.68,6.74,6.8},{0,10,20,30,40,50,60,62,64,66,68,70,72,74,76,78,80,85,90,95,100})</f>
        <v>50</v>
      </c>
      <c r="T174" s="27"/>
      <c r="U174" s="27"/>
      <c r="V174" s="27">
        <f t="shared" si="15"/>
        <v>50</v>
      </c>
      <c r="W174" s="27"/>
      <c r="X174" s="19">
        <f t="shared" si="16"/>
        <v>46.8</v>
      </c>
      <c r="Y174" s="13">
        <f t="shared" si="17"/>
        <v>66.8571428571429</v>
      </c>
      <c r="Z174" s="20"/>
    </row>
    <row r="175" ht="15.6" spans="1:26">
      <c r="A175" s="27">
        <v>308</v>
      </c>
      <c r="B175" s="27">
        <v>36</v>
      </c>
      <c r="C175" s="28" t="s">
        <v>390</v>
      </c>
      <c r="D175" s="28" t="s">
        <v>46</v>
      </c>
      <c r="E175" s="27">
        <v>24</v>
      </c>
      <c r="F175" s="29">
        <f>LOOKUP(E175,{0,1.5,2.3,3.1,3.9,4.7,5.5,6.8,8.1,9.4,10.7,12,13.3,14.6,15.9,17.2,18.5,20.2,21.9,23.6,25.3},{0,10,20,30,40,50,60,62,64,66,68,70,72,74,76,78,80,85,90,95,100})</f>
        <v>95</v>
      </c>
      <c r="G175" s="27">
        <v>174</v>
      </c>
      <c r="H175" s="29">
        <f>LOOKUP(G175,{0,125,130,135,140,145,150,153,156,159,162,165,168,171,174,177,180,187,194,200,206},{0,10,20,30,40,50,60,62,64,66,68,70,72,74,76,78,80,85,90,95,100})</f>
        <v>76</v>
      </c>
      <c r="I175" s="27">
        <v>42</v>
      </c>
      <c r="J175" s="29">
        <f>LOOKUP(I175,{0,15,17,19,21,23,25,27,29,31,33,35,37,39,41,43,45,48,51,53,55},{0,10,20,30,40,50,60,62,64,66,68,70,72,74,76,78,80,85,90,95,100})</f>
        <v>76</v>
      </c>
      <c r="K175" s="35"/>
      <c r="L175" s="35"/>
      <c r="M175" s="35">
        <f t="shared" si="12"/>
        <v>76</v>
      </c>
      <c r="N175" s="35">
        <v>9.4</v>
      </c>
      <c r="O175" s="36">
        <f t="shared" si="13"/>
        <v>8.6</v>
      </c>
      <c r="P175" s="29">
        <f>LOOKUP(O175,{0,6.6,6.8,7,7.2,7.4,7.6,7.8,8,8.2,8.4,8.6,8.8,9,9.2,9.4,9.6,9.9,10.2,10.3,10.4},{0,10,20,30,40,50,60,62,64,66,68,70,72,74,76,78,80,85,90,95,100})</f>
        <v>70</v>
      </c>
      <c r="Q175" s="5">
        <v>4.56</v>
      </c>
      <c r="R175" s="36">
        <f t="shared" si="14"/>
        <v>5.44</v>
      </c>
      <c r="S175" s="29">
        <f>LOOKUP(R175,{0,4.74,4.84,4.94,5.44,5.54,5.64,5.69,5.74,5.79,5.84,5.89,5.94,5.99,6.44,6.49,6.54,6.61,6.68,6.74,6.8},{0,10,20,30,40,50,60,62,64,66,68,70,72,74,76,78,80,85,90,95,100})</f>
        <v>40</v>
      </c>
      <c r="T175" s="27"/>
      <c r="U175" s="27"/>
      <c r="V175" s="27">
        <f t="shared" si="15"/>
        <v>40</v>
      </c>
      <c r="W175" s="27"/>
      <c r="X175" s="19">
        <f t="shared" si="16"/>
        <v>46.7</v>
      </c>
      <c r="Y175" s="13">
        <f t="shared" si="17"/>
        <v>66.7142857142857</v>
      </c>
      <c r="Z175" s="19"/>
    </row>
    <row r="176" ht="15.6" spans="1:26">
      <c r="A176" s="27">
        <v>306</v>
      </c>
      <c r="B176" s="27">
        <v>51</v>
      </c>
      <c r="C176" s="28" t="s">
        <v>296</v>
      </c>
      <c r="D176" s="28" t="s">
        <v>46</v>
      </c>
      <c r="E176" s="27">
        <v>15</v>
      </c>
      <c r="F176" s="29">
        <f>LOOKUP(E176,{0,1.5,2.3,3.1,3.9,4.7,5.5,6.8,8.1,9.4,10.7,12,13.3,14.6,15.9,17.2,18.5,20.2,21.9,23.6,25.3},{0,10,20,30,40,50,60,62,64,66,68,70,72,74,76,78,80,85,90,95,100})</f>
        <v>74</v>
      </c>
      <c r="G176" s="27">
        <v>163</v>
      </c>
      <c r="H176" s="29">
        <f>LOOKUP(G176,{0,125,130,135,140,145,150,153,156,159,162,165,168,171,174,177,180,187,194,200,206},{0,10,20,30,40,50,60,62,64,66,68,70,72,74,76,78,80,85,90,95,100})</f>
        <v>68</v>
      </c>
      <c r="I176" s="27">
        <v>38</v>
      </c>
      <c r="J176" s="29">
        <f>LOOKUP(I176,{0,15,17,19,21,23,25,27,29,31,33,35,37,39,41,43,45,48,51,53,55},{0,10,20,30,40,50,60,62,64,66,68,70,72,74,76,78,80,85,90,95,100})</f>
        <v>72</v>
      </c>
      <c r="K176" s="35"/>
      <c r="L176" s="35"/>
      <c r="M176" s="35">
        <f t="shared" si="12"/>
        <v>72</v>
      </c>
      <c r="N176" s="35">
        <v>9.8</v>
      </c>
      <c r="O176" s="36">
        <f t="shared" si="13"/>
        <v>8.2</v>
      </c>
      <c r="P176" s="29">
        <f>LOOKUP(O176,{0,6.6,6.8,7,7.2,7.4,7.6,7.8,8,8.2,8.4,8.6,8.8,9,9.2,9.4,9.6,9.9,10.2,10.3,10.4},{0,10,20,30,40,50,60,62,64,66,68,70,72,74,76,78,80,85,90,95,100})</f>
        <v>66</v>
      </c>
      <c r="Q176" s="5">
        <v>4.32</v>
      </c>
      <c r="R176" s="36">
        <f t="shared" si="14"/>
        <v>5.68</v>
      </c>
      <c r="S176" s="29">
        <f>LOOKUP(R176,{0,4.74,4.84,4.94,5.44,5.54,5.64,5.69,5.74,5.79,5.84,5.89,5.94,5.99,6.44,6.49,6.54,6.61,6.68,6.74,6.8},{0,10,20,30,40,50,60,62,64,66,68,70,72,74,76,78,80,85,90,95,100})</f>
        <v>60</v>
      </c>
      <c r="T176" s="27"/>
      <c r="U176" s="27"/>
      <c r="V176" s="27">
        <f t="shared" si="15"/>
        <v>60</v>
      </c>
      <c r="W176" s="27"/>
      <c r="X176" s="19">
        <f t="shared" si="16"/>
        <v>46.6</v>
      </c>
      <c r="Y176" s="13">
        <f t="shared" si="17"/>
        <v>66.5714285714286</v>
      </c>
      <c r="Z176" s="20"/>
    </row>
    <row r="177" ht="15.6" spans="1:26">
      <c r="A177" s="27">
        <v>307</v>
      </c>
      <c r="B177" s="27">
        <v>18</v>
      </c>
      <c r="C177" s="30" t="s">
        <v>318</v>
      </c>
      <c r="D177" s="28" t="s">
        <v>46</v>
      </c>
      <c r="E177" s="27">
        <v>10</v>
      </c>
      <c r="F177" s="29">
        <f>LOOKUP(E177,{0,1.5,2.3,3.1,3.9,4.7,5.5,6.8,8.1,9.4,10.7,12,13.3,14.6,15.9,17.2,18.5,20.2,21.9,23.6,25.3},{0,10,20,30,40,50,60,62,64,66,68,70,72,74,76,78,80,85,90,95,100})</f>
        <v>66</v>
      </c>
      <c r="G177" s="27">
        <v>170</v>
      </c>
      <c r="H177" s="29">
        <f>LOOKUP(G177,{0,125,130,135,140,145,150,153,156,159,162,165,168,171,174,177,180,187,194,200,206},{0,10,20,30,40,50,60,62,64,66,68,70,72,74,76,78,80,85,90,95,100})</f>
        <v>72</v>
      </c>
      <c r="I177" s="27">
        <v>37</v>
      </c>
      <c r="J177" s="29">
        <f>LOOKUP(I177,{0,15,17,19,21,23,25,27,29,31,33,35,37,39,41,43,45,48,51,53,55},{0,10,20,30,40,50,60,62,64,66,68,70,72,74,76,78,80,85,90,95,100})</f>
        <v>72</v>
      </c>
      <c r="K177" s="35"/>
      <c r="L177" s="35"/>
      <c r="M177" s="35">
        <f t="shared" si="12"/>
        <v>72</v>
      </c>
      <c r="N177" s="35">
        <v>10.1</v>
      </c>
      <c r="O177" s="36">
        <f t="shared" si="13"/>
        <v>7.9</v>
      </c>
      <c r="P177" s="29">
        <f>LOOKUP(O177,{0,6.6,6.8,7,7.2,7.4,7.6,7.8,8,8.2,8.4,8.6,8.8,9,9.2,9.4,9.6,9.9,10.2,10.3,10.4},{0,10,20,30,40,50,60,62,64,66,68,70,72,74,76,78,80,85,90,95,100})</f>
        <v>62</v>
      </c>
      <c r="Q177" s="5">
        <v>4.17</v>
      </c>
      <c r="R177" s="36">
        <f t="shared" si="14"/>
        <v>5.83</v>
      </c>
      <c r="S177" s="29">
        <f>LOOKUP(R177,{0,4.74,4.84,4.94,5.44,5.54,5.64,5.69,5.74,5.79,5.84,5.89,5.94,5.99,6.44,6.49,6.54,6.61,6.68,6.74,6.8},{0,10,20,30,40,50,60,62,64,66,68,70,72,74,76,78,80,85,90,95,100})</f>
        <v>66</v>
      </c>
      <c r="T177" s="27"/>
      <c r="U177" s="27"/>
      <c r="V177" s="27">
        <f t="shared" si="15"/>
        <v>66</v>
      </c>
      <c r="W177" s="27"/>
      <c r="X177" s="19">
        <f t="shared" si="16"/>
        <v>46.6</v>
      </c>
      <c r="Y177" s="13">
        <f t="shared" si="17"/>
        <v>66.5714285714286</v>
      </c>
      <c r="Z177" s="19"/>
    </row>
    <row r="178" ht="15.6" spans="1:26">
      <c r="A178" s="27">
        <v>307</v>
      </c>
      <c r="B178" s="27">
        <v>22</v>
      </c>
      <c r="C178" s="28" t="s">
        <v>322</v>
      </c>
      <c r="D178" s="28" t="s">
        <v>46</v>
      </c>
      <c r="E178" s="27">
        <v>23</v>
      </c>
      <c r="F178" s="29">
        <f>LOOKUP(E178,{0,1.5,2.3,3.1,3.9,4.7,5.5,6.8,8.1,9.4,10.7,12,13.3,14.6,15.9,17.2,18.5,20.2,21.9,23.6,25.3},{0,10,20,30,40,50,60,62,64,66,68,70,72,74,76,78,80,85,90,95,100})</f>
        <v>90</v>
      </c>
      <c r="G178" s="27">
        <v>205</v>
      </c>
      <c r="H178" s="29">
        <f>LOOKUP(G178,{0,125,130,135,140,145,150,153,156,159,162,165,168,171,174,177,180,187,194,200,206},{0,10,20,30,40,50,60,62,64,66,68,70,72,74,76,78,80,85,90,95,100})</f>
        <v>95</v>
      </c>
      <c r="I178" s="27">
        <v>47</v>
      </c>
      <c r="J178" s="29">
        <f>LOOKUP(I178,{0,15,17,19,21,23,25,27,29,31,33,35,37,39,41,43,45,48,51,53,55},{0,10,20,30,40,50,60,62,64,66,68,70,72,74,76,78,80,85,90,95,100})</f>
        <v>80</v>
      </c>
      <c r="K178" s="35"/>
      <c r="L178" s="35"/>
      <c r="M178" s="35">
        <f t="shared" si="12"/>
        <v>80</v>
      </c>
      <c r="N178" s="35">
        <v>8.2</v>
      </c>
      <c r="O178" s="36">
        <f t="shared" si="13"/>
        <v>9.8</v>
      </c>
      <c r="P178" s="29">
        <f>LOOKUP(O178,{0,6.6,6.8,7,7.2,7.4,7.6,7.8,8,8.2,8.4,8.6,8.8,9,9.2,9.4,9.6,9.9,10.2,10.3,10.4},{0,10,20,30,40,50,60,62,64,66,68,70,72,74,76,78,80,85,90,95,100})</f>
        <v>80</v>
      </c>
      <c r="Q178" s="5">
        <v>5.08</v>
      </c>
      <c r="R178" s="36">
        <f t="shared" si="14"/>
        <v>4.92</v>
      </c>
      <c r="S178" s="29">
        <f>LOOKUP(R178,{0,4.74,4.84,4.94,5.44,5.54,5.64,5.69,5.74,5.79,5.84,5.89,5.94,5.99,6.44,6.49,6.54,6.61,6.68,6.74,6.8},{0,10,20,30,40,50,60,62,64,66,68,70,72,74,76,78,80,85,90,95,100})</f>
        <v>20</v>
      </c>
      <c r="T178" s="27"/>
      <c r="U178" s="27"/>
      <c r="V178" s="27">
        <f t="shared" si="15"/>
        <v>20</v>
      </c>
      <c r="W178" s="27"/>
      <c r="X178" s="19">
        <f t="shared" si="16"/>
        <v>46.5</v>
      </c>
      <c r="Y178" s="13">
        <f t="shared" si="17"/>
        <v>66.4285714285714</v>
      </c>
      <c r="Z178" s="19"/>
    </row>
    <row r="179" ht="15.6" spans="1:26">
      <c r="A179" s="27">
        <v>308</v>
      </c>
      <c r="B179" s="27">
        <v>28</v>
      </c>
      <c r="C179" s="28" t="s">
        <v>381</v>
      </c>
      <c r="D179" s="28" t="s">
        <v>46</v>
      </c>
      <c r="E179" s="27">
        <v>17</v>
      </c>
      <c r="F179" s="29">
        <f>LOOKUP(E179,{0,1.5,2.3,3.1,3.9,4.7,5.5,6.8,8.1,9.4,10.7,12,13.3,14.6,15.9,17.2,18.5,20.2,21.9,23.6,25.3},{0,10,20,30,40,50,60,62,64,66,68,70,72,74,76,78,80,85,90,95,100})</f>
        <v>76</v>
      </c>
      <c r="G179" s="27">
        <v>175</v>
      </c>
      <c r="H179" s="29">
        <f>LOOKUP(G179,{0,125,130,135,140,145,150,153,156,159,162,165,168,171,174,177,180,187,194,200,206},{0,10,20,30,40,50,60,62,64,66,68,70,72,74,76,78,80,85,90,95,100})</f>
        <v>76</v>
      </c>
      <c r="I179" s="27">
        <v>45</v>
      </c>
      <c r="J179" s="29">
        <f>LOOKUP(I179,{0,15,17,19,21,23,25,27,29,31,33,35,37,39,41,43,45,48,51,53,55},{0,10,20,30,40,50,60,62,64,66,68,70,72,74,76,78,80,85,90,95,100})</f>
        <v>80</v>
      </c>
      <c r="K179" s="35"/>
      <c r="L179" s="35"/>
      <c r="M179" s="35">
        <f t="shared" si="12"/>
        <v>80</v>
      </c>
      <c r="N179" s="35">
        <v>8.8</v>
      </c>
      <c r="O179" s="36">
        <f t="shared" si="13"/>
        <v>9.2</v>
      </c>
      <c r="P179" s="29">
        <f>LOOKUP(O179,{0,6.6,6.8,7,7.2,7.4,7.6,7.8,8,8.2,8.4,8.6,8.8,9,9.2,9.4,9.6,9.9,10.2,10.3,10.4},{0,10,20,30,40,50,60,62,64,66,68,70,72,74,76,78,80,85,90,95,100})</f>
        <v>76</v>
      </c>
      <c r="Q179" s="5">
        <v>4.54</v>
      </c>
      <c r="R179" s="36">
        <f t="shared" si="14"/>
        <v>5.46</v>
      </c>
      <c r="S179" s="29">
        <f>LOOKUP(R179,{0,4.74,4.84,4.94,5.44,5.54,5.64,5.69,5.74,5.79,5.84,5.89,5.94,5.99,6.44,6.49,6.54,6.61,6.68,6.74,6.8},{0,10,20,30,40,50,60,62,64,66,68,70,72,74,76,78,80,85,90,95,100})</f>
        <v>40</v>
      </c>
      <c r="T179" s="27"/>
      <c r="U179" s="27"/>
      <c r="V179" s="27">
        <f t="shared" si="15"/>
        <v>40</v>
      </c>
      <c r="W179" s="27"/>
      <c r="X179" s="19">
        <f t="shared" si="16"/>
        <v>46.4</v>
      </c>
      <c r="Y179" s="13">
        <f t="shared" si="17"/>
        <v>66.2857142857143</v>
      </c>
      <c r="Z179" s="19"/>
    </row>
    <row r="180" ht="15.6" spans="1:26">
      <c r="A180" s="27">
        <v>316</v>
      </c>
      <c r="B180" s="27">
        <v>22</v>
      </c>
      <c r="C180" s="28" t="s">
        <v>810</v>
      </c>
      <c r="D180" s="28" t="s">
        <v>46</v>
      </c>
      <c r="E180" s="27">
        <v>14</v>
      </c>
      <c r="F180" s="29">
        <f>LOOKUP(E180,{0,1.5,2.3,3.1,3.9,4.7,5.5,6.8,8.1,9.4,10.7,12,13.3,14.6,15.9,17.2,18.5,20.2,21.9,23.6,25.3},{0,10,20,30,40,50,60,62,64,66,68,70,72,74,76,78,80,85,90,95,100})</f>
        <v>72</v>
      </c>
      <c r="G180" s="27">
        <v>194</v>
      </c>
      <c r="H180" s="29">
        <f>LOOKUP(G180,{0,125,130,135,140,145,150,153,156,159,162,165,168,171,174,177,180,187,194,200,206},{0,10,20,30,40,50,60,62,64,66,68,70,72,74,76,78,80,85,90,95,100})</f>
        <v>90</v>
      </c>
      <c r="I180" s="27">
        <v>36</v>
      </c>
      <c r="J180" s="29">
        <f>LOOKUP(I180,{0,15,17,19,21,23,25,27,29,31,33,35,37,39,41,43,45,48,51,53,55},{0,10,20,30,40,50,60,62,64,66,68,70,72,74,76,78,80,85,90,95,100})</f>
        <v>70</v>
      </c>
      <c r="K180" s="35"/>
      <c r="L180" s="35"/>
      <c r="M180" s="35">
        <f t="shared" si="12"/>
        <v>70</v>
      </c>
      <c r="N180" s="35">
        <v>8.8</v>
      </c>
      <c r="O180" s="36">
        <f t="shared" si="13"/>
        <v>9.2</v>
      </c>
      <c r="P180" s="29">
        <f>LOOKUP(O180,{0,6.6,6.8,7,7.2,7.4,7.6,7.8,8,8.2,8.4,8.6,8.8,9,9.2,9.4,9.6,9.9,10.2,10.3,10.4},{0,10,20,30,40,50,60,62,64,66,68,70,72,74,76,78,80,85,90,95,100})</f>
        <v>76</v>
      </c>
      <c r="Q180" s="5">
        <v>4.5</v>
      </c>
      <c r="R180" s="36">
        <f t="shared" si="14"/>
        <v>5.5</v>
      </c>
      <c r="S180" s="29">
        <f>LOOKUP(R180,{0,4.74,4.84,4.94,5.44,5.54,5.64,5.69,5.74,5.79,5.84,5.89,5.94,5.99,6.44,6.49,6.54,6.61,6.68,6.74,6.8},{0,10,20,30,40,50,60,62,64,66,68,70,72,74,76,78,80,85,90,95,100})</f>
        <v>40</v>
      </c>
      <c r="T180" s="27"/>
      <c r="U180" s="27"/>
      <c r="V180" s="27">
        <f t="shared" si="15"/>
        <v>40</v>
      </c>
      <c r="W180" s="27"/>
      <c r="X180" s="19">
        <f t="shared" si="16"/>
        <v>46.4</v>
      </c>
      <c r="Y180" s="13">
        <f t="shared" si="17"/>
        <v>66.2857142857143</v>
      </c>
      <c r="Z180" s="19"/>
    </row>
    <row r="181" ht="15.6" spans="1:26">
      <c r="A181" s="27">
        <v>315</v>
      </c>
      <c r="B181" s="27">
        <v>24</v>
      </c>
      <c r="C181" s="28" t="s">
        <v>758</v>
      </c>
      <c r="D181" s="28" t="s">
        <v>46</v>
      </c>
      <c r="E181" s="27">
        <v>17.5</v>
      </c>
      <c r="F181" s="29">
        <f>LOOKUP(E181,{0,1.5,2.3,3.1,3.9,4.7,5.5,6.8,8.1,9.4,10.7,12,13.3,14.6,15.9,17.2,18.5,20.2,21.9,23.6,25.3},{0,10,20,30,40,50,60,62,64,66,68,70,72,74,76,78,80,85,90,95,100})</f>
        <v>78</v>
      </c>
      <c r="G181" s="27">
        <v>176</v>
      </c>
      <c r="H181" s="29">
        <f>LOOKUP(G181,{0,125,130,135,140,145,150,153,156,159,162,165,168,171,174,177,180,187,194,200,206},{0,10,20,30,40,50,60,62,64,66,68,70,72,74,76,78,80,85,90,95,100})</f>
        <v>76</v>
      </c>
      <c r="I181" s="27">
        <v>46</v>
      </c>
      <c r="J181" s="29">
        <f>LOOKUP(I181,{0,15,17,19,21,23,25,27,29,31,33,35,37,39,41,43,45,48,51,53,55},{0,10,20,30,40,50,60,62,64,66,68,70,72,74,76,78,80,85,90,95,100})</f>
        <v>80</v>
      </c>
      <c r="K181" s="35"/>
      <c r="L181" s="35"/>
      <c r="M181" s="35">
        <f t="shared" si="12"/>
        <v>80</v>
      </c>
      <c r="N181" s="35">
        <v>8.9</v>
      </c>
      <c r="O181" s="36">
        <f t="shared" si="13"/>
        <v>9.1</v>
      </c>
      <c r="P181" s="29">
        <f>LOOKUP(O181,{0,6.6,6.8,7,7.2,7.4,7.6,7.8,8,8.2,8.4,8.6,8.8,9,9.2,9.4,9.6,9.9,10.2,10.3,10.4},{0,10,20,30,40,50,60,62,64,66,68,70,72,74,76,78,80,85,90,95,100})</f>
        <v>74</v>
      </c>
      <c r="Q181" s="5">
        <v>4.54</v>
      </c>
      <c r="R181" s="36">
        <f t="shared" si="14"/>
        <v>5.46</v>
      </c>
      <c r="S181" s="29">
        <f>LOOKUP(R181,{0,4.74,4.84,4.94,5.44,5.54,5.64,5.69,5.74,5.79,5.84,5.89,5.94,5.99,6.44,6.49,6.54,6.61,6.68,6.74,6.8},{0,10,20,30,40,50,60,62,64,66,68,70,72,74,76,78,80,85,90,95,100})</f>
        <v>40</v>
      </c>
      <c r="T181" s="27"/>
      <c r="U181" s="27"/>
      <c r="V181" s="27">
        <f t="shared" si="15"/>
        <v>40</v>
      </c>
      <c r="W181" s="27"/>
      <c r="X181" s="19">
        <f t="shared" si="16"/>
        <v>46.2</v>
      </c>
      <c r="Y181" s="13">
        <f t="shared" si="17"/>
        <v>66</v>
      </c>
      <c r="Z181" s="19"/>
    </row>
    <row r="182" ht="15.6" spans="1:26">
      <c r="A182" s="27">
        <v>313</v>
      </c>
      <c r="B182" s="27">
        <v>43</v>
      </c>
      <c r="C182" s="28" t="s">
        <v>673</v>
      </c>
      <c r="D182" s="28" t="s">
        <v>46</v>
      </c>
      <c r="E182" s="27">
        <v>16</v>
      </c>
      <c r="F182" s="29">
        <f>LOOKUP(E182,{0,1.5,2.3,3.1,3.9,4.7,5.5,6.8,8.1,9.4,10.7,12,13.3,14.6,15.9,17.2,18.5,20.2,21.9,23.6,25.3},{0,10,20,30,40,50,60,62,64,66,68,70,72,74,76,78,80,85,90,95,100})</f>
        <v>76</v>
      </c>
      <c r="G182" s="27">
        <v>164</v>
      </c>
      <c r="H182" s="29">
        <f>LOOKUP(G182,{0,125,130,135,140,145,150,153,156,159,162,165,168,171,174,177,180,187,194,200,206},{0,10,20,30,40,50,60,62,64,66,68,70,72,74,76,78,80,85,90,95,100})</f>
        <v>68</v>
      </c>
      <c r="I182" s="27">
        <v>21</v>
      </c>
      <c r="J182" s="29">
        <f>LOOKUP(I182,{0,15,17,19,21,23,25,27,29,31,33,35,37,39,41,43,45,48,51,53,55},{0,10,20,30,40,50,60,62,64,66,68,70,72,74,76,78,80,85,90,95,100})</f>
        <v>40</v>
      </c>
      <c r="K182" s="35"/>
      <c r="L182" s="35"/>
      <c r="M182" s="35">
        <f t="shared" si="12"/>
        <v>40</v>
      </c>
      <c r="N182" s="35">
        <v>9.3</v>
      </c>
      <c r="O182" s="36">
        <f t="shared" si="13"/>
        <v>8.7</v>
      </c>
      <c r="P182" s="29">
        <f>LOOKUP(O182,{0,6.6,6.8,7,7.2,7.4,7.6,7.8,8,8.2,8.4,8.6,8.8,9,9.2,9.4,9.6,9.9,10.2,10.3,10.4},{0,10,20,30,40,50,60,62,64,66,68,70,72,74,76,78,80,85,90,95,100})</f>
        <v>70</v>
      </c>
      <c r="Q182" s="5">
        <v>4.12</v>
      </c>
      <c r="R182" s="36">
        <f t="shared" si="14"/>
        <v>5.88</v>
      </c>
      <c r="S182" s="29">
        <f>LOOKUP(R182,{0,4.74,4.84,4.94,5.44,5.54,5.64,5.69,5.74,5.79,5.84,5.89,5.94,5.99,6.44,6.49,6.54,6.61,6.68,6.74,6.8},{0,10,20,30,40,50,60,62,64,66,68,70,72,74,76,78,80,85,90,95,100})</f>
        <v>68</v>
      </c>
      <c r="T182" s="27"/>
      <c r="U182" s="27"/>
      <c r="V182" s="27">
        <f t="shared" si="15"/>
        <v>68</v>
      </c>
      <c r="W182" s="27"/>
      <c r="X182" s="19">
        <f t="shared" si="16"/>
        <v>46</v>
      </c>
      <c r="Y182" s="13">
        <f t="shared" si="17"/>
        <v>65.7142857142857</v>
      </c>
      <c r="Z182" s="19"/>
    </row>
    <row r="183" ht="15.6" spans="1:26">
      <c r="A183" s="27">
        <v>308</v>
      </c>
      <c r="B183" s="27">
        <v>48</v>
      </c>
      <c r="C183" s="28" t="s">
        <v>403</v>
      </c>
      <c r="D183" s="28" t="s">
        <v>46</v>
      </c>
      <c r="E183" s="27">
        <v>10.2</v>
      </c>
      <c r="F183" s="29">
        <f>LOOKUP(E183,{0,1.5,2.3,3.1,3.9,4.7,5.5,6.8,8.1,9.4,10.7,12,13.3,14.6,15.9,17.2,18.5,20.2,21.9,23.6,25.3},{0,10,20,30,40,50,60,62,64,66,68,70,72,74,76,78,80,85,90,95,100})</f>
        <v>66</v>
      </c>
      <c r="G183" s="27">
        <v>147</v>
      </c>
      <c r="H183" s="29">
        <f>LOOKUP(G183,{0,125,130,135,140,145,150,153,156,159,162,165,168,171,174,177,180,187,194,200,206},{0,10,20,30,40,50,60,62,64,66,68,70,72,74,76,78,80,85,90,95,100})</f>
        <v>50</v>
      </c>
      <c r="I183" s="27">
        <v>44</v>
      </c>
      <c r="J183" s="29">
        <f>LOOKUP(I183,{0,15,17,19,21,23,25,27,29,31,33,35,37,39,41,43,45,48,51,53,55},{0,10,20,30,40,50,60,62,64,66,68,70,72,74,76,78,80,85,90,95,100})</f>
        <v>78</v>
      </c>
      <c r="K183" s="35"/>
      <c r="L183" s="35"/>
      <c r="M183" s="35">
        <f t="shared" si="12"/>
        <v>78</v>
      </c>
      <c r="N183" s="35">
        <v>9.8</v>
      </c>
      <c r="O183" s="36">
        <f t="shared" si="13"/>
        <v>8.2</v>
      </c>
      <c r="P183" s="29">
        <f>LOOKUP(O183,{0,6.6,6.8,7,7.2,7.4,7.6,7.8,8,8.2,8.4,8.6,8.8,9,9.2,9.4,9.6,9.9,10.2,10.3,10.4},{0,10,20,30,40,50,60,62,64,66,68,70,72,74,76,78,80,85,90,95,100})</f>
        <v>66</v>
      </c>
      <c r="Q183" s="5">
        <v>4.19</v>
      </c>
      <c r="R183" s="36">
        <f t="shared" si="14"/>
        <v>5.81</v>
      </c>
      <c r="S183" s="29">
        <f>LOOKUP(R183,{0,4.74,4.84,4.94,5.44,5.54,5.64,5.69,5.74,5.79,5.84,5.89,5.94,5.99,6.44,6.49,6.54,6.61,6.68,6.74,6.8},{0,10,20,30,40,50,60,62,64,66,68,70,72,74,76,78,80,85,90,95,100})</f>
        <v>66</v>
      </c>
      <c r="T183" s="27"/>
      <c r="U183" s="27"/>
      <c r="V183" s="27">
        <f t="shared" si="15"/>
        <v>66</v>
      </c>
      <c r="W183" s="27"/>
      <c r="X183" s="19">
        <f t="shared" si="16"/>
        <v>45.8</v>
      </c>
      <c r="Y183" s="13">
        <f t="shared" si="17"/>
        <v>65.4285714285714</v>
      </c>
      <c r="Z183" s="19"/>
    </row>
    <row r="184" ht="15.6" spans="1:26">
      <c r="A184" s="27">
        <v>311</v>
      </c>
      <c r="B184" s="27">
        <v>54</v>
      </c>
      <c r="C184" s="28" t="s">
        <v>571</v>
      </c>
      <c r="D184" s="28" t="s">
        <v>46</v>
      </c>
      <c r="E184" s="27">
        <v>15.5</v>
      </c>
      <c r="F184" s="29">
        <f>LOOKUP(E184,{0,1.5,2.3,3.1,3.9,4.7,5.5,6.8,8.1,9.4,10.7,12,13.3,14.6,15.9,17.2,18.5,20.2,21.9,23.6,25.3},{0,10,20,30,40,50,60,62,64,66,68,70,72,74,76,78,80,85,90,95,100})</f>
        <v>74</v>
      </c>
      <c r="G184" s="27">
        <v>175</v>
      </c>
      <c r="H184" s="29">
        <f>LOOKUP(G184,{0,125,130,135,140,145,150,153,156,159,162,165,168,171,174,177,180,187,194,200,206},{0,10,20,30,40,50,60,62,64,66,68,70,72,74,76,78,80,85,90,95,100})</f>
        <v>76</v>
      </c>
      <c r="I184" s="27">
        <v>45</v>
      </c>
      <c r="J184" s="29">
        <f>LOOKUP(I184,{0,15,17,19,21,23,25,27,29,31,33,35,37,39,41,43,45,48,51,53,55},{0,10,20,30,40,50,60,62,64,66,68,70,72,74,76,78,80,85,90,95,100})</f>
        <v>80</v>
      </c>
      <c r="K184" s="35"/>
      <c r="L184" s="35"/>
      <c r="M184" s="35">
        <f t="shared" si="12"/>
        <v>80</v>
      </c>
      <c r="N184" s="35">
        <v>10.6</v>
      </c>
      <c r="O184" s="36">
        <f t="shared" si="13"/>
        <v>7.4</v>
      </c>
      <c r="P184" s="29">
        <f>LOOKUP(O184,{0,6.6,6.8,7,7.2,7.4,7.6,7.8,8,8.2,8.4,8.6,8.8,9,9.2,9.4,9.6,9.9,10.2,10.3,10.4},{0,10,20,30,40,50,60,62,64,66,68,70,72,74,76,78,80,85,90,95,100})</f>
        <v>50</v>
      </c>
      <c r="Q184" s="5">
        <v>4.26</v>
      </c>
      <c r="R184" s="36">
        <f t="shared" si="14"/>
        <v>5.74</v>
      </c>
      <c r="S184" s="29">
        <f>LOOKUP(R184,{0,4.74,4.84,4.94,5.44,5.54,5.64,5.69,5.74,5.79,5.84,5.89,5.94,5.99,6.44,6.49,6.54,6.61,6.68,6.74,6.8},{0,10,20,30,40,50,60,62,64,66,68,70,72,74,76,78,80,85,90,95,100})</f>
        <v>64</v>
      </c>
      <c r="T184" s="27"/>
      <c r="U184" s="27"/>
      <c r="V184" s="27">
        <f t="shared" si="15"/>
        <v>64</v>
      </c>
      <c r="W184" s="27"/>
      <c r="X184" s="19">
        <f t="shared" si="16"/>
        <v>45.8</v>
      </c>
      <c r="Y184" s="13">
        <f t="shared" si="17"/>
        <v>65.4285714285714</v>
      </c>
      <c r="Z184" s="19"/>
    </row>
    <row r="185" ht="15.6" spans="1:26">
      <c r="A185" s="27">
        <v>315</v>
      </c>
      <c r="B185" s="27">
        <v>28</v>
      </c>
      <c r="C185" s="28" t="s">
        <v>762</v>
      </c>
      <c r="D185" s="28" t="s">
        <v>46</v>
      </c>
      <c r="E185" s="27">
        <v>12.5</v>
      </c>
      <c r="F185" s="29">
        <f>LOOKUP(E185,{0,1.5,2.3,3.1,3.9,4.7,5.5,6.8,8.1,9.4,10.7,12,13.3,14.6,15.9,17.2,18.5,20.2,21.9,23.6,25.3},{0,10,20,30,40,50,60,62,64,66,68,70,72,74,76,78,80,85,90,95,100})</f>
        <v>70</v>
      </c>
      <c r="G185" s="27">
        <v>168</v>
      </c>
      <c r="H185" s="29">
        <f>LOOKUP(G185,{0,125,130,135,140,145,150,153,156,159,162,165,168,171,174,177,180,187,194,200,206},{0,10,20,30,40,50,60,62,64,66,68,70,72,74,76,78,80,85,90,95,100})</f>
        <v>72</v>
      </c>
      <c r="I185" s="27">
        <v>30</v>
      </c>
      <c r="J185" s="29">
        <f>LOOKUP(I185,{0,15,17,19,21,23,25,27,29,31,33,35,37,39,41,43,45,48,51,53,55},{0,10,20,30,40,50,60,62,64,66,68,70,72,74,76,78,80,85,90,95,100})</f>
        <v>64</v>
      </c>
      <c r="K185" s="35"/>
      <c r="L185" s="35"/>
      <c r="M185" s="35">
        <f t="shared" si="12"/>
        <v>64</v>
      </c>
      <c r="N185" s="35">
        <v>10.2</v>
      </c>
      <c r="O185" s="36">
        <f t="shared" si="13"/>
        <v>7.8</v>
      </c>
      <c r="P185" s="29">
        <f>LOOKUP(O185,{0,6.6,6.8,7,7.2,7.4,7.6,7.8,8,8.2,8.4,8.6,8.8,9,9.2,9.4,9.6,9.9,10.2,10.3,10.4},{0,10,20,30,40,50,60,62,64,66,68,70,72,74,76,78,80,85,90,95,100})</f>
        <v>62</v>
      </c>
      <c r="Q185" s="5">
        <v>4.24</v>
      </c>
      <c r="R185" s="36">
        <f t="shared" si="14"/>
        <v>5.76</v>
      </c>
      <c r="S185" s="29">
        <f>LOOKUP(R185,{0,4.74,4.84,4.94,5.44,5.54,5.64,5.69,5.74,5.79,5.84,5.89,5.94,5.99,6.44,6.49,6.54,6.61,6.68,6.74,6.8},{0,10,20,30,40,50,60,62,64,66,68,70,72,74,76,78,80,85,90,95,100})</f>
        <v>64</v>
      </c>
      <c r="T185" s="27"/>
      <c r="U185" s="27"/>
      <c r="V185" s="27">
        <f t="shared" si="15"/>
        <v>64</v>
      </c>
      <c r="W185" s="27"/>
      <c r="X185" s="19">
        <f t="shared" si="16"/>
        <v>45.8</v>
      </c>
      <c r="Y185" s="13">
        <f t="shared" si="17"/>
        <v>65.4285714285714</v>
      </c>
      <c r="Z185" s="19"/>
    </row>
    <row r="186" ht="15.6" spans="1:26">
      <c r="A186" s="27">
        <v>316</v>
      </c>
      <c r="B186" s="27">
        <v>41</v>
      </c>
      <c r="C186" s="30" t="s">
        <v>832</v>
      </c>
      <c r="D186" s="28" t="s">
        <v>46</v>
      </c>
      <c r="E186" s="27">
        <v>22</v>
      </c>
      <c r="F186" s="29">
        <f>LOOKUP(E186,{0,1.5,2.3,3.1,3.9,4.7,5.5,6.8,8.1,9.4,10.7,12,13.3,14.6,15.9,17.2,18.5,20.2,21.9,23.6,25.3},{0,10,20,30,40,50,60,62,64,66,68,70,72,74,76,78,80,85,90,95,100})</f>
        <v>90</v>
      </c>
      <c r="G186" s="27">
        <v>165</v>
      </c>
      <c r="H186" s="29">
        <f>LOOKUP(G186,{0,125,130,135,140,145,150,153,156,159,162,165,168,171,174,177,180,187,194,200,206},{0,10,20,30,40,50,60,62,64,66,68,70,72,74,76,78,80,85,90,95,100})</f>
        <v>70</v>
      </c>
      <c r="I186" s="27">
        <v>20</v>
      </c>
      <c r="J186" s="29">
        <f>LOOKUP(I186,{0,15,17,19,21,23,25,27,29,31,33,35,37,39,41,43,45,48,51,53,55},{0,10,20,30,40,50,60,62,64,66,68,70,72,74,76,78,80,85,90,95,100})</f>
        <v>30</v>
      </c>
      <c r="K186" s="35"/>
      <c r="L186" s="35"/>
      <c r="M186" s="35">
        <f t="shared" si="12"/>
        <v>30</v>
      </c>
      <c r="N186" s="35">
        <v>9.8</v>
      </c>
      <c r="O186" s="36">
        <f t="shared" si="13"/>
        <v>8.2</v>
      </c>
      <c r="P186" s="29">
        <f>LOOKUP(O186,{0,6.6,6.8,7,7.2,7.4,7.6,7.8,8,8.2,8.4,8.6,8.8,9,9.2,9.4,9.6,9.9,10.2,10.3,10.4},{0,10,20,30,40,50,60,62,64,66,68,70,72,74,76,78,80,85,90,95,100})</f>
        <v>66</v>
      </c>
      <c r="Q186" s="5">
        <v>4.12</v>
      </c>
      <c r="R186" s="36">
        <f t="shared" si="14"/>
        <v>5.88</v>
      </c>
      <c r="S186" s="29">
        <f>LOOKUP(R186,{0,4.74,4.84,4.94,5.44,5.54,5.64,5.69,5.74,5.79,5.84,5.89,5.94,5.99,6.44,6.49,6.54,6.61,6.68,6.74,6.8},{0,10,20,30,40,50,60,62,64,66,68,70,72,74,76,78,80,85,90,95,100})</f>
        <v>68</v>
      </c>
      <c r="T186" s="27"/>
      <c r="U186" s="27"/>
      <c r="V186" s="27">
        <f t="shared" si="15"/>
        <v>68</v>
      </c>
      <c r="W186" s="27"/>
      <c r="X186" s="19">
        <f t="shared" si="16"/>
        <v>45.8</v>
      </c>
      <c r="Y186" s="13">
        <f t="shared" si="17"/>
        <v>65.4285714285714</v>
      </c>
      <c r="Z186" s="19"/>
    </row>
    <row r="187" ht="15.6" spans="1:26">
      <c r="A187" s="27">
        <v>303</v>
      </c>
      <c r="B187" s="27">
        <v>44</v>
      </c>
      <c r="C187" s="27" t="s">
        <v>146</v>
      </c>
      <c r="D187" s="27" t="s">
        <v>46</v>
      </c>
      <c r="E187" s="27">
        <v>14</v>
      </c>
      <c r="F187" s="29">
        <f>LOOKUP(E187,{0,1.5,2.3,3.1,3.9,4.7,5.5,6.8,8.1,9.4,10.7,12,13.3,14.6,15.9,17.2,18.5,20.2,21.9,23.6,25.3},{0,10,20,30,40,50,60,62,64,66,68,70,72,74,76,78,80,85,90,95,100})</f>
        <v>72</v>
      </c>
      <c r="G187" s="27">
        <v>160</v>
      </c>
      <c r="H187" s="29">
        <f>LOOKUP(G187,{0,125,130,135,140,145,150,153,156,159,162,165,168,171,174,177,180,187,194,200,206},{0,10,20,30,40,50,60,62,64,66,68,70,72,74,76,78,80,85,90,95,100})</f>
        <v>66</v>
      </c>
      <c r="I187" s="27">
        <v>36</v>
      </c>
      <c r="J187" s="29">
        <f>LOOKUP(I187,{0,15,17,19,21,23,25,27,29,31,33,35,37,39,41,43,45,48,51,53,55},{0,10,20,30,40,50,60,62,64,66,68,70,72,74,76,78,80,85,90,95,100})</f>
        <v>70</v>
      </c>
      <c r="K187" s="35"/>
      <c r="L187" s="35"/>
      <c r="M187" s="35">
        <f t="shared" si="12"/>
        <v>70</v>
      </c>
      <c r="N187" s="35">
        <v>9</v>
      </c>
      <c r="O187" s="36">
        <f t="shared" si="13"/>
        <v>9</v>
      </c>
      <c r="P187" s="29">
        <f>LOOKUP(O187,{0,6.6,6.8,7,7.2,7.4,7.6,7.8,8,8.2,8.4,8.6,8.8,9,9.2,9.4,9.6,9.9,10.2,10.3,10.4},{0,10,20,30,40,50,60,62,64,66,68,70,72,74,76,78,80,85,90,95,100})</f>
        <v>74</v>
      </c>
      <c r="Q187" s="5">
        <v>4.44</v>
      </c>
      <c r="R187" s="36">
        <f t="shared" si="14"/>
        <v>5.56</v>
      </c>
      <c r="S187" s="29">
        <f>LOOKUP(R187,{0,4.74,4.84,4.94,5.44,5.54,5.64,5.69,5.74,5.79,5.84,5.89,5.94,5.99,6.44,6.49,6.54,6.61,6.68,6.74,6.8},{0,10,20,30,40,50,60,62,64,66,68,70,72,74,76,78,80,85,90,95,100})</f>
        <v>50</v>
      </c>
      <c r="T187" s="27"/>
      <c r="U187" s="27"/>
      <c r="V187" s="27">
        <f t="shared" si="15"/>
        <v>50</v>
      </c>
      <c r="W187" s="27"/>
      <c r="X187" s="19">
        <f t="shared" si="16"/>
        <v>45.6</v>
      </c>
      <c r="Y187" s="13">
        <f t="shared" si="17"/>
        <v>65.1428571428572</v>
      </c>
      <c r="Z187" s="20"/>
    </row>
    <row r="188" ht="15.6" spans="1:26">
      <c r="A188" s="27">
        <v>308</v>
      </c>
      <c r="B188" s="27">
        <v>44</v>
      </c>
      <c r="C188" s="28" t="s">
        <v>399</v>
      </c>
      <c r="D188" s="28" t="s">
        <v>46</v>
      </c>
      <c r="E188" s="27">
        <v>21.7</v>
      </c>
      <c r="F188" s="29">
        <f>LOOKUP(E188,{0,1.5,2.3,3.1,3.9,4.7,5.5,6.8,8.1,9.4,10.7,12,13.3,14.6,15.9,17.2,18.5,20.2,21.9,23.6,25.3},{0,10,20,30,40,50,60,62,64,66,68,70,72,74,76,78,80,85,90,95,100})</f>
        <v>85</v>
      </c>
      <c r="G188" s="27">
        <v>162</v>
      </c>
      <c r="H188" s="29">
        <f>LOOKUP(G188,{0,125,130,135,140,145,150,153,156,159,162,165,168,171,174,177,180,187,194,200,206},{0,10,20,30,40,50,60,62,64,66,68,70,72,74,76,78,80,85,90,95,100})</f>
        <v>68</v>
      </c>
      <c r="I188" s="27">
        <v>58</v>
      </c>
      <c r="J188" s="29">
        <f>LOOKUP(I188,{0,15,17,19,21,23,25,27,29,31,33,35,37,39,41,43,45,48,51,53,55},{0,10,20,30,40,50,60,62,64,66,68,70,72,74,76,78,80,85,90,95,100})</f>
        <v>100</v>
      </c>
      <c r="K188" s="34">
        <f>I188-55</f>
        <v>3</v>
      </c>
      <c r="L188" s="40">
        <f>LOOKUP(K188,{0,2,4,6,7,8,9,10,11,12,13},{0,1,2,3,4,5,6,7,8,9,10})</f>
        <v>1</v>
      </c>
      <c r="M188" s="35">
        <f t="shared" si="12"/>
        <v>101</v>
      </c>
      <c r="N188" s="35">
        <v>9.6</v>
      </c>
      <c r="O188" s="36">
        <f t="shared" si="13"/>
        <v>8.4</v>
      </c>
      <c r="P188" s="29">
        <f>LOOKUP(O188,{0,6.6,6.8,7,7.2,7.4,7.6,7.8,8,8.2,8.4,8.6,8.8,9,9.2,9.4,9.6,9.9,10.2,10.3,10.4},{0,10,20,30,40,50,60,62,64,66,68,70,72,74,76,78,80,85,90,95,100})</f>
        <v>68</v>
      </c>
      <c r="Q188" s="5">
        <v>4.57</v>
      </c>
      <c r="R188" s="36">
        <f t="shared" si="14"/>
        <v>5.43</v>
      </c>
      <c r="S188" s="29">
        <f>LOOKUP(R188,{0,4.74,4.84,4.94,5.44,5.54,5.64,5.69,5.74,5.79,5.84,5.89,5.94,5.99,6.44,6.49,6.54,6.61,6.68,6.74,6.8},{0,10,20,30,40,50,60,62,64,66,68,70,72,74,76,78,80,85,90,95,100})</f>
        <v>30</v>
      </c>
      <c r="T188" s="27"/>
      <c r="U188" s="27"/>
      <c r="V188" s="27">
        <f t="shared" si="15"/>
        <v>30</v>
      </c>
      <c r="W188" s="27"/>
      <c r="X188" s="19">
        <f t="shared" si="16"/>
        <v>44.9</v>
      </c>
      <c r="Y188" s="13">
        <f t="shared" si="17"/>
        <v>65.1428571428572</v>
      </c>
      <c r="Z188" s="19"/>
    </row>
    <row r="189" ht="15.6" spans="1:26">
      <c r="A189" s="27">
        <v>313</v>
      </c>
      <c r="B189" s="27">
        <v>40</v>
      </c>
      <c r="C189" s="28" t="s">
        <v>670</v>
      </c>
      <c r="D189" s="28" t="s">
        <v>46</v>
      </c>
      <c r="E189" s="27">
        <v>14.5</v>
      </c>
      <c r="F189" s="29">
        <f>LOOKUP(E189,{0,1.5,2.3,3.1,3.9,4.7,5.5,6.8,8.1,9.4,10.7,12,13.3,14.6,15.9,17.2,18.5,20.2,21.9,23.6,25.3},{0,10,20,30,40,50,60,62,64,66,68,70,72,74,76,78,80,85,90,95,100})</f>
        <v>72</v>
      </c>
      <c r="G189" s="27">
        <v>145</v>
      </c>
      <c r="H189" s="29">
        <f>LOOKUP(G189,{0,125,130,135,140,145,150,153,156,159,162,165,168,171,174,177,180,187,194,200,206},{0,10,20,30,40,50,60,62,64,66,68,70,72,74,76,78,80,85,90,95,100})</f>
        <v>50</v>
      </c>
      <c r="I189" s="27">
        <v>38</v>
      </c>
      <c r="J189" s="29">
        <f>LOOKUP(I189,{0,15,17,19,21,23,25,27,29,31,33,35,37,39,41,43,45,48,51,53,55},{0,10,20,30,40,50,60,62,64,66,68,70,72,74,76,78,80,85,90,95,100})</f>
        <v>72</v>
      </c>
      <c r="K189" s="35"/>
      <c r="L189" s="35"/>
      <c r="M189" s="35">
        <f t="shared" ref="M188:M224" si="18">J189+L189</f>
        <v>72</v>
      </c>
      <c r="N189" s="35">
        <v>10.3</v>
      </c>
      <c r="O189" s="36">
        <f t="shared" ref="O188:O250" si="19">18-N189</f>
        <v>7.7</v>
      </c>
      <c r="P189" s="29">
        <f>LOOKUP(O189,{0,6.6,6.8,7,7.2,7.4,7.6,7.8,8,8.2,8.4,8.6,8.8,9,9.2,9.4,9.6,9.9,10.2,10.3,10.4},{0,10,20,30,40,50,60,62,64,66,68,70,72,74,76,78,80,85,90,95,100})</f>
        <v>60</v>
      </c>
      <c r="Q189" s="5">
        <v>4.09</v>
      </c>
      <c r="R189" s="36">
        <f t="shared" ref="R188:R237" si="20">10-Q189</f>
        <v>5.91</v>
      </c>
      <c r="S189" s="29">
        <f>LOOKUP(R189,{0,4.74,4.84,4.94,5.44,5.54,5.64,5.69,5.74,5.79,5.84,5.89,5.94,5.99,6.44,6.49,6.54,6.61,6.68,6.74,6.8},{0,10,20,30,40,50,60,62,64,66,68,70,72,74,76,78,80,85,90,95,100})</f>
        <v>70</v>
      </c>
      <c r="T189" s="27"/>
      <c r="U189" s="27"/>
      <c r="V189" s="27">
        <f t="shared" ref="V188:V237" si="21">S189+U189</f>
        <v>70</v>
      </c>
      <c r="W189" s="27"/>
      <c r="X189" s="19">
        <f t="shared" ref="X188:X252" si="22">F189*0.1+H189*0.1+J189*0.1+P189*0.2+S189*0.2</f>
        <v>45.4</v>
      </c>
      <c r="Y189" s="13">
        <f t="shared" ref="Y188:Y252" si="23">X189/0.7+L189+U189</f>
        <v>64.8571428571429</v>
      </c>
      <c r="Z189" s="19"/>
    </row>
    <row r="190" ht="15.6" spans="1:26">
      <c r="A190" s="27">
        <v>313</v>
      </c>
      <c r="B190" s="27">
        <v>31</v>
      </c>
      <c r="C190" s="28" t="s">
        <v>660</v>
      </c>
      <c r="D190" s="28" t="s">
        <v>46</v>
      </c>
      <c r="E190" s="27">
        <v>12</v>
      </c>
      <c r="F190" s="29">
        <f>LOOKUP(E190,{0,1.5,2.3,3.1,3.9,4.7,5.5,6.8,8.1,9.4,10.7,12,13.3,14.6,15.9,17.2,18.5,20.2,21.9,23.6,25.3},{0,10,20,30,40,50,60,62,64,66,68,70,72,74,76,78,80,85,90,95,100})</f>
        <v>70</v>
      </c>
      <c r="G190" s="27">
        <v>165</v>
      </c>
      <c r="H190" s="29">
        <f>LOOKUP(G190,{0,125,130,135,140,145,150,153,156,159,162,165,168,171,174,177,180,187,194,200,206},{0,10,20,30,40,50,60,62,64,66,68,70,72,74,76,78,80,85,90,95,100})</f>
        <v>70</v>
      </c>
      <c r="I190" s="27">
        <v>47</v>
      </c>
      <c r="J190" s="29">
        <f>LOOKUP(I190,{0,15,17,19,21,23,25,27,29,31,33,35,37,39,41,43,45,48,51,53,55},{0,10,20,30,40,50,60,62,64,66,68,70,72,74,76,78,80,85,90,95,100})</f>
        <v>80</v>
      </c>
      <c r="K190" s="35"/>
      <c r="L190" s="35"/>
      <c r="M190" s="35">
        <f t="shared" si="18"/>
        <v>80</v>
      </c>
      <c r="N190" s="35">
        <v>9.7</v>
      </c>
      <c r="O190" s="36">
        <f t="shared" si="19"/>
        <v>8.3</v>
      </c>
      <c r="P190" s="29">
        <f>LOOKUP(O190,{0,6.6,6.8,7,7.2,7.4,7.6,7.8,8,8.2,8.4,8.6,8.8,9,9.2,9.4,9.6,9.9,10.2,10.3,10.4},{0,10,20,30,40,50,60,62,64,66,68,70,72,74,76,78,80,85,90,95,100})</f>
        <v>66</v>
      </c>
      <c r="Q190" s="5">
        <v>4.39</v>
      </c>
      <c r="R190" s="36">
        <f t="shared" si="20"/>
        <v>5.61</v>
      </c>
      <c r="S190" s="29">
        <f>LOOKUP(R190,{0,4.74,4.84,4.94,5.44,5.54,5.64,5.69,5.74,5.79,5.84,5.89,5.94,5.99,6.44,6.49,6.54,6.61,6.68,6.74,6.8},{0,10,20,30,40,50,60,62,64,66,68,70,72,74,76,78,80,85,90,95,100})</f>
        <v>50</v>
      </c>
      <c r="T190" s="27"/>
      <c r="U190" s="27"/>
      <c r="V190" s="27">
        <f t="shared" si="21"/>
        <v>50</v>
      </c>
      <c r="W190" s="27"/>
      <c r="X190" s="19">
        <f t="shared" si="22"/>
        <v>45.2</v>
      </c>
      <c r="Y190" s="13">
        <f t="shared" si="23"/>
        <v>64.5714285714286</v>
      </c>
      <c r="Z190" s="19"/>
    </row>
    <row r="191" ht="15.6" spans="1:26">
      <c r="A191" s="27">
        <v>306</v>
      </c>
      <c r="B191" s="27">
        <v>40</v>
      </c>
      <c r="C191" s="28" t="s">
        <v>284</v>
      </c>
      <c r="D191" s="28" t="s">
        <v>46</v>
      </c>
      <c r="E191" s="27">
        <v>13</v>
      </c>
      <c r="F191" s="29">
        <f>LOOKUP(E191,{0,1.5,2.3,3.1,3.9,4.7,5.5,6.8,8.1,9.4,10.7,12,13.3,14.6,15.9,17.2,18.5,20.2,21.9,23.6,25.3},{0,10,20,30,40,50,60,62,64,66,68,70,72,74,76,78,80,85,90,95,100})</f>
        <v>70</v>
      </c>
      <c r="G191" s="27">
        <v>140</v>
      </c>
      <c r="H191" s="29">
        <f>LOOKUP(G191,{0,125,130,135,140,145,150,153,156,159,162,165,168,171,174,177,180,187,194,200,206},{0,10,20,30,40,50,60,62,64,66,68,70,72,74,76,78,80,85,90,95,100})</f>
        <v>40</v>
      </c>
      <c r="I191" s="27">
        <v>34</v>
      </c>
      <c r="J191" s="29">
        <f>LOOKUP(I191,{0,15,17,19,21,23,25,27,29,31,33,35,37,39,41,43,45,48,51,53,55},{0,10,20,30,40,50,60,62,64,66,68,70,72,74,76,78,80,85,90,95,100})</f>
        <v>68</v>
      </c>
      <c r="K191" s="35"/>
      <c r="L191" s="35"/>
      <c r="M191" s="35">
        <f t="shared" si="18"/>
        <v>68</v>
      </c>
      <c r="N191" s="35">
        <v>9.7</v>
      </c>
      <c r="O191" s="36">
        <f t="shared" si="19"/>
        <v>8.3</v>
      </c>
      <c r="P191" s="29">
        <f>LOOKUP(O191,{0,6.6,6.8,7,7.2,7.4,7.6,7.8,8,8.2,8.4,8.6,8.8,9,9.2,9.4,9.6,9.9,10.2,10.3,10.4},{0,10,20,30,40,50,60,62,64,66,68,70,72,74,76,78,80,85,90,95,100})</f>
        <v>66</v>
      </c>
      <c r="Q191" s="5">
        <v>4.09</v>
      </c>
      <c r="R191" s="36">
        <f t="shared" si="20"/>
        <v>5.91</v>
      </c>
      <c r="S191" s="29">
        <f>LOOKUP(R191,{0,4.74,4.84,4.94,5.44,5.54,5.64,5.69,5.74,5.79,5.84,5.89,5.94,5.99,6.44,6.49,6.54,6.61,6.68,6.74,6.8},{0,10,20,30,40,50,60,62,64,66,68,70,72,74,76,78,80,85,90,95,100})</f>
        <v>70</v>
      </c>
      <c r="T191" s="27"/>
      <c r="U191" s="27"/>
      <c r="V191" s="27">
        <f t="shared" si="21"/>
        <v>70</v>
      </c>
      <c r="W191" s="27"/>
      <c r="X191" s="19">
        <f t="shared" si="22"/>
        <v>45</v>
      </c>
      <c r="Y191" s="13">
        <f t="shared" si="23"/>
        <v>64.2857142857143</v>
      </c>
      <c r="Z191" s="19"/>
    </row>
    <row r="192" ht="15.6" spans="1:26">
      <c r="A192" s="27">
        <v>307</v>
      </c>
      <c r="B192" s="27">
        <v>34</v>
      </c>
      <c r="C192" s="28" t="s">
        <v>335</v>
      </c>
      <c r="D192" s="28" t="s">
        <v>46</v>
      </c>
      <c r="E192" s="27">
        <v>30</v>
      </c>
      <c r="F192" s="29">
        <f>LOOKUP(E192,{0,1.5,2.3,3.1,3.9,4.7,5.5,6.8,8.1,9.4,10.7,12,13.3,14.6,15.9,17.2,18.5,20.2,21.9,23.6,25.3},{0,10,20,30,40,50,60,62,64,66,68,70,72,74,76,78,80,85,90,95,100})</f>
        <v>100</v>
      </c>
      <c r="G192" s="27">
        <v>192</v>
      </c>
      <c r="H192" s="29">
        <f>LOOKUP(G192,{0,125,130,135,140,145,150,153,156,159,162,165,168,171,174,177,180,187,194,200,206},{0,10,20,30,40,50,60,62,64,66,68,70,72,74,76,78,80,85,90,95,100})</f>
        <v>85</v>
      </c>
      <c r="I192" s="27">
        <v>42</v>
      </c>
      <c r="J192" s="29">
        <f>LOOKUP(I192,{0,15,17,19,21,23,25,27,29,31,33,35,37,39,41,43,45,48,51,53,55},{0,10,20,30,40,50,60,62,64,66,68,70,72,74,76,78,80,85,90,95,100})</f>
        <v>76</v>
      </c>
      <c r="K192" s="35"/>
      <c r="L192" s="35"/>
      <c r="M192" s="35">
        <f t="shared" si="18"/>
        <v>76</v>
      </c>
      <c r="N192" s="35">
        <v>8.9</v>
      </c>
      <c r="O192" s="36">
        <f t="shared" si="19"/>
        <v>9.1</v>
      </c>
      <c r="P192" s="29">
        <f>LOOKUP(O192,{0,6.6,6.8,7,7.2,7.4,7.6,7.8,8,8.2,8.4,8.6,8.8,9,9.2,9.4,9.6,9.9,10.2,10.3,10.4},{0,10,20,30,40,50,60,62,64,66,68,70,72,74,76,78,80,85,90,95,100})</f>
        <v>74</v>
      </c>
      <c r="Q192" s="5">
        <v>5.07</v>
      </c>
      <c r="R192" s="36">
        <f t="shared" si="20"/>
        <v>4.93</v>
      </c>
      <c r="S192" s="29">
        <f>LOOKUP(R192,{0,4.74,4.84,4.94,5.44,5.54,5.64,5.69,5.74,5.79,5.84,5.89,5.94,5.99,6.44,6.49,6.54,6.61,6.68,6.74,6.8},{0,10,20,30,40,50,60,62,64,66,68,70,72,74,76,78,80,85,90,95,100})</f>
        <v>20</v>
      </c>
      <c r="T192" s="27"/>
      <c r="U192" s="27"/>
      <c r="V192" s="27">
        <f t="shared" si="21"/>
        <v>20</v>
      </c>
      <c r="W192" s="27"/>
      <c r="X192" s="19">
        <f t="shared" si="22"/>
        <v>44.9</v>
      </c>
      <c r="Y192" s="13">
        <f t="shared" si="23"/>
        <v>64.1428571428572</v>
      </c>
      <c r="Z192" s="19"/>
    </row>
    <row r="193" ht="15.6" spans="1:26">
      <c r="A193" s="27">
        <v>308</v>
      </c>
      <c r="B193" s="27">
        <v>25</v>
      </c>
      <c r="C193" s="28" t="s">
        <v>378</v>
      </c>
      <c r="D193" s="28" t="s">
        <v>46</v>
      </c>
      <c r="E193" s="27">
        <v>28</v>
      </c>
      <c r="F193" s="29">
        <f>LOOKUP(E193,{0,1.5,2.3,3.1,3.9,4.7,5.5,6.8,8.1,9.4,10.7,12,13.3,14.6,15.9,17.2,18.5,20.2,21.9,23.6,25.3},{0,10,20,30,40,50,60,62,64,66,68,70,72,74,76,78,80,85,90,95,100})</f>
        <v>100</v>
      </c>
      <c r="G193" s="27">
        <v>190</v>
      </c>
      <c r="H193" s="29">
        <f>LOOKUP(G193,{0,125,130,135,140,145,150,153,156,159,162,165,168,171,174,177,180,187,194,200,206},{0,10,20,30,40,50,60,62,64,66,68,70,72,74,76,78,80,85,90,95,100})</f>
        <v>85</v>
      </c>
      <c r="I193" s="27">
        <v>45</v>
      </c>
      <c r="J193" s="29">
        <f>LOOKUP(I193,{0,15,17,19,21,23,25,27,29,31,33,35,37,39,41,43,45,48,51,53,55},{0,10,20,30,40,50,60,62,64,66,68,70,72,74,76,78,80,85,90,95,100})</f>
        <v>80</v>
      </c>
      <c r="K193" s="35"/>
      <c r="L193" s="35"/>
      <c r="M193" s="35">
        <f t="shared" si="18"/>
        <v>80</v>
      </c>
      <c r="N193" s="35">
        <v>9.1</v>
      </c>
      <c r="O193" s="36">
        <f t="shared" si="19"/>
        <v>8.9</v>
      </c>
      <c r="P193" s="29">
        <f>LOOKUP(O193,{0,6.6,6.8,7,7.2,7.4,7.6,7.8,8,8.2,8.4,8.6,8.8,9,9.2,9.4,9.6,9.9,10.2,10.3,10.4},{0,10,20,30,40,50,60,62,64,66,68,70,72,74,76,78,80,85,90,95,100})</f>
        <v>72</v>
      </c>
      <c r="Q193" s="5">
        <v>5.16</v>
      </c>
      <c r="R193" s="36">
        <f t="shared" si="20"/>
        <v>4.84</v>
      </c>
      <c r="S193" s="29">
        <f>LOOKUP(R193,{0,4.74,4.84,4.94,5.44,5.54,5.64,5.69,5.74,5.79,5.84,5.89,5.94,5.99,6.44,6.49,6.54,6.61,6.68,6.74,6.8},{0,10,20,30,40,50,60,62,64,66,68,70,72,74,76,78,80,85,90,95,100})</f>
        <v>20</v>
      </c>
      <c r="T193" s="27"/>
      <c r="U193" s="27"/>
      <c r="V193" s="27">
        <f t="shared" si="21"/>
        <v>20</v>
      </c>
      <c r="W193" s="27"/>
      <c r="X193" s="19">
        <f t="shared" si="22"/>
        <v>44.9</v>
      </c>
      <c r="Y193" s="13">
        <f t="shared" si="23"/>
        <v>64.1428571428571</v>
      </c>
      <c r="Z193" s="19"/>
    </row>
    <row r="194" ht="15.6" spans="1:26">
      <c r="A194" s="27">
        <v>308</v>
      </c>
      <c r="B194" s="27">
        <v>31</v>
      </c>
      <c r="C194" s="30" t="s">
        <v>385</v>
      </c>
      <c r="D194" s="28" t="s">
        <v>46</v>
      </c>
      <c r="E194" s="27">
        <v>24</v>
      </c>
      <c r="F194" s="29">
        <f>LOOKUP(E194,{0,1.5,2.3,3.1,3.9,4.7,5.5,6.8,8.1,9.4,10.7,12,13.3,14.6,15.9,17.2,18.5,20.2,21.9,23.6,25.3},{0,10,20,30,40,50,60,62,64,66,68,70,72,74,76,78,80,85,90,95,100})</f>
        <v>95</v>
      </c>
      <c r="G194" s="27">
        <v>188</v>
      </c>
      <c r="H194" s="29">
        <f>LOOKUP(G194,{0,125,130,135,140,145,150,153,156,159,162,165,168,171,174,177,180,187,194,200,206},{0,10,20,30,40,50,60,62,64,66,68,70,72,74,76,78,80,85,90,95,100})</f>
        <v>85</v>
      </c>
      <c r="I194" s="27">
        <v>46</v>
      </c>
      <c r="J194" s="29">
        <f>LOOKUP(I194,{0,15,17,19,21,23,25,27,29,31,33,35,37,39,41,43,45,48,51,53,55},{0,10,20,30,40,50,60,62,64,66,68,70,72,74,76,78,80,85,90,95,100})</f>
        <v>80</v>
      </c>
      <c r="K194" s="35"/>
      <c r="L194" s="35"/>
      <c r="M194" s="35">
        <f t="shared" si="18"/>
        <v>80</v>
      </c>
      <c r="N194" s="35">
        <v>8.9</v>
      </c>
      <c r="O194" s="36">
        <f t="shared" si="19"/>
        <v>9.1</v>
      </c>
      <c r="P194" s="29">
        <f>LOOKUP(O194,{0,6.6,6.8,7,7.2,7.4,7.6,7.8,8,8.2,8.4,8.6,8.8,9,9.2,9.4,9.6,9.9,10.2,10.3,10.4},{0,10,20,30,40,50,60,62,64,66,68,70,72,74,76,78,80,85,90,95,100})</f>
        <v>74</v>
      </c>
      <c r="Q194" s="5">
        <v>5.16</v>
      </c>
      <c r="R194" s="36">
        <f t="shared" si="20"/>
        <v>4.84</v>
      </c>
      <c r="S194" s="29">
        <f>LOOKUP(R194,{0,4.74,4.84,4.94,5.44,5.54,5.64,5.69,5.74,5.79,5.84,5.89,5.94,5.99,6.44,6.49,6.54,6.61,6.68,6.74,6.8},{0,10,20,30,40,50,60,62,64,66,68,70,72,74,76,78,80,85,90,95,100})</f>
        <v>20</v>
      </c>
      <c r="T194" s="27"/>
      <c r="U194" s="27"/>
      <c r="V194" s="27">
        <f t="shared" si="21"/>
        <v>20</v>
      </c>
      <c r="W194" s="27"/>
      <c r="X194" s="19">
        <f t="shared" si="22"/>
        <v>44.8</v>
      </c>
      <c r="Y194" s="13">
        <f t="shared" si="23"/>
        <v>64</v>
      </c>
      <c r="Z194" s="20"/>
    </row>
    <row r="195" ht="15.6" spans="1:26">
      <c r="A195" s="27">
        <v>308</v>
      </c>
      <c r="B195" s="27">
        <v>41</v>
      </c>
      <c r="C195" s="28" t="s">
        <v>396</v>
      </c>
      <c r="D195" s="28" t="s">
        <v>46</v>
      </c>
      <c r="E195" s="27">
        <v>12.3</v>
      </c>
      <c r="F195" s="29">
        <f>LOOKUP(E195,{0,1.5,2.3,3.1,3.9,4.7,5.5,6.8,8.1,9.4,10.7,12,13.3,14.6,15.9,17.2,18.5,20.2,21.9,23.6,25.3},{0,10,20,30,40,50,60,62,64,66,68,70,72,74,76,78,80,85,90,95,100})</f>
        <v>70</v>
      </c>
      <c r="G195" s="27">
        <v>177</v>
      </c>
      <c r="H195" s="29">
        <f>LOOKUP(G195,{0,125,130,135,140,145,150,153,156,159,162,165,168,171,174,177,180,187,194,200,206},{0,10,20,30,40,50,60,62,64,66,68,70,72,74,76,78,80,85,90,95,100})</f>
        <v>78</v>
      </c>
      <c r="I195" s="27">
        <v>46</v>
      </c>
      <c r="J195" s="29">
        <f>LOOKUP(I195,{0,15,17,19,21,23,25,27,29,31,33,35,37,39,41,43,45,48,51,53,55},{0,10,20,30,40,50,60,62,64,66,68,70,72,74,76,78,80,85,90,95,100})</f>
        <v>80</v>
      </c>
      <c r="K195" s="35"/>
      <c r="L195" s="35"/>
      <c r="M195" s="35">
        <f t="shared" si="18"/>
        <v>80</v>
      </c>
      <c r="N195" s="35">
        <v>9.4</v>
      </c>
      <c r="O195" s="36">
        <f t="shared" si="19"/>
        <v>8.6</v>
      </c>
      <c r="P195" s="29">
        <f>LOOKUP(O195,{0,6.6,6.8,7,7.2,7.4,7.6,7.8,8,8.2,8.4,8.6,8.8,9,9.2,9.4,9.6,9.9,10.2,10.3,10.4},{0,10,20,30,40,50,60,62,64,66,68,70,72,74,76,78,80,85,90,95,100})</f>
        <v>70</v>
      </c>
      <c r="Q195" s="5">
        <v>4.533</v>
      </c>
      <c r="R195" s="36">
        <f t="shared" si="20"/>
        <v>5.467</v>
      </c>
      <c r="S195" s="29">
        <f>LOOKUP(R195,{0,4.74,4.84,4.94,5.44,5.54,5.64,5.69,5.74,5.79,5.84,5.89,5.94,5.99,6.44,6.49,6.54,6.61,6.68,6.74,6.8},{0,10,20,30,40,50,60,62,64,66,68,70,72,74,76,78,80,85,90,95,100})</f>
        <v>40</v>
      </c>
      <c r="T195" s="27"/>
      <c r="U195" s="27"/>
      <c r="V195" s="27">
        <f t="shared" si="21"/>
        <v>40</v>
      </c>
      <c r="W195" s="27"/>
      <c r="X195" s="19">
        <f t="shared" si="22"/>
        <v>44.8</v>
      </c>
      <c r="Y195" s="13">
        <f t="shared" si="23"/>
        <v>64</v>
      </c>
      <c r="Z195" s="19"/>
    </row>
    <row r="196" ht="15.6" spans="1:26">
      <c r="A196" s="27">
        <v>314</v>
      </c>
      <c r="B196" s="27">
        <v>37</v>
      </c>
      <c r="C196" s="28" t="s">
        <v>720</v>
      </c>
      <c r="D196" s="28" t="s">
        <v>46</v>
      </c>
      <c r="E196" s="27">
        <v>20</v>
      </c>
      <c r="F196" s="29">
        <f>LOOKUP(E196,{0,1.5,2.3,3.1,3.9,4.7,5.5,6.8,8.1,9.4,10.7,12,13.3,14.6,15.9,17.2,18.5,20.2,21.9,23.6,25.3},{0,10,20,30,40,50,60,62,64,66,68,70,72,74,76,78,80,85,90,95,100})</f>
        <v>80</v>
      </c>
      <c r="G196" s="27">
        <v>175</v>
      </c>
      <c r="H196" s="29">
        <f>LOOKUP(G196,{0,125,130,135,140,145,150,153,156,159,162,165,168,171,174,177,180,187,194,200,206},{0,10,20,30,40,50,60,62,64,66,68,70,72,74,76,78,80,85,90,95,100})</f>
        <v>76</v>
      </c>
      <c r="I196" s="27">
        <v>0</v>
      </c>
      <c r="J196" s="29">
        <f>LOOKUP(I196,{0,15,17,19,21,23,25,27,29,31,33,35,37,39,41,43,45,48,51,53,55},{0,10,20,30,40,50,60,62,64,66,68,70,72,74,76,78,80,85,90,95,100})</f>
        <v>0</v>
      </c>
      <c r="K196" s="35"/>
      <c r="L196" s="35"/>
      <c r="M196" s="35">
        <f t="shared" si="18"/>
        <v>0</v>
      </c>
      <c r="N196" s="35">
        <v>8.4</v>
      </c>
      <c r="O196" s="36">
        <f t="shared" si="19"/>
        <v>9.6</v>
      </c>
      <c r="P196" s="29">
        <f>LOOKUP(O196,{0,6.6,6.8,7,7.2,7.4,7.6,7.8,8,8.2,8.4,8.6,8.8,9,9.2,9.4,9.6,9.9,10.2,10.3,10.4},{0,10,20,30,40,50,60,62,64,66,68,70,72,74,76,78,80,85,90,95,100})</f>
        <v>80</v>
      </c>
      <c r="Q196" s="5">
        <v>4.2</v>
      </c>
      <c r="R196" s="36">
        <f t="shared" si="20"/>
        <v>5.8</v>
      </c>
      <c r="S196" s="29">
        <f>LOOKUP(R196,{0,4.74,4.84,4.94,5.44,5.54,5.64,5.69,5.74,5.79,5.84,5.89,5.94,5.99,6.44,6.49,6.54,6.61,6.68,6.74,6.8},{0,10,20,30,40,50,60,62,64,66,68,70,72,74,76,78,80,85,90,95,100})</f>
        <v>66</v>
      </c>
      <c r="T196" s="27"/>
      <c r="U196" s="27"/>
      <c r="V196" s="27">
        <f t="shared" si="21"/>
        <v>66</v>
      </c>
      <c r="W196" s="27"/>
      <c r="X196" s="19">
        <f t="shared" si="22"/>
        <v>44.8</v>
      </c>
      <c r="Y196" s="13">
        <f t="shared" si="23"/>
        <v>64</v>
      </c>
      <c r="Z196" s="19"/>
    </row>
    <row r="197" ht="15.6" spans="1:26">
      <c r="A197" s="27">
        <v>308</v>
      </c>
      <c r="B197" s="27">
        <v>43</v>
      </c>
      <c r="C197" s="28" t="s">
        <v>398</v>
      </c>
      <c r="D197" s="28" t="s">
        <v>46</v>
      </c>
      <c r="E197" s="27">
        <v>15.7</v>
      </c>
      <c r="F197" s="29">
        <f>LOOKUP(E197,{0,1.5,2.3,3.1,3.9,4.7,5.5,6.8,8.1,9.4,10.7,12,13.3,14.6,15.9,17.2,18.5,20.2,21.9,23.6,25.3},{0,10,20,30,40,50,60,62,64,66,68,70,72,74,76,78,80,85,90,95,100})</f>
        <v>74</v>
      </c>
      <c r="G197" s="27">
        <v>143</v>
      </c>
      <c r="H197" s="29">
        <f>LOOKUP(G197,{0,125,130,135,140,145,150,153,156,159,162,165,168,171,174,177,180,187,194,200,206},{0,10,20,30,40,50,60,62,64,66,68,70,72,74,76,78,80,85,90,95,100})</f>
        <v>40</v>
      </c>
      <c r="I197" s="27">
        <v>48</v>
      </c>
      <c r="J197" s="29">
        <f>LOOKUP(I197,{0,15,17,19,21,23,25,27,29,31,33,35,37,39,41,43,45,48,51,53,55},{0,10,20,30,40,50,60,62,64,66,68,70,72,74,76,78,80,85,90,95,100})</f>
        <v>85</v>
      </c>
      <c r="K197" s="35"/>
      <c r="L197" s="35"/>
      <c r="M197" s="35">
        <f t="shared" si="18"/>
        <v>85</v>
      </c>
      <c r="N197" s="35">
        <v>10.1</v>
      </c>
      <c r="O197" s="36">
        <f t="shared" si="19"/>
        <v>7.9</v>
      </c>
      <c r="P197" s="29">
        <f>LOOKUP(O197,{0,6.6,6.8,7,7.2,7.4,7.6,7.8,8,8.2,8.4,8.6,8.8,9,9.2,9.4,9.6,9.9,10.2,10.3,10.4},{0,10,20,30,40,50,60,62,64,66,68,70,72,74,76,78,80,85,90,95,100})</f>
        <v>62</v>
      </c>
      <c r="Q197" s="5">
        <v>4.3</v>
      </c>
      <c r="R197" s="36">
        <f t="shared" si="20"/>
        <v>5.7</v>
      </c>
      <c r="S197" s="29">
        <f>LOOKUP(R197,{0,4.74,4.84,4.94,5.44,5.54,5.64,5.69,5.74,5.79,5.84,5.89,5.94,5.99,6.44,6.49,6.54,6.61,6.68,6.74,6.8},{0,10,20,30,40,50,60,62,64,66,68,70,72,74,76,78,80,85,90,95,100})</f>
        <v>62</v>
      </c>
      <c r="T197" s="27"/>
      <c r="U197" s="27"/>
      <c r="V197" s="27">
        <f t="shared" si="21"/>
        <v>62</v>
      </c>
      <c r="W197" s="27"/>
      <c r="X197" s="19">
        <f t="shared" si="22"/>
        <v>44.7</v>
      </c>
      <c r="Y197" s="13">
        <f t="shared" si="23"/>
        <v>63.8571428571429</v>
      </c>
      <c r="Z197" s="19"/>
    </row>
    <row r="198" ht="15.6" spans="1:26">
      <c r="A198" s="27">
        <v>308</v>
      </c>
      <c r="B198" s="27">
        <v>45</v>
      </c>
      <c r="C198" s="28" t="s">
        <v>400</v>
      </c>
      <c r="D198" s="28" t="s">
        <v>46</v>
      </c>
      <c r="E198" s="27">
        <v>12</v>
      </c>
      <c r="F198" s="29">
        <f>LOOKUP(E198,{0,1.5,2.3,3.1,3.9,4.7,5.5,6.8,8.1,9.4,10.7,12,13.3,14.6,15.9,17.2,18.5,20.2,21.9,23.6,25.3},{0,10,20,30,40,50,60,62,64,66,68,70,72,74,76,78,80,85,90,95,100})</f>
        <v>70</v>
      </c>
      <c r="G198" s="27">
        <v>168</v>
      </c>
      <c r="H198" s="29">
        <f>LOOKUP(G198,{0,125,130,135,140,145,150,153,156,159,162,165,168,171,174,177,180,187,194,200,206},{0,10,20,30,40,50,60,62,64,66,68,70,72,74,76,78,80,85,90,95,100})</f>
        <v>72</v>
      </c>
      <c r="I198" s="27">
        <v>50</v>
      </c>
      <c r="J198" s="29">
        <f>LOOKUP(I198,{0,15,17,19,21,23,25,27,29,31,33,35,37,39,41,43,45,48,51,53,55},{0,10,20,30,40,50,60,62,64,66,68,70,72,74,76,78,80,85,90,95,100})</f>
        <v>85</v>
      </c>
      <c r="K198" s="35"/>
      <c r="L198" s="39"/>
      <c r="M198" s="35">
        <f t="shared" si="18"/>
        <v>85</v>
      </c>
      <c r="N198" s="35">
        <v>9.4</v>
      </c>
      <c r="O198" s="36">
        <f t="shared" si="19"/>
        <v>8.6</v>
      </c>
      <c r="P198" s="29">
        <f>LOOKUP(O198,{0,6.6,6.8,7,7.2,7.4,7.6,7.8,8,8.2,8.4,8.6,8.8,9,9.2,9.4,9.6,9.9,10.2,10.3,10.4},{0,10,20,30,40,50,60,62,64,66,68,70,72,74,76,78,80,85,90,95,100})</f>
        <v>70</v>
      </c>
      <c r="Q198" s="5">
        <v>4.56</v>
      </c>
      <c r="R198" s="36">
        <f t="shared" si="20"/>
        <v>5.44</v>
      </c>
      <c r="S198" s="29">
        <f>LOOKUP(R198,{0,4.74,4.84,4.94,5.44,5.54,5.64,5.69,5.74,5.79,5.84,5.89,5.94,5.99,6.44,6.49,6.54,6.61,6.68,6.74,6.8},{0,10,20,30,40,50,60,62,64,66,68,70,72,74,76,78,80,85,90,95,100})</f>
        <v>40</v>
      </c>
      <c r="T198" s="27"/>
      <c r="U198" s="27"/>
      <c r="V198" s="27">
        <f t="shared" si="21"/>
        <v>40</v>
      </c>
      <c r="W198" s="27"/>
      <c r="X198" s="19">
        <f t="shared" si="22"/>
        <v>44.7</v>
      </c>
      <c r="Y198" s="13">
        <f t="shared" si="23"/>
        <v>63.8571428571429</v>
      </c>
      <c r="Z198" s="19"/>
    </row>
    <row r="199" ht="15.6" spans="1:26">
      <c r="A199" s="27">
        <v>307</v>
      </c>
      <c r="B199" s="27">
        <v>40</v>
      </c>
      <c r="C199" s="28" t="s">
        <v>342</v>
      </c>
      <c r="D199" s="28" t="s">
        <v>46</v>
      </c>
      <c r="E199" s="27">
        <v>16.5</v>
      </c>
      <c r="F199" s="29">
        <f>LOOKUP(E199,{0,1.5,2.3,3.1,3.9,4.7,5.5,6.8,8.1,9.4,10.7,12,13.3,14.6,15.9,17.2,18.5,20.2,21.9,23.6,25.3},{0,10,20,30,40,50,60,62,64,66,68,70,72,74,76,78,80,85,90,95,100})</f>
        <v>76</v>
      </c>
      <c r="G199" s="27">
        <v>165</v>
      </c>
      <c r="H199" s="29">
        <f>LOOKUP(G199,{0,125,130,135,140,145,150,153,156,159,162,165,168,171,174,177,180,187,194,200,206},{0,10,20,30,40,50,60,62,64,66,68,70,72,74,76,78,80,85,90,95,100})</f>
        <v>70</v>
      </c>
      <c r="I199" s="27">
        <v>41</v>
      </c>
      <c r="J199" s="29">
        <f>LOOKUP(I199,{0,15,17,19,21,23,25,27,29,31,33,35,37,39,41,43,45,48,51,53,55},{0,10,20,30,40,50,60,62,64,66,68,70,72,74,76,78,80,85,90,95,100})</f>
        <v>76</v>
      </c>
      <c r="K199" s="35"/>
      <c r="L199" s="35"/>
      <c r="M199" s="35">
        <f t="shared" si="18"/>
        <v>76</v>
      </c>
      <c r="N199" s="35">
        <v>10.7</v>
      </c>
      <c r="O199" s="36">
        <f t="shared" si="19"/>
        <v>7.3</v>
      </c>
      <c r="P199" s="29">
        <f>LOOKUP(O199,{0,6.6,6.8,7,7.2,7.4,7.6,7.8,8,8.2,8.4,8.6,8.8,9,9.2,9.4,9.6,9.9,10.2,10.3,10.4},{0,10,20,30,40,50,60,62,64,66,68,70,72,74,76,78,80,85,90,95,100})</f>
        <v>40</v>
      </c>
      <c r="Q199" s="5">
        <v>4.06</v>
      </c>
      <c r="R199" s="36">
        <f t="shared" si="20"/>
        <v>5.94</v>
      </c>
      <c r="S199" s="29">
        <f>LOOKUP(R199,{0,4.74,4.84,4.94,5.44,5.54,5.64,5.69,5.74,5.79,5.84,5.89,5.94,5.99,6.44,6.49,6.54,6.61,6.68,6.74,6.8},{0,10,20,30,40,50,60,62,64,66,68,70,72,74,76,78,80,85,90,95,100})</f>
        <v>72</v>
      </c>
      <c r="T199" s="27"/>
      <c r="U199" s="27"/>
      <c r="V199" s="27">
        <f t="shared" si="21"/>
        <v>72</v>
      </c>
      <c r="W199" s="27"/>
      <c r="X199" s="19">
        <f t="shared" si="22"/>
        <v>44.6</v>
      </c>
      <c r="Y199" s="13">
        <f t="shared" si="23"/>
        <v>63.7142857142857</v>
      </c>
      <c r="Z199" s="19"/>
    </row>
    <row r="200" ht="15.6" spans="1:26">
      <c r="A200" s="27">
        <v>311</v>
      </c>
      <c r="B200" s="27">
        <v>53</v>
      </c>
      <c r="C200" s="27" t="s">
        <v>570</v>
      </c>
      <c r="D200" s="27" t="s">
        <v>46</v>
      </c>
      <c r="E200" s="27">
        <v>8.5</v>
      </c>
      <c r="F200" s="29">
        <f>LOOKUP(E200,{0,1.5,2.3,3.1,3.9,4.7,5.5,6.8,8.1,9.4,10.7,12,13.3,14.6,15.9,17.2,18.5,20.2,21.9,23.6,25.3},{0,10,20,30,40,50,60,62,64,66,68,70,72,74,76,78,80,85,90,95,100})</f>
        <v>64</v>
      </c>
      <c r="G200" s="27">
        <v>160</v>
      </c>
      <c r="H200" s="29">
        <f>LOOKUP(G200,{0,125,130,135,140,145,150,153,156,159,162,165,168,171,174,177,180,187,194,200,206},{0,10,20,30,40,50,60,62,64,66,68,70,72,74,76,78,80,85,90,95,100})</f>
        <v>66</v>
      </c>
      <c r="I200" s="27">
        <v>47</v>
      </c>
      <c r="J200" s="29">
        <f>LOOKUP(I200,{0,15,17,19,21,23,25,27,29,31,33,35,37,39,41,43,45,48,51,53,55},{0,10,20,30,40,50,60,62,64,66,68,70,72,74,76,78,80,85,90,95,100})</f>
        <v>80</v>
      </c>
      <c r="K200" s="35"/>
      <c r="L200" s="35"/>
      <c r="M200" s="35">
        <f t="shared" si="18"/>
        <v>80</v>
      </c>
      <c r="N200" s="35">
        <v>8.6</v>
      </c>
      <c r="O200" s="36">
        <f t="shared" si="19"/>
        <v>9.4</v>
      </c>
      <c r="P200" s="29">
        <f>LOOKUP(O200,{0,6.6,6.8,7,7.2,7.4,7.6,7.8,8,8.2,8.4,8.6,8.8,9,9.2,9.4,9.6,9.9,10.2,10.3,10.4},{0,10,20,30,40,50,60,62,64,66,68,70,72,74,76,78,80,85,90,95,100})</f>
        <v>78</v>
      </c>
      <c r="Q200" s="5">
        <v>4.55</v>
      </c>
      <c r="R200" s="36">
        <f t="shared" si="20"/>
        <v>5.45</v>
      </c>
      <c r="S200" s="29">
        <f>LOOKUP(R200,{0,4.74,4.84,4.94,5.44,5.54,5.64,5.69,5.74,5.79,5.84,5.89,5.94,5.99,6.44,6.49,6.54,6.61,6.68,6.74,6.8},{0,10,20,30,40,50,60,62,64,66,68,70,72,74,76,78,80,85,90,95,100})</f>
        <v>40</v>
      </c>
      <c r="T200" s="27"/>
      <c r="U200" s="27"/>
      <c r="V200" s="27">
        <f t="shared" si="21"/>
        <v>40</v>
      </c>
      <c r="W200" s="27"/>
      <c r="X200" s="19">
        <f t="shared" si="22"/>
        <v>44.6</v>
      </c>
      <c r="Y200" s="13">
        <f t="shared" si="23"/>
        <v>63.7142857142857</v>
      </c>
      <c r="Z200" s="19"/>
    </row>
    <row r="201" ht="15.6" spans="1:26">
      <c r="A201" s="27">
        <v>314</v>
      </c>
      <c r="B201" s="27">
        <v>7</v>
      </c>
      <c r="C201" s="30" t="s">
        <v>688</v>
      </c>
      <c r="D201" s="28" t="s">
        <v>46</v>
      </c>
      <c r="E201" s="27">
        <v>20</v>
      </c>
      <c r="F201" s="29">
        <f>LOOKUP(E201,{0,1.5,2.3,3.1,3.9,4.7,5.5,6.8,8.1,9.4,10.7,12,13.3,14.6,15.9,17.2,18.5,20.2,21.9,23.6,25.3},{0,10,20,30,40,50,60,62,64,66,68,70,72,74,76,78,80,85,90,95,100})</f>
        <v>80</v>
      </c>
      <c r="G201" s="27">
        <v>145</v>
      </c>
      <c r="H201" s="29">
        <f>LOOKUP(G201,{0,125,130,135,140,145,150,153,156,159,162,165,168,171,174,177,180,187,194,200,206},{0,10,20,30,40,50,60,62,64,66,68,70,72,74,76,78,80,85,90,95,100})</f>
        <v>50</v>
      </c>
      <c r="I201" s="27">
        <v>30</v>
      </c>
      <c r="J201" s="29">
        <f>LOOKUP(I201,{0,15,17,19,21,23,25,27,29,31,33,35,37,39,41,43,45,48,51,53,55},{0,10,20,30,40,50,60,62,64,66,68,70,72,74,76,78,80,85,90,95,100})</f>
        <v>64</v>
      </c>
      <c r="K201" s="35"/>
      <c r="L201" s="35"/>
      <c r="M201" s="35">
        <f t="shared" si="18"/>
        <v>64</v>
      </c>
      <c r="N201" s="35">
        <v>9.7</v>
      </c>
      <c r="O201" s="36">
        <f t="shared" si="19"/>
        <v>8.3</v>
      </c>
      <c r="P201" s="29">
        <f>LOOKUP(O201,{0,6.6,6.8,7,7.2,7.4,7.6,7.8,8,8.2,8.4,8.6,8.8,9,9.2,9.4,9.6,9.9,10.2,10.3,10.4},{0,10,20,30,40,50,60,62,64,66,68,70,72,74,76,78,80,85,90,95,100})</f>
        <v>66</v>
      </c>
      <c r="Q201" s="5">
        <v>4.34</v>
      </c>
      <c r="R201" s="36">
        <f t="shared" si="20"/>
        <v>5.66</v>
      </c>
      <c r="S201" s="29">
        <f>LOOKUP(R201,{0,4.74,4.84,4.94,5.44,5.54,5.64,5.69,5.74,5.79,5.84,5.89,5.94,5.99,6.44,6.49,6.54,6.61,6.68,6.74,6.8},{0,10,20,30,40,50,60,62,64,66,68,70,72,74,76,78,80,85,90,95,100})</f>
        <v>60</v>
      </c>
      <c r="T201" s="27"/>
      <c r="U201" s="27"/>
      <c r="V201" s="27">
        <f t="shared" si="21"/>
        <v>60</v>
      </c>
      <c r="W201" s="27"/>
      <c r="X201" s="19">
        <f t="shared" si="22"/>
        <v>44.6</v>
      </c>
      <c r="Y201" s="13">
        <f t="shared" si="23"/>
        <v>63.7142857142857</v>
      </c>
      <c r="Z201" s="19"/>
    </row>
    <row r="202" ht="15.6" spans="1:26">
      <c r="A202" s="27">
        <v>306</v>
      </c>
      <c r="B202" s="27">
        <v>50</v>
      </c>
      <c r="C202" s="28" t="s">
        <v>295</v>
      </c>
      <c r="D202" s="28" t="s">
        <v>46</v>
      </c>
      <c r="E202" s="27">
        <v>17</v>
      </c>
      <c r="F202" s="29">
        <f>LOOKUP(E202,{0,1.5,2.3,3.1,3.9,4.7,5.5,6.8,8.1,9.4,10.7,12,13.3,14.6,15.9,17.2,18.5,20.2,21.9,23.6,25.3},{0,10,20,30,40,50,60,62,64,66,68,70,72,74,76,78,80,85,90,95,100})</f>
        <v>76</v>
      </c>
      <c r="G202" s="27">
        <v>130</v>
      </c>
      <c r="H202" s="29">
        <f>LOOKUP(G202,{0,125,130,135,140,145,150,153,156,159,162,165,168,171,174,177,180,187,194,200,206},{0,10,20,30,40,50,60,62,64,66,68,70,72,74,76,78,80,85,90,95,100})</f>
        <v>20</v>
      </c>
      <c r="I202" s="27">
        <v>45</v>
      </c>
      <c r="J202" s="29">
        <f>LOOKUP(I202,{0,15,17,19,21,23,25,27,29,31,33,35,37,39,41,43,45,48,51,53,55},{0,10,20,30,40,50,60,62,64,66,68,70,72,74,76,78,80,85,90,95,100})</f>
        <v>80</v>
      </c>
      <c r="K202" s="35"/>
      <c r="L202" s="35"/>
      <c r="M202" s="35">
        <f t="shared" si="18"/>
        <v>80</v>
      </c>
      <c r="N202" s="35">
        <v>9.8</v>
      </c>
      <c r="O202" s="36">
        <f t="shared" si="19"/>
        <v>8.2</v>
      </c>
      <c r="P202" s="29">
        <f>LOOKUP(O202,{0,6.6,6.8,7,7.2,7.4,7.6,7.8,8,8.2,8.4,8.6,8.8,9,9.2,9.4,9.6,9.9,10.2,10.3,10.4},{0,10,20,30,40,50,60,62,64,66,68,70,72,74,76,78,80,85,90,95,100})</f>
        <v>66</v>
      </c>
      <c r="Q202" s="5">
        <v>4.13</v>
      </c>
      <c r="R202" s="36">
        <f t="shared" si="20"/>
        <v>5.87</v>
      </c>
      <c r="S202" s="29">
        <f>LOOKUP(R202,{0,4.74,4.84,4.94,5.44,5.54,5.64,5.69,5.74,5.79,5.84,5.89,5.94,5.99,6.44,6.49,6.54,6.61,6.68,6.74,6.8},{0,10,20,30,40,50,60,62,64,66,68,70,72,74,76,78,80,85,90,95,100})</f>
        <v>68</v>
      </c>
      <c r="T202" s="27"/>
      <c r="U202" s="27"/>
      <c r="V202" s="27">
        <f t="shared" si="21"/>
        <v>68</v>
      </c>
      <c r="W202" s="27"/>
      <c r="X202" s="19">
        <f t="shared" si="22"/>
        <v>44.4</v>
      </c>
      <c r="Y202" s="13">
        <f t="shared" si="23"/>
        <v>63.4285714285714</v>
      </c>
      <c r="Z202" s="20"/>
    </row>
    <row r="203" ht="15.6" spans="1:26">
      <c r="A203" s="27">
        <v>307</v>
      </c>
      <c r="B203" s="27">
        <v>28</v>
      </c>
      <c r="C203" s="30" t="s">
        <v>329</v>
      </c>
      <c r="D203" s="28" t="s">
        <v>46</v>
      </c>
      <c r="E203" s="27">
        <v>19</v>
      </c>
      <c r="F203" s="29">
        <f>LOOKUP(E203,{0,1.5,2.3,3.1,3.9,4.7,5.5,6.8,8.1,9.4,10.7,12,13.3,14.6,15.9,17.2,18.5,20.2,21.9,23.6,25.3},{0,10,20,30,40,50,60,62,64,66,68,70,72,74,76,78,80,85,90,95,100})</f>
        <v>80</v>
      </c>
      <c r="G203" s="27">
        <v>172</v>
      </c>
      <c r="H203" s="29">
        <f>LOOKUP(G203,{0,125,130,135,140,145,150,153,156,159,162,165,168,171,174,177,180,187,194,200,206},{0,10,20,30,40,50,60,62,64,66,68,70,72,74,76,78,80,85,90,95,100})</f>
        <v>74</v>
      </c>
      <c r="I203" s="27">
        <v>40</v>
      </c>
      <c r="J203" s="29">
        <f>LOOKUP(I203,{0,15,17,19,21,23,25,27,29,31,33,35,37,39,41,43,45,48,51,53,55},{0,10,20,30,40,50,60,62,64,66,68,70,72,74,76,78,80,85,90,95,100})</f>
        <v>74</v>
      </c>
      <c r="K203" s="35"/>
      <c r="L203" s="35"/>
      <c r="M203" s="35">
        <f t="shared" si="18"/>
        <v>74</v>
      </c>
      <c r="N203" s="35">
        <v>8.6</v>
      </c>
      <c r="O203" s="36">
        <f t="shared" si="19"/>
        <v>9.4</v>
      </c>
      <c r="P203" s="29">
        <f>LOOKUP(O203,{0,6.6,6.8,7,7.2,7.4,7.6,7.8,8,8.2,8.4,8.6,8.8,9,9.2,9.4,9.6,9.9,10.2,10.3,10.4},{0,10,20,30,40,50,60,62,64,66,68,70,72,74,76,78,80,85,90,95,100})</f>
        <v>78</v>
      </c>
      <c r="Q203" s="5">
        <v>5.06</v>
      </c>
      <c r="R203" s="36">
        <f t="shared" si="20"/>
        <v>4.94</v>
      </c>
      <c r="S203" s="29">
        <f>LOOKUP(R203,{0,4.74,4.84,4.94,5.44,5.54,5.64,5.69,5.74,5.79,5.84,5.89,5.94,5.99,6.44,6.49,6.54,6.61,6.68,6.74,6.8},{0,10,20,30,40,50,60,62,64,66,68,70,72,74,76,78,80,85,90,95,100})</f>
        <v>30</v>
      </c>
      <c r="T203" s="27"/>
      <c r="U203" s="27"/>
      <c r="V203" s="27">
        <f t="shared" si="21"/>
        <v>30</v>
      </c>
      <c r="W203" s="27"/>
      <c r="X203" s="19">
        <f t="shared" si="22"/>
        <v>44.4</v>
      </c>
      <c r="Y203" s="13">
        <f t="shared" si="23"/>
        <v>63.4285714285714</v>
      </c>
      <c r="Z203" s="19"/>
    </row>
    <row r="204" ht="15.6" spans="1:26">
      <c r="A204" s="27">
        <v>307</v>
      </c>
      <c r="B204" s="27">
        <v>46</v>
      </c>
      <c r="C204" s="28" t="s">
        <v>348</v>
      </c>
      <c r="D204" s="28" t="s">
        <v>46</v>
      </c>
      <c r="E204" s="27">
        <v>32</v>
      </c>
      <c r="F204" s="29">
        <f>LOOKUP(E204,{0,1.5,2.3,3.1,3.9,4.7,5.5,6.8,8.1,9.4,10.7,12,13.3,14.6,15.9,17.2,18.5,20.2,21.9,23.6,25.3},{0,10,20,30,40,50,60,62,64,66,68,70,72,74,76,78,80,85,90,95,100})</f>
        <v>100</v>
      </c>
      <c r="G204" s="27">
        <v>180</v>
      </c>
      <c r="H204" s="29">
        <f>LOOKUP(G204,{0,125,130,135,140,145,150,153,156,159,162,165,168,171,174,177,180,187,194,200,206},{0,10,20,30,40,50,60,62,64,66,68,70,72,74,76,78,80,85,90,95,100})</f>
        <v>80</v>
      </c>
      <c r="I204" s="27">
        <v>38</v>
      </c>
      <c r="J204" s="29">
        <f>LOOKUP(I204,{0,15,17,19,21,23,25,27,29,31,33,35,37,39,41,43,45,48,51,53,55},{0,10,20,30,40,50,60,62,64,66,68,70,72,74,76,78,80,85,90,95,100})</f>
        <v>72</v>
      </c>
      <c r="K204" s="35"/>
      <c r="L204" s="35"/>
      <c r="M204" s="35">
        <f t="shared" si="18"/>
        <v>72</v>
      </c>
      <c r="N204" s="35">
        <v>8.7</v>
      </c>
      <c r="O204" s="36">
        <f t="shared" si="19"/>
        <v>9.3</v>
      </c>
      <c r="P204" s="29">
        <f>LOOKUP(O204,{0,6.6,6.8,7,7.2,7.4,7.6,7.8,8,8.2,8.4,8.6,8.8,9,9.2,9.4,9.6,9.9,10.2,10.3,10.4},{0,10,20,30,40,50,60,62,64,66,68,70,72,74,76,78,80,85,90,95,100})</f>
        <v>76</v>
      </c>
      <c r="Q204" s="5">
        <v>5.14</v>
      </c>
      <c r="R204" s="36">
        <f t="shared" si="20"/>
        <v>4.86</v>
      </c>
      <c r="S204" s="29">
        <f>LOOKUP(R204,{0,4.74,4.84,4.94,5.44,5.54,5.64,5.69,5.74,5.79,5.84,5.89,5.94,5.99,6.44,6.49,6.54,6.61,6.68,6.74,6.8},{0,10,20,30,40,50,60,62,64,66,68,70,72,74,76,78,80,85,90,95,100})</f>
        <v>20</v>
      </c>
      <c r="T204" s="27"/>
      <c r="U204" s="27"/>
      <c r="V204" s="27">
        <f t="shared" si="21"/>
        <v>20</v>
      </c>
      <c r="W204" s="27"/>
      <c r="X204" s="19">
        <f t="shared" si="22"/>
        <v>44.4</v>
      </c>
      <c r="Y204" s="13">
        <f t="shared" si="23"/>
        <v>63.4285714285714</v>
      </c>
      <c r="Z204" s="19"/>
    </row>
    <row r="205" ht="15.6" spans="1:26">
      <c r="A205" s="27">
        <v>315</v>
      </c>
      <c r="B205" s="27">
        <v>33</v>
      </c>
      <c r="C205" s="28" t="s">
        <v>768</v>
      </c>
      <c r="D205" s="28" t="s">
        <v>46</v>
      </c>
      <c r="E205" s="27">
        <v>8.2</v>
      </c>
      <c r="F205" s="29">
        <f>LOOKUP(E205,{0,1.5,2.3,3.1,3.9,4.7,5.5,6.8,8.1,9.4,10.7,12,13.3,14.6,15.9,17.2,18.5,20.2,21.9,23.6,25.3},{0,10,20,30,40,50,60,62,64,66,68,70,72,74,76,78,80,85,90,95,100})</f>
        <v>64</v>
      </c>
      <c r="G205" s="27">
        <v>200</v>
      </c>
      <c r="H205" s="29">
        <f>LOOKUP(G205,{0,125,130,135,140,145,150,153,156,159,162,165,168,171,174,177,180,187,194,200,206},{0,10,20,30,40,50,60,62,64,66,68,70,72,74,76,78,80,85,90,95,100})</f>
        <v>95</v>
      </c>
      <c r="I205" s="27">
        <v>56</v>
      </c>
      <c r="J205" s="29">
        <f>LOOKUP(I205,{0,15,17,19,21,23,25,27,29,31,33,35,37,39,41,43,45,48,51,53,55},{0,10,20,30,40,50,60,62,64,66,68,70,72,74,76,78,80,85,90,95,100})</f>
        <v>100</v>
      </c>
      <c r="K205" s="34">
        <f>I205-55</f>
        <v>1</v>
      </c>
      <c r="L205" s="29">
        <f>LOOKUP(K205,{0,2,4,6,7,8,9,10,11,12,13},{0,1,2,3,4,5,6,7,8,9,10})</f>
        <v>0</v>
      </c>
      <c r="M205" s="35">
        <f t="shared" si="18"/>
        <v>100</v>
      </c>
      <c r="N205" s="35">
        <v>9.1</v>
      </c>
      <c r="O205" s="36">
        <f t="shared" si="19"/>
        <v>8.9</v>
      </c>
      <c r="P205" s="29">
        <f>LOOKUP(O205,{0,6.6,6.8,7,7.2,7.4,7.6,7.8,8,8.2,8.4,8.6,8.8,9,9.2,9.4,9.6,9.9,10.2,10.3,10.4},{0,10,20,30,40,50,60,62,64,66,68,70,72,74,76,78,80,85,90,95,100})</f>
        <v>72</v>
      </c>
      <c r="Q205" s="5">
        <v>5.09</v>
      </c>
      <c r="R205" s="36">
        <f t="shared" si="20"/>
        <v>4.91</v>
      </c>
      <c r="S205" s="29">
        <f>LOOKUP(R205,{0,4.74,4.84,4.94,5.44,5.54,5.64,5.69,5.74,5.79,5.84,5.89,5.94,5.99,6.44,6.49,6.54,6.61,6.68,6.74,6.8},{0,10,20,30,40,50,60,62,64,66,68,70,72,74,76,78,80,85,90,95,100})</f>
        <v>20</v>
      </c>
      <c r="T205" s="27"/>
      <c r="U205" s="27"/>
      <c r="V205" s="27">
        <f t="shared" si="21"/>
        <v>20</v>
      </c>
      <c r="W205" s="27"/>
      <c r="X205" s="19">
        <f t="shared" si="22"/>
        <v>44.3</v>
      </c>
      <c r="Y205" s="13">
        <f t="shared" si="23"/>
        <v>63.2857142857143</v>
      </c>
      <c r="Z205" s="19"/>
    </row>
    <row r="206" ht="15.6" spans="1:26">
      <c r="A206" s="27">
        <v>314</v>
      </c>
      <c r="B206" s="27">
        <v>39</v>
      </c>
      <c r="C206" s="28" t="s">
        <v>723</v>
      </c>
      <c r="D206" s="28" t="s">
        <v>46</v>
      </c>
      <c r="E206" s="27">
        <v>11</v>
      </c>
      <c r="F206" s="29">
        <f>LOOKUP(E206,{0,1.5,2.3,3.1,3.9,4.7,5.5,6.8,8.1,9.4,10.7,12,13.3,14.6,15.9,17.2,18.5,20.2,21.9,23.6,25.3},{0,10,20,30,40,50,60,62,64,66,68,70,72,74,76,78,80,85,90,95,100})</f>
        <v>68</v>
      </c>
      <c r="G206" s="27">
        <v>169</v>
      </c>
      <c r="H206" s="29">
        <f>LOOKUP(G206,{0,125,130,135,140,145,150,153,156,159,162,165,168,171,174,177,180,187,194,200,206},{0,10,20,30,40,50,60,62,64,66,68,70,72,74,76,78,80,85,90,95,100})</f>
        <v>72</v>
      </c>
      <c r="I206" s="27">
        <v>35</v>
      </c>
      <c r="J206" s="29">
        <f>LOOKUP(I206,{0,15,17,19,21,23,25,27,29,31,33,35,37,39,41,43,45,48,51,53,55},{0,10,20,30,40,50,60,62,64,66,68,70,72,74,76,78,80,85,90,95,100})</f>
        <v>70</v>
      </c>
      <c r="K206" s="35"/>
      <c r="L206" s="35"/>
      <c r="M206" s="35">
        <f t="shared" si="18"/>
        <v>70</v>
      </c>
      <c r="N206" s="35">
        <v>9.8</v>
      </c>
      <c r="O206" s="36">
        <f t="shared" si="19"/>
        <v>8.2</v>
      </c>
      <c r="P206" s="29">
        <f>LOOKUP(O206,{0,6.6,6.8,7,7.2,7.4,7.6,7.8,8,8.2,8.4,8.6,8.8,9,9.2,9.4,9.6,9.9,10.2,10.3,10.4},{0,10,20,30,40,50,60,62,64,66,68,70,72,74,76,78,80,85,90,95,100})</f>
        <v>66</v>
      </c>
      <c r="Q206" s="5">
        <v>4.42</v>
      </c>
      <c r="R206" s="36">
        <f t="shared" si="20"/>
        <v>5.58</v>
      </c>
      <c r="S206" s="29">
        <f>LOOKUP(R206,{0,4.74,4.84,4.94,5.44,5.54,5.64,5.69,5.74,5.79,5.84,5.89,5.94,5.99,6.44,6.49,6.54,6.61,6.68,6.74,6.8},{0,10,20,30,40,50,60,62,64,66,68,70,72,74,76,78,80,85,90,95,100})</f>
        <v>50</v>
      </c>
      <c r="T206" s="27"/>
      <c r="U206" s="27"/>
      <c r="V206" s="27">
        <f t="shared" si="21"/>
        <v>50</v>
      </c>
      <c r="W206" s="27"/>
      <c r="X206" s="19">
        <f t="shared" si="22"/>
        <v>44.2</v>
      </c>
      <c r="Y206" s="13">
        <f t="shared" si="23"/>
        <v>63.1428571428572</v>
      </c>
      <c r="Z206" s="19"/>
    </row>
    <row r="207" ht="15.6" spans="1:26">
      <c r="A207" s="27">
        <v>316</v>
      </c>
      <c r="B207" s="27">
        <v>40</v>
      </c>
      <c r="C207" s="28" t="s">
        <v>830</v>
      </c>
      <c r="D207" s="28" t="s">
        <v>46</v>
      </c>
      <c r="E207" s="27">
        <v>12.5</v>
      </c>
      <c r="F207" s="29">
        <f>LOOKUP(E207,{0,1.5,2.3,3.1,3.9,4.7,5.5,6.8,8.1,9.4,10.7,12,13.3,14.6,15.9,17.2,18.5,20.2,21.9,23.6,25.3},{0,10,20,30,40,50,60,62,64,66,68,70,72,74,76,78,80,85,90,95,100})</f>
        <v>70</v>
      </c>
      <c r="G207" s="27">
        <v>170</v>
      </c>
      <c r="H207" s="29">
        <f>LOOKUP(G207,{0,125,130,135,140,145,150,153,156,159,162,165,168,171,174,177,180,187,194,200,206},{0,10,20,30,40,50,60,62,64,66,68,70,72,74,76,78,80,85,90,95,100})</f>
        <v>72</v>
      </c>
      <c r="I207" s="27">
        <v>37</v>
      </c>
      <c r="J207" s="29">
        <f>LOOKUP(I207,{0,15,17,19,21,23,25,27,29,31,33,35,37,39,41,43,45,48,51,53,55},{0,10,20,30,40,50,60,62,64,66,68,70,72,74,76,78,80,85,90,95,100})</f>
        <v>72</v>
      </c>
      <c r="K207" s="35"/>
      <c r="L207" s="35"/>
      <c r="M207" s="35">
        <f t="shared" si="18"/>
        <v>72</v>
      </c>
      <c r="N207" s="35">
        <v>10</v>
      </c>
      <c r="O207" s="36">
        <f t="shared" si="19"/>
        <v>8</v>
      </c>
      <c r="P207" s="29">
        <f>LOOKUP(O207,{0,6.6,6.8,7,7.2,7.4,7.6,7.8,8,8.2,8.4,8.6,8.8,9,9.2,9.4,9.6,9.9,10.2,10.3,10.4},{0,10,20,30,40,50,60,62,64,66,68,70,72,74,76,78,80,85,90,95,100})</f>
        <v>64</v>
      </c>
      <c r="Q207" s="5">
        <v>4.4</v>
      </c>
      <c r="R207" s="36">
        <f t="shared" si="20"/>
        <v>5.6</v>
      </c>
      <c r="S207" s="29">
        <f>LOOKUP(R207,{0,4.74,4.84,4.94,5.44,5.54,5.64,5.69,5.74,5.79,5.84,5.89,5.94,5.99,6.44,6.49,6.54,6.61,6.68,6.74,6.8},{0,10,20,30,40,50,60,62,64,66,68,70,72,74,76,78,80,85,90,95,100})</f>
        <v>50</v>
      </c>
      <c r="T207" s="27"/>
      <c r="U207" s="27"/>
      <c r="V207" s="27">
        <f t="shared" si="21"/>
        <v>50</v>
      </c>
      <c r="W207" s="27"/>
      <c r="X207" s="19">
        <f t="shared" si="22"/>
        <v>44.2</v>
      </c>
      <c r="Y207" s="13">
        <f t="shared" si="23"/>
        <v>63.1428571428572</v>
      </c>
      <c r="Z207" s="19"/>
    </row>
    <row r="208" ht="15.6" spans="1:26">
      <c r="A208" s="27">
        <v>315</v>
      </c>
      <c r="B208" s="27">
        <v>41</v>
      </c>
      <c r="C208" s="28" t="s">
        <v>777</v>
      </c>
      <c r="D208" s="28" t="s">
        <v>46</v>
      </c>
      <c r="E208" s="27">
        <v>12</v>
      </c>
      <c r="F208" s="29">
        <f>LOOKUP(E208,{0,1.5,2.3,3.1,3.9,4.7,5.5,6.8,8.1,9.4,10.7,12,13.3,14.6,15.9,17.2,18.5,20.2,21.9,23.6,25.3},{0,10,20,30,40,50,60,62,64,66,68,70,72,74,76,78,80,85,90,95,100})</f>
        <v>70</v>
      </c>
      <c r="G208" s="27">
        <v>178</v>
      </c>
      <c r="H208" s="29">
        <f>LOOKUP(G208,{0,125,130,135,140,145,150,153,156,159,162,165,168,171,174,177,180,187,194,200,206},{0,10,20,30,40,50,60,62,64,66,68,70,72,74,76,78,80,85,90,95,100})</f>
        <v>78</v>
      </c>
      <c r="I208" s="27">
        <v>22</v>
      </c>
      <c r="J208" s="29">
        <f>LOOKUP(I208,{0,15,17,19,21,23,25,27,29,31,33,35,37,39,41,43,45,48,51,53,55},{0,10,20,30,40,50,60,62,64,66,68,70,72,74,76,78,80,85,90,95,100})</f>
        <v>40</v>
      </c>
      <c r="K208" s="35"/>
      <c r="L208" s="35"/>
      <c r="M208" s="35">
        <f t="shared" si="18"/>
        <v>40</v>
      </c>
      <c r="N208" s="35">
        <v>9.8</v>
      </c>
      <c r="O208" s="36">
        <f t="shared" si="19"/>
        <v>8.2</v>
      </c>
      <c r="P208" s="29">
        <f>LOOKUP(O208,{0,6.6,6.8,7,7.2,7.4,7.6,7.8,8,8.2,8.4,8.6,8.8,9,9.2,9.4,9.6,9.9,10.2,10.3,10.4},{0,10,20,30,40,50,60,62,64,66,68,70,72,74,76,78,80,85,90,95,100})</f>
        <v>66</v>
      </c>
      <c r="Q208" s="5">
        <v>4.32</v>
      </c>
      <c r="R208" s="36">
        <f t="shared" si="20"/>
        <v>5.68</v>
      </c>
      <c r="S208" s="29">
        <f>LOOKUP(R208,{0,4.74,4.84,4.94,5.44,5.54,5.64,5.69,5.74,5.79,5.84,5.89,5.94,5.99,6.44,6.49,6.54,6.61,6.68,6.74,6.8},{0,10,20,30,40,50,60,62,64,66,68,70,72,74,76,78,80,85,90,95,100})</f>
        <v>60</v>
      </c>
      <c r="T208" s="27"/>
      <c r="U208" s="27"/>
      <c r="V208" s="27">
        <f t="shared" si="21"/>
        <v>60</v>
      </c>
      <c r="W208" s="27"/>
      <c r="X208" s="19">
        <f t="shared" si="22"/>
        <v>44</v>
      </c>
      <c r="Y208" s="13">
        <f t="shared" si="23"/>
        <v>62.8571428571429</v>
      </c>
      <c r="Z208" s="19"/>
    </row>
    <row r="209" ht="15.6" spans="1:26">
      <c r="A209" s="27">
        <v>314</v>
      </c>
      <c r="B209" s="27">
        <v>38</v>
      </c>
      <c r="C209" s="30" t="s">
        <v>722</v>
      </c>
      <c r="D209" s="28" t="s">
        <v>46</v>
      </c>
      <c r="E209" s="27">
        <v>24.5</v>
      </c>
      <c r="F209" s="29">
        <f>LOOKUP(E209,{0,1.5,2.3,3.1,3.9,4.7,5.5,6.8,8.1,9.4,10.7,12,13.3,14.6,15.9,17.2,18.5,20.2,21.9,23.6,25.3},{0,10,20,30,40,50,60,62,64,66,68,70,72,74,76,78,80,85,90,95,100})</f>
        <v>95</v>
      </c>
      <c r="G209" s="27">
        <v>175</v>
      </c>
      <c r="H209" s="29">
        <f>LOOKUP(G209,{0,125,130,135,140,145,150,153,156,159,162,165,168,171,174,177,180,187,194,200,206},{0,10,20,30,40,50,60,62,64,66,68,70,72,74,76,78,80,85,90,95,100})</f>
        <v>76</v>
      </c>
      <c r="I209" s="27">
        <v>33</v>
      </c>
      <c r="J209" s="29">
        <f>LOOKUP(I209,{0,15,17,19,21,23,25,27,29,31,33,35,37,39,41,43,45,48,51,53,55},{0,10,20,30,40,50,60,62,64,66,68,70,72,74,76,78,80,85,90,95,100})</f>
        <v>68</v>
      </c>
      <c r="K209" s="35"/>
      <c r="L209" s="35"/>
      <c r="M209" s="35">
        <f t="shared" si="18"/>
        <v>68</v>
      </c>
      <c r="N209" s="35">
        <v>9.4</v>
      </c>
      <c r="O209" s="36">
        <f t="shared" si="19"/>
        <v>8.6</v>
      </c>
      <c r="P209" s="29">
        <f>LOOKUP(O209,{0,6.6,6.8,7,7.2,7.4,7.6,7.8,8,8.2,8.4,8.6,8.8,9,9.2,9.4,9.6,9.9,10.2,10.3,10.4},{0,10,20,30,40,50,60,62,64,66,68,70,72,74,76,78,80,85,90,95,100})</f>
        <v>70</v>
      </c>
      <c r="Q209" s="5">
        <v>5.01</v>
      </c>
      <c r="R209" s="36">
        <f t="shared" si="20"/>
        <v>4.99</v>
      </c>
      <c r="S209" s="29">
        <f>LOOKUP(R209,{0,4.74,4.84,4.94,5.44,5.54,5.64,5.69,5.74,5.79,5.84,5.89,5.94,5.99,6.44,6.49,6.54,6.61,6.68,6.74,6.8},{0,10,20,30,40,50,60,62,64,66,68,70,72,74,76,78,80,85,90,95,100})</f>
        <v>30</v>
      </c>
      <c r="T209" s="27"/>
      <c r="U209" s="27"/>
      <c r="V209" s="27">
        <f t="shared" si="21"/>
        <v>30</v>
      </c>
      <c r="W209" s="27"/>
      <c r="X209" s="19">
        <f t="shared" si="22"/>
        <v>43.9</v>
      </c>
      <c r="Y209" s="13">
        <f t="shared" si="23"/>
        <v>62.7142857142857</v>
      </c>
      <c r="Z209" s="19"/>
    </row>
    <row r="210" ht="15.6" spans="1:26">
      <c r="A210" s="27">
        <v>307</v>
      </c>
      <c r="B210" s="27">
        <v>29</v>
      </c>
      <c r="C210" s="28" t="s">
        <v>330</v>
      </c>
      <c r="D210" s="28" t="s">
        <v>46</v>
      </c>
      <c r="E210" s="27">
        <v>12.2</v>
      </c>
      <c r="F210" s="29">
        <f>LOOKUP(E210,{0,1.5,2.3,3.1,3.9,4.7,5.5,6.8,8.1,9.4,10.7,12,13.3,14.6,15.9,17.2,18.5,20.2,21.9,23.6,25.3},{0,10,20,30,40,50,60,62,64,66,68,70,72,74,76,78,80,85,90,95,100})</f>
        <v>70</v>
      </c>
      <c r="G210" s="27">
        <v>160</v>
      </c>
      <c r="H210" s="29">
        <f>LOOKUP(G210,{0,125,130,135,140,145,150,153,156,159,162,165,168,171,174,177,180,187,194,200,206},{0,10,20,30,40,50,60,62,64,66,68,70,72,74,76,78,80,85,90,95,100})</f>
        <v>66</v>
      </c>
      <c r="I210" s="27">
        <v>42</v>
      </c>
      <c r="J210" s="29">
        <f>LOOKUP(I210,{0,15,17,19,21,23,25,27,29,31,33,35,37,39,41,43,45,48,51,53,55},{0,10,20,30,40,50,60,62,64,66,68,70,72,74,76,78,80,85,90,95,100})</f>
        <v>76</v>
      </c>
      <c r="K210" s="35"/>
      <c r="L210" s="35"/>
      <c r="M210" s="35">
        <f t="shared" si="18"/>
        <v>76</v>
      </c>
      <c r="N210" s="35">
        <v>10.1</v>
      </c>
      <c r="O210" s="36">
        <f t="shared" si="19"/>
        <v>7.9</v>
      </c>
      <c r="P210" s="29">
        <f>LOOKUP(O210,{0,6.6,6.8,7,7.2,7.4,7.6,7.8,8,8.2,8.4,8.6,8.8,9,9.2,9.4,9.6,9.9,10.2,10.3,10.4},{0,10,20,30,40,50,60,62,64,66,68,70,72,74,76,78,80,85,90,95,100})</f>
        <v>62</v>
      </c>
      <c r="Q210" s="5">
        <v>4.37</v>
      </c>
      <c r="R210" s="36">
        <f t="shared" si="20"/>
        <v>5.63</v>
      </c>
      <c r="S210" s="29">
        <f>LOOKUP(R210,{0,4.74,4.84,4.94,5.44,5.54,5.64,5.69,5.74,5.79,5.84,5.89,5.94,5.99,6.44,6.49,6.54,6.61,6.68,6.74,6.8},{0,10,20,30,40,50,60,62,64,66,68,70,72,74,76,78,80,85,90,95,100})</f>
        <v>50</v>
      </c>
      <c r="T210" s="27"/>
      <c r="U210" s="27"/>
      <c r="V210" s="27">
        <f t="shared" si="21"/>
        <v>50</v>
      </c>
      <c r="W210" s="27"/>
      <c r="X210" s="19">
        <f t="shared" si="22"/>
        <v>43.6</v>
      </c>
      <c r="Y210" s="13">
        <f t="shared" si="23"/>
        <v>62.2857142857143</v>
      </c>
      <c r="Z210" s="19"/>
    </row>
    <row r="211" ht="15.6" spans="1:26">
      <c r="A211" s="27">
        <v>310</v>
      </c>
      <c r="B211" s="27">
        <v>48</v>
      </c>
      <c r="C211" s="28" t="s">
        <v>509</v>
      </c>
      <c r="D211" s="28" t="s">
        <v>46</v>
      </c>
      <c r="E211" s="27">
        <v>11</v>
      </c>
      <c r="F211" s="29">
        <f>LOOKUP(E211,{0,1.5,2.3,3.1,3.9,4.7,5.5,6.8,8.1,9.4,10.7,12,13.3,14.6,15.9,17.2,18.5,20.2,21.9,23.6,25.3},{0,10,20,30,40,50,60,62,64,66,68,70,72,74,76,78,80,85,90,95,100})</f>
        <v>68</v>
      </c>
      <c r="G211" s="27">
        <v>156</v>
      </c>
      <c r="H211" s="29">
        <f>LOOKUP(G211,{0,125,130,135,140,145,150,153,156,159,162,165,168,171,174,177,180,187,194,200,206},{0,10,20,30,40,50,60,62,64,66,68,70,72,74,76,78,80,85,90,95,100})</f>
        <v>64</v>
      </c>
      <c r="I211" s="27">
        <v>37</v>
      </c>
      <c r="J211" s="29">
        <f>LOOKUP(I211,{0,15,17,19,21,23,25,27,29,31,33,35,37,39,41,43,45,48,51,53,55},{0,10,20,30,40,50,60,62,64,66,68,70,72,74,76,78,80,85,90,95,100})</f>
        <v>72</v>
      </c>
      <c r="K211" s="35"/>
      <c r="L211" s="35"/>
      <c r="M211" s="35">
        <f t="shared" si="18"/>
        <v>72</v>
      </c>
      <c r="N211" s="35">
        <v>9.8</v>
      </c>
      <c r="O211" s="36">
        <f t="shared" si="19"/>
        <v>8.2</v>
      </c>
      <c r="P211" s="29">
        <f>LOOKUP(O211,{0,6.6,6.8,7,7.2,7.4,7.6,7.8,8,8.2,8.4,8.6,8.8,9,9.2,9.4,9.6,9.9,10.2,10.3,10.4},{0,10,20,30,40,50,60,62,64,66,68,70,72,74,76,78,80,85,90,95,100})</f>
        <v>66</v>
      </c>
      <c r="Q211" s="5">
        <v>4.43</v>
      </c>
      <c r="R211" s="36">
        <f t="shared" si="20"/>
        <v>5.57</v>
      </c>
      <c r="S211" s="29">
        <f>LOOKUP(R211,{0,4.74,4.84,4.94,5.44,5.54,5.64,5.69,5.74,5.79,5.84,5.89,5.94,5.99,6.44,6.49,6.54,6.61,6.68,6.74,6.8},{0,10,20,30,40,50,60,62,64,66,68,70,72,74,76,78,80,85,90,95,100})</f>
        <v>50</v>
      </c>
      <c r="T211" s="27"/>
      <c r="U211" s="27"/>
      <c r="V211" s="27">
        <f t="shared" si="21"/>
        <v>50</v>
      </c>
      <c r="W211" s="27"/>
      <c r="X211" s="19">
        <f t="shared" si="22"/>
        <v>43.6</v>
      </c>
      <c r="Y211" s="13">
        <f t="shared" si="23"/>
        <v>62.2857142857143</v>
      </c>
      <c r="Z211" s="19"/>
    </row>
    <row r="212" ht="15.6" spans="1:26">
      <c r="A212" s="27">
        <v>315</v>
      </c>
      <c r="B212" s="27">
        <v>29</v>
      </c>
      <c r="C212" s="28" t="s">
        <v>763</v>
      </c>
      <c r="D212" s="28" t="s">
        <v>46</v>
      </c>
      <c r="E212" s="27">
        <v>18.5</v>
      </c>
      <c r="F212" s="29">
        <f>LOOKUP(E212,{0,1.5,2.3,3.1,3.9,4.7,5.5,6.8,8.1,9.4,10.7,12,13.3,14.6,15.9,17.2,18.5,20.2,21.9,23.6,25.3},{0,10,20,30,40,50,60,62,64,66,68,70,72,74,76,78,80,85,90,95,100})</f>
        <v>80</v>
      </c>
      <c r="G212" s="27">
        <v>184</v>
      </c>
      <c r="H212" s="29">
        <f>LOOKUP(G212,{0,125,130,135,140,145,150,153,156,159,162,165,168,171,174,177,180,187,194,200,206},{0,10,20,30,40,50,60,62,64,66,68,70,72,74,76,78,80,85,90,95,100})</f>
        <v>80</v>
      </c>
      <c r="I212" s="27">
        <v>38</v>
      </c>
      <c r="J212" s="29">
        <f>LOOKUP(I212,{0,15,17,19,21,23,25,27,29,31,33,35,37,39,41,43,45,48,51,53,55},{0,10,20,30,40,50,60,62,64,66,68,70,72,74,76,78,80,85,90,95,100})</f>
        <v>72</v>
      </c>
      <c r="K212" s="35"/>
      <c r="L212" s="35"/>
      <c r="M212" s="35">
        <f t="shared" si="18"/>
        <v>72</v>
      </c>
      <c r="N212" s="35">
        <v>10.2</v>
      </c>
      <c r="O212" s="36">
        <f t="shared" si="19"/>
        <v>7.8</v>
      </c>
      <c r="P212" s="29">
        <f>LOOKUP(O212,{0,6.6,6.8,7,7.2,7.4,7.6,7.8,8,8.2,8.4,8.6,8.8,9,9.2,9.4,9.6,9.9,10.2,10.3,10.4},{0,10,20,30,40,50,60,62,64,66,68,70,72,74,76,78,80,85,90,95,100})</f>
        <v>62</v>
      </c>
      <c r="Q212" s="5">
        <v>4.5</v>
      </c>
      <c r="R212" s="36">
        <f t="shared" si="20"/>
        <v>5.5</v>
      </c>
      <c r="S212" s="29">
        <f>LOOKUP(R212,{0,4.74,4.84,4.94,5.44,5.54,5.64,5.69,5.74,5.79,5.84,5.89,5.94,5.99,6.44,6.49,6.54,6.61,6.68,6.74,6.8},{0,10,20,30,40,50,60,62,64,66,68,70,72,74,76,78,80,85,90,95,100})</f>
        <v>40</v>
      </c>
      <c r="T212" s="27"/>
      <c r="U212" s="27"/>
      <c r="V212" s="27">
        <f t="shared" si="21"/>
        <v>40</v>
      </c>
      <c r="W212" s="27"/>
      <c r="X212" s="19">
        <f t="shared" si="22"/>
        <v>43.6</v>
      </c>
      <c r="Y212" s="13">
        <f t="shared" si="23"/>
        <v>62.2857142857143</v>
      </c>
      <c r="Z212" s="19"/>
    </row>
    <row r="213" ht="15.6" spans="1:26">
      <c r="A213" s="27">
        <v>308</v>
      </c>
      <c r="B213" s="27">
        <v>38</v>
      </c>
      <c r="C213" s="28" t="s">
        <v>392</v>
      </c>
      <c r="D213" s="28" t="s">
        <v>46</v>
      </c>
      <c r="E213" s="27">
        <v>16</v>
      </c>
      <c r="F213" s="29">
        <f>LOOKUP(E213,{0,1.5,2.3,3.1,3.9,4.7,5.5,6.8,8.1,9.4,10.7,12,13.3,14.6,15.9,17.2,18.5,20.2,21.9,23.6,25.3},{0,10,20,30,40,50,60,62,64,66,68,70,72,74,76,78,80,85,90,95,100})</f>
        <v>76</v>
      </c>
      <c r="G213" s="27">
        <v>155</v>
      </c>
      <c r="H213" s="29">
        <f>LOOKUP(G213,{0,125,130,135,140,145,150,153,156,159,162,165,168,171,174,177,180,187,194,200,206},{0,10,20,30,40,50,60,62,64,66,68,70,72,74,76,78,80,85,90,95,100})</f>
        <v>62</v>
      </c>
      <c r="I213" s="27">
        <v>37</v>
      </c>
      <c r="J213" s="29">
        <f>LOOKUP(I213,{0,15,17,19,21,23,25,27,29,31,33,35,37,39,41,43,45,48,51,53,55},{0,10,20,30,40,50,60,62,64,66,68,70,72,74,76,78,80,85,90,95,100})</f>
        <v>72</v>
      </c>
      <c r="K213" s="35"/>
      <c r="L213" s="35"/>
      <c r="M213" s="35">
        <f t="shared" si="18"/>
        <v>72</v>
      </c>
      <c r="N213" s="35">
        <v>10.5</v>
      </c>
      <c r="O213" s="36">
        <f t="shared" si="19"/>
        <v>7.5</v>
      </c>
      <c r="P213" s="29">
        <f>LOOKUP(O213,{0,6.6,6.8,7,7.2,7.4,7.6,7.8,8,8.2,8.4,8.6,8.8,9,9.2,9.4,9.6,9.9,10.2,10.3,10.4},{0,10,20,30,40,50,60,62,64,66,68,70,72,74,76,78,80,85,90,95,100})</f>
        <v>50</v>
      </c>
      <c r="Q213" s="5">
        <v>4.29</v>
      </c>
      <c r="R213" s="36">
        <f t="shared" si="20"/>
        <v>5.71</v>
      </c>
      <c r="S213" s="29">
        <f>LOOKUP(R213,{0,4.74,4.84,4.94,5.44,5.54,5.64,5.69,5.74,5.79,5.84,5.89,5.94,5.99,6.44,6.49,6.54,6.61,6.68,6.74,6.8},{0,10,20,30,40,50,60,62,64,66,68,70,72,74,76,78,80,85,90,95,100})</f>
        <v>62</v>
      </c>
      <c r="T213" s="27"/>
      <c r="U213" s="27"/>
      <c r="V213" s="27">
        <f t="shared" si="21"/>
        <v>62</v>
      </c>
      <c r="W213" s="27"/>
      <c r="X213" s="19">
        <f t="shared" si="22"/>
        <v>43.4</v>
      </c>
      <c r="Y213" s="13">
        <f t="shared" si="23"/>
        <v>62</v>
      </c>
      <c r="Z213" s="19"/>
    </row>
    <row r="214" ht="15.6" spans="1:26">
      <c r="A214" s="27">
        <v>316</v>
      </c>
      <c r="B214" s="27">
        <v>27</v>
      </c>
      <c r="C214" s="28" t="s">
        <v>816</v>
      </c>
      <c r="D214" s="28" t="s">
        <v>46</v>
      </c>
      <c r="E214" s="27">
        <v>3</v>
      </c>
      <c r="F214" s="29">
        <f>LOOKUP(E214,{0,1.5,2.3,3.1,3.9,4.7,5.5,6.8,8.1,9.4,10.7,12,13.3,14.6,15.9,17.2,18.5,20.2,21.9,23.6,25.3},{0,10,20,30,40,50,60,62,64,66,68,70,72,74,76,78,80,85,90,95,100})</f>
        <v>20</v>
      </c>
      <c r="G214" s="27">
        <v>164</v>
      </c>
      <c r="H214" s="29">
        <f>LOOKUP(G214,{0,125,130,135,140,145,150,153,156,159,162,165,168,171,174,177,180,187,194,200,206},{0,10,20,30,40,50,60,62,64,66,68,70,72,74,76,78,80,85,90,95,100})</f>
        <v>68</v>
      </c>
      <c r="I214" s="27">
        <v>38</v>
      </c>
      <c r="J214" s="29">
        <f>LOOKUP(I214,{0,15,17,19,21,23,25,27,29,31,33,35,37,39,41,43,45,48,51,53,55},{0,10,20,30,40,50,60,62,64,66,68,70,72,74,76,78,80,85,90,95,100})</f>
        <v>72</v>
      </c>
      <c r="K214" s="35"/>
      <c r="L214" s="35"/>
      <c r="M214" s="35">
        <f t="shared" si="18"/>
        <v>72</v>
      </c>
      <c r="N214" s="35">
        <v>9.5</v>
      </c>
      <c r="O214" s="36">
        <f t="shared" si="19"/>
        <v>8.5</v>
      </c>
      <c r="P214" s="29">
        <f>LOOKUP(O214,{0,6.6,6.8,7,7.2,7.4,7.6,7.8,8,8.2,8.4,8.6,8.8,9,9.2,9.4,9.6,9.9,10.2,10.3,10.4},{0,10,20,30,40,50,60,62,64,66,68,70,72,74,76,78,80,85,90,95,100})</f>
        <v>68</v>
      </c>
      <c r="Q214" s="5">
        <v>4.13</v>
      </c>
      <c r="R214" s="36">
        <f t="shared" si="20"/>
        <v>5.87</v>
      </c>
      <c r="S214" s="29">
        <f>LOOKUP(R214,{0,4.74,4.84,4.94,5.44,5.54,5.64,5.69,5.74,5.79,5.84,5.89,5.94,5.99,6.44,6.49,6.54,6.61,6.68,6.74,6.8},{0,10,20,30,40,50,60,62,64,66,68,70,72,74,76,78,80,85,90,95,100})</f>
        <v>68</v>
      </c>
      <c r="T214" s="27"/>
      <c r="U214" s="27"/>
      <c r="V214" s="27">
        <f t="shared" si="21"/>
        <v>68</v>
      </c>
      <c r="W214" s="27"/>
      <c r="X214" s="19">
        <f t="shared" si="22"/>
        <v>43.2</v>
      </c>
      <c r="Y214" s="13">
        <f t="shared" si="23"/>
        <v>61.7142857142857</v>
      </c>
      <c r="Z214" s="19"/>
    </row>
    <row r="215" ht="15.6" spans="1:26">
      <c r="A215" s="27">
        <v>307</v>
      </c>
      <c r="B215" s="27">
        <v>38</v>
      </c>
      <c r="C215" s="30" t="s">
        <v>340</v>
      </c>
      <c r="D215" s="28" t="s">
        <v>46</v>
      </c>
      <c r="E215" s="27">
        <v>18.5</v>
      </c>
      <c r="F215" s="29">
        <f>LOOKUP(E215,{0,1.5,2.3,3.1,3.9,4.7,5.5,6.8,8.1,9.4,10.7,12,13.3,14.6,15.9,17.2,18.5,20.2,21.9,23.6,25.3},{0,10,20,30,40,50,60,62,64,66,68,70,72,74,76,78,80,85,90,95,100})</f>
        <v>80</v>
      </c>
      <c r="G215" s="27">
        <v>170</v>
      </c>
      <c r="H215" s="29">
        <f>LOOKUP(G215,{0,125,130,135,140,145,150,153,156,159,162,165,168,171,174,177,180,187,194,200,206},{0,10,20,30,40,50,60,62,64,66,68,70,72,74,76,78,80,85,90,95,100})</f>
        <v>72</v>
      </c>
      <c r="I215" s="27">
        <v>28</v>
      </c>
      <c r="J215" s="29">
        <f>LOOKUP(I215,{0,15,17,19,21,23,25,27,29,31,33,35,37,39,41,43,45,48,51,53,55},{0,10,20,30,40,50,60,62,64,66,68,70,72,74,76,78,80,85,90,95,100})</f>
        <v>62</v>
      </c>
      <c r="K215" s="35"/>
      <c r="L215" s="35"/>
      <c r="M215" s="35">
        <f t="shared" si="18"/>
        <v>62</v>
      </c>
      <c r="N215" s="35">
        <v>9.5</v>
      </c>
      <c r="O215" s="36">
        <f t="shared" si="19"/>
        <v>8.5</v>
      </c>
      <c r="P215" s="29">
        <f>LOOKUP(O215,{0,6.6,6.8,7,7.2,7.4,7.6,7.8,8,8.2,8.4,8.6,8.8,9,9.2,9.4,9.6,9.9,10.2,10.3,10.4},{0,10,20,30,40,50,60,62,64,66,68,70,72,74,76,78,80,85,90,95,100})</f>
        <v>68</v>
      </c>
      <c r="Q215" s="5">
        <v>4.51</v>
      </c>
      <c r="R215" s="36">
        <f t="shared" si="20"/>
        <v>5.49</v>
      </c>
      <c r="S215" s="29">
        <f>LOOKUP(R215,{0,4.74,4.84,4.94,5.44,5.54,5.64,5.69,5.74,5.79,5.84,5.89,5.94,5.99,6.44,6.49,6.54,6.61,6.68,6.74,6.8},{0,10,20,30,40,50,60,62,64,66,68,70,72,74,76,78,80,85,90,95,100})</f>
        <v>40</v>
      </c>
      <c r="T215" s="27"/>
      <c r="U215" s="27"/>
      <c r="V215" s="27">
        <f t="shared" si="21"/>
        <v>40</v>
      </c>
      <c r="W215" s="27"/>
      <c r="X215" s="19">
        <f t="shared" si="22"/>
        <v>43</v>
      </c>
      <c r="Y215" s="13">
        <f t="shared" si="23"/>
        <v>61.4285714285714</v>
      </c>
      <c r="Z215" s="19"/>
    </row>
    <row r="216" ht="15.6" spans="1:26">
      <c r="A216" s="27">
        <v>312</v>
      </c>
      <c r="B216" s="27">
        <v>39</v>
      </c>
      <c r="C216" s="28" t="s">
        <v>614</v>
      </c>
      <c r="D216" s="28" t="s">
        <v>46</v>
      </c>
      <c r="E216" s="27">
        <v>9.7</v>
      </c>
      <c r="F216" s="29">
        <f>LOOKUP(E216,{0,1.5,2.3,3.1,3.9,4.7,5.5,6.8,8.1,9.4,10.7,12,13.3,14.6,15.9,17.2,18.5,20.2,21.9,23.6,25.3},{0,10,20,30,40,50,60,62,64,66,68,70,72,74,76,78,80,85,90,95,100})</f>
        <v>66</v>
      </c>
      <c r="G216" s="27">
        <v>182</v>
      </c>
      <c r="H216" s="29">
        <f>LOOKUP(G216,{0,125,130,135,140,145,150,153,156,159,162,165,168,171,174,177,180,187,194,200,206},{0,10,20,30,40,50,60,62,64,66,68,70,72,74,76,78,80,85,90,95,100})</f>
        <v>80</v>
      </c>
      <c r="I216" s="27">
        <v>45</v>
      </c>
      <c r="J216" s="29">
        <f>LOOKUP(I216,{0,15,17,19,21,23,25,27,29,31,33,35,37,39,41,43,45,48,51,53,55},{0,10,20,30,40,50,60,62,64,66,68,70,72,74,76,78,80,85,90,95,100})</f>
        <v>80</v>
      </c>
      <c r="K216" s="35"/>
      <c r="L216" s="35"/>
      <c r="M216" s="35">
        <f t="shared" si="18"/>
        <v>80</v>
      </c>
      <c r="N216" s="35">
        <v>9.2</v>
      </c>
      <c r="O216" s="36">
        <f t="shared" si="19"/>
        <v>8.8</v>
      </c>
      <c r="P216" s="29">
        <f>LOOKUP(O216,{0,6.6,6.8,7,7.2,7.4,7.6,7.8,8,8.2,8.4,8.6,8.8,9,9.2,9.4,9.6,9.9,10.2,10.3,10.4},{0,10,20,30,40,50,60,62,64,66,68,70,72,74,76,78,80,85,90,95,100})</f>
        <v>72</v>
      </c>
      <c r="Q216" s="5">
        <v>5.01</v>
      </c>
      <c r="R216" s="36">
        <f t="shared" si="20"/>
        <v>4.99</v>
      </c>
      <c r="S216" s="29">
        <f>LOOKUP(R216,{0,4.74,4.84,4.94,5.44,5.54,5.64,5.69,5.74,5.79,5.84,5.89,5.94,5.99,6.44,6.49,6.54,6.61,6.68,6.74,6.8},{0,10,20,30,40,50,60,62,64,66,68,70,72,74,76,78,80,85,90,95,100})</f>
        <v>30</v>
      </c>
      <c r="T216" s="27"/>
      <c r="U216" s="27"/>
      <c r="V216" s="27">
        <f t="shared" si="21"/>
        <v>30</v>
      </c>
      <c r="W216" s="27"/>
      <c r="X216" s="19">
        <f t="shared" si="22"/>
        <v>43</v>
      </c>
      <c r="Y216" s="13">
        <f t="shared" si="23"/>
        <v>61.4285714285714</v>
      </c>
      <c r="Z216" s="19"/>
    </row>
    <row r="217" ht="15.6" spans="1:26">
      <c r="A217" s="27">
        <v>313</v>
      </c>
      <c r="B217" s="27">
        <v>25</v>
      </c>
      <c r="C217" s="28" t="s">
        <v>653</v>
      </c>
      <c r="D217" s="28" t="s">
        <v>46</v>
      </c>
      <c r="E217" s="27">
        <v>10</v>
      </c>
      <c r="F217" s="29">
        <f>LOOKUP(E217,{0,1.5,2.3,3.1,3.9,4.7,5.5,6.8,8.1,9.4,10.7,12,13.3,14.6,15.9,17.2,18.5,20.2,21.9,23.6,25.3},{0,10,20,30,40,50,60,62,64,66,68,70,72,74,76,78,80,85,90,95,100})</f>
        <v>66</v>
      </c>
      <c r="G217" s="27">
        <v>150</v>
      </c>
      <c r="H217" s="29">
        <f>LOOKUP(G217,{0,125,130,135,140,145,150,153,156,159,162,165,168,171,174,177,180,187,194,200,206},{0,10,20,30,40,50,60,62,64,66,68,70,72,74,76,78,80,85,90,95,100})</f>
        <v>60</v>
      </c>
      <c r="I217" s="27">
        <v>30</v>
      </c>
      <c r="J217" s="29">
        <f>LOOKUP(I217,{0,15,17,19,21,23,25,27,29,31,33,35,37,39,41,43,45,48,51,53,55},{0,10,20,30,40,50,60,62,64,66,68,70,72,74,76,78,80,85,90,95,100})</f>
        <v>64</v>
      </c>
      <c r="K217" s="35"/>
      <c r="L217" s="35"/>
      <c r="M217" s="35">
        <f t="shared" si="18"/>
        <v>64</v>
      </c>
      <c r="N217" s="35">
        <v>9.3</v>
      </c>
      <c r="O217" s="36">
        <f t="shared" si="19"/>
        <v>8.7</v>
      </c>
      <c r="P217" s="29">
        <f>LOOKUP(O217,{0,6.6,6.8,7,7.2,7.4,7.6,7.8,8,8.2,8.4,8.6,8.8,9,9.2,9.4,9.6,9.9,10.2,10.3,10.4},{0,10,20,30,40,50,60,62,64,66,68,70,72,74,76,78,80,85,90,95,100})</f>
        <v>70</v>
      </c>
      <c r="Q217" s="5">
        <v>4.38</v>
      </c>
      <c r="R217" s="36">
        <f t="shared" si="20"/>
        <v>5.62</v>
      </c>
      <c r="S217" s="29">
        <f>LOOKUP(R217,{0,4.74,4.84,4.94,5.44,5.54,5.64,5.69,5.74,5.79,5.84,5.89,5.94,5.99,6.44,6.49,6.54,6.61,6.68,6.74,6.8},{0,10,20,30,40,50,60,62,64,66,68,70,72,74,76,78,80,85,90,95,100})</f>
        <v>50</v>
      </c>
      <c r="T217" s="27"/>
      <c r="U217" s="27"/>
      <c r="V217" s="27">
        <f t="shared" si="21"/>
        <v>50</v>
      </c>
      <c r="W217" s="27"/>
      <c r="X217" s="19">
        <f t="shared" si="22"/>
        <v>43</v>
      </c>
      <c r="Y217" s="13">
        <f t="shared" si="23"/>
        <v>61.4285714285714</v>
      </c>
      <c r="Z217" s="19"/>
    </row>
    <row r="218" ht="15.6" spans="1:26">
      <c r="A218" s="27">
        <v>307</v>
      </c>
      <c r="B218" s="27">
        <v>44</v>
      </c>
      <c r="C218" s="28" t="s">
        <v>346</v>
      </c>
      <c r="D218" s="28" t="s">
        <v>46</v>
      </c>
      <c r="E218" s="27">
        <v>12.5</v>
      </c>
      <c r="F218" s="29">
        <f>LOOKUP(E218,{0,1.5,2.3,3.1,3.9,4.7,5.5,6.8,8.1,9.4,10.7,12,13.3,14.6,15.9,17.2,18.5,20.2,21.9,23.6,25.3},{0,10,20,30,40,50,60,62,64,66,68,70,72,74,76,78,80,85,90,95,100})</f>
        <v>70</v>
      </c>
      <c r="G218" s="27">
        <v>165</v>
      </c>
      <c r="H218" s="29">
        <f>LOOKUP(G218,{0,125,130,135,140,145,150,153,156,159,162,165,168,171,174,177,180,187,194,200,206},{0,10,20,30,40,50,60,62,64,66,68,70,72,74,76,78,80,85,90,95,100})</f>
        <v>70</v>
      </c>
      <c r="I218" s="27">
        <v>38</v>
      </c>
      <c r="J218" s="29">
        <f>LOOKUP(I218,{0,15,17,19,21,23,25,27,29,31,33,35,37,39,41,43,45,48,51,53,55},{0,10,20,30,40,50,60,62,64,66,68,70,72,74,76,78,80,85,90,95,100})</f>
        <v>72</v>
      </c>
      <c r="K218" s="35"/>
      <c r="L218" s="35"/>
      <c r="M218" s="35">
        <f t="shared" si="18"/>
        <v>72</v>
      </c>
      <c r="N218" s="35">
        <v>9.6</v>
      </c>
      <c r="O218" s="36">
        <f t="shared" si="19"/>
        <v>8.4</v>
      </c>
      <c r="P218" s="29">
        <f>LOOKUP(O218,{0,6.6,6.8,7,7.2,7.4,7.6,7.8,8,8.2,8.4,8.6,8.8,9,9.2,9.4,9.6,9.9,10.2,10.3,10.4},{0,10,20,30,40,50,60,62,64,66,68,70,72,74,76,78,80,85,90,95,100})</f>
        <v>68</v>
      </c>
      <c r="Q218" s="5">
        <v>4.47</v>
      </c>
      <c r="R218" s="36">
        <f t="shared" si="20"/>
        <v>5.53</v>
      </c>
      <c r="S218" s="29">
        <f>LOOKUP(R218,{0,4.74,4.84,4.94,5.44,5.54,5.64,5.69,5.74,5.79,5.84,5.89,5.94,5.99,6.44,6.49,6.54,6.61,6.68,6.74,6.8},{0,10,20,30,40,50,60,62,64,66,68,70,72,74,76,78,80,85,90,95,100})</f>
        <v>40</v>
      </c>
      <c r="T218" s="27"/>
      <c r="U218" s="27"/>
      <c r="V218" s="27">
        <f t="shared" si="21"/>
        <v>40</v>
      </c>
      <c r="W218" s="27"/>
      <c r="X218" s="19">
        <f t="shared" si="22"/>
        <v>42.8</v>
      </c>
      <c r="Y218" s="13">
        <f t="shared" si="23"/>
        <v>61.1428571428571</v>
      </c>
      <c r="Z218" s="19"/>
    </row>
    <row r="219" ht="15.6" spans="1:26">
      <c r="A219" s="27">
        <v>312</v>
      </c>
      <c r="B219" s="27">
        <v>41</v>
      </c>
      <c r="C219" s="28" t="s">
        <v>616</v>
      </c>
      <c r="D219" s="28" t="s">
        <v>46</v>
      </c>
      <c r="E219" s="27">
        <v>8.5</v>
      </c>
      <c r="F219" s="29">
        <f>LOOKUP(E219,{0,1.5,2.3,3.1,3.9,4.7,5.5,6.8,8.1,9.4,10.7,12,13.3,14.6,15.9,17.2,18.5,20.2,21.9,23.6,25.3},{0,10,20,30,40,50,60,62,64,66,68,70,72,74,76,78,80,85,90,95,100})</f>
        <v>64</v>
      </c>
      <c r="G219" s="27">
        <v>180</v>
      </c>
      <c r="H219" s="29">
        <f>LOOKUP(G219,{0,125,130,135,140,145,150,153,156,159,162,165,168,171,174,177,180,187,194,200,206},{0,10,20,30,40,50,60,62,64,66,68,70,72,74,76,78,80,85,90,95,100})</f>
        <v>80</v>
      </c>
      <c r="I219" s="27">
        <v>30</v>
      </c>
      <c r="J219" s="29">
        <f>LOOKUP(I219,{0,15,17,19,21,23,25,27,29,31,33,35,37,39,41,43,45,48,51,53,55},{0,10,20,30,40,50,60,62,64,66,68,70,72,74,76,78,80,85,90,95,100})</f>
        <v>64</v>
      </c>
      <c r="K219" s="35"/>
      <c r="L219" s="35"/>
      <c r="M219" s="35">
        <f t="shared" si="18"/>
        <v>64</v>
      </c>
      <c r="N219" s="35">
        <v>8.4</v>
      </c>
      <c r="O219" s="36">
        <f t="shared" si="19"/>
        <v>9.6</v>
      </c>
      <c r="P219" s="29">
        <f>LOOKUP(O219,{0,6.6,6.8,7,7.2,7.4,7.6,7.8,8,8.2,8.4,8.6,8.8,9,9.2,9.4,9.6,9.9,10.2,10.3,10.4},{0,10,20,30,40,50,60,62,64,66,68,70,72,74,76,78,80,85,90,95,100})</f>
        <v>80</v>
      </c>
      <c r="Q219" s="5">
        <v>5</v>
      </c>
      <c r="R219" s="36">
        <f t="shared" si="20"/>
        <v>5</v>
      </c>
      <c r="S219" s="29">
        <f>LOOKUP(R219,{0,4.74,4.84,4.94,5.44,5.54,5.64,5.69,5.74,5.79,5.84,5.89,5.94,5.99,6.44,6.49,6.54,6.61,6.68,6.74,6.8},{0,10,20,30,40,50,60,62,64,66,68,70,72,74,76,78,80,85,90,95,100})</f>
        <v>30</v>
      </c>
      <c r="T219" s="27"/>
      <c r="U219" s="27"/>
      <c r="V219" s="27">
        <f t="shared" si="21"/>
        <v>30</v>
      </c>
      <c r="W219" s="27"/>
      <c r="X219" s="19">
        <f t="shared" si="22"/>
        <v>42.8</v>
      </c>
      <c r="Y219" s="13">
        <f t="shared" si="23"/>
        <v>61.1428571428571</v>
      </c>
      <c r="Z219" s="19"/>
    </row>
    <row r="220" ht="15.6" spans="1:26">
      <c r="A220" s="27">
        <v>313</v>
      </c>
      <c r="B220" s="27">
        <v>26</v>
      </c>
      <c r="C220" s="28" t="s">
        <v>654</v>
      </c>
      <c r="D220" s="28" t="s">
        <v>46</v>
      </c>
      <c r="E220" s="27">
        <v>4.2</v>
      </c>
      <c r="F220" s="29">
        <f>LOOKUP(E220,{0,1.5,2.3,3.1,3.9,4.7,5.5,6.8,8.1,9.4,10.7,12,13.3,14.6,15.9,17.2,18.5,20.2,21.9,23.6,25.3},{0,10,20,30,40,50,60,62,64,66,68,70,72,74,76,78,80,85,90,95,100})</f>
        <v>40</v>
      </c>
      <c r="G220" s="27">
        <v>148</v>
      </c>
      <c r="H220" s="29">
        <f>LOOKUP(G220,{0,125,130,135,140,145,150,153,156,159,162,165,168,171,174,177,180,187,194,200,206},{0,10,20,30,40,50,60,62,64,66,68,70,72,74,76,78,80,85,90,95,100})</f>
        <v>50</v>
      </c>
      <c r="I220" s="27">
        <v>35</v>
      </c>
      <c r="J220" s="29">
        <f>LOOKUP(I220,{0,15,17,19,21,23,25,27,29,31,33,35,37,39,41,43,45,48,51,53,55},{0,10,20,30,40,50,60,62,64,66,68,70,72,74,76,78,80,85,90,95,100})</f>
        <v>70</v>
      </c>
      <c r="K220" s="35"/>
      <c r="L220" s="35"/>
      <c r="M220" s="35">
        <f t="shared" si="18"/>
        <v>70</v>
      </c>
      <c r="N220" s="35">
        <v>9.1</v>
      </c>
      <c r="O220" s="36">
        <f t="shared" si="19"/>
        <v>8.9</v>
      </c>
      <c r="P220" s="29">
        <f>LOOKUP(O220,{0,6.6,6.8,7,7.2,7.4,7.6,7.8,8,8.2,8.4,8.6,8.8,9,9.2,9.4,9.6,9.9,10.2,10.3,10.4},{0,10,20,30,40,50,60,62,64,66,68,70,72,74,76,78,80,85,90,95,100})</f>
        <v>72</v>
      </c>
      <c r="Q220" s="5">
        <v>4.29</v>
      </c>
      <c r="R220" s="36">
        <f t="shared" si="20"/>
        <v>5.71</v>
      </c>
      <c r="S220" s="29">
        <f>LOOKUP(R220,{0,4.74,4.84,4.94,5.44,5.54,5.64,5.69,5.74,5.79,5.84,5.89,5.94,5.99,6.44,6.49,6.54,6.61,6.68,6.74,6.8},{0,10,20,30,40,50,60,62,64,66,68,70,72,74,76,78,80,85,90,95,100})</f>
        <v>62</v>
      </c>
      <c r="T220" s="27"/>
      <c r="U220" s="27"/>
      <c r="V220" s="27">
        <f t="shared" si="21"/>
        <v>62</v>
      </c>
      <c r="W220" s="27"/>
      <c r="X220" s="19">
        <f t="shared" si="22"/>
        <v>42.8</v>
      </c>
      <c r="Y220" s="13">
        <f t="shared" si="23"/>
        <v>61.1428571428571</v>
      </c>
      <c r="Z220" s="19"/>
    </row>
    <row r="221" ht="15.6" spans="1:26">
      <c r="A221" s="27">
        <v>314</v>
      </c>
      <c r="B221" s="27">
        <v>9</v>
      </c>
      <c r="C221" s="28" t="s">
        <v>690</v>
      </c>
      <c r="D221" s="28" t="s">
        <v>46</v>
      </c>
      <c r="E221" s="27">
        <v>10</v>
      </c>
      <c r="F221" s="29">
        <f>LOOKUP(E221,{0,1.5,2.3,3.1,3.9,4.7,5.5,6.8,8.1,9.4,10.7,12,13.3,14.6,15.9,17.2,18.5,20.2,21.9,23.6,25.3},{0,10,20,30,40,50,60,62,64,66,68,70,72,74,76,78,80,85,90,95,100})</f>
        <v>66</v>
      </c>
      <c r="G221" s="27">
        <v>155</v>
      </c>
      <c r="H221" s="29">
        <f>LOOKUP(G221,{0,125,130,135,140,145,150,153,156,159,162,165,168,171,174,177,180,187,194,200,206},{0,10,20,30,40,50,60,62,64,66,68,70,72,74,76,78,80,85,90,95,100})</f>
        <v>62</v>
      </c>
      <c r="I221" s="27">
        <v>52</v>
      </c>
      <c r="J221" s="29">
        <f>LOOKUP(I221,{0,15,17,19,21,23,25,27,29,31,33,35,37,39,41,43,45,48,51,53,55},{0,10,20,30,40,50,60,62,64,66,68,70,72,74,76,78,80,85,90,95,100})</f>
        <v>90</v>
      </c>
      <c r="K221" s="35"/>
      <c r="L221" s="35"/>
      <c r="M221" s="35">
        <f t="shared" si="18"/>
        <v>90</v>
      </c>
      <c r="N221" s="35">
        <v>8.9</v>
      </c>
      <c r="O221" s="36">
        <f t="shared" si="19"/>
        <v>9.1</v>
      </c>
      <c r="P221" s="29">
        <f>LOOKUP(O221,{0,6.6,6.8,7,7.2,7.4,7.6,7.8,8,8.2,8.4,8.6,8.8,9,9.2,9.4,9.6,9.9,10.2,10.3,10.4},{0,10,20,30,40,50,60,62,64,66,68,70,72,74,76,78,80,85,90,95,100})</f>
        <v>74</v>
      </c>
      <c r="Q221" s="5">
        <v>4.58</v>
      </c>
      <c r="R221" s="36">
        <f t="shared" si="20"/>
        <v>5.42</v>
      </c>
      <c r="S221" s="29">
        <f>LOOKUP(R221,{0,4.74,4.84,4.94,5.44,5.54,5.64,5.69,5.74,5.79,5.84,5.89,5.94,5.99,6.44,6.49,6.54,6.61,6.68,6.74,6.8},{0,10,20,30,40,50,60,62,64,66,68,70,72,74,76,78,80,85,90,95,100})</f>
        <v>30</v>
      </c>
      <c r="T221" s="27"/>
      <c r="U221" s="27"/>
      <c r="V221" s="27">
        <f t="shared" si="21"/>
        <v>30</v>
      </c>
      <c r="W221" s="27"/>
      <c r="X221" s="19">
        <f t="shared" si="22"/>
        <v>42.6</v>
      </c>
      <c r="Y221" s="13">
        <f t="shared" si="23"/>
        <v>60.8571428571429</v>
      </c>
      <c r="Z221" s="19"/>
    </row>
    <row r="222" ht="15.6" spans="1:26">
      <c r="A222" s="27">
        <v>312</v>
      </c>
      <c r="B222" s="27">
        <v>35</v>
      </c>
      <c r="C222" s="28" t="s">
        <v>610</v>
      </c>
      <c r="D222" s="28" t="s">
        <v>46</v>
      </c>
      <c r="E222" s="27">
        <v>18.5</v>
      </c>
      <c r="F222" s="29">
        <f>LOOKUP(E222,{0,1.5,2.3,3.1,3.9,4.7,5.5,6.8,8.1,9.4,10.7,12,13.3,14.6,15.9,17.2,18.5,20.2,21.9,23.6,25.3},{0,10,20,30,40,50,60,62,64,66,68,70,72,74,76,78,80,85,90,95,100})</f>
        <v>80</v>
      </c>
      <c r="G222" s="27">
        <v>170</v>
      </c>
      <c r="H222" s="29">
        <f>LOOKUP(G222,{0,125,130,135,140,145,150,153,156,159,162,165,168,171,174,177,180,187,194,200,206},{0,10,20,30,40,50,60,62,64,66,68,70,72,74,76,78,80,85,90,95,100})</f>
        <v>72</v>
      </c>
      <c r="I222" s="27">
        <v>46</v>
      </c>
      <c r="J222" s="29">
        <f>LOOKUP(I222,{0,15,17,19,21,23,25,27,29,31,33,35,37,39,41,43,45,48,51,53,55},{0,10,20,30,40,50,60,62,64,66,68,70,72,74,76,78,80,85,90,95,100})</f>
        <v>80</v>
      </c>
      <c r="K222" s="35"/>
      <c r="L222" s="35"/>
      <c r="M222" s="35">
        <f t="shared" si="18"/>
        <v>80</v>
      </c>
      <c r="N222" s="35">
        <v>9.7</v>
      </c>
      <c r="O222" s="36">
        <f t="shared" si="19"/>
        <v>8.3</v>
      </c>
      <c r="P222" s="29">
        <f>LOOKUP(O222,{0,6.6,6.8,7,7.2,7.4,7.6,7.8,8,8.2,8.4,8.6,8.8,9,9.2,9.4,9.6,9.9,10.2,10.3,10.4},{0,10,20,30,40,50,60,62,64,66,68,70,72,74,76,78,80,85,90,95,100})</f>
        <v>66</v>
      </c>
      <c r="Q222" s="5">
        <v>5.02</v>
      </c>
      <c r="R222" s="36">
        <f t="shared" si="20"/>
        <v>4.98</v>
      </c>
      <c r="S222" s="29">
        <f>LOOKUP(R222,{0,4.74,4.84,4.94,5.44,5.54,5.64,5.69,5.74,5.79,5.84,5.89,5.94,5.99,6.44,6.49,6.54,6.61,6.68,6.74,6.8},{0,10,20,30,40,50,60,62,64,66,68,70,72,74,76,78,80,85,90,95,100})</f>
        <v>30</v>
      </c>
      <c r="T222" s="27"/>
      <c r="U222" s="27"/>
      <c r="V222" s="27">
        <f t="shared" si="21"/>
        <v>30</v>
      </c>
      <c r="W222" s="27"/>
      <c r="X222" s="19">
        <f t="shared" si="22"/>
        <v>42.4</v>
      </c>
      <c r="Y222" s="13">
        <f t="shared" si="23"/>
        <v>60.5714285714286</v>
      </c>
      <c r="Z222" s="19"/>
    </row>
    <row r="223" ht="15.6" spans="1:26">
      <c r="A223" s="27">
        <v>307</v>
      </c>
      <c r="B223" s="27">
        <v>30</v>
      </c>
      <c r="C223" s="28" t="s">
        <v>331</v>
      </c>
      <c r="D223" s="28" t="s">
        <v>46</v>
      </c>
      <c r="E223" s="27">
        <v>14</v>
      </c>
      <c r="F223" s="29">
        <f>LOOKUP(E223,{0,1.5,2.3,3.1,3.9,4.7,5.5,6.8,8.1,9.4,10.7,12,13.3,14.6,15.9,17.2,18.5,20.2,21.9,23.6,25.3},{0,10,20,30,40,50,60,62,64,66,68,70,72,74,76,78,80,85,90,95,100})</f>
        <v>72</v>
      </c>
      <c r="G223" s="27">
        <v>150</v>
      </c>
      <c r="H223" s="29">
        <f>LOOKUP(G223,{0,125,130,135,140,145,150,153,156,159,162,165,168,171,174,177,180,187,194,200,206},{0,10,20,30,40,50,60,62,64,66,68,70,72,74,76,78,80,85,90,95,100})</f>
        <v>60</v>
      </c>
      <c r="I223" s="27">
        <v>45</v>
      </c>
      <c r="J223" s="29">
        <f>LOOKUP(I223,{0,15,17,19,21,23,25,27,29,31,33,35,37,39,41,43,45,48,51,53,55},{0,10,20,30,40,50,60,62,64,66,68,70,72,74,76,78,80,85,90,95,100})</f>
        <v>80</v>
      </c>
      <c r="K223" s="35"/>
      <c r="L223" s="35"/>
      <c r="M223" s="35">
        <f t="shared" si="18"/>
        <v>80</v>
      </c>
      <c r="N223" s="35">
        <v>9.9</v>
      </c>
      <c r="O223" s="36">
        <f t="shared" si="19"/>
        <v>8.1</v>
      </c>
      <c r="P223" s="29">
        <f>LOOKUP(O223,{0,6.6,6.8,7,7.2,7.4,7.6,7.8,8,8.2,8.4,8.6,8.8,9,9.2,9.4,9.6,9.9,10.2,10.3,10.4},{0,10,20,30,40,50,60,62,64,66,68,70,72,74,76,78,80,85,90,95,100})</f>
        <v>64</v>
      </c>
      <c r="Q223" s="5">
        <v>4.53</v>
      </c>
      <c r="R223" s="36">
        <f t="shared" si="20"/>
        <v>5.47</v>
      </c>
      <c r="S223" s="29">
        <f>LOOKUP(R223,{0,4.74,4.84,4.94,5.44,5.54,5.64,5.69,5.74,5.79,5.84,5.89,5.94,5.99,6.44,6.49,6.54,6.61,6.68,6.74,6.8},{0,10,20,30,40,50,60,62,64,66,68,70,72,74,76,78,80,85,90,95,100})</f>
        <v>40</v>
      </c>
      <c r="T223" s="27"/>
      <c r="U223" s="27"/>
      <c r="V223" s="27">
        <f t="shared" si="21"/>
        <v>40</v>
      </c>
      <c r="W223" s="27"/>
      <c r="X223" s="19">
        <f t="shared" si="22"/>
        <v>42</v>
      </c>
      <c r="Y223" s="13">
        <f t="shared" si="23"/>
        <v>60</v>
      </c>
      <c r="Z223" s="19"/>
    </row>
    <row r="224" ht="15.6" spans="1:26">
      <c r="A224" s="27">
        <v>308</v>
      </c>
      <c r="B224" s="27">
        <v>22</v>
      </c>
      <c r="C224" s="28" t="s">
        <v>375</v>
      </c>
      <c r="D224" s="28" t="s">
        <v>46</v>
      </c>
      <c r="E224" s="27">
        <v>6</v>
      </c>
      <c r="F224" s="29">
        <f>LOOKUP(E224,{0,1.5,2.3,3.1,3.9,4.7,5.5,6.8,8.1,9.4,10.7,12,13.3,14.6,15.9,17.2,18.5,20.2,21.9,23.6,25.3},{0,10,20,30,40,50,60,62,64,66,68,70,72,74,76,78,80,85,90,95,100})</f>
        <v>60</v>
      </c>
      <c r="G224" s="27">
        <v>150</v>
      </c>
      <c r="H224" s="29">
        <f>LOOKUP(G224,{0,125,130,135,140,145,150,153,156,159,162,165,168,171,174,177,180,187,194,200,206},{0,10,20,30,40,50,60,62,64,66,68,70,72,74,76,78,80,85,90,95,100})</f>
        <v>60</v>
      </c>
      <c r="I224" s="27">
        <v>45</v>
      </c>
      <c r="J224" s="29">
        <f>LOOKUP(I224,{0,15,17,19,21,23,25,27,29,31,33,35,37,39,41,43,45,48,51,53,55},{0,10,20,30,40,50,60,62,64,66,68,70,72,74,76,78,80,85,90,95,100})</f>
        <v>80</v>
      </c>
      <c r="K224" s="35"/>
      <c r="L224" s="35"/>
      <c r="M224" s="35">
        <f t="shared" si="18"/>
        <v>80</v>
      </c>
      <c r="N224" s="35">
        <v>9.4</v>
      </c>
      <c r="O224" s="36">
        <f t="shared" si="19"/>
        <v>8.6</v>
      </c>
      <c r="P224" s="29">
        <f>LOOKUP(O224,{0,6.6,6.8,7,7.2,7.4,7.6,7.8,8,8.2,8.4,8.6,8.8,9,9.2,9.4,9.6,9.9,10.2,10.3,10.4},{0,10,20,30,40,50,60,62,64,66,68,70,72,74,76,78,80,85,90,95,100})</f>
        <v>70</v>
      </c>
      <c r="Q224" s="5">
        <v>4.55</v>
      </c>
      <c r="R224" s="36">
        <f t="shared" si="20"/>
        <v>5.45</v>
      </c>
      <c r="S224" s="29">
        <f>LOOKUP(R224,{0,4.74,4.84,4.94,5.44,5.54,5.64,5.69,5.74,5.79,5.84,5.89,5.94,5.99,6.44,6.49,6.54,6.61,6.68,6.74,6.8},{0,10,20,30,40,50,60,62,64,66,68,70,72,74,76,78,80,85,90,95,100})</f>
        <v>40</v>
      </c>
      <c r="T224" s="27"/>
      <c r="U224" s="27"/>
      <c r="V224" s="27">
        <f t="shared" si="21"/>
        <v>40</v>
      </c>
      <c r="W224" s="27"/>
      <c r="X224" s="19">
        <f t="shared" si="22"/>
        <v>42</v>
      </c>
      <c r="Y224" s="13">
        <f t="shared" si="23"/>
        <v>60</v>
      </c>
      <c r="Z224" s="19"/>
    </row>
    <row r="225" ht="15.6" spans="1:26">
      <c r="A225" s="27">
        <v>315</v>
      </c>
      <c r="B225" s="27">
        <v>48</v>
      </c>
      <c r="C225" s="28" t="s">
        <v>784</v>
      </c>
      <c r="D225" s="28" t="s">
        <v>46</v>
      </c>
      <c r="E225" s="27">
        <v>19</v>
      </c>
      <c r="F225" s="29">
        <f>LOOKUP(E225,{0,1.5,2.3,3.1,3.9,4.7,5.5,6.8,8.1,9.4,10.7,12,13.3,14.6,15.9,17.2,18.5,20.2,21.9,23.6,25.3},{0,10,20,30,40,50,60,62,64,66,68,70,72,74,76,78,80,85,90,95,100})</f>
        <v>80</v>
      </c>
      <c r="G225" s="27">
        <v>175</v>
      </c>
      <c r="H225" s="29">
        <f>LOOKUP(G225,{0,125,130,135,140,145,150,153,156,159,162,165,168,171,174,177,180,187,194,200,206},{0,10,20,30,40,50,60,62,64,66,68,70,72,74,76,78,80,85,90,95,100})</f>
        <v>76</v>
      </c>
      <c r="I225" s="27" t="s">
        <v>77</v>
      </c>
      <c r="J225" s="29"/>
      <c r="K225" s="35"/>
      <c r="L225" s="35"/>
      <c r="M225" s="35"/>
      <c r="N225" s="35">
        <v>9.4</v>
      </c>
      <c r="O225" s="36">
        <f t="shared" si="19"/>
        <v>8.6</v>
      </c>
      <c r="P225" s="29">
        <f>LOOKUP(O225,{0,6.6,6.8,7,7.2,7.4,7.6,7.8,8,8.2,8.4,8.6,8.8,9,9.2,9.4,9.6,9.9,10.2,10.3,10.4},{0,10,20,30,40,50,60,62,64,66,68,70,72,74,76,78,80,85,90,95,100})</f>
        <v>70</v>
      </c>
      <c r="Q225" s="5">
        <v>4.27</v>
      </c>
      <c r="R225" s="36">
        <f t="shared" si="20"/>
        <v>5.73</v>
      </c>
      <c r="S225" s="29">
        <f>LOOKUP(R225,{0,4.74,4.84,4.94,5.44,5.54,5.64,5.69,5.74,5.79,5.84,5.89,5.94,5.99,6.44,6.49,6.54,6.61,6.68,6.74,6.8},{0,10,20,30,40,50,60,62,64,66,68,70,72,74,76,78,80,85,90,95,100})</f>
        <v>62</v>
      </c>
      <c r="T225" s="27"/>
      <c r="U225" s="27"/>
      <c r="V225" s="27">
        <f t="shared" si="21"/>
        <v>62</v>
      </c>
      <c r="W225" s="27"/>
      <c r="X225" s="19">
        <f t="shared" si="22"/>
        <v>42</v>
      </c>
      <c r="Y225" s="13">
        <f t="shared" si="23"/>
        <v>60</v>
      </c>
      <c r="Z225" s="19"/>
    </row>
    <row r="226" ht="15.6" spans="1:26">
      <c r="A226" s="27">
        <v>307</v>
      </c>
      <c r="B226" s="27">
        <v>45</v>
      </c>
      <c r="C226" s="28" t="s">
        <v>347</v>
      </c>
      <c r="D226" s="28" t="s">
        <v>46</v>
      </c>
      <c r="E226" s="27">
        <v>7</v>
      </c>
      <c r="F226" s="29">
        <f>LOOKUP(E226,{0,1.5,2.3,3.1,3.9,4.7,5.5,6.8,8.1,9.4,10.7,12,13.3,14.6,15.9,17.2,18.5,20.2,21.9,23.6,25.3},{0,10,20,30,40,50,60,62,64,66,68,70,72,74,76,78,80,85,90,95,100})</f>
        <v>62</v>
      </c>
      <c r="G226" s="27">
        <v>195</v>
      </c>
      <c r="H226" s="29">
        <f>LOOKUP(G226,{0,125,130,135,140,145,150,153,156,159,162,165,168,171,174,177,180,187,194,200,206},{0,10,20,30,40,50,60,62,64,66,68,70,72,74,76,78,80,85,90,95,100})</f>
        <v>90</v>
      </c>
      <c r="I226" s="27">
        <v>30</v>
      </c>
      <c r="J226" s="29">
        <f>LOOKUP(I226,{0,15,17,19,21,23,25,27,29,31,33,35,37,39,41,43,45,48,51,53,55},{0,10,20,30,40,50,60,62,64,66,68,70,72,74,76,78,80,85,90,95,100})</f>
        <v>64</v>
      </c>
      <c r="K226" s="35"/>
      <c r="L226" s="35"/>
      <c r="M226" s="35">
        <f t="shared" ref="M226:M254" si="24">J226+L226</f>
        <v>64</v>
      </c>
      <c r="N226" s="35">
        <v>7.8</v>
      </c>
      <c r="O226" s="36">
        <f t="shared" si="19"/>
        <v>10.2</v>
      </c>
      <c r="P226" s="29">
        <f>LOOKUP(O226,{0,6.6,6.8,7,7.2,7.4,7.6,7.8,8,8.2,8.4,8.6,8.8,9,9.2,9.4,9.6,9.9,10.2,10.3,10.4},{0,10,20,30,40,50,60,62,64,66,68,70,72,74,76,78,80,85,90,95,100})</f>
        <v>90</v>
      </c>
      <c r="Q226" s="5">
        <v>5.19</v>
      </c>
      <c r="R226" s="36">
        <f t="shared" si="20"/>
        <v>4.81</v>
      </c>
      <c r="S226" s="29">
        <f>LOOKUP(R226,{0,4.74,4.84,4.94,5.44,5.54,5.64,5.69,5.74,5.79,5.84,5.89,5.94,5.99,6.44,6.49,6.54,6.61,6.68,6.74,6.8},{0,10,20,30,40,50,60,62,64,66,68,70,72,74,76,78,80,85,90,95,100})</f>
        <v>10</v>
      </c>
      <c r="T226" s="27"/>
      <c r="U226" s="27"/>
      <c r="V226" s="27">
        <f t="shared" si="21"/>
        <v>10</v>
      </c>
      <c r="W226" s="27"/>
      <c r="X226" s="19">
        <f t="shared" si="22"/>
        <v>41.6</v>
      </c>
      <c r="Y226" s="13">
        <f t="shared" si="23"/>
        <v>59.4285714285714</v>
      </c>
      <c r="Z226" s="19"/>
    </row>
    <row r="227" ht="15.6" spans="1:26">
      <c r="A227" s="27">
        <v>312</v>
      </c>
      <c r="B227" s="27">
        <v>42</v>
      </c>
      <c r="C227" s="30" t="s">
        <v>618</v>
      </c>
      <c r="D227" s="28" t="s">
        <v>46</v>
      </c>
      <c r="E227" s="27">
        <v>24</v>
      </c>
      <c r="F227" s="29">
        <f>LOOKUP(E227,{0,1.5,2.3,3.1,3.9,4.7,5.5,6.8,8.1,9.4,10.7,12,13.3,14.6,15.9,17.2,18.5,20.2,21.9,23.6,25.3},{0,10,20,30,40,50,60,62,64,66,68,70,72,74,76,78,80,85,90,95,100})</f>
        <v>95</v>
      </c>
      <c r="G227" s="27">
        <v>147</v>
      </c>
      <c r="H227" s="29">
        <f>LOOKUP(G227,{0,125,130,135,140,145,150,153,156,159,162,165,168,171,174,177,180,187,194,200,206},{0,10,20,30,40,50,60,62,64,66,68,70,72,74,76,78,80,85,90,95,100})</f>
        <v>50</v>
      </c>
      <c r="I227" s="27">
        <v>38</v>
      </c>
      <c r="J227" s="29">
        <f>LOOKUP(I227,{0,15,17,19,21,23,25,27,29,31,33,35,37,39,41,43,45,48,51,53,55},{0,10,20,30,40,50,60,62,64,66,68,70,72,74,76,78,80,85,90,95,100})</f>
        <v>72</v>
      </c>
      <c r="K227" s="35"/>
      <c r="L227" s="35"/>
      <c r="M227" s="35">
        <f t="shared" si="24"/>
        <v>72</v>
      </c>
      <c r="N227" s="35">
        <v>9.5</v>
      </c>
      <c r="O227" s="36">
        <f t="shared" si="19"/>
        <v>8.5</v>
      </c>
      <c r="P227" s="29">
        <f>LOOKUP(O227,{0,6.6,6.8,7,7.2,7.4,7.6,7.8,8,8.2,8.4,8.6,8.8,9,9.2,9.4,9.6,9.9,10.2,10.3,10.4},{0,10,20,30,40,50,60,62,64,66,68,70,72,74,76,78,80,85,90,95,100})</f>
        <v>68</v>
      </c>
      <c r="Q227" s="5">
        <v>5.05</v>
      </c>
      <c r="R227" s="36">
        <f t="shared" si="20"/>
        <v>4.95</v>
      </c>
      <c r="S227" s="29">
        <f>LOOKUP(R227,{0,4.74,4.84,4.94,5.44,5.54,5.64,5.69,5.74,5.79,5.84,5.89,5.94,5.99,6.44,6.49,6.54,6.61,6.68,6.74,6.8},{0,10,20,30,40,50,60,62,64,66,68,70,72,74,76,78,80,85,90,95,100})</f>
        <v>30</v>
      </c>
      <c r="T227" s="27"/>
      <c r="U227" s="27"/>
      <c r="V227" s="27">
        <f t="shared" si="21"/>
        <v>30</v>
      </c>
      <c r="W227" s="27"/>
      <c r="X227" s="19">
        <f t="shared" si="22"/>
        <v>41.3</v>
      </c>
      <c r="Y227" s="13">
        <f t="shared" si="23"/>
        <v>59</v>
      </c>
      <c r="Z227" s="19"/>
    </row>
    <row r="228" ht="15.6" spans="1:26">
      <c r="A228" s="27">
        <v>315</v>
      </c>
      <c r="B228" s="27">
        <v>36</v>
      </c>
      <c r="C228" s="28" t="s">
        <v>771</v>
      </c>
      <c r="D228" s="28" t="s">
        <v>46</v>
      </c>
      <c r="E228" s="27">
        <v>22.6</v>
      </c>
      <c r="F228" s="29">
        <f>LOOKUP(E228,{0,1.5,2.3,3.1,3.9,4.7,5.5,6.8,8.1,9.4,10.7,12,13.3,14.6,15.9,17.2,18.5,20.2,21.9,23.6,25.3},{0,10,20,30,40,50,60,62,64,66,68,70,72,74,76,78,80,85,90,95,100})</f>
        <v>90</v>
      </c>
      <c r="G228" s="27">
        <v>162</v>
      </c>
      <c r="H228" s="29">
        <f>LOOKUP(G228,{0,125,130,135,140,145,150,153,156,159,162,165,168,171,174,177,180,187,194,200,206},{0,10,20,30,40,50,60,62,64,66,68,70,72,74,76,78,80,85,90,95,100})</f>
        <v>68</v>
      </c>
      <c r="I228" s="27">
        <v>42</v>
      </c>
      <c r="J228" s="29">
        <f>LOOKUP(I228,{0,15,17,19,21,23,25,27,29,31,33,35,37,39,41,43,45,48,51,53,55},{0,10,20,30,40,50,60,62,64,66,68,70,72,74,76,78,80,85,90,95,100})</f>
        <v>76</v>
      </c>
      <c r="K228" s="35"/>
      <c r="L228" s="35"/>
      <c r="M228" s="35">
        <f t="shared" si="24"/>
        <v>76</v>
      </c>
      <c r="N228" s="35">
        <v>9.6</v>
      </c>
      <c r="O228" s="36">
        <f t="shared" si="19"/>
        <v>8.4</v>
      </c>
      <c r="P228" s="29">
        <f>LOOKUP(O228,{0,6.6,6.8,7,7.2,7.4,7.6,7.8,8,8.2,8.4,8.6,8.8,9,9.2,9.4,9.6,9.9,10.2,10.3,10.4},{0,10,20,30,40,50,60,62,64,66,68,70,72,74,76,78,80,85,90,95,100})</f>
        <v>68</v>
      </c>
      <c r="Q228" s="5">
        <v>5.1</v>
      </c>
      <c r="R228" s="36">
        <f t="shared" si="20"/>
        <v>4.9</v>
      </c>
      <c r="S228" s="29">
        <f>LOOKUP(R228,{0,4.74,4.84,4.94,5.44,5.54,5.64,5.69,5.74,5.79,5.84,5.89,5.94,5.99,6.44,6.49,6.54,6.61,6.68,6.74,6.8},{0,10,20,30,40,50,60,62,64,66,68,70,72,74,76,78,80,85,90,95,100})</f>
        <v>20</v>
      </c>
      <c r="T228" s="27"/>
      <c r="U228" s="27"/>
      <c r="V228" s="27">
        <f t="shared" si="21"/>
        <v>20</v>
      </c>
      <c r="W228" s="27"/>
      <c r="X228" s="19">
        <f t="shared" si="22"/>
        <v>41</v>
      </c>
      <c r="Y228" s="13">
        <f t="shared" si="23"/>
        <v>58.5714285714286</v>
      </c>
      <c r="Z228" s="19"/>
    </row>
    <row r="229" ht="15.6" spans="1:26">
      <c r="A229" s="27">
        <v>315</v>
      </c>
      <c r="B229" s="27">
        <v>23</v>
      </c>
      <c r="C229" s="28" t="s">
        <v>757</v>
      </c>
      <c r="D229" s="28" t="s">
        <v>46</v>
      </c>
      <c r="E229" s="27">
        <v>17.6</v>
      </c>
      <c r="F229" s="29">
        <f>LOOKUP(E229,{0,1.5,2.3,3.1,3.9,4.7,5.5,6.8,8.1,9.4,10.7,12,13.3,14.6,15.9,17.2,18.5,20.2,21.9,23.6,25.3},{0,10,20,30,40,50,60,62,64,66,68,70,72,74,76,78,80,85,90,95,100})</f>
        <v>78</v>
      </c>
      <c r="G229" s="27">
        <v>162</v>
      </c>
      <c r="H229" s="29">
        <f>LOOKUP(G229,{0,125,130,135,140,145,150,153,156,159,162,165,168,171,174,177,180,187,194,200,206},{0,10,20,30,40,50,60,62,64,66,68,70,72,74,76,78,80,85,90,95,100})</f>
        <v>68</v>
      </c>
      <c r="I229" s="27">
        <v>28</v>
      </c>
      <c r="J229" s="29">
        <f>LOOKUP(I229,{0,15,17,19,21,23,25,27,29,31,33,35,37,39,41,43,45,48,51,53,55},{0,10,20,30,40,50,60,62,64,66,68,70,72,74,76,78,80,85,90,95,100})</f>
        <v>62</v>
      </c>
      <c r="K229" s="35"/>
      <c r="L229" s="35"/>
      <c r="M229" s="35">
        <f t="shared" si="24"/>
        <v>62</v>
      </c>
      <c r="N229" s="35">
        <v>10.3</v>
      </c>
      <c r="O229" s="36">
        <f t="shared" si="19"/>
        <v>7.7</v>
      </c>
      <c r="P229" s="29">
        <f>LOOKUP(O229,{0,6.6,6.8,7,7.2,7.4,7.6,7.8,8,8.2,8.4,8.6,8.8,9,9.2,9.4,9.6,9.9,10.2,10.3,10.4},{0,10,20,30,40,50,60,62,64,66,68,70,72,74,76,78,80,85,90,95,100})</f>
        <v>60</v>
      </c>
      <c r="Q229" s="5">
        <v>4.55</v>
      </c>
      <c r="R229" s="36">
        <f t="shared" si="20"/>
        <v>5.45</v>
      </c>
      <c r="S229" s="29">
        <f>LOOKUP(R229,{0,4.74,4.84,4.94,5.44,5.54,5.64,5.69,5.74,5.79,5.84,5.89,5.94,5.99,6.44,6.49,6.54,6.61,6.68,6.74,6.8},{0,10,20,30,40,50,60,62,64,66,68,70,72,74,76,78,80,85,90,95,100})</f>
        <v>40</v>
      </c>
      <c r="T229" s="27"/>
      <c r="U229" s="27"/>
      <c r="V229" s="27">
        <f t="shared" si="21"/>
        <v>40</v>
      </c>
      <c r="W229" s="27"/>
      <c r="X229" s="19">
        <f t="shared" si="22"/>
        <v>40.8</v>
      </c>
      <c r="Y229" s="13">
        <f t="shared" si="23"/>
        <v>58.2857142857143</v>
      </c>
      <c r="Z229" s="19"/>
    </row>
    <row r="230" ht="15.6" spans="1:26">
      <c r="A230" s="27">
        <v>315</v>
      </c>
      <c r="B230" s="27">
        <v>32</v>
      </c>
      <c r="C230" s="28" t="s">
        <v>767</v>
      </c>
      <c r="D230" s="28" t="s">
        <v>46</v>
      </c>
      <c r="E230" s="27">
        <v>17</v>
      </c>
      <c r="F230" s="29">
        <f>LOOKUP(E230,{0,1.5,2.3,3.1,3.9,4.7,5.5,6.8,8.1,9.4,10.7,12,13.3,14.6,15.9,17.2,18.5,20.2,21.9,23.6,25.3},{0,10,20,30,40,50,60,62,64,66,68,70,72,74,76,78,80,85,90,95,100})</f>
        <v>76</v>
      </c>
      <c r="G230" s="27">
        <v>182</v>
      </c>
      <c r="H230" s="29">
        <f>LOOKUP(G230,{0,125,130,135,140,145,150,153,156,159,162,165,168,171,174,177,180,187,194,200,206},{0,10,20,30,40,50,60,62,64,66,68,70,72,74,76,78,80,85,90,95,100})</f>
        <v>80</v>
      </c>
      <c r="I230" s="27">
        <v>45</v>
      </c>
      <c r="J230" s="29">
        <f>LOOKUP(I230,{0,15,17,19,21,23,25,27,29,31,33,35,37,39,41,43,45,48,51,53,55},{0,10,20,30,40,50,60,62,64,66,68,70,72,74,76,78,80,85,90,95,100})</f>
        <v>80</v>
      </c>
      <c r="K230" s="35"/>
      <c r="L230" s="35"/>
      <c r="M230" s="35">
        <f t="shared" si="24"/>
        <v>80</v>
      </c>
      <c r="N230" s="35">
        <v>9.8</v>
      </c>
      <c r="O230" s="36">
        <f t="shared" si="19"/>
        <v>8.2</v>
      </c>
      <c r="P230" s="29">
        <f>LOOKUP(O230,{0,6.6,6.8,7,7.2,7.4,7.6,7.8,8,8.2,8.4,8.6,8.8,9,9.2,9.4,9.6,9.9,10.2,10.3,10.4},{0,10,20,30,40,50,60,62,64,66,68,70,72,74,76,78,80,85,90,95,100})</f>
        <v>66</v>
      </c>
      <c r="Q230" s="5">
        <v>5.08</v>
      </c>
      <c r="R230" s="36">
        <f t="shared" si="20"/>
        <v>4.92</v>
      </c>
      <c r="S230" s="29">
        <f>LOOKUP(R230,{0,4.74,4.84,4.94,5.44,5.54,5.64,5.69,5.74,5.79,5.84,5.89,5.94,5.99,6.44,6.49,6.54,6.61,6.68,6.74,6.8},{0,10,20,30,40,50,60,62,64,66,68,70,72,74,76,78,80,85,90,95,100})</f>
        <v>20</v>
      </c>
      <c r="T230" s="27"/>
      <c r="U230" s="27"/>
      <c r="V230" s="27">
        <f t="shared" si="21"/>
        <v>20</v>
      </c>
      <c r="W230" s="27"/>
      <c r="X230" s="19">
        <f t="shared" si="22"/>
        <v>40.8</v>
      </c>
      <c r="Y230" s="13">
        <f t="shared" si="23"/>
        <v>58.2857142857143</v>
      </c>
      <c r="Z230" s="19"/>
    </row>
    <row r="231" ht="15.6" spans="1:26">
      <c r="A231" s="27">
        <v>301</v>
      </c>
      <c r="B231" s="27">
        <v>32</v>
      </c>
      <c r="C231" s="31" t="s">
        <v>45</v>
      </c>
      <c r="D231" s="27" t="s">
        <v>46</v>
      </c>
      <c r="E231" s="27">
        <v>7.3</v>
      </c>
      <c r="F231" s="29">
        <f>LOOKUP(E231,{0,1.5,2.3,3.1,3.9,4.7,5.5,6.8,8.1,9.4,10.7,12,13.3,14.6,15.9,17.2,18.5,20.2,21.9,23.6,25.3},{0,10,20,30,40,50,60,62,64,66,68,70,72,74,76,78,80,85,90,95,100})</f>
        <v>62</v>
      </c>
      <c r="G231" s="27">
        <v>155</v>
      </c>
      <c r="H231" s="29">
        <f>LOOKUP(G231,{0,125,130,135,140,145,150,153,156,159,162,165,168,171,174,177,180,187,194,200,206},{0,10,20,30,40,50,60,62,64,66,68,70,72,74,76,78,80,85,90,95,100})</f>
        <v>62</v>
      </c>
      <c r="I231" s="27">
        <v>24</v>
      </c>
      <c r="J231" s="29">
        <f>LOOKUP(I231,{0,15,17,19,21,23,25,27,29,31,33,35,37,39,41,43,45,48,51,53,55},{0,10,20,30,40,50,60,62,64,66,68,70,72,74,76,78,80,85,90,95,100})</f>
        <v>50</v>
      </c>
      <c r="K231" s="35"/>
      <c r="L231" s="35"/>
      <c r="M231" s="35">
        <f t="shared" si="24"/>
        <v>50</v>
      </c>
      <c r="N231" s="35">
        <v>8.8</v>
      </c>
      <c r="O231" s="36">
        <f t="shared" si="19"/>
        <v>9.2</v>
      </c>
      <c r="P231" s="29">
        <f>LOOKUP(O231,{0,6.6,6.8,7,7.2,7.4,7.6,7.8,8,8.2,8.4,8.6,8.8,9,9.2,9.4,9.6,9.9,10.2,10.3,10.4},{0,10,20,30,40,50,60,62,64,66,68,70,72,74,76,78,80,85,90,95,100})</f>
        <v>76</v>
      </c>
      <c r="Q231" s="5">
        <v>4.56</v>
      </c>
      <c r="R231" s="36">
        <f t="shared" si="20"/>
        <v>5.44</v>
      </c>
      <c r="S231" s="29">
        <f>LOOKUP(R231,{0,4.74,4.84,4.94,5.44,5.54,5.64,5.69,5.74,5.79,5.84,5.89,5.94,5.99,6.44,6.49,6.54,6.61,6.68,6.74,6.8},{0,10,20,30,40,50,60,62,64,66,68,70,72,74,76,78,80,85,90,95,100})</f>
        <v>40</v>
      </c>
      <c r="T231" s="27"/>
      <c r="U231" s="27"/>
      <c r="V231" s="27">
        <f t="shared" si="21"/>
        <v>40</v>
      </c>
      <c r="W231" s="27"/>
      <c r="X231" s="19">
        <f t="shared" si="22"/>
        <v>40.6</v>
      </c>
      <c r="Y231" s="13">
        <f t="shared" si="23"/>
        <v>58</v>
      </c>
      <c r="Z231" s="20"/>
    </row>
    <row r="232" ht="15.6" spans="1:26">
      <c r="A232" s="27">
        <v>308</v>
      </c>
      <c r="B232" s="27">
        <v>24</v>
      </c>
      <c r="C232" s="28" t="s">
        <v>377</v>
      </c>
      <c r="D232" s="28" t="s">
        <v>46</v>
      </c>
      <c r="E232" s="27">
        <v>16.5</v>
      </c>
      <c r="F232" s="29">
        <f>LOOKUP(E232,{0,1.5,2.3,3.1,3.9,4.7,5.5,6.8,8.1,9.4,10.7,12,13.3,14.6,15.9,17.2,18.5,20.2,21.9,23.6,25.3},{0,10,20,30,40,50,60,62,64,66,68,70,72,74,76,78,80,85,90,95,100})</f>
        <v>76</v>
      </c>
      <c r="G232" s="27">
        <v>155</v>
      </c>
      <c r="H232" s="29">
        <f>LOOKUP(G232,{0,125,130,135,140,145,150,153,156,159,162,165,168,171,174,177,180,187,194,200,206},{0,10,20,30,40,50,60,62,64,66,68,70,72,74,76,78,80,85,90,95,100})</f>
        <v>62</v>
      </c>
      <c r="I232" s="27">
        <v>45</v>
      </c>
      <c r="J232" s="29">
        <f>LOOKUP(I232,{0,15,17,19,21,23,25,27,29,31,33,35,37,39,41,43,45,48,51,53,55},{0,10,20,30,40,50,60,62,64,66,68,70,72,74,76,78,80,85,90,95,100})</f>
        <v>80</v>
      </c>
      <c r="K232" s="35"/>
      <c r="L232" s="35"/>
      <c r="M232" s="35">
        <f t="shared" si="24"/>
        <v>80</v>
      </c>
      <c r="N232" s="35">
        <v>10</v>
      </c>
      <c r="O232" s="36">
        <f t="shared" si="19"/>
        <v>8</v>
      </c>
      <c r="P232" s="29">
        <f>LOOKUP(O232,{0,6.6,6.8,7,7.2,7.4,7.6,7.8,8,8.2,8.4,8.6,8.8,9,9.2,9.4,9.6,9.9,10.2,10.3,10.4},{0,10,20,30,40,50,60,62,64,66,68,70,72,74,76,78,80,85,90,95,100})</f>
        <v>64</v>
      </c>
      <c r="Q232" s="5">
        <v>4.57</v>
      </c>
      <c r="R232" s="36">
        <f t="shared" si="20"/>
        <v>5.43</v>
      </c>
      <c r="S232" s="29">
        <f>LOOKUP(R232,{0,4.74,4.84,4.94,5.44,5.54,5.64,5.69,5.74,5.79,5.84,5.89,5.94,5.99,6.44,6.49,6.54,6.61,6.68,6.74,6.8},{0,10,20,30,40,50,60,62,64,66,68,70,72,74,76,78,80,85,90,95,100})</f>
        <v>30</v>
      </c>
      <c r="T232" s="27"/>
      <c r="U232" s="27"/>
      <c r="V232" s="27">
        <f t="shared" si="21"/>
        <v>30</v>
      </c>
      <c r="W232" s="27"/>
      <c r="X232" s="19">
        <f t="shared" si="22"/>
        <v>40.6</v>
      </c>
      <c r="Y232" s="13">
        <f t="shared" si="23"/>
        <v>58</v>
      </c>
      <c r="Z232" s="19"/>
    </row>
    <row r="233" ht="15.6" spans="1:26">
      <c r="A233" s="27">
        <v>316</v>
      </c>
      <c r="B233" s="27">
        <v>45</v>
      </c>
      <c r="C233" s="28" t="s">
        <v>836</v>
      </c>
      <c r="D233" s="28" t="s">
        <v>46</v>
      </c>
      <c r="E233" s="27">
        <v>7</v>
      </c>
      <c r="F233" s="29">
        <f>LOOKUP(E233,{0,1.5,2.3,3.1,3.9,4.7,5.5,6.8,8.1,9.4,10.7,12,13.3,14.6,15.9,17.2,18.5,20.2,21.9,23.6,25.3},{0,10,20,30,40,50,60,62,64,66,68,70,72,74,76,78,80,85,90,95,100})</f>
        <v>62</v>
      </c>
      <c r="G233" s="27">
        <v>130</v>
      </c>
      <c r="H233" s="29">
        <f>LOOKUP(G233,{0,125,130,135,140,145,150,153,156,159,162,165,168,171,174,177,180,187,194,200,206},{0,10,20,30,40,50,60,62,64,66,68,70,72,74,76,78,80,85,90,95,100})</f>
        <v>20</v>
      </c>
      <c r="I233" s="27">
        <v>29</v>
      </c>
      <c r="J233" s="29">
        <f>LOOKUP(I233,{0,15,17,19,21,23,25,27,29,31,33,35,37,39,41,43,45,48,51,53,55},{0,10,20,30,40,50,60,62,64,66,68,70,72,74,76,78,80,85,90,95,100})</f>
        <v>64</v>
      </c>
      <c r="K233" s="35"/>
      <c r="L233" s="35"/>
      <c r="M233" s="35">
        <f t="shared" si="24"/>
        <v>64</v>
      </c>
      <c r="N233" s="35">
        <v>10</v>
      </c>
      <c r="O233" s="36">
        <f t="shared" si="19"/>
        <v>8</v>
      </c>
      <c r="P233" s="29">
        <f>LOOKUP(O233,{0,6.6,6.8,7,7.2,7.4,7.6,7.8,8,8.2,8.4,8.6,8.8,9,9.2,9.4,9.6,9.9,10.2,10.3,10.4},{0,10,20,30,40,50,60,62,64,66,68,70,72,74,76,78,80,85,90,95,100})</f>
        <v>64</v>
      </c>
      <c r="Q233" s="5">
        <v>4.17</v>
      </c>
      <c r="R233" s="36">
        <f t="shared" si="20"/>
        <v>5.83</v>
      </c>
      <c r="S233" s="29">
        <f>LOOKUP(R233,{0,4.74,4.84,4.94,5.44,5.54,5.64,5.69,5.74,5.79,5.84,5.89,5.94,5.99,6.44,6.49,6.54,6.61,6.68,6.74,6.8},{0,10,20,30,40,50,60,62,64,66,68,70,72,74,76,78,80,85,90,95,100})</f>
        <v>66</v>
      </c>
      <c r="T233" s="27"/>
      <c r="U233" s="27"/>
      <c r="V233" s="27">
        <f t="shared" si="21"/>
        <v>66</v>
      </c>
      <c r="W233" s="27"/>
      <c r="X233" s="19">
        <f t="shared" si="22"/>
        <v>40.6</v>
      </c>
      <c r="Y233" s="13">
        <f t="shared" si="23"/>
        <v>58</v>
      </c>
      <c r="Z233" s="19"/>
    </row>
    <row r="234" ht="15.6" spans="1:26">
      <c r="A234" s="27">
        <v>315</v>
      </c>
      <c r="B234" s="27">
        <v>17</v>
      </c>
      <c r="C234" s="28" t="s">
        <v>750</v>
      </c>
      <c r="D234" s="28" t="s">
        <v>46</v>
      </c>
      <c r="E234" s="27">
        <v>9</v>
      </c>
      <c r="F234" s="29">
        <f>LOOKUP(E234,{0,1.5,2.3,3.1,3.9,4.7,5.5,6.8,8.1,9.4,10.7,12,13.3,14.6,15.9,17.2,18.5,20.2,21.9,23.6,25.3},{0,10,20,30,40,50,60,62,64,66,68,70,72,74,76,78,80,85,90,95,100})</f>
        <v>64</v>
      </c>
      <c r="G234" s="27">
        <v>150</v>
      </c>
      <c r="H234" s="29">
        <f>LOOKUP(G234,{0,125,130,135,140,145,150,153,156,159,162,165,168,171,174,177,180,187,194,200,206},{0,10,20,30,40,50,60,62,64,66,68,70,72,74,76,78,80,85,90,95,100})</f>
        <v>60</v>
      </c>
      <c r="I234" s="27">
        <v>41</v>
      </c>
      <c r="J234" s="29">
        <f>LOOKUP(I234,{0,15,17,19,21,23,25,27,29,31,33,35,37,39,41,43,45,48,51,53,55},{0,10,20,30,40,50,60,62,64,66,68,70,72,74,76,78,80,85,90,95,100})</f>
        <v>76</v>
      </c>
      <c r="K234" s="35"/>
      <c r="L234" s="35"/>
      <c r="M234" s="35">
        <f t="shared" si="24"/>
        <v>76</v>
      </c>
      <c r="N234" s="35">
        <v>10.2</v>
      </c>
      <c r="O234" s="36">
        <f t="shared" si="19"/>
        <v>7.8</v>
      </c>
      <c r="P234" s="29">
        <f>LOOKUP(O234,{0,6.6,6.8,7,7.2,7.4,7.6,7.8,8,8.2,8.4,8.6,8.8,9,9.2,9.4,9.6,9.9,10.2,10.3,10.4},{0,10,20,30,40,50,60,62,64,66,68,70,72,74,76,78,80,85,90,95,100})</f>
        <v>62</v>
      </c>
      <c r="Q234" s="5">
        <v>4.52</v>
      </c>
      <c r="R234" s="36">
        <f t="shared" si="20"/>
        <v>5.48</v>
      </c>
      <c r="S234" s="29">
        <f>LOOKUP(R234,{0,4.74,4.84,4.94,5.44,5.54,5.64,5.69,5.74,5.79,5.84,5.89,5.94,5.99,6.44,6.49,6.54,6.61,6.68,6.74,6.8},{0,10,20,30,40,50,60,62,64,66,68,70,72,74,76,78,80,85,90,95,100})</f>
        <v>40</v>
      </c>
      <c r="T234" s="27"/>
      <c r="U234" s="27"/>
      <c r="V234" s="27">
        <f t="shared" si="21"/>
        <v>40</v>
      </c>
      <c r="W234" s="27"/>
      <c r="X234" s="19">
        <f t="shared" si="22"/>
        <v>40.4</v>
      </c>
      <c r="Y234" s="13">
        <f t="shared" si="23"/>
        <v>57.7142857142857</v>
      </c>
      <c r="Z234" s="19"/>
    </row>
    <row r="235" ht="15.6" spans="1:26">
      <c r="A235" s="27">
        <v>311</v>
      </c>
      <c r="B235" s="27">
        <v>52</v>
      </c>
      <c r="C235" s="28" t="s">
        <v>569</v>
      </c>
      <c r="D235" s="28" t="s">
        <v>46</v>
      </c>
      <c r="E235" s="27">
        <v>17</v>
      </c>
      <c r="F235" s="29">
        <f>LOOKUP(E235,{0,1.5,2.3,3.1,3.9,4.7,5.5,6.8,8.1,9.4,10.7,12,13.3,14.6,15.9,17.2,18.5,20.2,21.9,23.6,25.3},{0,10,20,30,40,50,60,62,64,66,68,70,72,74,76,78,80,85,90,95,100})</f>
        <v>76</v>
      </c>
      <c r="G235" s="27">
        <v>155</v>
      </c>
      <c r="H235" s="29">
        <f>LOOKUP(G235,{0,125,130,135,140,145,150,153,156,159,162,165,168,171,174,177,180,187,194,200,206},{0,10,20,30,40,50,60,62,64,66,68,70,72,74,76,78,80,85,90,95,100})</f>
        <v>62</v>
      </c>
      <c r="I235" s="27">
        <v>33</v>
      </c>
      <c r="J235" s="29">
        <f>LOOKUP(I235,{0,15,17,19,21,23,25,27,29,31,33,35,37,39,41,43,45,48,51,53,55},{0,10,20,30,40,50,60,62,64,66,68,70,72,74,76,78,80,85,90,95,100})</f>
        <v>68</v>
      </c>
      <c r="K235" s="35"/>
      <c r="L235" s="35"/>
      <c r="M235" s="35">
        <f t="shared" si="24"/>
        <v>68</v>
      </c>
      <c r="N235" s="35">
        <v>9.5</v>
      </c>
      <c r="O235" s="36">
        <f t="shared" si="19"/>
        <v>8.5</v>
      </c>
      <c r="P235" s="29">
        <f>LOOKUP(O235,{0,6.6,6.8,7,7.2,7.4,7.6,7.8,8,8.2,8.4,8.6,8.8,9,9.2,9.4,9.6,9.9,10.2,10.3,10.4},{0,10,20,30,40,50,60,62,64,66,68,70,72,74,76,78,80,85,90,95,100})</f>
        <v>68</v>
      </c>
      <c r="Q235" s="5">
        <v>4.58</v>
      </c>
      <c r="R235" s="36">
        <f t="shared" si="20"/>
        <v>5.42</v>
      </c>
      <c r="S235" s="29">
        <f>LOOKUP(R235,{0,4.74,4.84,4.94,5.44,5.54,5.64,5.69,5.74,5.79,5.84,5.89,5.94,5.99,6.44,6.49,6.54,6.61,6.68,6.74,6.8},{0,10,20,30,40,50,60,62,64,66,68,70,72,74,76,78,80,85,90,95,100})</f>
        <v>30</v>
      </c>
      <c r="T235" s="27"/>
      <c r="U235" s="27"/>
      <c r="V235" s="27">
        <f t="shared" si="21"/>
        <v>30</v>
      </c>
      <c r="W235" s="27"/>
      <c r="X235" s="19">
        <f t="shared" si="22"/>
        <v>40.2</v>
      </c>
      <c r="Y235" s="13">
        <f t="shared" si="23"/>
        <v>57.4285714285714</v>
      </c>
      <c r="Z235" s="19"/>
    </row>
    <row r="236" ht="15.6" spans="1:26">
      <c r="A236" s="27">
        <v>315</v>
      </c>
      <c r="B236" s="27">
        <v>14</v>
      </c>
      <c r="C236" s="28" t="s">
        <v>747</v>
      </c>
      <c r="D236" s="28" t="s">
        <v>46</v>
      </c>
      <c r="E236" s="27">
        <v>16.5</v>
      </c>
      <c r="F236" s="29">
        <f>LOOKUP(E236,{0,1.5,2.3,3.1,3.9,4.7,5.5,6.8,8.1,9.4,10.7,12,13.3,14.6,15.9,17.2,18.5,20.2,21.9,23.6,25.3},{0,10,20,30,40,50,60,62,64,66,68,70,72,74,76,78,80,85,90,95,100})</f>
        <v>76</v>
      </c>
      <c r="G236" s="27">
        <v>160</v>
      </c>
      <c r="H236" s="29">
        <f>LOOKUP(G236,{0,125,130,135,140,145,150,153,156,159,162,165,168,171,174,177,180,187,194,200,206},{0,10,20,30,40,50,60,62,64,66,68,70,72,74,76,78,80,85,90,95,100})</f>
        <v>66</v>
      </c>
      <c r="I236" s="27">
        <v>43</v>
      </c>
      <c r="J236" s="29">
        <f>LOOKUP(I236,{0,15,17,19,21,23,25,27,29,31,33,35,37,39,41,43,45,48,51,53,55},{0,10,20,30,40,50,60,62,64,66,68,70,72,74,76,78,80,85,90,95,100})</f>
        <v>78</v>
      </c>
      <c r="K236" s="35"/>
      <c r="L236" s="35"/>
      <c r="M236" s="35">
        <f t="shared" si="24"/>
        <v>78</v>
      </c>
      <c r="N236" s="35">
        <v>10.6</v>
      </c>
      <c r="O236" s="36">
        <f t="shared" si="19"/>
        <v>7.4</v>
      </c>
      <c r="P236" s="29">
        <f>LOOKUP(O236,{0,6.6,6.8,7,7.2,7.4,7.6,7.8,8,8.2,8.4,8.6,8.8,9,9.2,9.4,9.6,9.9,10.2,10.3,10.4},{0,10,20,30,40,50,60,62,64,66,68,70,72,74,76,78,80,85,90,95,100})</f>
        <v>50</v>
      </c>
      <c r="Q236" s="5">
        <v>4.5</v>
      </c>
      <c r="R236" s="36">
        <f t="shared" si="20"/>
        <v>5.5</v>
      </c>
      <c r="S236" s="29">
        <f>LOOKUP(R236,{0,4.74,4.84,4.94,5.44,5.54,5.64,5.69,5.74,5.79,5.84,5.89,5.94,5.99,6.44,6.49,6.54,6.61,6.68,6.74,6.8},{0,10,20,30,40,50,60,62,64,66,68,70,72,74,76,78,80,85,90,95,100})</f>
        <v>40</v>
      </c>
      <c r="T236" s="27"/>
      <c r="U236" s="27"/>
      <c r="V236" s="27">
        <f t="shared" si="21"/>
        <v>40</v>
      </c>
      <c r="W236" s="27"/>
      <c r="X236" s="19">
        <f t="shared" si="22"/>
        <v>40</v>
      </c>
      <c r="Y236" s="13">
        <f t="shared" si="23"/>
        <v>57.1428571428571</v>
      </c>
      <c r="Z236" s="19"/>
    </row>
    <row r="237" ht="15.6" spans="1:26">
      <c r="A237" s="27">
        <v>307</v>
      </c>
      <c r="B237" s="27">
        <v>24</v>
      </c>
      <c r="C237" s="28" t="s">
        <v>324</v>
      </c>
      <c r="D237" s="28" t="s">
        <v>46</v>
      </c>
      <c r="E237" s="27">
        <v>17</v>
      </c>
      <c r="F237" s="29">
        <f>LOOKUP(E237,{0,1.5,2.3,3.1,3.9,4.7,5.5,6.8,8.1,9.4,10.7,12,13.3,14.6,15.9,17.2,18.5,20.2,21.9,23.6,25.3},{0,10,20,30,40,50,60,62,64,66,68,70,72,74,76,78,80,85,90,95,100})</f>
        <v>76</v>
      </c>
      <c r="G237" s="27">
        <v>175</v>
      </c>
      <c r="H237" s="29">
        <f>LOOKUP(G237,{0,125,130,135,140,145,150,153,156,159,162,165,168,171,174,177,180,187,194,200,206},{0,10,20,30,40,50,60,62,64,66,68,70,72,74,76,78,80,85,90,95,100})</f>
        <v>76</v>
      </c>
      <c r="I237" s="27">
        <v>39</v>
      </c>
      <c r="J237" s="29">
        <f>LOOKUP(I237,{0,15,17,19,21,23,25,27,29,31,33,35,37,39,41,43,45,48,51,53,55},{0,10,20,30,40,50,60,62,64,66,68,70,72,74,76,78,80,85,90,95,100})</f>
        <v>74</v>
      </c>
      <c r="K237" s="35"/>
      <c r="L237" s="35"/>
      <c r="M237" s="35">
        <f t="shared" si="24"/>
        <v>74</v>
      </c>
      <c r="N237" s="35">
        <v>8.7</v>
      </c>
      <c r="O237" s="36">
        <f t="shared" si="19"/>
        <v>9.3</v>
      </c>
      <c r="P237" s="29">
        <f>LOOKUP(O237,{0,6.6,6.8,7,7.2,7.4,7.6,7.8,8,8.2,8.4,8.6,8.8,9,9.2,9.4,9.6,9.9,10.2,10.3,10.4},{0,10,20,30,40,50,60,62,64,66,68,70,72,74,76,78,80,85,90,95,100})</f>
        <v>76</v>
      </c>
      <c r="Q237" s="5">
        <v>5.26</v>
      </c>
      <c r="R237" s="36">
        <f t="shared" si="20"/>
        <v>4.74</v>
      </c>
      <c r="S237" s="29">
        <f>LOOKUP(R237,{0,4.74,4.84,4.94,5.44,5.54,5.64,5.69,5.74,5.79,5.84,5.89,5.94,5.99,6.44,6.49,6.54,6.61,6.68,6.74,6.8},{0,10,20,30,40,50,60,62,64,66,68,70,72,74,76,78,80,85,90,95,100})</f>
        <v>10</v>
      </c>
      <c r="T237" s="27"/>
      <c r="U237" s="27"/>
      <c r="V237" s="27">
        <f t="shared" si="21"/>
        <v>10</v>
      </c>
      <c r="W237" s="27"/>
      <c r="X237" s="19">
        <f t="shared" si="22"/>
        <v>39.8</v>
      </c>
      <c r="Y237" s="13">
        <f t="shared" si="23"/>
        <v>56.8571428571429</v>
      </c>
      <c r="Z237" s="19"/>
    </row>
    <row r="238" ht="15.6" spans="1:26">
      <c r="A238" s="27">
        <v>314</v>
      </c>
      <c r="B238" s="27">
        <v>46</v>
      </c>
      <c r="C238" s="28" t="s">
        <v>730</v>
      </c>
      <c r="D238" s="28" t="s">
        <v>46</v>
      </c>
      <c r="E238" s="27">
        <v>8.5</v>
      </c>
      <c r="F238" s="29">
        <f>LOOKUP(E238,{0,1.5,2.3,3.1,3.9,4.7,5.5,6.8,8.1,9.4,10.7,12,13.3,14.6,15.9,17.2,18.5,20.2,21.9,23.6,25.3},{0,10,20,30,40,50,60,62,64,66,68,70,72,74,76,78,80,85,90,95,100})</f>
        <v>64</v>
      </c>
      <c r="G238" s="27">
        <v>160</v>
      </c>
      <c r="H238" s="29">
        <f>LOOKUP(G238,{0,125,130,135,140,145,150,153,156,159,162,165,168,171,174,177,180,187,194,200,206},{0,10,20,30,40,50,60,62,64,66,68,70,72,74,76,78,80,85,90,95,100})</f>
        <v>66</v>
      </c>
      <c r="I238" s="27">
        <v>60</v>
      </c>
      <c r="J238" s="29">
        <f>LOOKUP(I238,{0,15,17,19,21,23,25,27,29,31,33,35,37,39,41,43,45,48,51,53,55},{0,10,20,30,40,50,60,62,64,66,68,70,72,74,76,78,80,85,90,95,100})</f>
        <v>100</v>
      </c>
      <c r="K238" s="34">
        <f>I238-55</f>
        <v>5</v>
      </c>
      <c r="L238" s="29">
        <f>LOOKUP(K238,{0,2,4,6,7,8,9,10,11,12,13},{0,1,2,3,4,5,6,7,8,9,10})</f>
        <v>2</v>
      </c>
      <c r="M238" s="35">
        <f t="shared" si="24"/>
        <v>102</v>
      </c>
      <c r="N238" s="35">
        <v>8.7</v>
      </c>
      <c r="O238" s="36">
        <f t="shared" si="19"/>
        <v>9.3</v>
      </c>
      <c r="P238" s="29">
        <f>LOOKUP(O238,{0,6.6,6.8,7,7.2,7.4,7.6,7.8,8,8.2,8.4,8.6,8.8,9,9.2,9.4,9.6,9.9,10.2,10.3,10.4},{0,10,20,30,40,50,60,62,64,66,68,70,72,74,76,78,80,85,90,95,100})</f>
        <v>76</v>
      </c>
      <c r="Q238" s="5" t="s">
        <v>77</v>
      </c>
      <c r="R238" s="27"/>
      <c r="S238" s="27"/>
      <c r="T238" s="27"/>
      <c r="U238" s="27"/>
      <c r="V238" s="27"/>
      <c r="W238" s="27"/>
      <c r="X238" s="19">
        <f t="shared" si="22"/>
        <v>38.2</v>
      </c>
      <c r="Y238" s="13">
        <f t="shared" si="23"/>
        <v>56.5714285714286</v>
      </c>
      <c r="Z238" s="19"/>
    </row>
    <row r="239" ht="15.6" spans="1:26">
      <c r="A239" s="27">
        <v>315</v>
      </c>
      <c r="B239" s="27">
        <v>16</v>
      </c>
      <c r="C239" s="28" t="s">
        <v>749</v>
      </c>
      <c r="D239" s="28" t="s">
        <v>46</v>
      </c>
      <c r="E239" s="27">
        <v>20</v>
      </c>
      <c r="F239" s="29">
        <f>LOOKUP(E239,{0,1.5,2.3,3.1,3.9,4.7,5.5,6.8,8.1,9.4,10.7,12,13.3,14.6,15.9,17.2,18.5,20.2,21.9,23.6,25.3},{0,10,20,30,40,50,60,62,64,66,68,70,72,74,76,78,80,85,90,95,100})</f>
        <v>80</v>
      </c>
      <c r="G239" s="27">
        <v>168</v>
      </c>
      <c r="H239" s="29">
        <f>LOOKUP(G239,{0,125,130,135,140,145,150,153,156,159,162,165,168,171,174,177,180,187,194,200,206},{0,10,20,30,40,50,60,62,64,66,68,70,72,74,76,78,80,85,90,95,100})</f>
        <v>72</v>
      </c>
      <c r="I239" s="27">
        <v>25</v>
      </c>
      <c r="J239" s="29">
        <f>LOOKUP(I239,{0,15,17,19,21,23,25,27,29,31,33,35,37,39,41,43,45,48,51,53,55},{0,10,20,30,40,50,60,62,64,66,68,70,72,74,76,78,80,85,90,95,100})</f>
        <v>60</v>
      </c>
      <c r="K239" s="35"/>
      <c r="L239" s="35"/>
      <c r="M239" s="35">
        <f t="shared" si="24"/>
        <v>60</v>
      </c>
      <c r="N239" s="35">
        <v>9.1</v>
      </c>
      <c r="O239" s="36">
        <f t="shared" si="19"/>
        <v>8.9</v>
      </c>
      <c r="P239" s="29">
        <f>LOOKUP(O239,{0,6.6,6.8,7,7.2,7.4,7.6,7.8,8,8.2,8.4,8.6,8.8,9,9.2,9.4,9.6,9.9,10.2,10.3,10.4},{0,10,20,30,40,50,60,62,64,66,68,70,72,74,76,78,80,85,90,95,100})</f>
        <v>72</v>
      </c>
      <c r="Q239" s="5">
        <v>5.1</v>
      </c>
      <c r="R239" s="36">
        <f>10-Q239</f>
        <v>4.9</v>
      </c>
      <c r="S239" s="29">
        <f>LOOKUP(R239,{0,4.74,4.84,4.94,5.44,5.54,5.64,5.69,5.74,5.79,5.84,5.89,5.94,5.99,6.44,6.49,6.54,6.61,6.68,6.74,6.8},{0,10,20,30,40,50,60,62,64,66,68,70,72,74,76,78,80,85,90,95,100})</f>
        <v>20</v>
      </c>
      <c r="T239" s="27"/>
      <c r="U239" s="27"/>
      <c r="V239" s="27">
        <f>S239+U239</f>
        <v>20</v>
      </c>
      <c r="W239" s="27"/>
      <c r="X239" s="19">
        <f t="shared" si="22"/>
        <v>39.6</v>
      </c>
      <c r="Y239" s="13">
        <f t="shared" si="23"/>
        <v>56.5714285714286</v>
      </c>
      <c r="Z239" s="19"/>
    </row>
    <row r="240" ht="15.6" spans="1:26">
      <c r="A240" s="27">
        <v>312</v>
      </c>
      <c r="B240" s="27">
        <v>48</v>
      </c>
      <c r="C240" s="28" t="s">
        <v>624</v>
      </c>
      <c r="D240" s="28" t="s">
        <v>46</v>
      </c>
      <c r="E240" s="27">
        <v>25</v>
      </c>
      <c r="F240" s="29">
        <f>LOOKUP(E240,{0,1.5,2.3,3.1,3.9,4.7,5.5,6.8,8.1,9.4,10.7,12,13.3,14.6,15.9,17.2,18.5,20.2,21.9,23.6,25.3},{0,10,20,30,40,50,60,62,64,66,68,70,72,74,76,78,80,85,90,95,100})</f>
        <v>95</v>
      </c>
      <c r="G240" s="27">
        <v>165</v>
      </c>
      <c r="H240" s="29">
        <f>LOOKUP(G240,{0,125,130,135,140,145,150,153,156,159,162,165,168,171,174,177,180,187,194,200,206},{0,10,20,30,40,50,60,62,64,66,68,70,72,74,76,78,80,85,90,95,100})</f>
        <v>70</v>
      </c>
      <c r="I240" s="27">
        <v>51</v>
      </c>
      <c r="J240" s="29">
        <f>LOOKUP(I240,{0,15,17,19,21,23,25,27,29,31,33,35,37,39,41,43,45,48,51,53,55},{0,10,20,30,40,50,60,62,64,66,68,70,72,74,76,78,80,85,90,95,100})</f>
        <v>90</v>
      </c>
      <c r="K240" s="35"/>
      <c r="L240" s="35"/>
      <c r="M240" s="35">
        <f t="shared" si="24"/>
        <v>90</v>
      </c>
      <c r="N240" s="35">
        <v>10.6</v>
      </c>
      <c r="O240" s="36">
        <f t="shared" si="19"/>
        <v>7.4</v>
      </c>
      <c r="P240" s="29">
        <f>LOOKUP(O240,{0,6.6,6.8,7,7.2,7.4,7.6,7.8,8,8.2,8.4,8.6,8.8,9,9.2,9.4,9.6,9.9,10.2,10.3,10.4},{0,10,20,30,40,50,60,62,64,66,68,70,72,74,76,78,80,85,90,95,100})</f>
        <v>50</v>
      </c>
      <c r="Q240" s="5">
        <v>5.11</v>
      </c>
      <c r="R240" s="36">
        <f>10-Q240</f>
        <v>4.89</v>
      </c>
      <c r="S240" s="29">
        <f>LOOKUP(R240,{0,4.74,4.84,4.94,5.44,5.54,5.64,5.69,5.74,5.79,5.84,5.89,5.94,5.99,6.44,6.49,6.54,6.61,6.68,6.74,6.8},{0,10,20,30,40,50,60,62,64,66,68,70,72,74,76,78,80,85,90,95,100})</f>
        <v>20</v>
      </c>
      <c r="T240" s="27"/>
      <c r="U240" s="27"/>
      <c r="V240" s="27">
        <f>S240+U240</f>
        <v>20</v>
      </c>
      <c r="W240" s="27"/>
      <c r="X240" s="19">
        <f t="shared" si="22"/>
        <v>39.5</v>
      </c>
      <c r="Y240" s="13">
        <f t="shared" si="23"/>
        <v>56.4285714285714</v>
      </c>
      <c r="Z240" s="19"/>
    </row>
    <row r="241" ht="15.6" spans="1:26">
      <c r="A241" s="27">
        <v>308</v>
      </c>
      <c r="B241" s="27">
        <v>33</v>
      </c>
      <c r="C241" s="28" t="s">
        <v>387</v>
      </c>
      <c r="D241" s="28" t="s">
        <v>46</v>
      </c>
      <c r="E241" s="27">
        <v>17</v>
      </c>
      <c r="F241" s="29">
        <f>LOOKUP(E241,{0,1.5,2.3,3.1,3.9,4.7,5.5,6.8,8.1,9.4,10.7,12,13.3,14.6,15.9,17.2,18.5,20.2,21.9,23.6,25.3},{0,10,20,30,40,50,60,62,64,66,68,70,72,74,76,78,80,85,90,95,100})</f>
        <v>76</v>
      </c>
      <c r="G241" s="27">
        <v>150</v>
      </c>
      <c r="H241" s="29">
        <f>LOOKUP(G241,{0,125,130,135,140,145,150,153,156,159,162,165,168,171,174,177,180,187,194,200,206},{0,10,20,30,40,50,60,62,64,66,68,70,72,74,76,78,80,85,90,95,100})</f>
        <v>60</v>
      </c>
      <c r="I241" s="27">
        <v>36</v>
      </c>
      <c r="J241" s="29">
        <f>LOOKUP(I241,{0,15,17,19,21,23,25,27,29,31,33,35,37,39,41,43,45,48,51,53,55},{0,10,20,30,40,50,60,62,64,66,68,70,72,74,76,78,80,85,90,95,100})</f>
        <v>70</v>
      </c>
      <c r="K241" s="35"/>
      <c r="L241" s="35"/>
      <c r="M241" s="35">
        <f t="shared" si="24"/>
        <v>70</v>
      </c>
      <c r="N241" s="35">
        <v>10</v>
      </c>
      <c r="O241" s="36">
        <f t="shared" si="19"/>
        <v>8</v>
      </c>
      <c r="P241" s="29">
        <f>LOOKUP(O241,{0,6.6,6.8,7,7.2,7.4,7.6,7.8,8,8.2,8.4,8.6,8.8,9,9.2,9.4,9.6,9.9,10.2,10.3,10.4},{0,10,20,30,40,50,60,62,64,66,68,70,72,74,76,78,80,85,90,95,100})</f>
        <v>64</v>
      </c>
      <c r="Q241" s="5">
        <v>4.58</v>
      </c>
      <c r="R241" s="36">
        <f>10-Q241</f>
        <v>5.42</v>
      </c>
      <c r="S241" s="29">
        <f>LOOKUP(R241,{0,4.74,4.84,4.94,5.44,5.54,5.64,5.69,5.74,5.79,5.84,5.89,5.94,5.99,6.44,6.49,6.54,6.61,6.68,6.74,6.8},{0,10,20,30,40,50,60,62,64,66,68,70,72,74,76,78,80,85,90,95,100})</f>
        <v>30</v>
      </c>
      <c r="T241" s="27"/>
      <c r="U241" s="27"/>
      <c r="V241" s="27">
        <f>S241+U241</f>
        <v>30</v>
      </c>
      <c r="W241" s="27"/>
      <c r="X241" s="19">
        <f t="shared" si="22"/>
        <v>39.4</v>
      </c>
      <c r="Y241" s="13">
        <f t="shared" si="23"/>
        <v>56.2857142857143</v>
      </c>
      <c r="Z241" s="19"/>
    </row>
    <row r="242" ht="15.6" spans="1:26">
      <c r="A242" s="27">
        <v>308</v>
      </c>
      <c r="B242" s="27">
        <v>37</v>
      </c>
      <c r="C242" s="28" t="s">
        <v>391</v>
      </c>
      <c r="D242" s="28" t="s">
        <v>46</v>
      </c>
      <c r="E242" s="27">
        <v>11</v>
      </c>
      <c r="F242" s="29">
        <f>LOOKUP(E242,{0,1.5,2.3,3.1,3.9,4.7,5.5,6.8,8.1,9.4,10.7,12,13.3,14.6,15.9,17.2,18.5,20.2,21.9,23.6,25.3},{0,10,20,30,40,50,60,62,64,66,68,70,72,74,76,78,80,85,90,95,100})</f>
        <v>68</v>
      </c>
      <c r="G242" s="27">
        <v>156</v>
      </c>
      <c r="H242" s="29">
        <f>LOOKUP(G242,{0,125,130,135,140,145,150,153,156,159,162,165,168,171,174,177,180,187,194,200,206},{0,10,20,30,40,50,60,62,64,66,68,70,72,74,76,78,80,85,90,95,100})</f>
        <v>64</v>
      </c>
      <c r="I242" s="27">
        <v>31</v>
      </c>
      <c r="J242" s="29">
        <f>LOOKUP(I242,{0,15,17,19,21,23,25,27,29,31,33,35,37,39,41,43,45,48,51,53,55},{0,10,20,30,40,50,60,62,64,66,68,70,72,74,76,78,80,85,90,95,100})</f>
        <v>66</v>
      </c>
      <c r="K242" s="35"/>
      <c r="L242" s="35"/>
      <c r="M242" s="35">
        <f t="shared" si="24"/>
        <v>66</v>
      </c>
      <c r="N242" s="35">
        <v>9.6</v>
      </c>
      <c r="O242" s="36">
        <f t="shared" si="19"/>
        <v>8.4</v>
      </c>
      <c r="P242" s="29">
        <f>LOOKUP(O242,{0,6.6,6.8,7,7.2,7.4,7.6,7.8,8,8.2,8.4,8.6,8.8,9,9.2,9.4,9.6,9.9,10.2,10.3,10.4},{0,10,20,30,40,50,60,62,64,66,68,70,72,74,76,78,80,85,90,95,100})</f>
        <v>68</v>
      </c>
      <c r="Q242" s="5">
        <v>5.01</v>
      </c>
      <c r="R242" s="36">
        <f>10-Q242</f>
        <v>4.99</v>
      </c>
      <c r="S242" s="29">
        <f>LOOKUP(R242,{0,4.74,4.84,4.94,5.44,5.54,5.64,5.69,5.74,5.79,5.84,5.89,5.94,5.99,6.44,6.49,6.54,6.61,6.68,6.74,6.8},{0,10,20,30,40,50,60,62,64,66,68,70,72,74,76,78,80,85,90,95,100})</f>
        <v>30</v>
      </c>
      <c r="T242" s="27"/>
      <c r="U242" s="27"/>
      <c r="V242" s="27">
        <f>S242+U242</f>
        <v>30</v>
      </c>
      <c r="W242" s="27"/>
      <c r="X242" s="19">
        <f t="shared" si="22"/>
        <v>39.4</v>
      </c>
      <c r="Y242" s="13">
        <f t="shared" si="23"/>
        <v>56.2857142857143</v>
      </c>
      <c r="Z242" s="19"/>
    </row>
    <row r="243" ht="15.6" spans="1:26">
      <c r="A243" s="27">
        <v>312</v>
      </c>
      <c r="B243" s="27">
        <v>37</v>
      </c>
      <c r="C243" s="28" t="s">
        <v>612</v>
      </c>
      <c r="D243" s="28" t="s">
        <v>46</v>
      </c>
      <c r="E243" s="27">
        <v>15.5</v>
      </c>
      <c r="F243" s="29">
        <f>LOOKUP(E243,{0,1.5,2.3,3.1,3.9,4.7,5.5,6.8,8.1,9.4,10.7,12,13.3,14.6,15.9,17.2,18.5,20.2,21.9,23.6,25.3},{0,10,20,30,40,50,60,62,64,66,68,70,72,74,76,78,80,85,90,95,100})</f>
        <v>74</v>
      </c>
      <c r="G243" s="27">
        <v>178</v>
      </c>
      <c r="H243" s="29">
        <f>LOOKUP(G243,{0,125,130,135,140,145,150,153,156,159,162,165,168,171,174,177,180,187,194,200,206},{0,10,20,30,40,50,60,62,64,66,68,70,72,74,76,78,80,85,90,95,100})</f>
        <v>78</v>
      </c>
      <c r="I243" s="27">
        <v>40</v>
      </c>
      <c r="J243" s="29">
        <f>LOOKUP(I243,{0,15,17,19,21,23,25,27,29,31,33,35,37,39,41,43,45,48,51,53,55},{0,10,20,30,40,50,60,62,64,66,68,70,72,74,76,78,80,85,90,95,100})</f>
        <v>74</v>
      </c>
      <c r="K243" s="35"/>
      <c r="L243" s="35"/>
      <c r="M243" s="35">
        <f t="shared" si="24"/>
        <v>74</v>
      </c>
      <c r="N243" s="35">
        <v>9.9</v>
      </c>
      <c r="O243" s="36">
        <f t="shared" si="19"/>
        <v>8.1</v>
      </c>
      <c r="P243" s="29">
        <f>LOOKUP(O243,{0,6.6,6.8,7,7.2,7.4,7.6,7.8,8,8.2,8.4,8.6,8.8,9,9.2,9.4,9.6,9.9,10.2,10.3,10.4},{0,10,20,30,40,50,60,62,64,66,68,70,72,74,76,78,80,85,90,95,100})</f>
        <v>64</v>
      </c>
      <c r="Q243" s="5">
        <v>5.13</v>
      </c>
      <c r="R243" s="36">
        <f>10-Q243</f>
        <v>4.87</v>
      </c>
      <c r="S243" s="29">
        <f>LOOKUP(R243,{0,4.74,4.84,4.94,5.44,5.54,5.64,5.69,5.74,5.79,5.84,5.89,5.94,5.99,6.44,6.49,6.54,6.61,6.68,6.74,6.8},{0,10,20,30,40,50,60,62,64,66,68,70,72,74,76,78,80,85,90,95,100})</f>
        <v>20</v>
      </c>
      <c r="T243" s="27"/>
      <c r="U243" s="27"/>
      <c r="V243" s="27">
        <f>S243+U243</f>
        <v>20</v>
      </c>
      <c r="W243" s="27"/>
      <c r="X243" s="19">
        <f t="shared" si="22"/>
        <v>39.4</v>
      </c>
      <c r="Y243" s="13">
        <f t="shared" si="23"/>
        <v>56.2857142857143</v>
      </c>
      <c r="Z243" s="20"/>
    </row>
    <row r="244" ht="15.6" spans="1:26">
      <c r="A244" s="27">
        <v>303</v>
      </c>
      <c r="B244" s="27">
        <v>38</v>
      </c>
      <c r="C244" s="27" t="s">
        <v>141</v>
      </c>
      <c r="D244" s="27" t="s">
        <v>46</v>
      </c>
      <c r="E244" s="27">
        <v>10.5</v>
      </c>
      <c r="F244" s="29">
        <f>LOOKUP(E244,{0,1.5,2.3,3.1,3.9,4.7,5.5,6.8,8.1,9.4,10.7,12,13.3,14.6,15.9,17.2,18.5,20.2,21.9,23.6,25.3},{0,10,20,30,40,50,60,62,64,66,68,70,72,74,76,78,80,85,90,95,100})</f>
        <v>66</v>
      </c>
      <c r="G244" s="27">
        <v>176</v>
      </c>
      <c r="H244" s="29">
        <f>LOOKUP(G244,{0,125,130,135,140,145,150,153,156,159,162,165,168,171,174,177,180,187,194,200,206},{0,10,20,30,40,50,60,62,64,66,68,70,72,74,76,78,80,85,90,95,100})</f>
        <v>76</v>
      </c>
      <c r="I244" s="27">
        <v>52</v>
      </c>
      <c r="J244" s="29">
        <f>LOOKUP(I244,{0,15,17,19,21,23,25,27,29,31,33,35,37,39,41,43,45,48,51,53,55},{0,10,20,30,40,50,60,62,64,66,68,70,72,74,76,78,80,85,90,95,100})</f>
        <v>90</v>
      </c>
      <c r="K244" s="35"/>
      <c r="L244" s="35"/>
      <c r="M244" s="35">
        <f t="shared" si="24"/>
        <v>90</v>
      </c>
      <c r="N244" s="35">
        <v>8.2</v>
      </c>
      <c r="O244" s="36">
        <f t="shared" si="19"/>
        <v>9.8</v>
      </c>
      <c r="P244" s="29">
        <f>LOOKUP(O244,{0,6.6,6.8,7,7.2,7.4,7.6,7.8,8,8.2,8.4,8.6,8.8,9,9.2,9.4,9.6,9.9,10.2,10.3,10.4},{0,10,20,30,40,50,60,62,64,66,68,70,72,74,76,78,80,85,90,95,100})</f>
        <v>80</v>
      </c>
      <c r="Q244" s="5" t="s">
        <v>77</v>
      </c>
      <c r="R244" s="27"/>
      <c r="S244" s="27"/>
      <c r="T244" s="27"/>
      <c r="U244" s="27"/>
      <c r="V244" s="27"/>
      <c r="W244" s="27"/>
      <c r="X244" s="19">
        <f t="shared" si="22"/>
        <v>39.2</v>
      </c>
      <c r="Y244" s="13">
        <f t="shared" si="23"/>
        <v>56</v>
      </c>
      <c r="Z244" s="19"/>
    </row>
    <row r="245" ht="15.6" spans="1:26">
      <c r="A245" s="27">
        <v>313</v>
      </c>
      <c r="B245" s="27">
        <v>47</v>
      </c>
      <c r="C245" s="28" t="s">
        <v>677</v>
      </c>
      <c r="D245" s="28" t="s">
        <v>46</v>
      </c>
      <c r="E245" s="27">
        <v>3</v>
      </c>
      <c r="F245" s="29">
        <f>LOOKUP(E245,{0,1.5,2.3,3.1,3.9,4.7,5.5,6.8,8.1,9.4,10.7,12,13.3,14.6,15.9,17.2,18.5,20.2,21.9,23.6,25.3},{0,10,20,30,40,50,60,62,64,66,68,70,72,74,76,78,80,85,90,95,100})</f>
        <v>20</v>
      </c>
      <c r="G245" s="27">
        <v>161</v>
      </c>
      <c r="H245" s="29">
        <f>LOOKUP(G245,{0,125,130,135,140,145,150,153,156,159,162,165,168,171,174,177,180,187,194,200,206},{0,10,20,30,40,50,60,62,64,66,68,70,72,74,76,78,80,85,90,95,100})</f>
        <v>66</v>
      </c>
      <c r="I245" s="27">
        <v>35</v>
      </c>
      <c r="J245" s="29">
        <f>LOOKUP(I245,{0,15,17,19,21,23,25,27,29,31,33,35,37,39,41,43,45,48,51,53,55},{0,10,20,30,40,50,60,62,64,66,68,70,72,74,76,78,80,85,90,95,100})</f>
        <v>70</v>
      </c>
      <c r="K245" s="35"/>
      <c r="L245" s="35"/>
      <c r="M245" s="35">
        <f t="shared" si="24"/>
        <v>70</v>
      </c>
      <c r="N245" s="35">
        <v>8.6</v>
      </c>
      <c r="O245" s="36">
        <f t="shared" si="19"/>
        <v>9.4</v>
      </c>
      <c r="P245" s="29">
        <f>LOOKUP(O245,{0,6.6,6.8,7,7.2,7.4,7.6,7.8,8,8.2,8.4,8.6,8.8,9,9.2,9.4,9.6,9.9,10.2,10.3,10.4},{0,10,20,30,40,50,60,62,64,66,68,70,72,74,76,78,80,85,90,95,100})</f>
        <v>78</v>
      </c>
      <c r="Q245" s="5">
        <v>4.55</v>
      </c>
      <c r="R245" s="36">
        <f t="shared" ref="R245:R252" si="25">10-Q245</f>
        <v>5.45</v>
      </c>
      <c r="S245" s="29">
        <f>LOOKUP(R245,{0,4.74,4.84,4.94,5.44,5.54,5.64,5.69,5.74,5.79,5.84,5.89,5.94,5.99,6.44,6.49,6.54,6.61,6.68,6.74,6.8},{0,10,20,30,40,50,60,62,64,66,68,70,72,74,76,78,80,85,90,95,100})</f>
        <v>40</v>
      </c>
      <c r="T245" s="27"/>
      <c r="U245" s="27"/>
      <c r="V245" s="27">
        <f t="shared" ref="V245:V252" si="26">S245+U245</f>
        <v>40</v>
      </c>
      <c r="W245" s="27"/>
      <c r="X245" s="19">
        <f t="shared" si="22"/>
        <v>39.2</v>
      </c>
      <c r="Y245" s="13">
        <f t="shared" si="23"/>
        <v>56</v>
      </c>
      <c r="Z245" s="19"/>
    </row>
    <row r="246" ht="15.6" spans="1:26">
      <c r="A246" s="27">
        <v>306</v>
      </c>
      <c r="B246" s="27">
        <v>33</v>
      </c>
      <c r="C246" s="30" t="s">
        <v>277</v>
      </c>
      <c r="D246" s="28" t="s">
        <v>46</v>
      </c>
      <c r="E246" s="27">
        <v>0.5</v>
      </c>
      <c r="F246" s="29">
        <f>LOOKUP(E246,{0,1.5,2.3,3.1,3.9,4.7,5.5,6.8,8.1,9.4,10.7,12,13.3,14.6,15.9,17.2,18.5,20.2,21.9,23.6,25.3},{0,10,20,30,40,50,60,62,64,66,68,70,72,74,76,78,80,85,90,95,100})</f>
        <v>0</v>
      </c>
      <c r="G246" s="27">
        <v>155</v>
      </c>
      <c r="H246" s="29">
        <f>LOOKUP(G246,{0,125,130,135,140,145,150,153,156,159,162,165,168,171,174,177,180,187,194,200,206},{0,10,20,30,40,50,60,62,64,66,68,70,72,74,76,78,80,85,90,95,100})</f>
        <v>62</v>
      </c>
      <c r="I246" s="27">
        <v>50</v>
      </c>
      <c r="J246" s="29">
        <f>LOOKUP(I246,{0,15,17,19,21,23,25,27,29,31,33,35,37,39,41,43,45,48,51,53,55},{0,10,20,30,40,50,60,62,64,66,68,70,72,74,76,78,80,85,90,95,100})</f>
        <v>85</v>
      </c>
      <c r="K246" s="35"/>
      <c r="L246" s="35"/>
      <c r="M246" s="35">
        <f t="shared" si="24"/>
        <v>85</v>
      </c>
      <c r="N246" s="35">
        <v>10.3</v>
      </c>
      <c r="O246" s="36">
        <f t="shared" si="19"/>
        <v>7.7</v>
      </c>
      <c r="P246" s="29">
        <f>LOOKUP(O246,{0,6.6,6.8,7,7.2,7.4,7.6,7.8,8,8.2,8.4,8.6,8.8,9,9.2,9.4,9.6,9.9,10.2,10.3,10.4},{0,10,20,30,40,50,60,62,64,66,68,70,72,74,76,78,80,85,90,95,100})</f>
        <v>60</v>
      </c>
      <c r="Q246" s="5">
        <v>4.28</v>
      </c>
      <c r="R246" s="36">
        <f t="shared" si="25"/>
        <v>5.72</v>
      </c>
      <c r="S246" s="29">
        <f>LOOKUP(R246,{0,4.74,4.84,4.94,5.44,5.54,5.64,5.69,5.74,5.79,5.84,5.89,5.94,5.99,6.44,6.49,6.54,6.61,6.68,6.74,6.8},{0,10,20,30,40,50,60,62,64,66,68,70,72,74,76,78,80,85,90,95,100})</f>
        <v>62</v>
      </c>
      <c r="T246" s="27"/>
      <c r="U246" s="27"/>
      <c r="V246" s="27">
        <f t="shared" si="26"/>
        <v>62</v>
      </c>
      <c r="W246" s="27"/>
      <c r="X246" s="19">
        <f t="shared" si="22"/>
        <v>39.1</v>
      </c>
      <c r="Y246" s="13">
        <f t="shared" si="23"/>
        <v>55.8571428571429</v>
      </c>
      <c r="Z246" s="19"/>
    </row>
    <row r="247" ht="15.6" spans="1:26">
      <c r="A247" s="27">
        <v>305</v>
      </c>
      <c r="B247" s="27">
        <v>51</v>
      </c>
      <c r="C247" s="28" t="s">
        <v>239</v>
      </c>
      <c r="D247" s="28" t="s">
        <v>46</v>
      </c>
      <c r="E247" s="27">
        <v>24</v>
      </c>
      <c r="F247" s="29">
        <f>LOOKUP(E247,{0,1.5,2.3,3.1,3.9,4.7,5.5,6.8,8.1,9.4,10.7,12,13.3,14.6,15.9,17.2,18.5,20.2,21.9,23.6,25.3},{0,10,20,30,40,50,60,62,64,66,68,70,72,74,76,78,80,85,90,95,100})</f>
        <v>95</v>
      </c>
      <c r="G247" s="27">
        <v>160</v>
      </c>
      <c r="H247" s="29">
        <f>LOOKUP(G247,{0,125,130,135,140,145,150,153,156,159,162,165,168,171,174,177,180,187,194,200,206},{0,10,20,30,40,50,60,62,64,66,68,70,72,74,76,78,80,85,90,95,100})</f>
        <v>66</v>
      </c>
      <c r="I247" s="27">
        <v>38</v>
      </c>
      <c r="J247" s="29">
        <f>LOOKUP(I247,{0,15,17,19,21,23,25,27,29,31,33,35,37,39,41,43,45,48,51,53,55},{0,10,20,30,40,50,60,62,64,66,68,70,72,74,76,78,80,85,90,95,100})</f>
        <v>72</v>
      </c>
      <c r="K247" s="35"/>
      <c r="L247" s="35"/>
      <c r="M247" s="35">
        <f t="shared" si="24"/>
        <v>72</v>
      </c>
      <c r="N247" s="35">
        <v>9.7</v>
      </c>
      <c r="O247" s="36">
        <f t="shared" si="19"/>
        <v>8.3</v>
      </c>
      <c r="P247" s="29">
        <f>LOOKUP(O247,{0,6.6,6.8,7,7.2,7.4,7.6,7.8,8,8.2,8.4,8.6,8.8,9,9.2,9.4,9.6,9.9,10.2,10.3,10.4},{0,10,20,30,40,50,60,62,64,66,68,70,72,74,76,78,80,85,90,95,100})</f>
        <v>66</v>
      </c>
      <c r="Q247" s="5">
        <v>5.22</v>
      </c>
      <c r="R247" s="36">
        <f t="shared" si="25"/>
        <v>4.78</v>
      </c>
      <c r="S247" s="29">
        <f>LOOKUP(R247,{0,4.74,4.84,4.94,5.44,5.54,5.64,5.69,5.74,5.79,5.84,5.89,5.94,5.99,6.44,6.49,6.54,6.61,6.68,6.74,6.8},{0,10,20,30,40,50,60,62,64,66,68,70,72,74,76,78,80,85,90,95,100})</f>
        <v>10</v>
      </c>
      <c r="T247" s="27"/>
      <c r="U247" s="27"/>
      <c r="V247" s="27">
        <f t="shared" si="26"/>
        <v>10</v>
      </c>
      <c r="W247" s="27"/>
      <c r="X247" s="19">
        <f t="shared" si="22"/>
        <v>38.5</v>
      </c>
      <c r="Y247" s="13">
        <f t="shared" si="23"/>
        <v>55</v>
      </c>
      <c r="Z247" s="19"/>
    </row>
    <row r="248" ht="15.6" spans="1:26">
      <c r="A248" s="27">
        <v>315</v>
      </c>
      <c r="B248" s="27">
        <v>10</v>
      </c>
      <c r="C248" s="30" t="s">
        <v>278</v>
      </c>
      <c r="D248" s="28" t="s">
        <v>46</v>
      </c>
      <c r="E248" s="27">
        <v>16</v>
      </c>
      <c r="F248" s="29">
        <f>LOOKUP(E248,{0,1.5,2.3,3.1,3.9,4.7,5.5,6.8,8.1,9.4,10.7,12,13.3,14.6,15.9,17.2,18.5,20.2,21.9,23.6,25.3},{0,10,20,30,40,50,60,62,64,66,68,70,72,74,76,78,80,85,90,95,100})</f>
        <v>76</v>
      </c>
      <c r="G248" s="27">
        <v>147</v>
      </c>
      <c r="H248" s="29">
        <f>LOOKUP(G248,{0,125,130,135,140,145,150,153,156,159,162,165,168,171,174,177,180,187,194,200,206},{0,10,20,30,40,50,60,62,64,66,68,70,72,74,76,78,80,85,90,95,100})</f>
        <v>50</v>
      </c>
      <c r="I248" s="27">
        <v>40</v>
      </c>
      <c r="J248" s="29">
        <f>LOOKUP(I248,{0,15,17,19,21,23,25,27,29,31,33,35,37,39,41,43,45,48,51,53,55},{0,10,20,30,40,50,60,62,64,66,68,70,72,74,76,78,80,85,90,95,100})</f>
        <v>74</v>
      </c>
      <c r="K248" s="35"/>
      <c r="L248" s="35"/>
      <c r="M248" s="35">
        <f t="shared" si="24"/>
        <v>74</v>
      </c>
      <c r="N248" s="35">
        <v>10.5</v>
      </c>
      <c r="O248" s="36">
        <f t="shared" si="19"/>
        <v>7.5</v>
      </c>
      <c r="P248" s="29">
        <f>LOOKUP(O248,{0,6.6,6.8,7,7.2,7.4,7.6,7.8,8,8.2,8.4,8.6,8.8,9,9.2,9.4,9.6,9.9,10.2,10.3,10.4},{0,10,20,30,40,50,60,62,64,66,68,70,72,74,76,78,80,85,90,95,100})</f>
        <v>50</v>
      </c>
      <c r="Q248" s="5">
        <v>4.49</v>
      </c>
      <c r="R248" s="36">
        <f t="shared" si="25"/>
        <v>5.51</v>
      </c>
      <c r="S248" s="29">
        <f>LOOKUP(R248,{0,4.74,4.84,4.94,5.44,5.54,5.64,5.69,5.74,5.79,5.84,5.89,5.94,5.99,6.44,6.49,6.54,6.61,6.68,6.74,6.8},{0,10,20,30,40,50,60,62,64,66,68,70,72,74,76,78,80,85,90,95,100})</f>
        <v>40</v>
      </c>
      <c r="T248" s="27"/>
      <c r="U248" s="27"/>
      <c r="V248" s="27">
        <f t="shared" si="26"/>
        <v>40</v>
      </c>
      <c r="W248" s="27"/>
      <c r="X248" s="19">
        <f t="shared" si="22"/>
        <v>38</v>
      </c>
      <c r="Y248" s="13">
        <f t="shared" si="23"/>
        <v>54.2857142857143</v>
      </c>
      <c r="Z248" s="19"/>
    </row>
    <row r="249" ht="15.6" spans="1:26">
      <c r="A249" s="27">
        <v>315</v>
      </c>
      <c r="B249" s="27">
        <v>37</v>
      </c>
      <c r="C249" s="28" t="s">
        <v>772</v>
      </c>
      <c r="D249" s="28" t="s">
        <v>46</v>
      </c>
      <c r="E249" s="27">
        <v>10.3</v>
      </c>
      <c r="F249" s="29">
        <f>LOOKUP(E249,{0,1.5,2.3,3.1,3.9,4.7,5.5,6.8,8.1,9.4,10.7,12,13.3,14.6,15.9,17.2,18.5,20.2,21.9,23.6,25.3},{0,10,20,30,40,50,60,62,64,66,68,70,72,74,76,78,80,85,90,95,100})</f>
        <v>66</v>
      </c>
      <c r="G249" s="27">
        <v>168</v>
      </c>
      <c r="H249" s="29">
        <f>LOOKUP(G249,{0,125,130,135,140,145,150,153,156,159,162,165,168,171,174,177,180,187,194,200,206},{0,10,20,30,40,50,60,62,64,66,68,70,72,74,76,78,80,85,90,95,100})</f>
        <v>72</v>
      </c>
      <c r="I249" s="27">
        <v>44</v>
      </c>
      <c r="J249" s="29">
        <f>LOOKUP(I249,{0,15,17,19,21,23,25,27,29,31,33,35,37,39,41,43,45,48,51,53,55},{0,10,20,30,40,50,60,62,64,66,68,70,72,74,76,78,80,85,90,95,100})</f>
        <v>78</v>
      </c>
      <c r="K249" s="35"/>
      <c r="L249" s="35"/>
      <c r="M249" s="35">
        <f t="shared" si="24"/>
        <v>78</v>
      </c>
      <c r="N249" s="35">
        <v>9.1</v>
      </c>
      <c r="O249" s="36">
        <f t="shared" si="19"/>
        <v>8.9</v>
      </c>
      <c r="P249" s="29">
        <f>LOOKUP(O249,{0,6.6,6.8,7,7.2,7.4,7.6,7.8,8,8.2,8.4,8.6,8.8,9,9.2,9.4,9.6,9.9,10.2,10.3,10.4},{0,10,20,30,40,50,60,62,64,66,68,70,72,74,76,78,80,85,90,95,100})</f>
        <v>72</v>
      </c>
      <c r="Q249" s="5">
        <v>5.25</v>
      </c>
      <c r="R249" s="36">
        <f t="shared" si="25"/>
        <v>4.75</v>
      </c>
      <c r="S249" s="29">
        <f>LOOKUP(R249,{0,4.74,4.84,4.94,5.44,5.54,5.64,5.69,5.74,5.79,5.84,5.89,5.94,5.99,6.44,6.49,6.54,6.61,6.68,6.74,6.8},{0,10,20,30,40,50,60,62,64,66,68,70,72,74,76,78,80,85,90,95,100})</f>
        <v>10</v>
      </c>
      <c r="T249" s="27"/>
      <c r="U249" s="27"/>
      <c r="V249" s="27">
        <f t="shared" si="26"/>
        <v>10</v>
      </c>
      <c r="W249" s="27"/>
      <c r="X249" s="19">
        <f t="shared" si="22"/>
        <v>38</v>
      </c>
      <c r="Y249" s="13">
        <f t="shared" si="23"/>
        <v>54.2857142857143</v>
      </c>
      <c r="Z249" s="19"/>
    </row>
    <row r="250" ht="15.6" spans="1:26">
      <c r="A250" s="27">
        <v>314</v>
      </c>
      <c r="B250" s="27">
        <v>13</v>
      </c>
      <c r="C250" s="28" t="s">
        <v>694</v>
      </c>
      <c r="D250" s="28" t="s">
        <v>46</v>
      </c>
      <c r="E250" s="27">
        <v>11.5</v>
      </c>
      <c r="F250" s="29">
        <f>LOOKUP(E250,{0,1.5,2.3,3.1,3.9,4.7,5.5,6.8,8.1,9.4,10.7,12,13.3,14.6,15.9,17.2,18.5,20.2,21.9,23.6,25.3},{0,10,20,30,40,50,60,62,64,66,68,70,72,74,76,78,80,85,90,95,100})</f>
        <v>68</v>
      </c>
      <c r="G250" s="27">
        <v>165</v>
      </c>
      <c r="H250" s="29">
        <f>LOOKUP(G250,{0,125,130,135,140,145,150,153,156,159,162,165,168,171,174,177,180,187,194,200,206},{0,10,20,30,40,50,60,62,64,66,68,70,72,74,76,78,80,85,90,95,100})</f>
        <v>70</v>
      </c>
      <c r="I250" s="27">
        <v>45</v>
      </c>
      <c r="J250" s="29">
        <f>LOOKUP(I250,{0,15,17,19,21,23,25,27,29,31,33,35,37,39,41,43,45,48,51,53,55},{0,10,20,30,40,50,60,62,64,66,68,70,72,74,76,78,80,85,90,95,100})</f>
        <v>80</v>
      </c>
      <c r="K250" s="35"/>
      <c r="L250" s="35"/>
      <c r="M250" s="35">
        <f t="shared" si="24"/>
        <v>80</v>
      </c>
      <c r="N250" s="35">
        <v>10.9</v>
      </c>
      <c r="O250" s="36">
        <f t="shared" si="19"/>
        <v>7.1</v>
      </c>
      <c r="P250" s="29">
        <f>LOOKUP(O250,{0,6.6,6.8,7,7.2,7.4,7.6,7.8,8,8.2,8.4,8.6,8.8,9,9.2,9.4,9.6,9.9,10.2,10.3,10.4},{0,10,20,30,40,50,60,62,64,66,68,70,72,74,76,78,80,85,90,95,100})</f>
        <v>30</v>
      </c>
      <c r="Q250" s="5">
        <v>4.4</v>
      </c>
      <c r="R250" s="36">
        <f t="shared" si="25"/>
        <v>5.6</v>
      </c>
      <c r="S250" s="29">
        <f>LOOKUP(R250,{0,4.74,4.84,4.94,5.44,5.54,5.64,5.69,5.74,5.79,5.84,5.89,5.94,5.99,6.44,6.49,6.54,6.61,6.68,6.74,6.8},{0,10,20,30,40,50,60,62,64,66,68,70,72,74,76,78,80,85,90,95,100})</f>
        <v>50</v>
      </c>
      <c r="T250" s="27"/>
      <c r="U250" s="27"/>
      <c r="V250" s="27">
        <f t="shared" si="26"/>
        <v>50</v>
      </c>
      <c r="W250" s="27"/>
      <c r="X250" s="19">
        <f t="shared" si="22"/>
        <v>37.8</v>
      </c>
      <c r="Y250" s="13">
        <f t="shared" si="23"/>
        <v>54</v>
      </c>
      <c r="Z250" s="19"/>
    </row>
    <row r="251" ht="15.6" spans="1:26">
      <c r="A251" s="27">
        <v>314</v>
      </c>
      <c r="B251" s="27">
        <v>35</v>
      </c>
      <c r="C251" s="28" t="s">
        <v>718</v>
      </c>
      <c r="D251" s="28" t="s">
        <v>46</v>
      </c>
      <c r="E251" s="27">
        <v>11.4</v>
      </c>
      <c r="F251" s="29">
        <f>LOOKUP(E251,{0,1.5,2.3,3.1,3.9,4.7,5.5,6.8,8.1,9.4,10.7,12,13.3,14.6,15.9,17.2,18.5,20.2,21.9,23.6,25.3},{0,10,20,30,40,50,60,62,64,66,68,70,72,74,76,78,80,85,90,95,100})</f>
        <v>68</v>
      </c>
      <c r="G251" s="27">
        <v>210</v>
      </c>
      <c r="H251" s="29">
        <f>LOOKUP(G251,{0,125,130,135,140,145,150,153,156,159,162,165,168,171,174,177,180,187,194,200,206},{0,10,20,30,40,50,60,62,64,66,68,70,72,74,76,78,80,85,90,95,100})</f>
        <v>100</v>
      </c>
      <c r="I251" s="27">
        <v>57</v>
      </c>
      <c r="J251" s="29">
        <f>LOOKUP(I251,{0,15,17,19,21,23,25,27,29,31,33,35,37,39,41,43,45,48,51,53,55},{0,10,20,30,40,50,60,62,64,66,68,70,72,74,76,78,80,85,90,95,100})</f>
        <v>100</v>
      </c>
      <c r="K251" s="34">
        <f>I251-55</f>
        <v>2</v>
      </c>
      <c r="L251" s="40">
        <f>LOOKUP(K251,{0,2,4,6,7,8,9,10,11,12,13},{0,1,2,3,4,5,6,7,8,9,10})</f>
        <v>1</v>
      </c>
      <c r="M251" s="35">
        <f t="shared" si="24"/>
        <v>101</v>
      </c>
      <c r="N251" s="35"/>
      <c r="O251" s="5"/>
      <c r="P251" s="5"/>
      <c r="Q251" s="5">
        <v>4.44</v>
      </c>
      <c r="R251" s="36">
        <f t="shared" si="25"/>
        <v>5.56</v>
      </c>
      <c r="S251" s="29">
        <f>LOOKUP(R251,{0,4.74,4.84,4.94,5.44,5.54,5.64,5.69,5.74,5.79,5.84,5.89,5.94,5.99,6.44,6.49,6.54,6.61,6.68,6.74,6.8},{0,10,20,30,40,50,60,62,64,66,68,70,72,74,76,78,80,85,90,95,100})</f>
        <v>50</v>
      </c>
      <c r="T251" s="27"/>
      <c r="U251" s="27"/>
      <c r="V251" s="27">
        <f t="shared" si="26"/>
        <v>50</v>
      </c>
      <c r="W251" s="27"/>
      <c r="X251" s="19">
        <f t="shared" si="22"/>
        <v>36.8</v>
      </c>
      <c r="Y251" s="13">
        <f t="shared" si="23"/>
        <v>53.5714285714286</v>
      </c>
      <c r="Z251" s="19"/>
    </row>
    <row r="252" ht="15.6" spans="1:26">
      <c r="A252" s="27">
        <v>314</v>
      </c>
      <c r="B252" s="27">
        <v>41</v>
      </c>
      <c r="C252" s="28" t="s">
        <v>725</v>
      </c>
      <c r="D252" s="28" t="s">
        <v>46</v>
      </c>
      <c r="E252" s="27">
        <v>22</v>
      </c>
      <c r="F252" s="29">
        <f>LOOKUP(E252,{0,1.5,2.3,3.1,3.9,4.7,5.5,6.8,8.1,9.4,10.7,12,13.3,14.6,15.9,17.2,18.5,20.2,21.9,23.6,25.3},{0,10,20,30,40,50,60,62,64,66,68,70,72,74,76,78,80,85,90,95,100})</f>
        <v>90</v>
      </c>
      <c r="G252" s="27">
        <v>170</v>
      </c>
      <c r="H252" s="29">
        <f>LOOKUP(G252,{0,125,130,135,140,145,150,153,156,159,162,165,168,171,174,177,180,187,194,200,206},{0,10,20,30,40,50,60,62,64,66,68,70,72,74,76,78,80,85,90,95,100})</f>
        <v>72</v>
      </c>
      <c r="I252" s="27">
        <v>27</v>
      </c>
      <c r="J252" s="29">
        <f>LOOKUP(I252,{0,15,17,19,21,23,25,27,29,31,33,35,37,39,41,43,45,48,51,53,55},{0,10,20,30,40,50,60,62,64,66,68,70,72,74,76,78,80,85,90,95,100})</f>
        <v>62</v>
      </c>
      <c r="K252" s="35"/>
      <c r="L252" s="35"/>
      <c r="M252" s="35">
        <f t="shared" si="24"/>
        <v>62</v>
      </c>
      <c r="N252" s="35">
        <v>10</v>
      </c>
      <c r="O252" s="36">
        <f>18-N252</f>
        <v>8</v>
      </c>
      <c r="P252" s="29">
        <f>LOOKUP(O252,{0,6.6,6.8,7,7.2,7.4,7.6,7.8,8,8.2,8.4,8.6,8.8,9,9.2,9.4,9.6,9.9,10.2,10.3,10.4},{0,10,20,30,40,50,60,62,64,66,68,70,72,74,76,78,80,85,90,95,100})</f>
        <v>64</v>
      </c>
      <c r="Q252" s="5">
        <v>5.18</v>
      </c>
      <c r="R252" s="36">
        <f t="shared" si="25"/>
        <v>4.82</v>
      </c>
      <c r="S252" s="29">
        <f>LOOKUP(R252,{0,4.74,4.84,4.94,5.44,5.54,5.64,5.69,5.74,5.79,5.84,5.89,5.94,5.99,6.44,6.49,6.54,6.61,6.68,6.74,6.8},{0,10,20,30,40,50,60,62,64,66,68,70,72,74,76,78,80,85,90,95,100})</f>
        <v>10</v>
      </c>
      <c r="T252" s="27"/>
      <c r="U252" s="27"/>
      <c r="V252" s="27">
        <f t="shared" si="26"/>
        <v>10</v>
      </c>
      <c r="W252" s="27"/>
      <c r="X252" s="19">
        <f t="shared" si="22"/>
        <v>37.2</v>
      </c>
      <c r="Y252" s="13">
        <f t="shared" si="23"/>
        <v>53.1428571428572</v>
      </c>
      <c r="Z252" s="19"/>
    </row>
    <row r="253" ht="15.6" spans="1:26">
      <c r="A253" s="27">
        <v>302</v>
      </c>
      <c r="B253" s="27">
        <v>40</v>
      </c>
      <c r="C253" s="27" t="s">
        <v>101</v>
      </c>
      <c r="D253" s="27" t="s">
        <v>46</v>
      </c>
      <c r="E253" s="27">
        <v>15</v>
      </c>
      <c r="F253" s="29">
        <f>LOOKUP(E253,{0,1.5,2.3,3.1,3.9,4.7,5.5,6.8,8.1,9.4,10.7,12,13.3,14.6,15.9,17.2,18.5,20.2,21.9,23.6,25.3},{0,10,20,30,40,50,60,62,64,66,68,70,72,74,76,78,80,85,90,95,100})</f>
        <v>74</v>
      </c>
      <c r="G253" s="27">
        <v>175</v>
      </c>
      <c r="H253" s="29">
        <f>LOOKUP(G253,{0,125,130,135,140,145,150,153,156,159,162,165,168,171,174,177,180,187,194,200,206},{0,10,20,30,40,50,60,62,64,66,68,70,72,74,76,78,80,85,90,95,100})</f>
        <v>76</v>
      </c>
      <c r="I253" s="27">
        <v>34</v>
      </c>
      <c r="J253" s="29">
        <f>LOOKUP(I253,{0,15,17,19,21,23,25,27,29,31,33,35,37,39,41,43,45,48,51,53,55},{0,10,20,30,40,50,60,62,64,66,68,70,72,74,76,78,80,85,90,95,100})</f>
        <v>68</v>
      </c>
      <c r="K253" s="35"/>
      <c r="L253" s="35"/>
      <c r="M253" s="35">
        <f t="shared" si="24"/>
        <v>68</v>
      </c>
      <c r="N253" s="35">
        <v>9.2</v>
      </c>
      <c r="O253" s="36">
        <f>18-N253</f>
        <v>8.8</v>
      </c>
      <c r="P253" s="29">
        <f>LOOKUP(O253,{0,6.6,6.8,7,7.2,7.4,7.6,7.8,8,8.2,8.4,8.6,8.8,9,9.2,9.4,9.6,9.9,10.2,10.3,10.4},{0,10,20,30,40,50,60,62,64,66,68,70,72,74,76,78,80,85,90,95,100})</f>
        <v>72</v>
      </c>
      <c r="Q253" s="27" t="s">
        <v>77</v>
      </c>
      <c r="R253" s="27"/>
      <c r="S253" s="27"/>
      <c r="T253" s="27"/>
      <c r="U253" s="27"/>
      <c r="V253" s="27"/>
      <c r="W253" s="27"/>
      <c r="X253" s="19">
        <f>F253*0.1+H253*0.1+J253*0.1+P253*0.2+S253*0.2</f>
        <v>36.2</v>
      </c>
      <c r="Y253" s="13">
        <f>X253/0.7+L253+U253</f>
        <v>51.7142857142857</v>
      </c>
      <c r="Z253" s="19"/>
    </row>
    <row r="254" ht="15.6" spans="1:26">
      <c r="A254" s="27">
        <v>308</v>
      </c>
      <c r="B254" s="27">
        <v>29</v>
      </c>
      <c r="C254" s="28" t="s">
        <v>382</v>
      </c>
      <c r="D254" s="28" t="s">
        <v>46</v>
      </c>
      <c r="E254" s="27">
        <v>19.5</v>
      </c>
      <c r="F254" s="29">
        <f>LOOKUP(E254,{0,1.5,2.3,3.1,3.9,4.7,5.5,6.8,8.1,9.4,10.7,12,13.3,14.6,15.9,17.2,18.5,20.2,21.9,23.6,25.3},{0,10,20,30,40,50,60,62,64,66,68,70,72,74,76,78,80,85,90,95,100})</f>
        <v>80</v>
      </c>
      <c r="G254" s="27">
        <v>150</v>
      </c>
      <c r="H254" s="29">
        <f>LOOKUP(G254,{0,125,130,135,140,145,150,153,156,159,162,165,168,171,174,177,180,187,194,200,206},{0,10,20,30,40,50,60,62,64,66,68,70,72,74,76,78,80,85,90,95,100})</f>
        <v>60</v>
      </c>
      <c r="I254" s="27">
        <v>41</v>
      </c>
      <c r="J254" s="29">
        <f>LOOKUP(I254,{0,15,17,19,21,23,25,27,29,31,33,35,37,39,41,43,45,48,51,53,55},{0,10,20,30,40,50,60,62,64,66,68,70,72,74,76,78,80,85,90,95,100})</f>
        <v>76</v>
      </c>
      <c r="K254" s="35"/>
      <c r="L254" s="35"/>
      <c r="M254" s="35">
        <f t="shared" si="24"/>
        <v>76</v>
      </c>
      <c r="N254" s="35">
        <v>9.3</v>
      </c>
      <c r="O254" s="36">
        <f>18-N254</f>
        <v>8.7</v>
      </c>
      <c r="P254" s="29">
        <f>LOOKUP(O254,{0,6.6,6.8,7,7.2,7.4,7.6,7.8,8,8.2,8.4,8.6,8.8,9,9.2,9.4,9.6,9.9,10.2,10.3,10.4},{0,10,20,30,40,50,60,62,64,66,68,70,72,74,76,78,80,85,90,95,100})</f>
        <v>70</v>
      </c>
      <c r="Q254" s="5">
        <v>5.27</v>
      </c>
      <c r="R254" s="36">
        <f>10-Q254</f>
        <v>4.73</v>
      </c>
      <c r="S254" s="29">
        <f>LOOKUP(R254,{0,4.74,4.84,4.94,5.44,5.54,5.64,5.69,5.74,5.79,5.84,5.89,5.94,5.99,6.44,6.49,6.54,6.61,6.68,6.74,6.8},{0,10,20,30,40,50,60,62,64,66,68,70,72,74,76,78,80,85,90,95,100})</f>
        <v>0</v>
      </c>
      <c r="T254" s="27"/>
      <c r="U254" s="27"/>
      <c r="V254" s="27">
        <f>S254+U254</f>
        <v>0</v>
      </c>
      <c r="W254" s="27"/>
      <c r="X254" s="19">
        <f>F254*0.1+H254*0.1+J254*0.1+P254*0.2+S254*0.2</f>
        <v>35.6</v>
      </c>
      <c r="Y254" s="13">
        <f>X254/0.7+L254+U254</f>
        <v>50.8571428571429</v>
      </c>
      <c r="Z254" s="19"/>
    </row>
    <row r="255" ht="15.6" spans="1:26">
      <c r="A255" s="27">
        <v>302</v>
      </c>
      <c r="B255" s="27">
        <v>31</v>
      </c>
      <c r="C255" s="31" t="s">
        <v>92</v>
      </c>
      <c r="D255" s="27" t="s">
        <v>46</v>
      </c>
      <c r="E255" s="27">
        <v>19</v>
      </c>
      <c r="F255" s="29">
        <f>LOOKUP(E255,{0,1.5,2.3,3.1,3.9,4.7,5.5,6.8,8.1,9.4,10.7,12,13.3,14.6,15.9,17.2,18.5,20.2,21.9,23.6,25.3},{0,10,20,30,40,50,60,62,64,66,68,70,72,74,76,78,80,85,90,95,100})</f>
        <v>80</v>
      </c>
      <c r="G255" s="27">
        <v>185</v>
      </c>
      <c r="H255" s="29">
        <f>LOOKUP(G255,{0,125,130,135,140,145,150,153,156,159,162,165,168,171,174,177,180,187,194,200,206},{0,10,20,30,40,50,60,62,64,66,68,70,72,74,76,78,80,85,90,95,100})</f>
        <v>80</v>
      </c>
      <c r="I255" s="27" t="s">
        <v>77</v>
      </c>
      <c r="J255" s="29"/>
      <c r="K255" s="27"/>
      <c r="L255" s="27"/>
      <c r="M255" s="35"/>
      <c r="N255" s="27" t="s">
        <v>77</v>
      </c>
      <c r="O255" s="27"/>
      <c r="P255" s="27"/>
      <c r="Q255" s="27" t="s">
        <v>77</v>
      </c>
      <c r="R255" s="27"/>
      <c r="S255" s="27"/>
      <c r="T255" s="27"/>
      <c r="U255" s="27"/>
      <c r="V255" s="27"/>
      <c r="W255" s="42">
        <v>50</v>
      </c>
      <c r="X255" s="19">
        <f>F255*0.1+H255*0.1+J255*0.1+P255*0.2+S255*0.2</f>
        <v>16</v>
      </c>
      <c r="Y255" s="13">
        <v>50</v>
      </c>
      <c r="Z255" s="19"/>
    </row>
    <row r="256" ht="15.6" spans="1:26">
      <c r="A256" s="27">
        <v>302</v>
      </c>
      <c r="B256" s="27">
        <v>34</v>
      </c>
      <c r="C256" s="27" t="s">
        <v>95</v>
      </c>
      <c r="D256" s="27" t="s">
        <v>46</v>
      </c>
      <c r="E256" s="27">
        <v>21.3</v>
      </c>
      <c r="F256" s="29">
        <f>LOOKUP(E256,{0,1.5,2.3,3.1,3.9,4.7,5.5,6.8,8.1,9.4,10.7,12,13.3,14.6,15.9,17.2,18.5,20.2,21.9,23.6,25.3},{0,10,20,30,40,50,60,62,64,66,68,70,72,74,76,78,80,85,90,95,100})</f>
        <v>85</v>
      </c>
      <c r="G256" s="27">
        <v>185</v>
      </c>
      <c r="H256" s="29">
        <f>LOOKUP(G256,{0,125,130,135,140,145,150,153,156,159,162,165,168,171,174,177,180,187,194,200,206},{0,10,20,30,40,50,60,62,64,66,68,70,72,74,76,78,80,85,90,95,100})</f>
        <v>80</v>
      </c>
      <c r="I256" s="27" t="s">
        <v>77</v>
      </c>
      <c r="J256" s="29"/>
      <c r="K256" s="27"/>
      <c r="L256" s="41"/>
      <c r="M256" s="35"/>
      <c r="N256" s="27" t="s">
        <v>77</v>
      </c>
      <c r="O256" s="27"/>
      <c r="P256" s="27"/>
      <c r="Q256" s="27" t="s">
        <v>77</v>
      </c>
      <c r="R256" s="27"/>
      <c r="S256" s="27"/>
      <c r="T256" s="27"/>
      <c r="U256" s="27"/>
      <c r="V256" s="27"/>
      <c r="W256" s="42">
        <v>50</v>
      </c>
      <c r="X256" s="19">
        <f>F256*0.1+H256*0.1+J256*0.1+P256*0.2+S256*0.2</f>
        <v>16.5</v>
      </c>
      <c r="Y256" s="13">
        <v>50</v>
      </c>
      <c r="Z256" s="19"/>
    </row>
    <row r="257" spans="1:26">
      <c r="A257" s="27">
        <v>303</v>
      </c>
      <c r="B257" s="27">
        <v>41</v>
      </c>
      <c r="C257" s="27" t="s">
        <v>144</v>
      </c>
      <c r="D257" s="27" t="s">
        <v>46</v>
      </c>
      <c r="E257" s="27"/>
      <c r="F257" s="27"/>
      <c r="G257" s="27"/>
      <c r="H257" s="27"/>
      <c r="I257" s="27"/>
      <c r="J257" s="35"/>
      <c r="K257" s="35"/>
      <c r="L257" s="35"/>
      <c r="M257" s="35"/>
      <c r="N257" s="35"/>
      <c r="O257" s="5"/>
      <c r="P257" s="5"/>
      <c r="Q257" s="5"/>
      <c r="R257" s="27"/>
      <c r="S257" s="27"/>
      <c r="T257" s="27"/>
      <c r="U257" s="27"/>
      <c r="V257" s="27"/>
      <c r="W257" s="27">
        <v>50</v>
      </c>
      <c r="X257" s="19"/>
      <c r="Y257" s="19">
        <v>50</v>
      </c>
      <c r="Z257" s="19"/>
    </row>
    <row r="258" ht="15.6" spans="1:26">
      <c r="A258" s="27">
        <v>305</v>
      </c>
      <c r="B258" s="27">
        <v>40</v>
      </c>
      <c r="C258" s="30" t="s">
        <v>228</v>
      </c>
      <c r="D258" s="28" t="s">
        <v>46</v>
      </c>
      <c r="E258" s="27">
        <v>9.5</v>
      </c>
      <c r="F258" s="29">
        <f>LOOKUP(E258,{0,1.5,2.3,3.1,3.9,4.7,5.5,6.8,8.1,9.4,10.7,12,13.3,14.6,15.9,17.2,18.5,20.2,21.9,23.6,25.3},{0,10,20,30,40,50,60,62,64,66,68,70,72,74,76,78,80,85,90,95,100})</f>
        <v>66</v>
      </c>
      <c r="G258" s="27">
        <v>215</v>
      </c>
      <c r="H258" s="29">
        <f>LOOKUP(G258,{0,125,130,135,140,145,150,153,156,159,162,165,168,171,174,177,180,187,194,200,206},{0,10,20,30,40,50,60,62,64,66,68,70,72,74,76,78,80,85,90,95,100})</f>
        <v>100</v>
      </c>
      <c r="I258" s="27">
        <v>54</v>
      </c>
      <c r="J258" s="29">
        <f>LOOKUP(I258,{0,15,17,19,21,23,25,27,29,31,33,35,37,39,41,43,45,48,51,53,55},{0,10,20,30,40,50,60,62,64,66,68,70,72,74,76,78,80,85,90,95,100})</f>
        <v>95</v>
      </c>
      <c r="K258" s="35"/>
      <c r="L258" s="35"/>
      <c r="M258" s="35">
        <f>J258+L258</f>
        <v>95</v>
      </c>
      <c r="N258" s="35" t="s">
        <v>77</v>
      </c>
      <c r="O258" s="5"/>
      <c r="P258" s="27"/>
      <c r="Q258" s="5" t="s">
        <v>77</v>
      </c>
      <c r="R258" s="27"/>
      <c r="S258" s="27"/>
      <c r="T258" s="27"/>
      <c r="U258" s="27"/>
      <c r="V258" s="27"/>
      <c r="W258" s="42">
        <v>50</v>
      </c>
      <c r="X258" s="19">
        <f>F258*0.1+H258*0.1+J258*0.1+P258*0.2+S258*0.2</f>
        <v>26.1</v>
      </c>
      <c r="Y258" s="13">
        <v>50</v>
      </c>
      <c r="Z258" s="19"/>
    </row>
    <row r="259" spans="1:26">
      <c r="A259" s="27">
        <v>305</v>
      </c>
      <c r="B259" s="27">
        <v>47</v>
      </c>
      <c r="C259" s="28" t="s">
        <v>235</v>
      </c>
      <c r="D259" s="28" t="s">
        <v>46</v>
      </c>
      <c r="E259" s="27"/>
      <c r="F259" s="27"/>
      <c r="G259" s="27"/>
      <c r="H259" s="27"/>
      <c r="I259" s="27"/>
      <c r="J259" s="35"/>
      <c r="K259" s="35"/>
      <c r="L259" s="35"/>
      <c r="M259" s="35"/>
      <c r="N259" s="35"/>
      <c r="O259" s="5"/>
      <c r="P259" s="5"/>
      <c r="Q259" s="5"/>
      <c r="R259" s="27"/>
      <c r="S259" s="27"/>
      <c r="T259" s="27"/>
      <c r="U259" s="27"/>
      <c r="V259" s="27"/>
      <c r="W259" s="27">
        <v>50</v>
      </c>
      <c r="X259" s="19"/>
      <c r="Y259" s="19">
        <v>50</v>
      </c>
      <c r="Z259" s="19"/>
    </row>
    <row r="260" ht="15.6" spans="1:26">
      <c r="A260" s="27">
        <v>305</v>
      </c>
      <c r="B260" s="27">
        <v>50</v>
      </c>
      <c r="C260" s="27" t="s">
        <v>238</v>
      </c>
      <c r="D260" s="27" t="s">
        <v>46</v>
      </c>
      <c r="E260" s="27">
        <v>8</v>
      </c>
      <c r="F260" s="29">
        <f>LOOKUP(E260,{0,1.5,2.3,3.1,3.9,4.7,5.5,6.8,8.1,9.4,10.7,12,13.3,14.6,15.9,17.2,18.5,20.2,21.9,23.6,25.3},{0,10,20,30,40,50,60,62,64,66,68,70,72,74,76,78,80,85,90,95,100})</f>
        <v>62</v>
      </c>
      <c r="G260" s="27" t="s">
        <v>77</v>
      </c>
      <c r="H260" s="29"/>
      <c r="I260" s="27">
        <v>58</v>
      </c>
      <c r="J260" s="29">
        <f>LOOKUP(I260,{0,15,17,19,21,23,25,27,29,31,33,35,37,39,41,43,45,48,51,53,55},{0,10,20,30,40,50,60,62,64,66,68,70,72,74,76,78,80,85,90,95,100})</f>
        <v>100</v>
      </c>
      <c r="K260" s="34">
        <f>I260-55</f>
        <v>3</v>
      </c>
      <c r="L260" s="29">
        <f>LOOKUP(K260,{0,2,4,6,7,8,9,10,11,12,13},{0,1,2,3,4,5,6,7,8,9,10})</f>
        <v>1</v>
      </c>
      <c r="M260" s="35">
        <f>J260+L260</f>
        <v>101</v>
      </c>
      <c r="N260" s="35" t="s">
        <v>77</v>
      </c>
      <c r="O260" s="5"/>
      <c r="P260" s="27"/>
      <c r="Q260" s="5" t="s">
        <v>77</v>
      </c>
      <c r="R260" s="27"/>
      <c r="S260" s="27"/>
      <c r="T260" s="27"/>
      <c r="U260" s="27"/>
      <c r="V260" s="27"/>
      <c r="W260" s="42">
        <v>50</v>
      </c>
      <c r="X260" s="19">
        <f>F260*0.1+H260*0.1+J260*0.1+P260*0.2+S260*0.2</f>
        <v>16.2</v>
      </c>
      <c r="Y260" s="13">
        <v>50</v>
      </c>
      <c r="Z260" s="19"/>
    </row>
    <row r="261" spans="1:26">
      <c r="A261" s="27">
        <v>306</v>
      </c>
      <c r="B261" s="27">
        <v>34</v>
      </c>
      <c r="C261" s="28" t="s">
        <v>278</v>
      </c>
      <c r="D261" s="28" t="s">
        <v>46</v>
      </c>
      <c r="E261" s="27"/>
      <c r="F261" s="27"/>
      <c r="G261" s="27"/>
      <c r="H261" s="27"/>
      <c r="I261" s="27"/>
      <c r="J261" s="35"/>
      <c r="K261" s="35"/>
      <c r="L261" s="35"/>
      <c r="M261" s="35"/>
      <c r="N261" s="35"/>
      <c r="O261" s="5"/>
      <c r="P261" s="5"/>
      <c r="Q261" s="5"/>
      <c r="R261" s="27"/>
      <c r="S261" s="27"/>
      <c r="T261" s="27"/>
      <c r="U261" s="27"/>
      <c r="V261" s="27"/>
      <c r="W261" s="27">
        <v>50</v>
      </c>
      <c r="X261" s="19"/>
      <c r="Y261" s="19">
        <v>50</v>
      </c>
      <c r="Z261" s="19"/>
    </row>
    <row r="262" spans="1:26">
      <c r="A262" s="27">
        <v>306</v>
      </c>
      <c r="B262" s="27">
        <v>39</v>
      </c>
      <c r="C262" s="28" t="s">
        <v>283</v>
      </c>
      <c r="D262" s="28" t="s">
        <v>46</v>
      </c>
      <c r="E262" s="27"/>
      <c r="F262" s="27"/>
      <c r="G262" s="27"/>
      <c r="H262" s="27"/>
      <c r="I262" s="27"/>
      <c r="J262" s="35"/>
      <c r="K262" s="35"/>
      <c r="L262" s="39"/>
      <c r="M262" s="35"/>
      <c r="N262" s="35"/>
      <c r="O262" s="5"/>
      <c r="P262" s="5"/>
      <c r="Q262" s="5"/>
      <c r="R262" s="27"/>
      <c r="S262" s="27"/>
      <c r="T262" s="27"/>
      <c r="U262" s="27"/>
      <c r="V262" s="27"/>
      <c r="W262" s="27">
        <v>50</v>
      </c>
      <c r="X262" s="19"/>
      <c r="Y262" s="19">
        <v>50</v>
      </c>
      <c r="Z262" s="19"/>
    </row>
    <row r="263" spans="1:26">
      <c r="A263" s="27">
        <v>306</v>
      </c>
      <c r="B263" s="27">
        <v>41</v>
      </c>
      <c r="C263" s="28" t="s">
        <v>285</v>
      </c>
      <c r="D263" s="28" t="s">
        <v>46</v>
      </c>
      <c r="E263" s="27"/>
      <c r="F263" s="27"/>
      <c r="G263" s="27"/>
      <c r="H263" s="27"/>
      <c r="I263" s="27"/>
      <c r="J263" s="35"/>
      <c r="K263" s="35"/>
      <c r="L263" s="35"/>
      <c r="M263" s="35"/>
      <c r="N263" s="35"/>
      <c r="O263" s="5"/>
      <c r="P263" s="5"/>
      <c r="Q263" s="5"/>
      <c r="R263" s="27"/>
      <c r="S263" s="27"/>
      <c r="T263" s="27"/>
      <c r="U263" s="27"/>
      <c r="V263" s="27"/>
      <c r="W263" s="27">
        <v>50</v>
      </c>
      <c r="X263" s="19"/>
      <c r="Y263" s="19">
        <v>50</v>
      </c>
      <c r="Z263" s="19"/>
    </row>
    <row r="264" spans="1:26">
      <c r="A264" s="27">
        <v>307</v>
      </c>
      <c r="B264" s="27">
        <v>25</v>
      </c>
      <c r="C264" s="28" t="s">
        <v>325</v>
      </c>
      <c r="D264" s="28" t="s">
        <v>46</v>
      </c>
      <c r="E264" s="27"/>
      <c r="F264" s="27"/>
      <c r="G264" s="27"/>
      <c r="H264" s="27"/>
      <c r="I264" s="27"/>
      <c r="J264" s="35"/>
      <c r="K264" s="35"/>
      <c r="L264" s="35"/>
      <c r="M264" s="35"/>
      <c r="N264" s="35"/>
      <c r="O264" s="5"/>
      <c r="P264" s="5"/>
      <c r="Q264" s="5"/>
      <c r="R264" s="27"/>
      <c r="S264" s="27"/>
      <c r="T264" s="27"/>
      <c r="U264" s="27"/>
      <c r="V264" s="27"/>
      <c r="W264" s="27">
        <v>50</v>
      </c>
      <c r="X264" s="19"/>
      <c r="Y264" s="19">
        <v>50</v>
      </c>
      <c r="Z264" s="19"/>
    </row>
    <row r="265" spans="1:26">
      <c r="A265" s="27">
        <v>307</v>
      </c>
      <c r="B265" s="27">
        <v>27</v>
      </c>
      <c r="C265" s="28" t="s">
        <v>327</v>
      </c>
      <c r="D265" s="28" t="s">
        <v>46</v>
      </c>
      <c r="E265" s="27"/>
      <c r="F265" s="27"/>
      <c r="G265" s="27"/>
      <c r="H265" s="27"/>
      <c r="I265" s="27"/>
      <c r="J265" s="35"/>
      <c r="K265" s="35"/>
      <c r="L265" s="35"/>
      <c r="M265" s="35"/>
      <c r="N265" s="35"/>
      <c r="O265" s="5"/>
      <c r="P265" s="5"/>
      <c r="Q265" s="5"/>
      <c r="R265" s="27"/>
      <c r="S265" s="27"/>
      <c r="T265" s="27"/>
      <c r="U265" s="27"/>
      <c r="V265" s="27"/>
      <c r="W265" s="27">
        <v>50</v>
      </c>
      <c r="X265" s="19"/>
      <c r="Y265" s="19">
        <v>50</v>
      </c>
      <c r="Z265" s="19"/>
    </row>
    <row r="266" spans="1:26">
      <c r="A266" s="27">
        <v>307</v>
      </c>
      <c r="B266" s="27">
        <v>31</v>
      </c>
      <c r="C266" s="28" t="s">
        <v>332</v>
      </c>
      <c r="D266" s="28" t="s">
        <v>46</v>
      </c>
      <c r="E266" s="27"/>
      <c r="F266" s="27"/>
      <c r="G266" s="27"/>
      <c r="H266" s="27"/>
      <c r="I266" s="27"/>
      <c r="J266" s="35"/>
      <c r="K266" s="35"/>
      <c r="L266" s="35"/>
      <c r="M266" s="35"/>
      <c r="N266" s="35"/>
      <c r="O266" s="5"/>
      <c r="P266" s="5"/>
      <c r="Q266" s="5"/>
      <c r="R266" s="27"/>
      <c r="S266" s="27"/>
      <c r="T266" s="27"/>
      <c r="U266" s="27"/>
      <c r="V266" s="27"/>
      <c r="W266" s="27">
        <v>50</v>
      </c>
      <c r="X266" s="19"/>
      <c r="Y266" s="19">
        <v>50</v>
      </c>
      <c r="Z266" s="19"/>
    </row>
    <row r="267" ht="15.6" spans="1:26">
      <c r="A267" s="27">
        <v>307</v>
      </c>
      <c r="B267" s="27">
        <v>36</v>
      </c>
      <c r="C267" s="28" t="s">
        <v>337</v>
      </c>
      <c r="D267" s="28" t="s">
        <v>46</v>
      </c>
      <c r="E267" s="27" t="s">
        <v>77</v>
      </c>
      <c r="F267" s="29"/>
      <c r="G267" s="27">
        <v>225</v>
      </c>
      <c r="H267" s="29">
        <f>LOOKUP(G267,{0,125,130,135,140,145,150,153,156,159,162,165,168,171,174,177,180,187,194,200,206},{0,10,20,30,40,50,60,62,64,66,68,70,72,74,76,78,80,85,90,95,100})</f>
        <v>100</v>
      </c>
      <c r="I267" s="27" t="s">
        <v>77</v>
      </c>
      <c r="J267" s="29"/>
      <c r="K267" s="27"/>
      <c r="L267" s="27"/>
      <c r="M267" s="35"/>
      <c r="N267" s="27" t="s">
        <v>77</v>
      </c>
      <c r="O267" s="27"/>
      <c r="P267" s="27"/>
      <c r="Q267" s="27" t="s">
        <v>77</v>
      </c>
      <c r="R267" s="27"/>
      <c r="S267" s="27"/>
      <c r="T267" s="27"/>
      <c r="U267" s="27"/>
      <c r="V267" s="27"/>
      <c r="W267" s="42">
        <v>50</v>
      </c>
      <c r="X267" s="19">
        <f>F267*0.1+H267*0.1+J267*0.1+P267*0.2+S267*0.2</f>
        <v>10</v>
      </c>
      <c r="Y267" s="13">
        <v>50</v>
      </c>
      <c r="Z267" s="19"/>
    </row>
    <row r="268" ht="15.6" spans="1:26">
      <c r="A268" s="27">
        <v>307</v>
      </c>
      <c r="B268" s="27">
        <v>42</v>
      </c>
      <c r="C268" s="28" t="s">
        <v>344</v>
      </c>
      <c r="D268" s="28" t="s">
        <v>46</v>
      </c>
      <c r="E268" s="27">
        <v>25</v>
      </c>
      <c r="F268" s="29">
        <f>LOOKUP(E268,{0,1.5,2.3,3.1,3.9,4.7,5.5,6.8,8.1,9.4,10.7,12,13.3,14.6,15.9,17.2,18.5,20.2,21.9,23.6,25.3},{0,10,20,30,40,50,60,62,64,66,68,70,72,74,76,78,80,85,90,95,100})</f>
        <v>95</v>
      </c>
      <c r="G268" s="27" t="s">
        <v>77</v>
      </c>
      <c r="H268" s="29"/>
      <c r="I268" s="27">
        <v>53</v>
      </c>
      <c r="J268" s="29">
        <f>LOOKUP(I268,{0,15,17,19,21,23,25,27,29,31,33,35,37,39,41,43,45,48,51,53,55},{0,10,20,30,40,50,60,62,64,66,68,70,72,74,76,78,80,85,90,95,100})</f>
        <v>95</v>
      </c>
      <c r="K268" s="35"/>
      <c r="L268" s="35"/>
      <c r="M268" s="35">
        <f>J268+L268</f>
        <v>95</v>
      </c>
      <c r="N268" s="35" t="s">
        <v>77</v>
      </c>
      <c r="O268" s="5"/>
      <c r="P268" s="27"/>
      <c r="Q268" s="5" t="s">
        <v>77</v>
      </c>
      <c r="R268" s="27"/>
      <c r="S268" s="27"/>
      <c r="T268" s="27"/>
      <c r="U268" s="27"/>
      <c r="V268" s="27"/>
      <c r="W268" s="42">
        <v>50</v>
      </c>
      <c r="X268" s="19">
        <f>F268*0.1+H268*0.1+J268*0.1+P268*0.2+S268*0.2</f>
        <v>19</v>
      </c>
      <c r="Y268" s="13">
        <v>50</v>
      </c>
      <c r="Z268" s="20"/>
    </row>
    <row r="269" ht="15.6" spans="1:26">
      <c r="A269" s="27">
        <v>307</v>
      </c>
      <c r="B269" s="27">
        <v>47</v>
      </c>
      <c r="C269" s="28" t="s">
        <v>349</v>
      </c>
      <c r="D269" s="28" t="s">
        <v>46</v>
      </c>
      <c r="E269" s="27">
        <v>0</v>
      </c>
      <c r="F269" s="29">
        <f>LOOKUP(E269,{0,1.5,2.3,3.1,3.9,4.7,5.5,6.8,8.1,9.4,10.7,12,13.3,14.6,15.9,17.2,18.5,20.2,21.9,23.6,25.3},{0,10,20,30,40,50,60,62,64,66,68,70,72,74,76,78,80,85,90,95,100})</f>
        <v>0</v>
      </c>
      <c r="G269" s="27">
        <v>170</v>
      </c>
      <c r="H269" s="29">
        <f>LOOKUP(G269,{0,125,130,135,140,145,150,153,156,159,162,165,168,171,174,177,180,187,194,200,206},{0,10,20,30,40,50,60,62,64,66,68,70,72,74,76,78,80,85,90,95,100})</f>
        <v>72</v>
      </c>
      <c r="I269" s="27" t="s">
        <v>77</v>
      </c>
      <c r="J269" s="29"/>
      <c r="K269" s="35"/>
      <c r="L269" s="35"/>
      <c r="M269" s="35"/>
      <c r="N269" s="35" t="s">
        <v>77</v>
      </c>
      <c r="O269" s="5"/>
      <c r="P269" s="27"/>
      <c r="Q269" s="5">
        <v>7.32</v>
      </c>
      <c r="R269" s="36">
        <f>10-Q269</f>
        <v>2.68</v>
      </c>
      <c r="S269" s="29">
        <f>LOOKUP(R269,{0,4.74,4.84,4.94,5.44,5.54,5.64,5.69,5.74,5.79,5.84,5.89,5.94,5.99,6.44,6.49,6.54,6.61,6.68,6.74,6.8},{0,10,20,30,40,50,60,62,64,66,68,70,72,74,76,78,80,85,90,95,100})</f>
        <v>0</v>
      </c>
      <c r="T269" s="27"/>
      <c r="U269" s="27"/>
      <c r="V269" s="27">
        <f>S269+U269</f>
        <v>0</v>
      </c>
      <c r="W269" s="42">
        <v>50</v>
      </c>
      <c r="X269" s="19">
        <f>F269*0.1+H269*0.1+J269*0.1+P269*0.2+S269*0.2</f>
        <v>7.2</v>
      </c>
      <c r="Y269" s="13">
        <v>50</v>
      </c>
      <c r="Z269" s="19"/>
    </row>
    <row r="270" ht="15.6" spans="1:26">
      <c r="A270" s="27">
        <v>308</v>
      </c>
      <c r="B270" s="27">
        <v>26</v>
      </c>
      <c r="C270" s="28" t="s">
        <v>379</v>
      </c>
      <c r="D270" s="28" t="s">
        <v>46</v>
      </c>
      <c r="E270" s="27">
        <v>18</v>
      </c>
      <c r="F270" s="29">
        <f>LOOKUP(E270,{0,1.5,2.3,3.1,3.9,4.7,5.5,6.8,8.1,9.4,10.7,12,13.3,14.6,15.9,17.2,18.5,20.2,21.9,23.6,25.3},{0,10,20,30,40,50,60,62,64,66,68,70,72,74,76,78,80,85,90,95,100})</f>
        <v>78</v>
      </c>
      <c r="G270" s="27">
        <v>172</v>
      </c>
      <c r="H270" s="29">
        <f>LOOKUP(G270,{0,125,130,135,140,145,150,153,156,159,162,165,168,171,174,177,180,187,194,200,206},{0,10,20,30,40,50,60,62,64,66,68,70,72,74,76,78,80,85,90,95,100})</f>
        <v>74</v>
      </c>
      <c r="I270" s="5" t="s">
        <v>77</v>
      </c>
      <c r="J270" s="29"/>
      <c r="K270" s="5"/>
      <c r="L270" s="5"/>
      <c r="M270" s="35"/>
      <c r="N270" s="5" t="s">
        <v>77</v>
      </c>
      <c r="O270" s="5"/>
      <c r="P270" s="27"/>
      <c r="Q270" s="5" t="s">
        <v>77</v>
      </c>
      <c r="R270" s="27"/>
      <c r="S270" s="27"/>
      <c r="T270" s="27"/>
      <c r="U270" s="27"/>
      <c r="V270" s="27"/>
      <c r="W270" s="42">
        <v>50</v>
      </c>
      <c r="X270" s="19">
        <f>F270*0.1+H270*0.1+J270*0.1+P270*0.2+S270*0.2</f>
        <v>15.2</v>
      </c>
      <c r="Y270" s="13">
        <v>50</v>
      </c>
      <c r="Z270" s="19"/>
    </row>
    <row r="271" ht="15.6" spans="1:26">
      <c r="A271" s="27">
        <v>308</v>
      </c>
      <c r="B271" s="27">
        <v>40</v>
      </c>
      <c r="C271" s="30" t="s">
        <v>395</v>
      </c>
      <c r="D271" s="28" t="s">
        <v>46</v>
      </c>
      <c r="E271" s="27">
        <v>12.7</v>
      </c>
      <c r="F271" s="29">
        <f>LOOKUP(E271,{0,1.5,2.3,3.1,3.9,4.7,5.5,6.8,8.1,9.4,10.7,12,13.3,14.6,15.9,17.2,18.5,20.2,21.9,23.6,25.3},{0,10,20,30,40,50,60,62,64,66,68,70,72,74,76,78,80,85,90,95,100})</f>
        <v>70</v>
      </c>
      <c r="G271" s="27">
        <v>162</v>
      </c>
      <c r="H271" s="29">
        <f>LOOKUP(G271,{0,125,130,135,140,145,150,153,156,159,162,165,168,171,174,177,180,187,194,200,206},{0,10,20,30,40,50,60,62,64,66,68,70,72,74,76,78,80,85,90,95,100})</f>
        <v>68</v>
      </c>
      <c r="I271" s="27" t="s">
        <v>77</v>
      </c>
      <c r="J271" s="29"/>
      <c r="K271" s="27"/>
      <c r="L271" s="27"/>
      <c r="M271" s="35"/>
      <c r="N271" s="27" t="s">
        <v>77</v>
      </c>
      <c r="O271" s="27"/>
      <c r="P271" s="27"/>
      <c r="Q271" s="27" t="s">
        <v>77</v>
      </c>
      <c r="R271" s="27"/>
      <c r="S271" s="27"/>
      <c r="T271" s="27"/>
      <c r="U271" s="27"/>
      <c r="V271" s="27"/>
      <c r="W271" s="42">
        <v>50</v>
      </c>
      <c r="X271" s="19">
        <f>F271*0.1+H271*0.1+J271*0.1+P271*0.2+S271*0.2</f>
        <v>13.8</v>
      </c>
      <c r="Y271" s="13">
        <v>50</v>
      </c>
      <c r="Z271" s="19"/>
    </row>
    <row r="272" spans="1:26">
      <c r="A272" s="27">
        <v>308</v>
      </c>
      <c r="B272" s="27">
        <v>46</v>
      </c>
      <c r="C272" s="28" t="s">
        <v>401</v>
      </c>
      <c r="D272" s="28" t="s">
        <v>46</v>
      </c>
      <c r="E272" s="27"/>
      <c r="F272" s="27"/>
      <c r="G272" s="27"/>
      <c r="H272" s="27"/>
      <c r="I272" s="27"/>
      <c r="J272" s="35"/>
      <c r="K272" s="35"/>
      <c r="L272" s="35"/>
      <c r="M272" s="35"/>
      <c r="N272" s="35"/>
      <c r="O272" s="5"/>
      <c r="P272" s="5"/>
      <c r="Q272" s="5"/>
      <c r="R272" s="27"/>
      <c r="S272" s="27"/>
      <c r="T272" s="27"/>
      <c r="U272" s="27"/>
      <c r="V272" s="27"/>
      <c r="W272" s="27">
        <v>50</v>
      </c>
      <c r="X272" s="19"/>
      <c r="Y272" s="19">
        <v>50</v>
      </c>
      <c r="Z272" s="19"/>
    </row>
    <row r="273" spans="1:26">
      <c r="A273" s="27">
        <v>309</v>
      </c>
      <c r="B273" s="27">
        <v>39</v>
      </c>
      <c r="C273" s="30" t="s">
        <v>447</v>
      </c>
      <c r="D273" s="28" t="s">
        <v>46</v>
      </c>
      <c r="E273" s="27"/>
      <c r="F273" s="27"/>
      <c r="G273" s="27"/>
      <c r="H273" s="27"/>
      <c r="I273" s="27"/>
      <c r="J273" s="35"/>
      <c r="K273" s="35"/>
      <c r="L273" s="35"/>
      <c r="M273" s="35"/>
      <c r="N273" s="35"/>
      <c r="O273" s="5"/>
      <c r="P273" s="5"/>
      <c r="Q273" s="5"/>
      <c r="R273" s="27"/>
      <c r="S273" s="27"/>
      <c r="T273" s="27"/>
      <c r="U273" s="27"/>
      <c r="V273" s="27"/>
      <c r="W273" s="27">
        <v>50</v>
      </c>
      <c r="X273" s="19"/>
      <c r="Y273" s="19">
        <v>50</v>
      </c>
      <c r="Z273" s="19"/>
    </row>
    <row r="274" spans="1:26">
      <c r="A274" s="27">
        <v>309</v>
      </c>
      <c r="B274" s="27">
        <v>46</v>
      </c>
      <c r="C274" s="28" t="s">
        <v>454</v>
      </c>
      <c r="D274" s="28" t="s">
        <v>46</v>
      </c>
      <c r="E274" s="27"/>
      <c r="F274" s="27"/>
      <c r="G274" s="27"/>
      <c r="H274" s="27"/>
      <c r="I274" s="27"/>
      <c r="J274" s="35"/>
      <c r="K274" s="35"/>
      <c r="L274" s="35"/>
      <c r="M274" s="35"/>
      <c r="N274" s="35"/>
      <c r="O274" s="5"/>
      <c r="P274" s="5"/>
      <c r="Q274" s="5"/>
      <c r="R274" s="27"/>
      <c r="S274" s="27"/>
      <c r="T274" s="27"/>
      <c r="U274" s="27"/>
      <c r="V274" s="27"/>
      <c r="W274" s="27">
        <v>50</v>
      </c>
      <c r="X274" s="19"/>
      <c r="Y274" s="19">
        <v>50</v>
      </c>
      <c r="Z274" s="19"/>
    </row>
    <row r="275" spans="1:26">
      <c r="A275" s="27">
        <v>309</v>
      </c>
      <c r="B275" s="27">
        <v>48</v>
      </c>
      <c r="C275" s="28" t="s">
        <v>455</v>
      </c>
      <c r="D275" s="28" t="s">
        <v>46</v>
      </c>
      <c r="E275" s="27"/>
      <c r="F275" s="27"/>
      <c r="G275" s="27"/>
      <c r="H275" s="27"/>
      <c r="I275" s="27"/>
      <c r="J275" s="35"/>
      <c r="K275" s="35"/>
      <c r="L275" s="35"/>
      <c r="M275" s="35"/>
      <c r="N275" s="35"/>
      <c r="O275" s="5"/>
      <c r="P275" s="5"/>
      <c r="Q275" s="5"/>
      <c r="R275" s="27"/>
      <c r="S275" s="27"/>
      <c r="T275" s="27"/>
      <c r="U275" s="27"/>
      <c r="V275" s="27"/>
      <c r="W275" s="27">
        <v>50</v>
      </c>
      <c r="X275" s="22"/>
      <c r="Y275" s="19">
        <v>50</v>
      </c>
      <c r="Z275" s="19"/>
    </row>
    <row r="276" spans="1:26">
      <c r="A276" s="27">
        <v>310</v>
      </c>
      <c r="B276" s="27">
        <v>43</v>
      </c>
      <c r="C276" s="30" t="s">
        <v>504</v>
      </c>
      <c r="D276" s="28" t="s">
        <v>46</v>
      </c>
      <c r="E276" s="27"/>
      <c r="F276" s="27"/>
      <c r="G276" s="27"/>
      <c r="H276" s="27"/>
      <c r="I276" s="27"/>
      <c r="J276" s="35"/>
      <c r="K276" s="35"/>
      <c r="L276" s="35"/>
      <c r="M276" s="35"/>
      <c r="N276" s="35"/>
      <c r="O276" s="5"/>
      <c r="P276" s="5"/>
      <c r="Q276" s="5"/>
      <c r="R276" s="27"/>
      <c r="S276" s="27"/>
      <c r="T276" s="27"/>
      <c r="U276" s="27"/>
      <c r="V276" s="27"/>
      <c r="W276" s="27">
        <v>50</v>
      </c>
      <c r="X276" s="19"/>
      <c r="Y276" s="19">
        <v>50</v>
      </c>
      <c r="Z276" s="19"/>
    </row>
    <row r="277" spans="1:26">
      <c r="A277" s="27">
        <v>310</v>
      </c>
      <c r="B277" s="27">
        <v>44</v>
      </c>
      <c r="C277" s="28" t="s">
        <v>505</v>
      </c>
      <c r="D277" s="28" t="s">
        <v>46</v>
      </c>
      <c r="E277" s="27"/>
      <c r="F277" s="27"/>
      <c r="G277" s="27"/>
      <c r="H277" s="27"/>
      <c r="I277" s="27"/>
      <c r="J277" s="35"/>
      <c r="K277" s="35"/>
      <c r="L277" s="39"/>
      <c r="M277" s="35"/>
      <c r="N277" s="35"/>
      <c r="O277" s="5"/>
      <c r="P277" s="5"/>
      <c r="Q277" s="5"/>
      <c r="R277" s="27"/>
      <c r="S277" s="27"/>
      <c r="T277" s="27"/>
      <c r="U277" s="27"/>
      <c r="V277" s="27"/>
      <c r="W277" s="27">
        <v>50</v>
      </c>
      <c r="X277" s="19"/>
      <c r="Y277" s="19">
        <v>50</v>
      </c>
      <c r="Z277" s="19"/>
    </row>
    <row r="278" spans="1:26">
      <c r="A278" s="27">
        <v>310</v>
      </c>
      <c r="B278" s="27">
        <v>51</v>
      </c>
      <c r="C278" s="28" t="s">
        <v>512</v>
      </c>
      <c r="D278" s="28" t="s">
        <v>46</v>
      </c>
      <c r="E278" s="27"/>
      <c r="F278" s="27"/>
      <c r="G278" s="27"/>
      <c r="H278" s="27"/>
      <c r="I278" s="27"/>
      <c r="J278" s="35"/>
      <c r="K278" s="35"/>
      <c r="L278" s="35"/>
      <c r="M278" s="35"/>
      <c r="N278" s="35"/>
      <c r="O278" s="5"/>
      <c r="P278" s="5"/>
      <c r="Q278" s="5"/>
      <c r="R278" s="27"/>
      <c r="S278" s="27"/>
      <c r="T278" s="27"/>
      <c r="U278" s="27"/>
      <c r="V278" s="27"/>
      <c r="W278" s="27">
        <v>50</v>
      </c>
      <c r="X278" s="19"/>
      <c r="Y278" s="19">
        <v>50</v>
      </c>
      <c r="Z278" s="19"/>
    </row>
    <row r="279" ht="15.6" spans="1:26">
      <c r="A279" s="27">
        <v>312</v>
      </c>
      <c r="B279" s="27">
        <v>47</v>
      </c>
      <c r="C279" s="28" t="s">
        <v>623</v>
      </c>
      <c r="D279" s="28" t="s">
        <v>46</v>
      </c>
      <c r="E279" s="27">
        <v>5</v>
      </c>
      <c r="F279" s="29">
        <f>LOOKUP(E279,{0,1.5,2.3,3.1,3.9,4.7,5.5,6.8,8.1,9.4,10.7,12,13.3,14.6,15.9,17.2,18.5,20.2,21.9,23.6,25.3},{0,10,20,30,40,50,60,62,64,66,68,70,72,74,76,78,80,85,90,95,100})</f>
        <v>50</v>
      </c>
      <c r="G279" s="27">
        <v>146</v>
      </c>
      <c r="H279" s="29">
        <f>LOOKUP(G279,{0,125,130,135,140,145,150,153,156,159,162,165,168,171,174,177,180,187,194,200,206},{0,10,20,30,40,50,60,62,64,66,68,70,72,74,76,78,80,85,90,95,100})</f>
        <v>50</v>
      </c>
      <c r="I279" s="27">
        <v>31</v>
      </c>
      <c r="J279" s="29">
        <f>LOOKUP(I279,{0,15,17,19,21,23,25,27,29,31,33,35,37,39,41,43,45,48,51,53,55},{0,10,20,30,40,50,60,62,64,66,68,70,72,74,76,78,80,85,90,95,100})</f>
        <v>66</v>
      </c>
      <c r="K279" s="35"/>
      <c r="L279" s="35"/>
      <c r="M279" s="35">
        <f>J279+L279</f>
        <v>66</v>
      </c>
      <c r="N279" s="35">
        <v>10.6</v>
      </c>
      <c r="O279" s="36">
        <f>18-N279</f>
        <v>7.4</v>
      </c>
      <c r="P279" s="29">
        <f>LOOKUP(O279,{0,6.6,6.8,7,7.2,7.4,7.6,7.8,8,8.2,8.4,8.6,8.8,9,9.2,9.4,9.6,9.9,10.2,10.3,10.4},{0,10,20,30,40,50,60,62,64,66,68,70,72,74,76,78,80,85,90,95,100})</f>
        <v>50</v>
      </c>
      <c r="Q279" s="5"/>
      <c r="R279" s="27"/>
      <c r="S279" s="27"/>
      <c r="T279" s="27"/>
      <c r="U279" s="27"/>
      <c r="V279" s="27"/>
      <c r="W279" s="27">
        <v>50</v>
      </c>
      <c r="X279" s="19"/>
      <c r="Y279" s="19">
        <v>50</v>
      </c>
      <c r="Z279" s="19"/>
    </row>
    <row r="280" spans="1:26">
      <c r="A280" s="27">
        <v>312</v>
      </c>
      <c r="B280" s="27">
        <v>49</v>
      </c>
      <c r="C280" s="28" t="s">
        <v>625</v>
      </c>
      <c r="D280" s="28" t="s">
        <v>46</v>
      </c>
      <c r="E280" s="27"/>
      <c r="F280" s="27"/>
      <c r="G280" s="27"/>
      <c r="H280" s="27"/>
      <c r="I280" s="27"/>
      <c r="J280" s="35"/>
      <c r="K280" s="35"/>
      <c r="L280" s="35"/>
      <c r="M280" s="35"/>
      <c r="N280" s="35"/>
      <c r="O280" s="5"/>
      <c r="P280" s="5"/>
      <c r="Q280" s="5"/>
      <c r="R280" s="27"/>
      <c r="S280" s="27"/>
      <c r="T280" s="27"/>
      <c r="U280" s="27"/>
      <c r="V280" s="27"/>
      <c r="W280" s="27">
        <v>50</v>
      </c>
      <c r="X280" s="19"/>
      <c r="Y280" s="19">
        <v>50</v>
      </c>
      <c r="Z280" s="19"/>
    </row>
    <row r="281" spans="1:26">
      <c r="A281" s="27">
        <v>313</v>
      </c>
      <c r="B281" s="27">
        <v>19</v>
      </c>
      <c r="C281" s="28" t="s">
        <v>647</v>
      </c>
      <c r="D281" s="28" t="s">
        <v>46</v>
      </c>
      <c r="E281" s="27"/>
      <c r="F281" s="27"/>
      <c r="G281" s="27"/>
      <c r="H281" s="27"/>
      <c r="I281" s="27"/>
      <c r="J281" s="35"/>
      <c r="K281" s="35"/>
      <c r="L281" s="35"/>
      <c r="M281" s="35"/>
      <c r="N281" s="35"/>
      <c r="O281" s="5"/>
      <c r="P281" s="5"/>
      <c r="Q281" s="5"/>
      <c r="R281" s="27"/>
      <c r="S281" s="27"/>
      <c r="T281" s="27"/>
      <c r="U281" s="27"/>
      <c r="V281" s="27"/>
      <c r="W281" s="27">
        <v>50</v>
      </c>
      <c r="X281" s="20"/>
      <c r="Y281" s="19">
        <v>50</v>
      </c>
      <c r="Z281" s="19"/>
    </row>
    <row r="282" spans="1:26">
      <c r="A282" s="27">
        <v>313</v>
      </c>
      <c r="B282" s="27">
        <v>20</v>
      </c>
      <c r="C282" s="28" t="s">
        <v>648</v>
      </c>
      <c r="D282" s="28" t="s">
        <v>46</v>
      </c>
      <c r="E282" s="27"/>
      <c r="F282" s="27"/>
      <c r="G282" s="27"/>
      <c r="H282" s="27"/>
      <c r="I282" s="27"/>
      <c r="J282" s="35"/>
      <c r="K282" s="35"/>
      <c r="L282" s="35"/>
      <c r="M282" s="35"/>
      <c r="N282" s="35"/>
      <c r="O282" s="5"/>
      <c r="P282" s="5"/>
      <c r="Q282" s="5"/>
      <c r="R282" s="27"/>
      <c r="S282" s="27"/>
      <c r="T282" s="27"/>
      <c r="U282" s="27"/>
      <c r="V282" s="27"/>
      <c r="W282" s="27">
        <v>50</v>
      </c>
      <c r="X282" s="19"/>
      <c r="Y282" s="19">
        <v>50</v>
      </c>
      <c r="Z282" s="22"/>
    </row>
    <row r="283" spans="1:26">
      <c r="A283" s="27">
        <v>313</v>
      </c>
      <c r="B283" s="27">
        <v>30</v>
      </c>
      <c r="C283" s="28" t="s">
        <v>659</v>
      </c>
      <c r="D283" s="28" t="s">
        <v>46</v>
      </c>
      <c r="E283" s="27"/>
      <c r="F283" s="27"/>
      <c r="G283" s="27"/>
      <c r="H283" s="27"/>
      <c r="I283" s="27"/>
      <c r="J283" s="35"/>
      <c r="K283" s="35"/>
      <c r="L283" s="35"/>
      <c r="M283" s="35"/>
      <c r="N283" s="35"/>
      <c r="O283" s="5"/>
      <c r="P283" s="5"/>
      <c r="Q283" s="5"/>
      <c r="R283" s="27"/>
      <c r="S283" s="27"/>
      <c r="T283" s="27"/>
      <c r="U283" s="27"/>
      <c r="V283" s="27"/>
      <c r="W283" s="27">
        <v>50</v>
      </c>
      <c r="X283" s="19"/>
      <c r="Y283" s="19">
        <v>50</v>
      </c>
      <c r="Z283" s="19"/>
    </row>
    <row r="284" spans="1:26">
      <c r="A284" s="27">
        <v>313</v>
      </c>
      <c r="B284" s="27">
        <v>34</v>
      </c>
      <c r="C284" s="28" t="s">
        <v>663</v>
      </c>
      <c r="D284" s="28" t="s">
        <v>46</v>
      </c>
      <c r="E284" s="27"/>
      <c r="F284" s="27"/>
      <c r="G284" s="27"/>
      <c r="H284" s="27"/>
      <c r="I284" s="27"/>
      <c r="J284" s="35"/>
      <c r="K284" s="35"/>
      <c r="L284" s="35"/>
      <c r="M284" s="35"/>
      <c r="N284" s="35"/>
      <c r="O284" s="5"/>
      <c r="P284" s="5"/>
      <c r="Q284" s="5"/>
      <c r="R284" s="27"/>
      <c r="S284" s="27"/>
      <c r="T284" s="27"/>
      <c r="U284" s="27"/>
      <c r="V284" s="27"/>
      <c r="W284" s="27">
        <v>50</v>
      </c>
      <c r="X284" s="19"/>
      <c r="Y284" s="19">
        <v>50</v>
      </c>
      <c r="Z284" s="19"/>
    </row>
    <row r="285" spans="1:26">
      <c r="A285" s="27">
        <v>313</v>
      </c>
      <c r="B285" s="27">
        <v>38</v>
      </c>
      <c r="C285" s="28" t="s">
        <v>667</v>
      </c>
      <c r="D285" s="28" t="s">
        <v>46</v>
      </c>
      <c r="E285" s="27"/>
      <c r="F285" s="27"/>
      <c r="G285" s="27"/>
      <c r="H285" s="27"/>
      <c r="I285" s="27"/>
      <c r="J285" s="35"/>
      <c r="K285" s="35"/>
      <c r="L285" s="35"/>
      <c r="M285" s="35"/>
      <c r="N285" s="35"/>
      <c r="O285" s="5"/>
      <c r="P285" s="5"/>
      <c r="Q285" s="5"/>
      <c r="R285" s="27"/>
      <c r="S285" s="27"/>
      <c r="T285" s="27"/>
      <c r="U285" s="27"/>
      <c r="V285" s="27"/>
      <c r="W285" s="27">
        <v>50</v>
      </c>
      <c r="X285" s="19"/>
      <c r="Y285" s="19">
        <v>50</v>
      </c>
      <c r="Z285" s="19"/>
    </row>
    <row r="286" spans="1:26">
      <c r="A286" s="27">
        <v>313</v>
      </c>
      <c r="B286" s="27">
        <v>42</v>
      </c>
      <c r="C286" s="28" t="s">
        <v>672</v>
      </c>
      <c r="D286" s="28" t="s">
        <v>46</v>
      </c>
      <c r="E286" s="27"/>
      <c r="F286" s="27"/>
      <c r="G286" s="27"/>
      <c r="H286" s="27"/>
      <c r="I286" s="27"/>
      <c r="J286" s="35"/>
      <c r="K286" s="35"/>
      <c r="L286" s="35"/>
      <c r="M286" s="35"/>
      <c r="N286" s="35"/>
      <c r="O286" s="5"/>
      <c r="P286" s="5"/>
      <c r="Q286" s="5"/>
      <c r="R286" s="27"/>
      <c r="S286" s="27"/>
      <c r="T286" s="27"/>
      <c r="U286" s="27"/>
      <c r="V286" s="27"/>
      <c r="W286" s="27">
        <v>50</v>
      </c>
      <c r="X286" s="19"/>
      <c r="Y286" s="19">
        <v>50</v>
      </c>
      <c r="Z286" s="19"/>
    </row>
    <row r="287" ht="15.6" spans="1:26">
      <c r="A287" s="27">
        <v>313</v>
      </c>
      <c r="B287" s="27">
        <v>44</v>
      </c>
      <c r="C287" s="28" t="s">
        <v>674</v>
      </c>
      <c r="D287" s="28" t="s">
        <v>46</v>
      </c>
      <c r="E287" s="27">
        <v>14.7</v>
      </c>
      <c r="F287" s="29">
        <f>LOOKUP(E287,{0,1.5,2.3,3.1,3.9,4.7,5.5,6.8,8.1,9.4,10.7,12,13.3,14.6,15.9,17.2,18.5,20.2,21.9,23.6,25.3},{0,10,20,30,40,50,60,62,64,66,68,70,72,74,76,78,80,85,90,95,100})</f>
        <v>74</v>
      </c>
      <c r="G287" s="27">
        <v>165</v>
      </c>
      <c r="H287" s="29">
        <f>LOOKUP(G287,{0,125,130,135,140,145,150,153,156,159,162,165,168,171,174,177,180,187,194,200,206},{0,10,20,30,40,50,60,62,64,66,68,70,72,74,76,78,80,85,90,95,100})</f>
        <v>70</v>
      </c>
      <c r="I287" s="27">
        <v>45</v>
      </c>
      <c r="J287" s="29">
        <f>LOOKUP(I287,{0,15,17,19,21,23,25,27,29,31,33,35,37,39,41,43,45,48,51,53,55},{0,10,20,30,40,50,60,62,64,66,68,70,72,74,76,78,80,85,90,95,100})</f>
        <v>80</v>
      </c>
      <c r="K287" s="35"/>
      <c r="L287" s="35"/>
      <c r="M287" s="35">
        <f>J287+L287</f>
        <v>80</v>
      </c>
      <c r="N287" s="35"/>
      <c r="O287" s="5"/>
      <c r="P287" s="5"/>
      <c r="Q287" s="5"/>
      <c r="R287" s="27"/>
      <c r="S287" s="27"/>
      <c r="T287" s="27"/>
      <c r="U287" s="27"/>
      <c r="V287" s="27"/>
      <c r="W287" s="27">
        <v>50</v>
      </c>
      <c r="X287" s="19"/>
      <c r="Y287" s="19">
        <v>50</v>
      </c>
      <c r="Z287" s="19"/>
    </row>
    <row r="288" ht="15.6" spans="1:26">
      <c r="A288" s="27">
        <v>313</v>
      </c>
      <c r="B288" s="27">
        <v>46</v>
      </c>
      <c r="C288" s="28" t="s">
        <v>676</v>
      </c>
      <c r="D288" s="28" t="s">
        <v>46</v>
      </c>
      <c r="E288" s="27">
        <v>16.5</v>
      </c>
      <c r="F288" s="29">
        <f>LOOKUP(E288,{0,1.5,2.3,3.1,3.9,4.7,5.5,6.8,8.1,9.4,10.7,12,13.3,14.6,15.9,17.2,18.5,20.2,21.9,23.6,25.3},{0,10,20,30,40,50,60,62,64,66,68,70,72,74,76,78,80,85,90,95,100})</f>
        <v>76</v>
      </c>
      <c r="G288" s="27"/>
      <c r="H288" s="27"/>
      <c r="I288" s="27">
        <v>49</v>
      </c>
      <c r="J288" s="29">
        <f>LOOKUP(I288,{0,15,17,19,21,23,25,27,29,31,33,35,37,39,41,43,45,48,51,53,55},{0,10,20,30,40,50,60,62,64,66,68,70,72,74,76,78,80,85,90,95,100})</f>
        <v>85</v>
      </c>
      <c r="K288" s="35"/>
      <c r="L288" s="35"/>
      <c r="M288" s="35">
        <f>J288+L288</f>
        <v>85</v>
      </c>
      <c r="N288" s="35"/>
      <c r="O288" s="5"/>
      <c r="P288" s="5"/>
      <c r="Q288" s="5"/>
      <c r="R288" s="27"/>
      <c r="S288" s="27"/>
      <c r="T288" s="27"/>
      <c r="U288" s="27"/>
      <c r="V288" s="27"/>
      <c r="W288" s="27">
        <v>50</v>
      </c>
      <c r="X288" s="19"/>
      <c r="Y288" s="19">
        <v>50</v>
      </c>
      <c r="Z288" s="19"/>
    </row>
    <row r="289" spans="1:26">
      <c r="A289" s="27">
        <v>313</v>
      </c>
      <c r="B289" s="27">
        <v>48</v>
      </c>
      <c r="C289" s="28" t="s">
        <v>678</v>
      </c>
      <c r="D289" s="28" t="s">
        <v>46</v>
      </c>
      <c r="E289" s="27"/>
      <c r="F289" s="27"/>
      <c r="G289" s="27"/>
      <c r="H289" s="27"/>
      <c r="I289" s="27"/>
      <c r="J289" s="35"/>
      <c r="K289" s="35"/>
      <c r="L289" s="35"/>
      <c r="M289" s="35"/>
      <c r="N289" s="35"/>
      <c r="O289" s="5"/>
      <c r="P289" s="5"/>
      <c r="Q289" s="5"/>
      <c r="R289" s="27"/>
      <c r="S289" s="27"/>
      <c r="T289" s="27"/>
      <c r="U289" s="27"/>
      <c r="V289" s="27"/>
      <c r="W289" s="27">
        <v>50</v>
      </c>
      <c r="X289" s="19"/>
      <c r="Y289" s="19">
        <v>50</v>
      </c>
      <c r="Z289" s="19"/>
    </row>
    <row r="290" ht="15.6" spans="1:26">
      <c r="A290" s="27">
        <v>314</v>
      </c>
      <c r="B290" s="27">
        <v>14</v>
      </c>
      <c r="C290" s="28" t="s">
        <v>695</v>
      </c>
      <c r="D290" s="28" t="s">
        <v>46</v>
      </c>
      <c r="E290" s="27">
        <v>5</v>
      </c>
      <c r="F290" s="29">
        <f>LOOKUP(E290,{0,1.5,2.3,3.1,3.9,4.7,5.5,6.8,8.1,9.4,10.7,12,13.3,14.6,15.9,17.2,18.5,20.2,21.9,23.6,25.3},{0,10,20,30,40,50,60,62,64,66,68,70,72,74,76,78,80,85,90,95,100})</f>
        <v>50</v>
      </c>
      <c r="G290" s="27">
        <v>150</v>
      </c>
      <c r="H290" s="29">
        <f>LOOKUP(G290,{0,125,130,135,140,145,150,153,156,159,162,165,168,171,174,177,180,187,194,200,206},{0,10,20,30,40,50,60,62,64,66,68,70,72,74,76,78,80,85,90,95,100})</f>
        <v>60</v>
      </c>
      <c r="I290" s="27">
        <v>34</v>
      </c>
      <c r="J290" s="29">
        <f>LOOKUP(I290,{0,15,17,19,21,23,25,27,29,31,33,35,37,39,41,43,45,48,51,53,55},{0,10,20,30,40,50,60,62,64,66,68,70,72,74,76,78,80,85,90,95,100})</f>
        <v>68</v>
      </c>
      <c r="K290" s="35"/>
      <c r="L290" s="35"/>
      <c r="M290" s="35">
        <f>J290+L290</f>
        <v>68</v>
      </c>
      <c r="N290" s="35"/>
      <c r="O290" s="5"/>
      <c r="P290" s="5"/>
      <c r="Q290" s="5"/>
      <c r="R290" s="27"/>
      <c r="S290" s="27"/>
      <c r="T290" s="27"/>
      <c r="U290" s="27"/>
      <c r="V290" s="27"/>
      <c r="W290" s="27">
        <v>50</v>
      </c>
      <c r="X290" s="19"/>
      <c r="Y290" s="19">
        <v>50</v>
      </c>
      <c r="Z290" s="19"/>
    </row>
    <row r="291" ht="15.6" spans="1:26">
      <c r="A291" s="27">
        <v>314</v>
      </c>
      <c r="B291" s="27">
        <v>15</v>
      </c>
      <c r="C291" s="28" t="s">
        <v>696</v>
      </c>
      <c r="D291" s="28" t="s">
        <v>46</v>
      </c>
      <c r="E291" s="27">
        <v>12</v>
      </c>
      <c r="F291" s="29">
        <f>LOOKUP(E291,{0,1.5,2.3,3.1,3.9,4.7,5.5,6.8,8.1,9.4,10.7,12,13.3,14.6,15.9,17.2,18.5,20.2,21.9,23.6,25.3},{0,10,20,30,40,50,60,62,64,66,68,70,72,74,76,78,80,85,90,95,100})</f>
        <v>70</v>
      </c>
      <c r="G291" s="27">
        <v>145</v>
      </c>
      <c r="H291" s="29">
        <f>LOOKUP(G291,{0,125,130,135,140,145,150,153,156,159,162,165,168,171,174,177,180,187,194,200,206},{0,10,20,30,40,50,60,62,64,66,68,70,72,74,76,78,80,85,90,95,100})</f>
        <v>50</v>
      </c>
      <c r="I291" s="27"/>
      <c r="J291" s="35"/>
      <c r="K291" s="35"/>
      <c r="L291" s="35"/>
      <c r="M291" s="35"/>
      <c r="N291" s="35">
        <v>9.9</v>
      </c>
      <c r="O291" s="36">
        <f>18-N291</f>
        <v>8.1</v>
      </c>
      <c r="P291" s="29">
        <f>LOOKUP(O291,{0,6.6,6.8,7,7.2,7.4,7.6,7.8,8,8.2,8.4,8.6,8.8,9,9.2,9.4,9.6,9.9,10.2,10.3,10.4},{0,10,20,30,40,50,60,62,64,66,68,70,72,74,76,78,80,85,90,95,100})</f>
        <v>64</v>
      </c>
      <c r="Q291" s="5">
        <v>5.16</v>
      </c>
      <c r="R291" s="36">
        <f>10-Q291</f>
        <v>4.84</v>
      </c>
      <c r="S291" s="29">
        <f>LOOKUP(R291,{0,4.74,4.84,4.94,5.44,5.54,5.64,5.69,5.74,5.79,5.84,5.89,5.94,5.99,6.44,6.49,6.54,6.61,6.68,6.74,6.8},{0,10,20,30,40,50,60,62,64,66,68,70,72,74,76,78,80,85,90,95,100})</f>
        <v>20</v>
      </c>
      <c r="T291" s="27"/>
      <c r="U291" s="27"/>
      <c r="V291" s="27">
        <f>S291+U291</f>
        <v>20</v>
      </c>
      <c r="W291" s="42">
        <v>50</v>
      </c>
      <c r="X291" s="19">
        <f>F291*0.1+H291*0.1+J291*0.1+P291*0.2+S291*0.2</f>
        <v>28.8</v>
      </c>
      <c r="Y291" s="13">
        <v>50</v>
      </c>
      <c r="Z291" s="19"/>
    </row>
    <row r="292" ht="15.6" spans="1:26">
      <c r="A292" s="27">
        <v>314</v>
      </c>
      <c r="B292" s="27">
        <v>21</v>
      </c>
      <c r="C292" s="28" t="s">
        <v>703</v>
      </c>
      <c r="D292" s="28" t="s">
        <v>46</v>
      </c>
      <c r="E292" s="27">
        <v>24</v>
      </c>
      <c r="F292" s="29">
        <f>LOOKUP(E292,{0,1.5,2.3,3.1,3.9,4.7,5.5,6.8,8.1,9.4,10.7,12,13.3,14.6,15.9,17.2,18.5,20.2,21.9,23.6,25.3},{0,10,20,30,40,50,60,62,64,66,68,70,72,74,76,78,80,85,90,95,100})</f>
        <v>95</v>
      </c>
      <c r="G292" s="27">
        <v>154</v>
      </c>
      <c r="H292" s="29">
        <f>LOOKUP(G292,{0,125,130,135,140,145,150,153,156,159,162,165,168,171,174,177,180,187,194,200,206},{0,10,20,30,40,50,60,62,64,66,68,70,72,74,76,78,80,85,90,95,100})</f>
        <v>62</v>
      </c>
      <c r="I292" s="27">
        <v>36</v>
      </c>
      <c r="J292" s="29">
        <f>LOOKUP(I292,{0,15,17,19,21,23,25,27,29,31,33,35,37,39,41,43,45,48,51,53,55},{0,10,20,30,40,50,60,62,64,66,68,70,72,74,76,78,80,85,90,95,100})</f>
        <v>70</v>
      </c>
      <c r="K292" s="35"/>
      <c r="L292" s="35"/>
      <c r="M292" s="35">
        <f>J292+L292</f>
        <v>70</v>
      </c>
      <c r="N292" s="35">
        <v>10.8</v>
      </c>
      <c r="O292" s="36">
        <f>18-N292</f>
        <v>7.2</v>
      </c>
      <c r="P292" s="29">
        <f>LOOKUP(O292,{0,6.6,6.8,7,7.2,7.4,7.6,7.8,8,8.2,8.4,8.6,8.8,9,9.2,9.4,9.6,9.9,10.2,10.3,10.4},{0,10,20,30,40,50,60,62,64,66,68,70,72,74,76,78,80,85,90,95,100})</f>
        <v>40</v>
      </c>
      <c r="Q292" s="5" t="s">
        <v>77</v>
      </c>
      <c r="R292" s="27"/>
      <c r="S292" s="27"/>
      <c r="T292" s="27"/>
      <c r="U292" s="27"/>
      <c r="V292" s="27"/>
      <c r="W292" s="42">
        <v>50</v>
      </c>
      <c r="X292" s="19">
        <f>F292*0.1+H292*0.1+J292*0.1+P292*0.2+S292*0.2</f>
        <v>30.7</v>
      </c>
      <c r="Y292" s="13">
        <v>50</v>
      </c>
      <c r="Z292" s="19"/>
    </row>
    <row r="293" spans="1:26">
      <c r="A293" s="27">
        <v>314</v>
      </c>
      <c r="B293" s="27">
        <v>23</v>
      </c>
      <c r="C293" s="28" t="s">
        <v>705</v>
      </c>
      <c r="D293" s="28" t="s">
        <v>46</v>
      </c>
      <c r="E293" s="27"/>
      <c r="F293" s="27"/>
      <c r="G293" s="27"/>
      <c r="H293" s="27"/>
      <c r="I293" s="27"/>
      <c r="J293" s="35"/>
      <c r="K293" s="35"/>
      <c r="L293" s="35"/>
      <c r="M293" s="35"/>
      <c r="N293" s="35"/>
      <c r="O293" s="5"/>
      <c r="P293" s="5"/>
      <c r="Q293" s="5"/>
      <c r="R293" s="27"/>
      <c r="S293" s="27"/>
      <c r="T293" s="27"/>
      <c r="U293" s="27"/>
      <c r="V293" s="27"/>
      <c r="W293" s="27">
        <v>50</v>
      </c>
      <c r="X293" s="19"/>
      <c r="Y293" s="19">
        <v>50</v>
      </c>
      <c r="Z293" s="19"/>
    </row>
    <row r="294" ht="15.6" spans="1:26">
      <c r="A294" s="27">
        <v>314</v>
      </c>
      <c r="B294" s="27">
        <v>25</v>
      </c>
      <c r="C294" s="28" t="s">
        <v>707</v>
      </c>
      <c r="D294" s="28" t="s">
        <v>46</v>
      </c>
      <c r="E294" s="27">
        <v>19</v>
      </c>
      <c r="F294" s="29">
        <f>LOOKUP(E294,{0,1.5,2.3,3.1,3.9,4.7,5.5,6.8,8.1,9.4,10.7,12,13.3,14.6,15.9,17.2,18.5,20.2,21.9,23.6,25.3},{0,10,20,30,40,50,60,62,64,66,68,70,72,74,76,78,80,85,90,95,100})</f>
        <v>80</v>
      </c>
      <c r="G294" s="27">
        <v>169</v>
      </c>
      <c r="H294" s="29">
        <f>LOOKUP(G294,{0,125,130,135,140,145,150,153,156,159,162,165,168,171,174,177,180,187,194,200,206},{0,10,20,30,40,50,60,62,64,66,68,70,72,74,76,78,80,85,90,95,100})</f>
        <v>72</v>
      </c>
      <c r="I294" s="27">
        <v>36</v>
      </c>
      <c r="J294" s="29">
        <f>LOOKUP(I294,{0,15,17,19,21,23,25,27,29,31,33,35,37,39,41,43,45,48,51,53,55},{0,10,20,30,40,50,60,62,64,66,68,70,72,74,76,78,80,85,90,95,100})</f>
        <v>70</v>
      </c>
      <c r="K294" s="35"/>
      <c r="L294" s="35"/>
      <c r="M294" s="35">
        <f>J294+L294</f>
        <v>70</v>
      </c>
      <c r="N294" s="35" t="s">
        <v>77</v>
      </c>
      <c r="O294" s="5"/>
      <c r="P294" s="27"/>
      <c r="Q294" s="5" t="s">
        <v>77</v>
      </c>
      <c r="R294" s="27"/>
      <c r="S294" s="27"/>
      <c r="T294" s="27"/>
      <c r="U294" s="27"/>
      <c r="V294" s="27"/>
      <c r="W294" s="42">
        <v>50</v>
      </c>
      <c r="X294" s="19">
        <f>F294*0.1+H294*0.1+J294*0.1+P294*0.2+S294*0.2</f>
        <v>22.2</v>
      </c>
      <c r="Y294" s="13">
        <v>50</v>
      </c>
      <c r="Z294" s="20"/>
    </row>
    <row r="295" spans="1:26">
      <c r="A295" s="27">
        <v>314</v>
      </c>
      <c r="B295" s="27">
        <v>27</v>
      </c>
      <c r="C295" s="30" t="s">
        <v>710</v>
      </c>
      <c r="D295" s="28" t="s">
        <v>46</v>
      </c>
      <c r="E295" s="27"/>
      <c r="F295" s="27"/>
      <c r="G295" s="27"/>
      <c r="H295" s="27"/>
      <c r="I295" s="27"/>
      <c r="J295" s="35"/>
      <c r="K295" s="35"/>
      <c r="L295" s="35"/>
      <c r="M295" s="35"/>
      <c r="N295" s="35"/>
      <c r="O295" s="5"/>
      <c r="P295" s="5"/>
      <c r="Q295" s="5"/>
      <c r="R295" s="27"/>
      <c r="S295" s="27"/>
      <c r="T295" s="27"/>
      <c r="U295" s="27"/>
      <c r="V295" s="27"/>
      <c r="W295" s="27">
        <v>50</v>
      </c>
      <c r="X295" s="19"/>
      <c r="Y295" s="19">
        <v>50</v>
      </c>
      <c r="Z295" s="19"/>
    </row>
    <row r="296" ht="15.6" spans="1:26">
      <c r="A296" s="27">
        <v>314</v>
      </c>
      <c r="B296" s="27">
        <v>30</v>
      </c>
      <c r="C296" s="28" t="s">
        <v>713</v>
      </c>
      <c r="D296" s="28" t="s">
        <v>46</v>
      </c>
      <c r="E296" s="27">
        <v>25.5</v>
      </c>
      <c r="F296" s="29">
        <f>LOOKUP(E296,{0,1.5,2.3,3.1,3.9,4.7,5.5,6.8,8.1,9.4,10.7,12,13.3,14.6,15.9,17.2,18.5,20.2,21.9,23.6,25.3},{0,10,20,30,40,50,60,62,64,66,68,70,72,74,76,78,80,85,90,95,100})</f>
        <v>100</v>
      </c>
      <c r="G296" s="27"/>
      <c r="H296" s="27"/>
      <c r="I296" s="27"/>
      <c r="J296" s="35"/>
      <c r="K296" s="35"/>
      <c r="L296" s="35"/>
      <c r="M296" s="35"/>
      <c r="N296" s="35"/>
      <c r="O296" s="5"/>
      <c r="P296" s="5"/>
      <c r="Q296" s="5"/>
      <c r="R296" s="27"/>
      <c r="S296" s="27"/>
      <c r="T296" s="27"/>
      <c r="U296" s="27"/>
      <c r="V296" s="27"/>
      <c r="W296" s="27">
        <v>50</v>
      </c>
      <c r="X296" s="19"/>
      <c r="Y296" s="19">
        <v>50</v>
      </c>
      <c r="Z296" s="19"/>
    </row>
    <row r="297" ht="15.6" spans="1:26">
      <c r="A297" s="27">
        <v>314</v>
      </c>
      <c r="B297" s="27">
        <v>32</v>
      </c>
      <c r="C297" s="28" t="s">
        <v>715</v>
      </c>
      <c r="D297" s="28" t="s">
        <v>46</v>
      </c>
      <c r="E297" s="27">
        <v>26.5</v>
      </c>
      <c r="F297" s="29">
        <f>LOOKUP(E297,{0,1.5,2.3,3.1,3.9,4.7,5.5,6.8,8.1,9.4,10.7,12,13.3,14.6,15.9,17.2,18.5,20.2,21.9,23.6,25.3},{0,10,20,30,40,50,60,62,64,66,68,70,72,74,76,78,80,85,90,95,100})</f>
        <v>100</v>
      </c>
      <c r="G297" s="27">
        <v>185</v>
      </c>
      <c r="H297" s="29">
        <f>LOOKUP(G297,{0,125,130,135,140,145,150,153,156,159,162,165,168,171,174,177,180,187,194,200,206},{0,10,20,30,40,50,60,62,64,66,68,70,72,74,76,78,80,85,90,95,100})</f>
        <v>80</v>
      </c>
      <c r="I297" s="27">
        <v>0</v>
      </c>
      <c r="J297" s="29">
        <f>LOOKUP(I297,{0,15,17,19,21,23,25,27,29,31,33,35,37,39,41,43,45,48,51,53,55},{0,10,20,30,40,50,60,62,64,66,68,70,72,74,76,78,80,85,90,95,100})</f>
        <v>0</v>
      </c>
      <c r="K297" s="35"/>
      <c r="L297" s="35"/>
      <c r="M297" s="35">
        <f>J297+L297</f>
        <v>0</v>
      </c>
      <c r="N297" s="35"/>
      <c r="O297" s="5"/>
      <c r="P297" s="5"/>
      <c r="Q297" s="5">
        <v>4.47</v>
      </c>
      <c r="R297" s="36">
        <f>10-Q297</f>
        <v>5.53</v>
      </c>
      <c r="S297" s="29">
        <f>LOOKUP(R297,{0,4.74,4.84,4.94,5.44,5.54,5.64,5.69,5.74,5.79,5.84,5.89,5.94,5.99,6.44,6.49,6.54,6.61,6.68,6.74,6.8},{0,10,20,30,40,50,60,62,64,66,68,70,72,74,76,78,80,85,90,95,100})</f>
        <v>40</v>
      </c>
      <c r="T297" s="27"/>
      <c r="U297" s="27"/>
      <c r="V297" s="27">
        <f>S297+U297</f>
        <v>40</v>
      </c>
      <c r="W297" s="42">
        <v>50</v>
      </c>
      <c r="X297" s="19">
        <f>F297*0.1+H297*0.1+J297*0.1+P297*0.2+S297*0.2</f>
        <v>26</v>
      </c>
      <c r="Y297" s="13">
        <v>50</v>
      </c>
      <c r="Z297" s="19"/>
    </row>
    <row r="298" ht="15.6" spans="1:26">
      <c r="A298" s="27">
        <v>314</v>
      </c>
      <c r="B298" s="27">
        <v>34</v>
      </c>
      <c r="C298" s="28" t="s">
        <v>717</v>
      </c>
      <c r="D298" s="28" t="s">
        <v>46</v>
      </c>
      <c r="E298" s="27">
        <v>18.5</v>
      </c>
      <c r="F298" s="29">
        <f>LOOKUP(E298,{0,1.5,2.3,3.1,3.9,4.7,5.5,6.8,8.1,9.4,10.7,12,13.3,14.6,15.9,17.2,18.5,20.2,21.9,23.6,25.3},{0,10,20,30,40,50,60,62,64,66,68,70,72,74,76,78,80,85,90,95,100})</f>
        <v>80</v>
      </c>
      <c r="G298" s="27">
        <v>190</v>
      </c>
      <c r="H298" s="29">
        <f>LOOKUP(G298,{0,125,130,135,140,145,150,153,156,159,162,165,168,171,174,177,180,187,194,200,206},{0,10,20,30,40,50,60,62,64,66,68,70,72,74,76,78,80,85,90,95,100})</f>
        <v>85</v>
      </c>
      <c r="I298" s="27">
        <v>0</v>
      </c>
      <c r="J298" s="29">
        <f>LOOKUP(I298,{0,15,17,19,21,23,25,27,29,31,33,35,37,39,41,43,45,48,51,53,55},{0,10,20,30,40,50,60,62,64,66,68,70,72,74,76,78,80,85,90,95,100})</f>
        <v>0</v>
      </c>
      <c r="K298" s="35"/>
      <c r="L298" s="35"/>
      <c r="M298" s="35">
        <f>J298+L298</f>
        <v>0</v>
      </c>
      <c r="N298" s="35"/>
      <c r="O298" s="5"/>
      <c r="P298" s="5"/>
      <c r="Q298" s="5">
        <v>3.55</v>
      </c>
      <c r="R298" s="36">
        <f>10-Q298</f>
        <v>6.45</v>
      </c>
      <c r="S298" s="29">
        <f>LOOKUP(R298,{0,4.74,4.84,4.94,5.44,5.54,5.64,5.69,5.74,5.79,5.84,5.89,5.94,5.99,6.44,6.49,6.54,6.61,6.68,6.74,6.8},{0,10,20,30,40,50,60,62,64,66,68,70,72,74,76,78,80,85,90,95,100})</f>
        <v>76</v>
      </c>
      <c r="T298" s="27"/>
      <c r="U298" s="27"/>
      <c r="V298" s="27">
        <f>S298+U298</f>
        <v>76</v>
      </c>
      <c r="W298" s="42">
        <v>50</v>
      </c>
      <c r="X298" s="19">
        <f>F298*0.1+H298*0.1+J298*0.1+P298*0.2+S298*0.2</f>
        <v>31.7</v>
      </c>
      <c r="Y298" s="13">
        <v>50</v>
      </c>
      <c r="Z298" s="19"/>
    </row>
    <row r="299" ht="15.6" spans="1:26">
      <c r="A299" s="27">
        <v>314</v>
      </c>
      <c r="B299" s="27">
        <v>36</v>
      </c>
      <c r="C299" s="28" t="s">
        <v>719</v>
      </c>
      <c r="D299" s="28" t="s">
        <v>46</v>
      </c>
      <c r="E299" s="27">
        <v>20.4</v>
      </c>
      <c r="F299" s="29">
        <f>LOOKUP(E299,{0,1.5,2.3,3.1,3.9,4.7,5.5,6.8,8.1,9.4,10.7,12,13.3,14.6,15.9,17.2,18.5,20.2,21.9,23.6,25.3},{0,10,20,30,40,50,60,62,64,66,68,70,72,74,76,78,80,85,90,95,100})</f>
        <v>85</v>
      </c>
      <c r="G299" s="27">
        <v>185</v>
      </c>
      <c r="H299" s="29">
        <f>LOOKUP(G299,{0,125,130,135,140,145,150,153,156,159,162,165,168,171,174,177,180,187,194,200,206},{0,10,20,30,40,50,60,62,64,66,68,70,72,74,76,78,80,85,90,95,100})</f>
        <v>80</v>
      </c>
      <c r="I299" s="27">
        <v>0</v>
      </c>
      <c r="J299" s="29">
        <f>LOOKUP(I299,{0,15,17,19,21,23,25,27,29,31,33,35,37,39,41,43,45,48,51,53,55},{0,10,20,30,40,50,60,62,64,66,68,70,72,74,76,78,80,85,90,95,100})</f>
        <v>0</v>
      </c>
      <c r="K299" s="35"/>
      <c r="L299" s="35"/>
      <c r="M299" s="35">
        <f>J299+L299</f>
        <v>0</v>
      </c>
      <c r="N299" s="35"/>
      <c r="O299" s="5"/>
      <c r="P299" s="5"/>
      <c r="Q299" s="5">
        <v>3.54</v>
      </c>
      <c r="R299" s="36">
        <f>10-Q299</f>
        <v>6.46</v>
      </c>
      <c r="S299" s="29">
        <f>LOOKUP(R299,{0,4.74,4.84,4.94,5.44,5.54,5.64,5.69,5.74,5.79,5.84,5.89,5.94,5.99,6.44,6.49,6.54,6.61,6.68,6.74,6.8},{0,10,20,30,40,50,60,62,64,66,68,70,72,74,76,78,80,85,90,95,100})</f>
        <v>76</v>
      </c>
      <c r="T299" s="27"/>
      <c r="U299" s="27"/>
      <c r="V299" s="27">
        <f>S299+U299</f>
        <v>76</v>
      </c>
      <c r="W299" s="42">
        <v>50</v>
      </c>
      <c r="X299" s="19">
        <f>F299*0.1+H299*0.1+J299*0.1+P299*0.2+S299*0.2</f>
        <v>31.7</v>
      </c>
      <c r="Y299" s="13">
        <v>50</v>
      </c>
      <c r="Z299" s="19"/>
    </row>
    <row r="300" spans="1:26">
      <c r="A300" s="27">
        <v>314</v>
      </c>
      <c r="B300" s="27">
        <v>43</v>
      </c>
      <c r="C300" s="28" t="s">
        <v>727</v>
      </c>
      <c r="D300" s="28" t="s">
        <v>46</v>
      </c>
      <c r="E300" s="27"/>
      <c r="F300" s="27"/>
      <c r="G300" s="27"/>
      <c r="H300" s="27"/>
      <c r="I300" s="27"/>
      <c r="J300" s="35"/>
      <c r="K300" s="35"/>
      <c r="L300" s="35"/>
      <c r="M300" s="35"/>
      <c r="N300" s="35"/>
      <c r="O300" s="5"/>
      <c r="P300" s="5"/>
      <c r="Q300" s="5"/>
      <c r="R300" s="27"/>
      <c r="S300" s="27"/>
      <c r="T300" s="27"/>
      <c r="U300" s="27"/>
      <c r="V300" s="27"/>
      <c r="W300" s="27">
        <v>50</v>
      </c>
      <c r="X300" s="19"/>
      <c r="Y300" s="19">
        <v>50</v>
      </c>
      <c r="Z300" s="19"/>
    </row>
    <row r="301" spans="1:26">
      <c r="A301" s="27">
        <v>314</v>
      </c>
      <c r="B301" s="27">
        <v>48</v>
      </c>
      <c r="C301" s="28" t="s">
        <v>732</v>
      </c>
      <c r="D301" s="28" t="s">
        <v>46</v>
      </c>
      <c r="E301" s="27"/>
      <c r="F301" s="27"/>
      <c r="G301" s="27"/>
      <c r="H301" s="27"/>
      <c r="I301" s="27"/>
      <c r="J301" s="35"/>
      <c r="K301" s="35"/>
      <c r="L301" s="35"/>
      <c r="M301" s="35"/>
      <c r="N301" s="35"/>
      <c r="O301" s="5"/>
      <c r="P301" s="5"/>
      <c r="Q301" s="5"/>
      <c r="R301" s="27"/>
      <c r="S301" s="27"/>
      <c r="T301" s="27"/>
      <c r="U301" s="27"/>
      <c r="V301" s="27"/>
      <c r="W301" s="27">
        <v>50</v>
      </c>
      <c r="X301" s="19"/>
      <c r="Y301" s="19">
        <v>50</v>
      </c>
      <c r="Z301" s="19"/>
    </row>
    <row r="302" ht="15.6" spans="1:26">
      <c r="A302" s="27">
        <v>315</v>
      </c>
      <c r="B302" s="27">
        <v>43</v>
      </c>
      <c r="C302" s="28" t="s">
        <v>779</v>
      </c>
      <c r="D302" s="28" t="s">
        <v>46</v>
      </c>
      <c r="E302" s="27">
        <v>9</v>
      </c>
      <c r="F302" s="29">
        <f>LOOKUP(E302,{0,1.5,2.3,3.1,3.9,4.7,5.5,6.8,8.1,9.4,10.7,12,13.3,14.6,15.9,17.2,18.5,20.2,21.9,23.6,25.3},{0,10,20,30,40,50,60,62,64,66,68,70,72,74,76,78,80,85,90,95,100})</f>
        <v>64</v>
      </c>
      <c r="G302" s="27">
        <v>147</v>
      </c>
      <c r="H302" s="29">
        <f>LOOKUP(G302,{0,125,130,135,140,145,150,153,156,159,162,165,168,171,174,177,180,187,194,200,206},{0,10,20,30,40,50,60,62,64,66,68,70,72,74,76,78,80,85,90,95,100})</f>
        <v>50</v>
      </c>
      <c r="I302" s="27">
        <v>39</v>
      </c>
      <c r="J302" s="29">
        <f>LOOKUP(I302,{0,15,17,19,21,23,25,27,29,31,33,35,37,39,41,43,45,48,51,53,55},{0,10,20,30,40,50,60,62,64,66,68,70,72,74,76,78,80,85,90,95,100})</f>
        <v>74</v>
      </c>
      <c r="K302" s="35"/>
      <c r="L302" s="35"/>
      <c r="M302" s="35">
        <f>J302+L302</f>
        <v>74</v>
      </c>
      <c r="N302" s="35">
        <v>10.6</v>
      </c>
      <c r="O302" s="36">
        <f>18-N302</f>
        <v>7.4</v>
      </c>
      <c r="P302" s="29">
        <f>LOOKUP(O302,{0,6.6,6.8,7,7.2,7.4,7.6,7.8,8,8.2,8.4,8.6,8.8,9,9.2,9.4,9.6,9.9,10.2,10.3,10.4},{0,10,20,30,40,50,60,62,64,66,68,70,72,74,76,78,80,85,90,95,100})</f>
        <v>50</v>
      </c>
      <c r="Q302" s="5" t="s">
        <v>77</v>
      </c>
      <c r="R302" s="27"/>
      <c r="S302" s="27"/>
      <c r="T302" s="27"/>
      <c r="U302" s="27"/>
      <c r="V302" s="27"/>
      <c r="W302" s="42">
        <v>50</v>
      </c>
      <c r="X302" s="19">
        <f>F302*0.1+H302*0.1+J302*0.1+P302*0.2+S302*0.2</f>
        <v>28.8</v>
      </c>
      <c r="Y302" s="13">
        <v>50</v>
      </c>
      <c r="Z302" s="19"/>
    </row>
    <row r="303" spans="1:26">
      <c r="A303" s="27">
        <v>316</v>
      </c>
      <c r="B303" s="27">
        <v>15</v>
      </c>
      <c r="C303" s="28" t="s">
        <v>803</v>
      </c>
      <c r="D303" s="28" t="s">
        <v>46</v>
      </c>
      <c r="E303" s="27"/>
      <c r="F303" s="27"/>
      <c r="G303" s="27"/>
      <c r="H303" s="27"/>
      <c r="I303" s="27"/>
      <c r="J303" s="35"/>
      <c r="K303" s="35"/>
      <c r="L303" s="35"/>
      <c r="M303" s="35"/>
      <c r="N303" s="35"/>
      <c r="O303" s="5"/>
      <c r="P303" s="5"/>
      <c r="Q303" s="5"/>
      <c r="R303" s="27"/>
      <c r="S303" s="27"/>
      <c r="T303" s="27"/>
      <c r="U303" s="27"/>
      <c r="V303" s="27"/>
      <c r="W303" s="27">
        <v>50</v>
      </c>
      <c r="X303" s="19"/>
      <c r="Y303" s="19">
        <v>50</v>
      </c>
      <c r="Z303" s="19"/>
    </row>
    <row r="304" spans="1:26">
      <c r="A304" s="27">
        <v>316</v>
      </c>
      <c r="B304" s="27">
        <v>29</v>
      </c>
      <c r="C304" s="28" t="s">
        <v>818</v>
      </c>
      <c r="D304" s="28" t="s">
        <v>46</v>
      </c>
      <c r="E304" s="27"/>
      <c r="F304" s="27"/>
      <c r="G304" s="27"/>
      <c r="H304" s="27"/>
      <c r="I304" s="27"/>
      <c r="J304" s="35"/>
      <c r="K304" s="35"/>
      <c r="L304" s="35"/>
      <c r="M304" s="35"/>
      <c r="N304" s="35"/>
      <c r="O304" s="5"/>
      <c r="P304" s="5"/>
      <c r="Q304" s="5"/>
      <c r="R304" s="27"/>
      <c r="S304" s="27"/>
      <c r="T304" s="27"/>
      <c r="U304" s="27"/>
      <c r="V304" s="27"/>
      <c r="W304" s="27">
        <v>50</v>
      </c>
      <c r="X304" s="19"/>
      <c r="Y304" s="19">
        <v>50</v>
      </c>
      <c r="Z304" s="19"/>
    </row>
    <row r="305" spans="1:26">
      <c r="A305" s="27">
        <v>316</v>
      </c>
      <c r="B305" s="27">
        <v>34</v>
      </c>
      <c r="C305" s="28" t="s">
        <v>824</v>
      </c>
      <c r="D305" s="28" t="s">
        <v>46</v>
      </c>
      <c r="E305" s="27"/>
      <c r="F305" s="27"/>
      <c r="G305" s="27"/>
      <c r="H305" s="27"/>
      <c r="I305" s="27"/>
      <c r="J305" s="35"/>
      <c r="K305" s="35"/>
      <c r="L305" s="35"/>
      <c r="M305" s="35"/>
      <c r="N305" s="35"/>
      <c r="O305" s="5"/>
      <c r="P305" s="5"/>
      <c r="Q305" s="5"/>
      <c r="R305" s="27"/>
      <c r="S305" s="27"/>
      <c r="T305" s="27"/>
      <c r="U305" s="27"/>
      <c r="V305" s="27"/>
      <c r="W305" s="27">
        <v>50</v>
      </c>
      <c r="X305" s="19"/>
      <c r="Y305" s="19">
        <v>50</v>
      </c>
      <c r="Z305" s="19"/>
    </row>
    <row r="306" spans="1:26">
      <c r="A306" s="27">
        <v>316</v>
      </c>
      <c r="B306" s="27">
        <v>38</v>
      </c>
      <c r="C306" s="28" t="s">
        <v>828</v>
      </c>
      <c r="D306" s="28" t="s">
        <v>46</v>
      </c>
      <c r="E306" s="27"/>
      <c r="F306" s="27"/>
      <c r="G306" s="27"/>
      <c r="H306" s="27"/>
      <c r="I306" s="27"/>
      <c r="J306" s="35"/>
      <c r="K306" s="35"/>
      <c r="L306" s="35"/>
      <c r="M306" s="35"/>
      <c r="N306" s="35"/>
      <c r="O306" s="5"/>
      <c r="P306" s="5"/>
      <c r="Q306" s="5"/>
      <c r="R306" s="27"/>
      <c r="S306" s="27"/>
      <c r="T306" s="27"/>
      <c r="U306" s="27"/>
      <c r="V306" s="27"/>
      <c r="W306" s="27">
        <v>50</v>
      </c>
      <c r="X306" s="20"/>
      <c r="Y306" s="19">
        <v>50</v>
      </c>
      <c r="Z306" s="19"/>
    </row>
    <row r="307" spans="1:26">
      <c r="A307" s="27">
        <v>316</v>
      </c>
      <c r="B307" s="27">
        <v>46</v>
      </c>
      <c r="C307" s="28" t="s">
        <v>837</v>
      </c>
      <c r="D307" s="28" t="s">
        <v>46</v>
      </c>
      <c r="E307" s="27"/>
      <c r="F307" s="27"/>
      <c r="G307" s="27"/>
      <c r="H307" s="27"/>
      <c r="I307" s="27"/>
      <c r="J307" s="35"/>
      <c r="K307" s="35"/>
      <c r="L307" s="35"/>
      <c r="M307" s="35"/>
      <c r="N307" s="35"/>
      <c r="O307" s="5"/>
      <c r="P307" s="5"/>
      <c r="Q307" s="5"/>
      <c r="R307" s="27"/>
      <c r="S307" s="27"/>
      <c r="T307" s="27"/>
      <c r="U307" s="27"/>
      <c r="V307" s="27"/>
      <c r="W307" s="27">
        <v>50</v>
      </c>
      <c r="X307" s="19"/>
      <c r="Y307" s="19">
        <v>50</v>
      </c>
      <c r="Z307" s="19"/>
    </row>
    <row r="308" ht="15.6" spans="1:26">
      <c r="A308" s="27">
        <v>308</v>
      </c>
      <c r="B308" s="27">
        <v>32</v>
      </c>
      <c r="C308" s="28" t="s">
        <v>386</v>
      </c>
      <c r="D308" s="28" t="s">
        <v>46</v>
      </c>
      <c r="E308" s="27">
        <v>10</v>
      </c>
      <c r="F308" s="29">
        <f>LOOKUP(E308,{0,1.5,2.3,3.1,3.9,4.7,5.5,6.8,8.1,9.4,10.7,12,13.3,14.6,15.9,17.2,18.5,20.2,21.9,23.6,25.3},{0,10,20,30,40,50,60,62,64,66,68,70,72,74,76,78,80,85,90,95,100})</f>
        <v>66</v>
      </c>
      <c r="G308" s="27">
        <v>135</v>
      </c>
      <c r="H308" s="29">
        <f>LOOKUP(G308,{0,125,130,135,140,145,150,153,156,159,162,165,168,171,174,177,180,187,194,200,206},{0,10,20,30,40,50,60,62,64,66,68,70,72,74,76,78,80,85,90,95,100})</f>
        <v>30</v>
      </c>
      <c r="I308" s="27">
        <v>47</v>
      </c>
      <c r="J308" s="29">
        <f>LOOKUP(I308,{0,15,17,19,21,23,25,27,29,31,33,35,37,39,41,43,45,48,51,53,55},{0,10,20,30,40,50,60,62,64,66,68,70,72,74,76,78,80,85,90,95,100})</f>
        <v>80</v>
      </c>
      <c r="K308" s="35"/>
      <c r="L308" s="35"/>
      <c r="M308" s="35">
        <f t="shared" ref="M308:M318" si="27">J308+L308</f>
        <v>80</v>
      </c>
      <c r="N308" s="35">
        <v>10.3</v>
      </c>
      <c r="O308" s="36">
        <f t="shared" ref="O308:O318" si="28">18-N308</f>
        <v>7.7</v>
      </c>
      <c r="P308" s="29">
        <f>LOOKUP(O308,{0,6.6,6.8,7,7.2,7.4,7.6,7.8,8,8.2,8.4,8.6,8.8,9,9.2,9.4,9.6,9.9,10.2,10.3,10.4},{0,10,20,30,40,50,60,62,64,66,68,70,72,74,76,78,80,85,90,95,100})</f>
        <v>60</v>
      </c>
      <c r="Q308" s="5">
        <v>5.24</v>
      </c>
      <c r="R308" s="36">
        <f t="shared" ref="R308:R318" si="29">10-Q308</f>
        <v>4.76</v>
      </c>
      <c r="S308" s="29">
        <f>LOOKUP(R308,{0,4.74,4.84,4.94,5.44,5.54,5.64,5.69,5.74,5.79,5.84,5.89,5.94,5.99,6.44,6.49,6.54,6.61,6.68,6.74,6.8},{0,10,20,30,40,50,60,62,64,66,68,70,72,74,76,78,80,85,90,95,100})</f>
        <v>10</v>
      </c>
      <c r="T308" s="27"/>
      <c r="U308" s="27"/>
      <c r="V308" s="27">
        <f t="shared" ref="V308:V318" si="30">S308+U308</f>
        <v>10</v>
      </c>
      <c r="W308" s="27"/>
      <c r="X308" s="19">
        <f t="shared" ref="X308:X318" si="31">F308*0.1+H308*0.1+J308*0.1+P308*0.2+S308*0.2</f>
        <v>31.6</v>
      </c>
      <c r="Y308" s="13">
        <f t="shared" ref="Y308:Y318" si="32">X308/0.7+L308+U308</f>
        <v>45.1428571428571</v>
      </c>
      <c r="Z308" s="20"/>
    </row>
    <row r="309" ht="15.6" spans="1:26">
      <c r="A309" s="27">
        <v>316</v>
      </c>
      <c r="B309" s="27">
        <v>47</v>
      </c>
      <c r="C309" s="28" t="s">
        <v>838</v>
      </c>
      <c r="D309" s="28" t="s">
        <v>46</v>
      </c>
      <c r="E309" s="27">
        <v>14.5</v>
      </c>
      <c r="F309" s="29">
        <f>LOOKUP(E309,{0,1.5,2.3,3.1,3.9,4.7,5.5,6.8,8.1,9.4,10.7,12,13.3,14.6,15.9,17.2,18.5,20.2,21.9,23.6,25.3},{0,10,20,30,40,50,60,62,64,66,68,70,72,74,76,78,80,85,90,95,100})</f>
        <v>72</v>
      </c>
      <c r="G309" s="27">
        <v>140</v>
      </c>
      <c r="H309" s="29">
        <f>LOOKUP(G309,{0,125,130,135,140,145,150,153,156,159,162,165,168,171,174,177,180,187,194,200,206},{0,10,20,30,40,50,60,62,64,66,68,70,72,74,76,78,80,85,90,95,100})</f>
        <v>40</v>
      </c>
      <c r="I309" s="27">
        <v>35</v>
      </c>
      <c r="J309" s="29">
        <f>LOOKUP(I309,{0,15,17,19,21,23,25,27,29,31,33,35,37,39,41,43,45,48,51,53,55},{0,10,20,30,40,50,60,62,64,66,68,70,72,74,76,78,80,85,90,95,100})</f>
        <v>70</v>
      </c>
      <c r="K309" s="35"/>
      <c r="L309" s="35"/>
      <c r="M309" s="35">
        <f t="shared" si="27"/>
        <v>70</v>
      </c>
      <c r="N309" s="35">
        <v>9.7</v>
      </c>
      <c r="O309" s="36">
        <f t="shared" si="28"/>
        <v>8.3</v>
      </c>
      <c r="P309" s="29">
        <f>LOOKUP(O309,{0,6.6,6.8,7,7.2,7.4,7.6,7.8,8,8.2,8.4,8.6,8.8,9,9.2,9.4,9.6,9.9,10.2,10.3,10.4},{0,10,20,30,40,50,60,62,64,66,68,70,72,74,76,78,80,85,90,95,100})</f>
        <v>66</v>
      </c>
      <c r="Q309" s="5">
        <v>5.49</v>
      </c>
      <c r="R309" s="36">
        <f t="shared" si="29"/>
        <v>4.51</v>
      </c>
      <c r="S309" s="29">
        <f>LOOKUP(R309,{0,4.74,4.84,4.94,5.44,5.54,5.64,5.69,5.74,5.79,5.84,5.89,5.94,5.99,6.44,6.49,6.54,6.61,6.68,6.74,6.8},{0,10,20,30,40,50,60,62,64,66,68,70,72,74,76,78,80,85,90,95,100})</f>
        <v>0</v>
      </c>
      <c r="T309" s="27"/>
      <c r="U309" s="27"/>
      <c r="V309" s="27">
        <f t="shared" si="30"/>
        <v>0</v>
      </c>
      <c r="W309" s="27"/>
      <c r="X309" s="19">
        <f t="shared" si="31"/>
        <v>31.4</v>
      </c>
      <c r="Y309" s="13">
        <f t="shared" si="32"/>
        <v>44.8571428571429</v>
      </c>
      <c r="Z309" s="19"/>
    </row>
    <row r="310" ht="15.6" spans="1:26">
      <c r="A310" s="27">
        <v>316</v>
      </c>
      <c r="B310" s="27">
        <v>18</v>
      </c>
      <c r="C310" s="28" t="s">
        <v>806</v>
      </c>
      <c r="D310" s="28" t="s">
        <v>46</v>
      </c>
      <c r="E310" s="27">
        <v>11</v>
      </c>
      <c r="F310" s="29">
        <f>LOOKUP(E310,{0,1.5,2.3,3.1,3.9,4.7,5.5,6.8,8.1,9.4,10.7,12,13.3,14.6,15.9,17.2,18.5,20.2,21.9,23.6,25.3},{0,10,20,30,40,50,60,62,64,66,68,70,72,74,76,78,80,85,90,95,100})</f>
        <v>68</v>
      </c>
      <c r="G310" s="27">
        <v>125</v>
      </c>
      <c r="H310" s="29">
        <f>LOOKUP(G310,{0,125,130,135,140,145,150,153,156,159,162,165,168,171,174,177,180,187,194,200,206},{0,10,20,30,40,50,60,62,64,66,68,70,72,74,76,78,80,85,90,95,100})</f>
        <v>10</v>
      </c>
      <c r="I310" s="27">
        <v>40</v>
      </c>
      <c r="J310" s="29">
        <f>LOOKUP(I310,{0,15,17,19,21,23,25,27,29,31,33,35,37,39,41,43,45,48,51,53,55},{0,10,20,30,40,50,60,62,64,66,68,70,72,74,76,78,80,85,90,95,100})</f>
        <v>74</v>
      </c>
      <c r="K310" s="35"/>
      <c r="L310" s="35"/>
      <c r="M310" s="35">
        <f t="shared" si="27"/>
        <v>74</v>
      </c>
      <c r="N310" s="35">
        <v>10</v>
      </c>
      <c r="O310" s="36">
        <f t="shared" si="28"/>
        <v>8</v>
      </c>
      <c r="P310" s="29">
        <f>LOOKUP(O310,{0,6.6,6.8,7,7.2,7.4,7.6,7.8,8,8.2,8.4,8.6,8.8,9,9.2,9.4,9.6,9.9,10.2,10.3,10.4},{0,10,20,30,40,50,60,62,64,66,68,70,72,74,76,78,80,85,90,95,100})</f>
        <v>64</v>
      </c>
      <c r="Q310" s="5">
        <v>5.3</v>
      </c>
      <c r="R310" s="36">
        <f t="shared" si="29"/>
        <v>4.7</v>
      </c>
      <c r="S310" s="29">
        <f>LOOKUP(R310,{0,4.74,4.84,4.94,5.44,5.54,5.64,5.69,5.74,5.79,5.84,5.89,5.94,5.99,6.44,6.49,6.54,6.61,6.68,6.74,6.8},{0,10,20,30,40,50,60,62,64,66,68,70,72,74,76,78,80,85,90,95,100})</f>
        <v>0</v>
      </c>
      <c r="T310" s="27"/>
      <c r="U310" s="27"/>
      <c r="V310" s="27">
        <f t="shared" si="30"/>
        <v>0</v>
      </c>
      <c r="W310" s="27"/>
      <c r="X310" s="19">
        <f t="shared" si="31"/>
        <v>28</v>
      </c>
      <c r="Y310" s="13">
        <f t="shared" si="32"/>
        <v>40</v>
      </c>
      <c r="Z310" s="19"/>
    </row>
    <row r="311" ht="15.6" spans="1:26">
      <c r="A311" s="27">
        <v>313</v>
      </c>
      <c r="B311" s="27">
        <v>33</v>
      </c>
      <c r="C311" s="28" t="s">
        <v>662</v>
      </c>
      <c r="D311" s="28" t="s">
        <v>46</v>
      </c>
      <c r="E311" s="27">
        <v>15</v>
      </c>
      <c r="F311" s="29">
        <f>LOOKUP(E311,{0,1.5,2.3,3.1,3.9,4.7,5.5,6.8,8.1,9.4,10.7,12,13.3,14.6,15.9,17.2,18.5,20.2,21.9,23.6,25.3},{0,10,20,30,40,50,60,62,64,66,68,70,72,74,76,78,80,85,90,95,100})</f>
        <v>74</v>
      </c>
      <c r="G311" s="27">
        <v>150</v>
      </c>
      <c r="H311" s="29">
        <f>LOOKUP(G311,{0,125,130,135,140,145,150,153,156,159,162,165,168,171,174,177,180,187,194,200,206},{0,10,20,30,40,50,60,62,64,66,68,70,72,74,76,78,80,85,90,95,100})</f>
        <v>60</v>
      </c>
      <c r="I311" s="27">
        <v>30</v>
      </c>
      <c r="J311" s="29">
        <f>LOOKUP(I311,{0,15,17,19,21,23,25,27,29,31,33,35,37,39,41,43,45,48,51,53,55},{0,10,20,30,40,50,60,62,64,66,68,70,72,74,76,78,80,85,90,95,100})</f>
        <v>64</v>
      </c>
      <c r="K311" s="35"/>
      <c r="L311" s="35"/>
      <c r="M311" s="35">
        <f t="shared" si="27"/>
        <v>64</v>
      </c>
      <c r="N311" s="35">
        <v>11.3</v>
      </c>
      <c r="O311" s="36">
        <f t="shared" si="28"/>
        <v>6.7</v>
      </c>
      <c r="P311" s="29">
        <f>LOOKUP(O311,{0,6.6,6.8,7,7.2,7.4,7.6,7.8,8,8.2,8.4,8.6,8.8,9,9.2,9.4,9.6,9.9,10.2,10.3,10.4},{0,10,20,30,40,50,60,62,64,66,68,70,72,74,76,78,80,85,90,95,100})</f>
        <v>10</v>
      </c>
      <c r="Q311" s="5">
        <v>5.12</v>
      </c>
      <c r="R311" s="36">
        <f t="shared" si="29"/>
        <v>4.88</v>
      </c>
      <c r="S311" s="29">
        <f>LOOKUP(R311,{0,4.74,4.84,4.94,5.44,5.54,5.64,5.69,5.74,5.79,5.84,5.89,5.94,5.99,6.44,6.49,6.54,6.61,6.68,6.74,6.8},{0,10,20,30,40,50,60,62,64,66,68,70,72,74,76,78,80,85,90,95,100})</f>
        <v>20</v>
      </c>
      <c r="T311" s="27"/>
      <c r="U311" s="27"/>
      <c r="V311" s="27">
        <f t="shared" si="30"/>
        <v>20</v>
      </c>
      <c r="W311" s="27"/>
      <c r="X311" s="19">
        <f t="shared" si="31"/>
        <v>25.8</v>
      </c>
      <c r="Y311" s="13">
        <f t="shared" si="32"/>
        <v>36.8571428571429</v>
      </c>
      <c r="Z311" s="19"/>
    </row>
    <row r="312" ht="15.6" spans="1:26">
      <c r="A312" s="27">
        <v>307</v>
      </c>
      <c r="B312" s="27">
        <v>48</v>
      </c>
      <c r="C312" s="28" t="s">
        <v>350</v>
      </c>
      <c r="D312" s="28" t="s">
        <v>46</v>
      </c>
      <c r="E312" s="27">
        <v>14.5</v>
      </c>
      <c r="F312" s="29">
        <f>LOOKUP(E312,{0,1.5,2.3,3.1,3.9,4.7,5.5,6.8,8.1,9.4,10.7,12,13.3,14.6,15.9,17.2,18.5,20.2,21.9,23.6,25.3},{0,10,20,30,40,50,60,62,64,66,68,70,72,74,76,78,80,85,90,95,100})</f>
        <v>72</v>
      </c>
      <c r="G312" s="27">
        <v>130</v>
      </c>
      <c r="H312" s="29">
        <f>LOOKUP(G312,{0,125,130,135,140,145,150,153,156,159,162,165,168,171,174,177,180,187,194,200,206},{0,10,20,30,40,50,60,62,64,66,68,70,72,74,76,78,80,85,90,95,100})</f>
        <v>20</v>
      </c>
      <c r="I312" s="27">
        <v>29</v>
      </c>
      <c r="J312" s="29">
        <f>LOOKUP(I312,{0,15,17,19,21,23,25,27,29,31,33,35,37,39,41,43,45,48,51,53,55},{0,10,20,30,40,50,60,62,64,66,68,70,72,74,76,78,80,85,90,95,100})</f>
        <v>64</v>
      </c>
      <c r="K312" s="35"/>
      <c r="L312" s="35"/>
      <c r="M312" s="35">
        <f t="shared" si="27"/>
        <v>64</v>
      </c>
      <c r="N312" s="35">
        <v>10.6</v>
      </c>
      <c r="O312" s="36">
        <f t="shared" si="28"/>
        <v>7.4</v>
      </c>
      <c r="P312" s="29">
        <f>LOOKUP(O312,{0,6.6,6.8,7,7.2,7.4,7.6,7.8,8,8.2,8.4,8.6,8.8,9,9.2,9.4,9.6,9.9,10.2,10.3,10.4},{0,10,20,30,40,50,60,62,64,66,68,70,72,74,76,78,80,85,90,95,100})</f>
        <v>50</v>
      </c>
      <c r="Q312" s="5">
        <v>6</v>
      </c>
      <c r="R312" s="36">
        <f t="shared" si="29"/>
        <v>4</v>
      </c>
      <c r="S312" s="29">
        <f>LOOKUP(R312,{0,4.74,4.84,4.94,5.44,5.54,5.64,5.69,5.74,5.79,5.84,5.89,5.94,5.99,6.44,6.49,6.54,6.61,6.68,6.74,6.8},{0,10,20,30,40,50,60,62,64,66,68,70,72,74,76,78,80,85,90,95,100})</f>
        <v>0</v>
      </c>
      <c r="T312" s="27"/>
      <c r="U312" s="27"/>
      <c r="V312" s="27">
        <f t="shared" si="30"/>
        <v>0</v>
      </c>
      <c r="W312" s="27"/>
      <c r="X312" s="19">
        <f t="shared" si="31"/>
        <v>25.6</v>
      </c>
      <c r="Y312" s="13">
        <f t="shared" si="32"/>
        <v>36.5714285714286</v>
      </c>
      <c r="Z312" s="19"/>
    </row>
    <row r="313" ht="15.6" spans="1:26">
      <c r="A313" s="27">
        <v>312</v>
      </c>
      <c r="B313" s="27">
        <v>45</v>
      </c>
      <c r="C313" s="28" t="s">
        <v>621</v>
      </c>
      <c r="D313" s="28" t="s">
        <v>46</v>
      </c>
      <c r="E313" s="27">
        <v>22</v>
      </c>
      <c r="F313" s="29">
        <f>LOOKUP(E313,{0,1.5,2.3,3.1,3.9,4.7,5.5,6.8,8.1,9.4,10.7,12,13.3,14.6,15.9,17.2,18.5,20.2,21.9,23.6,25.3},{0,10,20,30,40,50,60,62,64,66,68,70,72,74,76,78,80,85,90,95,100})</f>
        <v>90</v>
      </c>
      <c r="G313" s="27">
        <v>125</v>
      </c>
      <c r="H313" s="29">
        <f>LOOKUP(G313,{0,125,130,135,140,145,150,153,156,159,162,165,168,171,174,177,180,187,194,200,206},{0,10,20,30,40,50,60,62,64,66,68,70,72,74,76,78,80,85,90,95,100})</f>
        <v>10</v>
      </c>
      <c r="I313" s="27">
        <v>32</v>
      </c>
      <c r="J313" s="29">
        <f>LOOKUP(I313,{0,15,17,19,21,23,25,27,29,31,33,35,37,39,41,43,45,48,51,53,55},{0,10,20,30,40,50,60,62,64,66,68,70,72,74,76,78,80,85,90,95,100})</f>
        <v>66</v>
      </c>
      <c r="K313" s="35"/>
      <c r="L313" s="35"/>
      <c r="M313" s="35">
        <f t="shared" si="27"/>
        <v>66</v>
      </c>
      <c r="N313" s="35">
        <v>11.1</v>
      </c>
      <c r="O313" s="36">
        <f t="shared" si="28"/>
        <v>6.9</v>
      </c>
      <c r="P313" s="29">
        <f>LOOKUP(O313,{0,6.6,6.8,7,7.2,7.4,7.6,7.8,8,8.2,8.4,8.6,8.8,9,9.2,9.4,9.6,9.9,10.2,10.3,10.4},{0,10,20,30,40,50,60,62,64,66,68,70,72,74,76,78,80,85,90,95,100})</f>
        <v>20</v>
      </c>
      <c r="Q313" s="5">
        <v>5.12</v>
      </c>
      <c r="R313" s="36">
        <f t="shared" si="29"/>
        <v>4.88</v>
      </c>
      <c r="S313" s="29">
        <f>LOOKUP(R313,{0,4.74,4.84,4.94,5.44,5.54,5.64,5.69,5.74,5.79,5.84,5.89,5.94,5.99,6.44,6.49,6.54,6.61,6.68,6.74,6.8},{0,10,20,30,40,50,60,62,64,66,68,70,72,74,76,78,80,85,90,95,100})</f>
        <v>20</v>
      </c>
      <c r="T313" s="27"/>
      <c r="U313" s="27"/>
      <c r="V313" s="27">
        <f t="shared" si="30"/>
        <v>20</v>
      </c>
      <c r="W313" s="27"/>
      <c r="X313" s="19">
        <f t="shared" si="31"/>
        <v>24.6</v>
      </c>
      <c r="Y313" s="13">
        <f t="shared" si="32"/>
        <v>35.1428571428571</v>
      </c>
      <c r="Z313" s="19"/>
    </row>
    <row r="314" ht="15.6" spans="1:26">
      <c r="A314" s="27">
        <v>305</v>
      </c>
      <c r="B314" s="27">
        <v>48</v>
      </c>
      <c r="C314" s="28" t="s">
        <v>236</v>
      </c>
      <c r="D314" s="28" t="s">
        <v>46</v>
      </c>
      <c r="E314" s="27">
        <v>8.6</v>
      </c>
      <c r="F314" s="29">
        <f>LOOKUP(E314,{0,1.5,2.3,3.1,3.9,4.7,5.5,6.8,8.1,9.4,10.7,12,13.3,14.6,15.9,17.2,18.5,20.2,21.9,23.6,25.3},{0,10,20,30,40,50,60,62,64,66,68,70,72,74,76,78,80,85,90,95,100})</f>
        <v>64</v>
      </c>
      <c r="G314" s="27">
        <v>135</v>
      </c>
      <c r="H314" s="29">
        <f>LOOKUP(G314,{0,125,130,135,140,145,150,153,156,159,162,165,168,171,174,177,180,187,194,200,206},{0,10,20,30,40,50,60,62,64,66,68,70,72,74,76,78,80,85,90,95,100})</f>
        <v>30</v>
      </c>
      <c r="I314" s="27">
        <v>33</v>
      </c>
      <c r="J314" s="29">
        <f>LOOKUP(I314,{0,15,17,19,21,23,25,27,29,31,33,35,37,39,41,43,45,48,51,53,55},{0,10,20,30,40,50,60,62,64,66,68,70,72,74,76,78,80,85,90,95,100})</f>
        <v>68</v>
      </c>
      <c r="K314" s="35"/>
      <c r="L314" s="35"/>
      <c r="M314" s="35">
        <f t="shared" si="27"/>
        <v>68</v>
      </c>
      <c r="N314" s="35">
        <v>11.9</v>
      </c>
      <c r="O314" s="36">
        <f t="shared" si="28"/>
        <v>6.1</v>
      </c>
      <c r="P314" s="29">
        <f>LOOKUP(O314,{0,6.6,6.8,7,7.2,7.4,7.6,7.8,8,8.2,8.4,8.6,8.8,9,9.2,9.4,9.6,9.9,10.2,10.3,10.4},{0,10,20,30,40,50,60,62,64,66,68,70,72,74,76,78,80,85,90,95,100})</f>
        <v>0</v>
      </c>
      <c r="Q314" s="5">
        <v>5.16</v>
      </c>
      <c r="R314" s="36">
        <f t="shared" si="29"/>
        <v>4.84</v>
      </c>
      <c r="S314" s="29">
        <f>LOOKUP(R314,{0,4.74,4.84,4.94,5.44,5.54,5.64,5.69,5.74,5.79,5.84,5.89,5.94,5.99,6.44,6.49,6.54,6.61,6.68,6.74,6.8},{0,10,20,30,40,50,60,62,64,66,68,70,72,74,76,78,80,85,90,95,100})</f>
        <v>20</v>
      </c>
      <c r="T314" s="27"/>
      <c r="U314" s="27"/>
      <c r="V314" s="27">
        <f t="shared" si="30"/>
        <v>20</v>
      </c>
      <c r="W314" s="27"/>
      <c r="X314" s="19">
        <f t="shared" si="31"/>
        <v>20.2</v>
      </c>
      <c r="Y314" s="13">
        <f t="shared" si="32"/>
        <v>28.8571428571429</v>
      </c>
      <c r="Z314" s="19"/>
    </row>
    <row r="315" ht="15.6" spans="1:26">
      <c r="A315" s="27">
        <v>314</v>
      </c>
      <c r="B315" s="27">
        <v>45</v>
      </c>
      <c r="C315" s="28" t="s">
        <v>729</v>
      </c>
      <c r="D315" s="28" t="s">
        <v>46</v>
      </c>
      <c r="E315" s="27">
        <v>17</v>
      </c>
      <c r="F315" s="29">
        <f>LOOKUP(E315,{0,1.5,2.3,3.1,3.9,4.7,5.5,6.8,8.1,9.4,10.7,12,13.3,14.6,15.9,17.2,18.5,20.2,21.9,23.6,25.3},{0,10,20,30,40,50,60,62,64,66,68,70,72,74,76,78,80,85,90,95,100})</f>
        <v>76</v>
      </c>
      <c r="G315" s="27">
        <v>174</v>
      </c>
      <c r="H315" s="29">
        <f>LOOKUP(G315,{0,125,130,135,140,145,150,153,156,159,162,165,168,171,174,177,180,187,194,200,206},{0,10,20,30,40,50,60,62,64,66,68,70,72,74,76,78,80,85,90,95,100})</f>
        <v>76</v>
      </c>
      <c r="I315" s="27">
        <v>16</v>
      </c>
      <c r="J315" s="29">
        <f>LOOKUP(I315,{0,15,17,19,21,23,25,27,29,31,33,35,37,39,41,43,45,48,51,53,55},{0,10,20,30,40,50,60,62,64,66,68,70,72,74,76,78,80,85,90,95,100})</f>
        <v>10</v>
      </c>
      <c r="K315" s="35"/>
      <c r="L315" s="35"/>
      <c r="M315" s="35">
        <f t="shared" si="27"/>
        <v>10</v>
      </c>
      <c r="N315" s="35">
        <v>12.1</v>
      </c>
      <c r="O315" s="36">
        <f t="shared" si="28"/>
        <v>5.9</v>
      </c>
      <c r="P315" s="29">
        <f>LOOKUP(O315,{0,6.6,6.8,7,7.2,7.4,7.6,7.8,8,8.2,8.4,8.6,8.8,9,9.2,9.4,9.6,9.9,10.2,10.3,10.4},{0,10,20,30,40,50,60,62,64,66,68,70,72,74,76,78,80,85,90,95,100})</f>
        <v>0</v>
      </c>
      <c r="Q315" s="5">
        <v>5.19</v>
      </c>
      <c r="R315" s="36">
        <f t="shared" si="29"/>
        <v>4.81</v>
      </c>
      <c r="S315" s="29">
        <f>LOOKUP(R315,{0,4.74,4.84,4.94,5.44,5.54,5.64,5.69,5.74,5.79,5.84,5.89,5.94,5.99,6.44,6.49,6.54,6.61,6.68,6.74,6.8},{0,10,20,30,40,50,60,62,64,66,68,70,72,74,76,78,80,85,90,95,100})</f>
        <v>10</v>
      </c>
      <c r="T315" s="27"/>
      <c r="U315" s="27"/>
      <c r="V315" s="27">
        <f t="shared" si="30"/>
        <v>10</v>
      </c>
      <c r="W315" s="27"/>
      <c r="X315" s="19">
        <f t="shared" si="31"/>
        <v>18.2</v>
      </c>
      <c r="Y315" s="13">
        <f t="shared" si="32"/>
        <v>26</v>
      </c>
      <c r="Z315" s="19"/>
    </row>
    <row r="316" ht="15.6" spans="1:26">
      <c r="A316" s="27">
        <v>307</v>
      </c>
      <c r="B316" s="27">
        <v>41</v>
      </c>
      <c r="C316" s="28" t="s">
        <v>343</v>
      </c>
      <c r="D316" s="28" t="s">
        <v>46</v>
      </c>
      <c r="E316" s="27">
        <v>3</v>
      </c>
      <c r="F316" s="29">
        <f>LOOKUP(E316,{0,1.5,2.3,3.1,3.9,4.7,5.5,6.8,8.1,9.4,10.7,12,13.3,14.6,15.9,17.2,18.5,20.2,21.9,23.6,25.3},{0,10,20,30,40,50,60,62,64,66,68,70,72,74,76,78,80,85,90,95,100})</f>
        <v>20</v>
      </c>
      <c r="G316" s="27">
        <v>150</v>
      </c>
      <c r="H316" s="29">
        <f>LOOKUP(G316,{0,125,130,135,140,145,150,153,156,159,162,165,168,171,174,177,180,187,194,200,206},{0,10,20,30,40,50,60,62,64,66,68,70,72,74,76,78,80,85,90,95,100})</f>
        <v>60</v>
      </c>
      <c r="I316" s="27">
        <v>25</v>
      </c>
      <c r="J316" s="29">
        <f>LOOKUP(I316,{0,15,17,19,21,23,25,27,29,31,33,35,37,39,41,43,45,48,51,53,55},{0,10,20,30,40,50,60,62,64,66,68,70,72,74,76,78,80,85,90,95,100})</f>
        <v>60</v>
      </c>
      <c r="K316" s="35"/>
      <c r="L316" s="35"/>
      <c r="M316" s="35">
        <f t="shared" si="27"/>
        <v>60</v>
      </c>
      <c r="N316" s="35">
        <v>12.6</v>
      </c>
      <c r="O316" s="36">
        <f t="shared" si="28"/>
        <v>5.4</v>
      </c>
      <c r="P316" s="29">
        <f>LOOKUP(O316,{0,6.6,6.8,7,7.2,7.4,7.6,7.8,8,8.2,8.4,8.6,8.8,9,9.2,9.4,9.6,9.9,10.2,10.3,10.4},{0,10,20,30,40,50,60,62,64,66,68,70,72,74,76,78,80,85,90,95,100})</f>
        <v>0</v>
      </c>
      <c r="Q316" s="5">
        <v>5.13</v>
      </c>
      <c r="R316" s="36">
        <f t="shared" si="29"/>
        <v>4.87</v>
      </c>
      <c r="S316" s="29">
        <f>LOOKUP(R316,{0,4.74,4.84,4.94,5.44,5.54,5.64,5.69,5.74,5.79,5.84,5.89,5.94,5.99,6.44,6.49,6.54,6.61,6.68,6.74,6.8},{0,10,20,30,40,50,60,62,64,66,68,70,72,74,76,78,80,85,90,95,100})</f>
        <v>20</v>
      </c>
      <c r="T316" s="27"/>
      <c r="U316" s="27"/>
      <c r="V316" s="27">
        <f t="shared" si="30"/>
        <v>20</v>
      </c>
      <c r="W316" s="27"/>
      <c r="X316" s="19">
        <f t="shared" si="31"/>
        <v>18</v>
      </c>
      <c r="Y316" s="13">
        <f t="shared" si="32"/>
        <v>25.7142857142857</v>
      </c>
      <c r="Z316" s="19"/>
    </row>
    <row r="317" ht="15.6" spans="1:26">
      <c r="A317" s="27">
        <v>307</v>
      </c>
      <c r="B317" s="27">
        <v>33</v>
      </c>
      <c r="C317" s="28" t="s">
        <v>334</v>
      </c>
      <c r="D317" s="28" t="s">
        <v>46</v>
      </c>
      <c r="E317" s="27">
        <v>8.6</v>
      </c>
      <c r="F317" s="29">
        <f>LOOKUP(E317,{0,1.5,2.3,3.1,3.9,4.7,5.5,6.8,8.1,9.4,10.7,12,13.3,14.6,15.9,17.2,18.5,20.2,21.9,23.6,25.3},{0,10,20,30,40,50,60,62,64,66,68,70,72,74,76,78,80,85,90,95,100})</f>
        <v>64</v>
      </c>
      <c r="G317" s="27">
        <v>130</v>
      </c>
      <c r="H317" s="29">
        <f>LOOKUP(G317,{0,125,130,135,140,145,150,153,156,159,162,165,168,171,174,177,180,187,194,200,206},{0,10,20,30,40,50,60,62,64,66,68,70,72,74,76,78,80,85,90,95,100})</f>
        <v>20</v>
      </c>
      <c r="I317" s="27">
        <v>26</v>
      </c>
      <c r="J317" s="29">
        <f>LOOKUP(I317,{0,15,17,19,21,23,25,27,29,31,33,35,37,39,41,43,45,48,51,53,55},{0,10,20,30,40,50,60,62,64,66,68,70,72,74,76,78,80,85,90,95,100})</f>
        <v>60</v>
      </c>
      <c r="K317" s="35"/>
      <c r="L317" s="35"/>
      <c r="M317" s="35">
        <f t="shared" si="27"/>
        <v>60</v>
      </c>
      <c r="N317" s="35">
        <v>13.2</v>
      </c>
      <c r="O317" s="36">
        <f t="shared" si="28"/>
        <v>4.8</v>
      </c>
      <c r="P317" s="29">
        <f>LOOKUP(O317,{0,6.6,6.8,7,7.2,7.4,7.6,7.8,8,8.2,8.4,8.6,8.8,9,9.2,9.4,9.6,9.9,10.2,10.3,10.4},{0,10,20,30,40,50,60,62,64,66,68,70,72,74,76,78,80,85,90,95,100})</f>
        <v>0</v>
      </c>
      <c r="Q317" s="5">
        <v>7.31</v>
      </c>
      <c r="R317" s="36">
        <f t="shared" si="29"/>
        <v>2.69</v>
      </c>
      <c r="S317" s="29">
        <f>LOOKUP(R317,{0,4.74,4.84,4.94,5.44,5.54,5.64,5.69,5.74,5.79,5.84,5.89,5.94,5.99,6.44,6.49,6.54,6.61,6.68,6.74,6.8},{0,10,20,30,40,50,60,62,64,66,68,70,72,74,76,78,80,85,90,95,100})</f>
        <v>0</v>
      </c>
      <c r="T317" s="27"/>
      <c r="U317" s="27"/>
      <c r="V317" s="27">
        <f t="shared" si="30"/>
        <v>0</v>
      </c>
      <c r="W317" s="27"/>
      <c r="X317" s="19">
        <f t="shared" si="31"/>
        <v>14.4</v>
      </c>
      <c r="Y317" s="13">
        <f t="shared" si="32"/>
        <v>20.5714285714286</v>
      </c>
      <c r="Z317" s="20"/>
    </row>
    <row r="318" ht="15.6" spans="1:26">
      <c r="A318" s="27">
        <v>315</v>
      </c>
      <c r="B318" s="27">
        <v>31</v>
      </c>
      <c r="C318" s="28" t="s">
        <v>766</v>
      </c>
      <c r="D318" s="28" t="s">
        <v>46</v>
      </c>
      <c r="E318" s="27">
        <v>9.3</v>
      </c>
      <c r="F318" s="29">
        <f>LOOKUP(E318,{0,1.5,2.3,3.1,3.9,4.7,5.5,6.8,8.1,9.4,10.7,12,13.3,14.6,15.9,17.2,18.5,20.2,21.9,23.6,25.3},{0,10,20,30,40,50,60,62,64,66,68,70,72,74,76,78,80,85,90,95,100})</f>
        <v>64</v>
      </c>
      <c r="G318" s="27">
        <v>125</v>
      </c>
      <c r="H318" s="29">
        <f>LOOKUP(G318,{0,125,130,135,140,145,150,153,156,159,162,165,168,171,174,177,180,187,194,200,206},{0,10,20,30,40,50,60,62,64,66,68,70,72,74,76,78,80,85,90,95,100})</f>
        <v>10</v>
      </c>
      <c r="I318" s="27">
        <v>18</v>
      </c>
      <c r="J318" s="29">
        <f>LOOKUP(I318,{0,15,17,19,21,23,25,27,29,31,33,35,37,39,41,43,45,48,51,53,55},{0,10,20,30,40,50,60,62,64,66,68,70,72,74,76,78,80,85,90,95,100})</f>
        <v>20</v>
      </c>
      <c r="K318" s="35"/>
      <c r="L318" s="35"/>
      <c r="M318" s="35">
        <f t="shared" si="27"/>
        <v>20</v>
      </c>
      <c r="N318" s="35">
        <v>16.2</v>
      </c>
      <c r="O318" s="36">
        <f t="shared" si="28"/>
        <v>1.8</v>
      </c>
      <c r="P318" s="29">
        <f>LOOKUP(O318,{0,6.6,6.8,7,7.2,7.4,7.6,7.8,8,8.2,8.4,8.6,8.8,9,9.2,9.4,9.6,9.9,10.2,10.3,10.4},{0,10,20,30,40,50,60,62,64,66,68,70,72,74,76,78,80,85,90,95,100})</f>
        <v>0</v>
      </c>
      <c r="Q318" s="5">
        <v>5.09</v>
      </c>
      <c r="R318" s="36">
        <f t="shared" si="29"/>
        <v>4.91</v>
      </c>
      <c r="S318" s="29">
        <f>LOOKUP(R318,{0,4.74,4.84,4.94,5.44,5.54,5.64,5.69,5.74,5.79,5.84,5.89,5.94,5.99,6.44,6.49,6.54,6.61,6.68,6.74,6.8},{0,10,20,30,40,50,60,62,64,66,68,70,72,74,76,78,80,85,90,95,100})</f>
        <v>20</v>
      </c>
      <c r="T318" s="27"/>
      <c r="U318" s="27"/>
      <c r="V318" s="27">
        <f t="shared" si="30"/>
        <v>20</v>
      </c>
      <c r="W318" s="27"/>
      <c r="X318" s="19">
        <f t="shared" si="31"/>
        <v>13.4</v>
      </c>
      <c r="Y318" s="13">
        <f t="shared" si="32"/>
        <v>19.1428571428571</v>
      </c>
      <c r="Z318" s="19"/>
    </row>
  </sheetData>
  <autoFilter ref="A1:Z318">
    <extLst/>
  </autoFilter>
  <sortState ref="A2:Y318">
    <sortCondition ref="Y2" descending="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4"/>
  <sheetViews>
    <sheetView workbookViewId="0">
      <selection activeCell="O341" sqref="O341"/>
    </sheetView>
  </sheetViews>
  <sheetFormatPr defaultColWidth="9" defaultRowHeight="14.4"/>
  <cols>
    <col min="6" max="6" width="12.6296296296296"/>
    <col min="8" max="8" width="12.6296296296296"/>
    <col min="10" max="10" width="12.6296296296296"/>
    <col min="16" max="16" width="12.6296296296296"/>
    <col min="19" max="19" width="12.6296296296296"/>
    <col min="22" max="22" width="12.6296296296296"/>
    <col min="24" max="25" width="12.6296296296296"/>
  </cols>
  <sheetData>
    <row r="1" spans="1:25">
      <c r="A1" s="2" t="s">
        <v>1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840</v>
      </c>
      <c r="G1" s="4" t="s">
        <v>6</v>
      </c>
      <c r="H1" s="4" t="s">
        <v>841</v>
      </c>
      <c r="I1" s="4" t="s">
        <v>7</v>
      </c>
      <c r="J1" s="4" t="s">
        <v>842</v>
      </c>
      <c r="K1" s="4" t="s">
        <v>843</v>
      </c>
      <c r="L1" s="4" t="s">
        <v>844</v>
      </c>
      <c r="M1" s="4" t="s">
        <v>845</v>
      </c>
      <c r="N1" s="4" t="s">
        <v>8</v>
      </c>
      <c r="O1" s="4" t="s">
        <v>846</v>
      </c>
      <c r="P1" s="4" t="s">
        <v>847</v>
      </c>
      <c r="Q1" s="4" t="s">
        <v>9</v>
      </c>
      <c r="R1" s="2" t="s">
        <v>846</v>
      </c>
      <c r="S1" s="2" t="s">
        <v>848</v>
      </c>
      <c r="T1" s="4" t="s">
        <v>843</v>
      </c>
      <c r="U1" s="4" t="s">
        <v>844</v>
      </c>
      <c r="V1" s="2" t="s">
        <v>849</v>
      </c>
      <c r="W1" s="2" t="s">
        <v>10</v>
      </c>
      <c r="X1" s="12" t="s">
        <v>850</v>
      </c>
      <c r="Y1" s="15" t="s">
        <v>851</v>
      </c>
    </row>
    <row r="2" ht="15.6" hidden="1" outlineLevel="2" spans="1:25">
      <c r="A2" s="5">
        <v>301</v>
      </c>
      <c r="B2" s="5">
        <v>32</v>
      </c>
      <c r="C2" s="6" t="s">
        <v>45</v>
      </c>
      <c r="D2" s="5" t="s">
        <v>46</v>
      </c>
      <c r="E2" s="5">
        <v>7.3</v>
      </c>
      <c r="F2" s="7">
        <f>LOOKUP(E2,{0,1.5,2.3,3.1,3.9,4.7,5.5,6.8,8.1,9.4,10.7,12,13.3,14.6,15.9,17.2,18.5,20.2,21.9,23.6,25.3},{0,10,20,30,40,50,60,62,64,66,68,70,72,74,76,78,80,85,90,95,100})</f>
        <v>62</v>
      </c>
      <c r="G2" s="5">
        <v>155</v>
      </c>
      <c r="H2" s="7">
        <f>LOOKUP(G2,{0,125,130,135,140,145,150,153,156,159,162,165,168,171,174,177,180,187,194,200,206},{0,10,20,30,40,50,60,62,64,66,68,70,72,74,76,78,80,85,90,95,100})</f>
        <v>62</v>
      </c>
      <c r="I2" s="5">
        <v>24</v>
      </c>
      <c r="J2" s="7">
        <f>LOOKUP(I2,{0,15,17,19,21,23,25,27,29,31,33,35,37,39,41,43,45,48,51,53,55},{0,10,20,30,40,50,60,62,64,66,68,70,72,74,76,78,80,85,90,95,100})</f>
        <v>50</v>
      </c>
      <c r="K2" s="5"/>
      <c r="L2" s="5"/>
      <c r="M2" s="5">
        <f t="shared" ref="M2:M12" si="0">J2+L2</f>
        <v>50</v>
      </c>
      <c r="N2" s="5">
        <v>8.8</v>
      </c>
      <c r="O2" s="10">
        <f t="shared" ref="O2:O12" si="1">18-N2</f>
        <v>9.2</v>
      </c>
      <c r="P2" s="7">
        <f>LOOKUP(O2,{0,6.6,6.8,7,7.2,7.4,7.6,7.8,8,8.2,8.4,8.6,8.8,9,9.2,9.4,9.6,9.9,10.2,10.3,10.4},{0,10,20,30,40,50,60,62,64,66,68,70,72,74,76,78,80,85,90,95,100})</f>
        <v>76</v>
      </c>
      <c r="Q2" s="5">
        <v>4.56</v>
      </c>
      <c r="R2" s="10">
        <f t="shared" ref="R2:R12" si="2">10-Q2</f>
        <v>5.44</v>
      </c>
      <c r="S2" s="7">
        <f>LOOKUP(R2,{0,4.74,4.84,4.94,5.44,5.54,5.64,5.69,5.74,5.79,5.84,5.89,5.94,5.99,6.44,6.49,6.54,6.61,6.68,6.74,6.8},{0,10,20,30,40,50,60,62,64,66,68,70,72,74,76,78,80,85,90,95,100})</f>
        <v>40</v>
      </c>
      <c r="T2" s="5"/>
      <c r="U2" s="5"/>
      <c r="V2" s="5">
        <f t="shared" ref="V2:V12" si="3">S2+U2</f>
        <v>40</v>
      </c>
      <c r="W2" s="5"/>
      <c r="X2" s="13">
        <f t="shared" ref="X2:X12" si="4">F2*0.1+H2*0.1+J2*0.1+P2*0.2+S2*0.2</f>
        <v>40.6</v>
      </c>
      <c r="Y2" s="13">
        <f t="shared" ref="Y2:Y12" si="5">X2/0.7+L2+U2</f>
        <v>58</v>
      </c>
    </row>
    <row r="3" ht="15.6" hidden="1" outlineLevel="2" spans="1:25">
      <c r="A3" s="5">
        <v>301</v>
      </c>
      <c r="B3" s="5">
        <v>34</v>
      </c>
      <c r="C3" s="5" t="s">
        <v>47</v>
      </c>
      <c r="D3" s="5" t="s">
        <v>46</v>
      </c>
      <c r="E3" s="5">
        <v>18</v>
      </c>
      <c r="F3" s="7">
        <f>LOOKUP(E3,{0,1.5,2.3,3.1,3.9,4.7,5.5,6.8,8.1,9.4,10.7,12,13.3,14.6,15.9,17.2,18.5,20.2,21.9,23.6,25.3},{0,10,20,30,40,50,60,62,64,66,68,70,72,74,76,78,80,85,90,95,100})</f>
        <v>78</v>
      </c>
      <c r="G3" s="5">
        <v>172</v>
      </c>
      <c r="H3" s="7">
        <f>LOOKUP(G3,{0,125,130,135,140,145,150,153,156,159,162,165,168,171,174,177,180,187,194,200,206},{0,10,20,30,40,50,60,62,64,66,68,70,72,74,76,78,80,85,90,95,100})</f>
        <v>74</v>
      </c>
      <c r="I3" s="5">
        <v>50</v>
      </c>
      <c r="J3" s="7">
        <f>LOOKUP(I3,{0,15,17,19,21,23,25,27,29,31,33,35,37,39,41,43,45,48,51,53,55},{0,10,20,30,40,50,60,62,64,66,68,70,72,74,76,78,80,85,90,95,100})</f>
        <v>85</v>
      </c>
      <c r="K3" s="5"/>
      <c r="L3" s="5"/>
      <c r="M3" s="5">
        <f t="shared" si="0"/>
        <v>85</v>
      </c>
      <c r="N3" s="5">
        <v>8.5</v>
      </c>
      <c r="O3" s="10">
        <f t="shared" si="1"/>
        <v>9.5</v>
      </c>
      <c r="P3" s="7">
        <f>LOOKUP(O3,{0,6.6,6.8,7,7.2,7.4,7.6,7.8,8,8.2,8.4,8.6,8.8,9,9.2,9.4,9.6,9.9,10.2,10.3,10.4},{0,10,20,30,40,50,60,62,64,66,68,70,72,74,76,78,80,85,90,95,100})</f>
        <v>78</v>
      </c>
      <c r="Q3" s="5">
        <v>4.09</v>
      </c>
      <c r="R3" s="10">
        <f t="shared" si="2"/>
        <v>5.91</v>
      </c>
      <c r="S3" s="7">
        <f>LOOKUP(R3,{0,4.74,4.84,4.94,5.44,5.54,5.64,5.69,5.74,5.79,5.84,5.89,5.94,5.99,6.44,6.49,6.54,6.61,6.68,6.74,6.8},{0,10,20,30,40,50,60,62,64,66,68,70,72,74,76,78,80,85,90,95,100})</f>
        <v>70</v>
      </c>
      <c r="T3" s="5"/>
      <c r="U3" s="5"/>
      <c r="V3" s="5">
        <f t="shared" si="3"/>
        <v>70</v>
      </c>
      <c r="W3" s="5"/>
      <c r="X3" s="13">
        <f t="shared" si="4"/>
        <v>53.3</v>
      </c>
      <c r="Y3" s="13">
        <f t="shared" si="5"/>
        <v>76.1428571428572</v>
      </c>
    </row>
    <row r="4" ht="15.6" hidden="1" outlineLevel="2" spans="1:25">
      <c r="A4" s="5">
        <v>301</v>
      </c>
      <c r="B4" s="5">
        <v>35</v>
      </c>
      <c r="C4" s="5" t="s">
        <v>48</v>
      </c>
      <c r="D4" s="5" t="s">
        <v>46</v>
      </c>
      <c r="E4" s="5">
        <v>17.5</v>
      </c>
      <c r="F4" s="7">
        <f>LOOKUP(E4,{0,1.5,2.3,3.1,3.9,4.7,5.5,6.8,8.1,9.4,10.7,12,13.3,14.6,15.9,17.2,18.5,20.2,21.9,23.6,25.3},{0,10,20,30,40,50,60,62,64,66,68,70,72,74,76,78,80,85,90,95,100})</f>
        <v>78</v>
      </c>
      <c r="G4" s="5">
        <v>158</v>
      </c>
      <c r="H4" s="7">
        <f>LOOKUP(G4,{0,125,130,135,140,145,150,153,156,159,162,165,168,171,174,177,180,187,194,200,206},{0,10,20,30,40,50,60,62,64,66,68,70,72,74,76,78,80,85,90,95,100})</f>
        <v>64</v>
      </c>
      <c r="I4" s="5">
        <v>53</v>
      </c>
      <c r="J4" s="7">
        <f>LOOKUP(I4,{0,15,17,19,21,23,25,27,29,31,33,35,37,39,41,43,45,48,51,53,55},{0,10,20,30,40,50,60,62,64,66,68,70,72,74,76,78,80,85,90,95,100})</f>
        <v>95</v>
      </c>
      <c r="K4" s="5"/>
      <c r="L4" s="5"/>
      <c r="M4" s="5">
        <f t="shared" si="0"/>
        <v>95</v>
      </c>
      <c r="N4" s="5">
        <v>8.2</v>
      </c>
      <c r="O4" s="10">
        <f t="shared" si="1"/>
        <v>9.8</v>
      </c>
      <c r="P4" s="7">
        <f>LOOKUP(O4,{0,6.6,6.8,7,7.2,7.4,7.6,7.8,8,8.2,8.4,8.6,8.8,9,9.2,9.4,9.6,9.9,10.2,10.3,10.4},{0,10,20,30,40,50,60,62,64,66,68,70,72,74,76,78,80,85,90,95,100})</f>
        <v>80</v>
      </c>
      <c r="Q4" s="5">
        <v>3.51</v>
      </c>
      <c r="R4" s="10">
        <f t="shared" si="2"/>
        <v>6.49</v>
      </c>
      <c r="S4" s="7">
        <f>LOOKUP(R4,{0,4.74,4.84,4.94,5.44,5.54,5.64,5.69,5.74,5.79,5.84,5.89,5.94,5.99,6.44,6.49,6.54,6.61,6.68,6.74,6.8},{0,10,20,30,40,50,60,62,64,66,68,70,72,74,76,78,80,85,90,95,100})</f>
        <v>78</v>
      </c>
      <c r="T4" s="5"/>
      <c r="U4" s="5"/>
      <c r="V4" s="5">
        <f t="shared" si="3"/>
        <v>78</v>
      </c>
      <c r="W4" s="5"/>
      <c r="X4" s="13">
        <f t="shared" si="4"/>
        <v>55.3</v>
      </c>
      <c r="Y4" s="13">
        <f t="shared" si="5"/>
        <v>79</v>
      </c>
    </row>
    <row r="5" ht="15.6" hidden="1" outlineLevel="2" spans="1:25">
      <c r="A5" s="5">
        <v>301</v>
      </c>
      <c r="B5" s="5">
        <v>36</v>
      </c>
      <c r="C5" s="5" t="s">
        <v>49</v>
      </c>
      <c r="D5" s="5" t="s">
        <v>46</v>
      </c>
      <c r="E5" s="5">
        <v>16.3</v>
      </c>
      <c r="F5" s="7">
        <f>LOOKUP(E5,{0,1.5,2.3,3.1,3.9,4.7,5.5,6.8,8.1,9.4,10.7,12,13.3,14.6,15.9,17.2,18.5,20.2,21.9,23.6,25.3},{0,10,20,30,40,50,60,62,64,66,68,70,72,74,76,78,80,85,90,95,100})</f>
        <v>76</v>
      </c>
      <c r="G5" s="5">
        <v>196</v>
      </c>
      <c r="H5" s="7">
        <f>LOOKUP(G5,{0,125,130,135,140,145,150,153,156,159,162,165,168,171,174,177,180,187,194,200,206},{0,10,20,30,40,50,60,62,64,66,68,70,72,74,76,78,80,85,90,95,100})</f>
        <v>90</v>
      </c>
      <c r="I5" s="5">
        <v>43</v>
      </c>
      <c r="J5" s="7">
        <f>LOOKUP(I5,{0,15,17,19,21,23,25,27,29,31,33,35,37,39,41,43,45,48,51,53,55},{0,10,20,30,40,50,60,62,64,66,68,70,72,74,76,78,80,85,90,95,100})</f>
        <v>78</v>
      </c>
      <c r="K5" s="5"/>
      <c r="L5" s="5"/>
      <c r="M5" s="5">
        <f t="shared" si="0"/>
        <v>78</v>
      </c>
      <c r="N5" s="5">
        <v>8.5</v>
      </c>
      <c r="O5" s="10">
        <f t="shared" si="1"/>
        <v>9.5</v>
      </c>
      <c r="P5" s="7">
        <f>LOOKUP(O5,{0,6.6,6.8,7,7.2,7.4,7.6,7.8,8,8.2,8.4,8.6,8.8,9,9.2,9.4,9.6,9.9,10.2,10.3,10.4},{0,10,20,30,40,50,60,62,64,66,68,70,72,74,76,78,80,85,90,95,100})</f>
        <v>78</v>
      </c>
      <c r="Q5" s="5">
        <v>4.03</v>
      </c>
      <c r="R5" s="10">
        <f t="shared" si="2"/>
        <v>5.97</v>
      </c>
      <c r="S5" s="7">
        <f>LOOKUP(R5,{0,4.74,4.84,4.94,5.44,5.54,5.64,5.69,5.74,5.79,5.84,5.89,5.94,5.99,6.44,6.49,6.54,6.61,6.68,6.74,6.8},{0,10,20,30,40,50,60,62,64,66,68,70,72,74,76,78,80,85,90,95,100})</f>
        <v>72</v>
      </c>
      <c r="T5" s="5"/>
      <c r="U5" s="5"/>
      <c r="V5" s="5">
        <f t="shared" si="3"/>
        <v>72</v>
      </c>
      <c r="W5" s="5"/>
      <c r="X5" s="13">
        <f t="shared" si="4"/>
        <v>54.4</v>
      </c>
      <c r="Y5" s="13">
        <f t="shared" si="5"/>
        <v>77.7142857142857</v>
      </c>
    </row>
    <row r="6" ht="15.6" hidden="1" outlineLevel="2" spans="1:25">
      <c r="A6" s="5">
        <v>301</v>
      </c>
      <c r="B6" s="5">
        <v>37</v>
      </c>
      <c r="C6" s="5" t="s">
        <v>50</v>
      </c>
      <c r="D6" s="5" t="s">
        <v>46</v>
      </c>
      <c r="E6" s="5">
        <v>21</v>
      </c>
      <c r="F6" s="7">
        <f>LOOKUP(E6,{0,1.5,2.3,3.1,3.9,4.7,5.5,6.8,8.1,9.4,10.7,12,13.3,14.6,15.9,17.2,18.5,20.2,21.9,23.6,25.3},{0,10,20,30,40,50,60,62,64,66,68,70,72,74,76,78,80,85,90,95,100})</f>
        <v>85</v>
      </c>
      <c r="G6" s="5">
        <v>195</v>
      </c>
      <c r="H6" s="7">
        <f>LOOKUP(G6,{0,125,130,135,140,145,150,153,156,159,162,165,168,171,174,177,180,187,194,200,206},{0,10,20,30,40,50,60,62,64,66,68,70,72,74,76,78,80,85,90,95,100})</f>
        <v>90</v>
      </c>
      <c r="I6" s="5">
        <v>48</v>
      </c>
      <c r="J6" s="7">
        <f>LOOKUP(I6,{0,15,17,19,21,23,25,27,29,31,33,35,37,39,41,43,45,48,51,53,55},{0,10,20,30,40,50,60,62,64,66,68,70,72,74,76,78,80,85,90,95,100})</f>
        <v>85</v>
      </c>
      <c r="K6" s="5"/>
      <c r="L6" s="5"/>
      <c r="M6" s="5">
        <f t="shared" si="0"/>
        <v>85</v>
      </c>
      <c r="N6" s="5">
        <v>8.6</v>
      </c>
      <c r="O6" s="10">
        <f t="shared" si="1"/>
        <v>9.4</v>
      </c>
      <c r="P6" s="7">
        <f>LOOKUP(O6,{0,6.6,6.8,7,7.2,7.4,7.6,7.8,8,8.2,8.4,8.6,8.8,9,9.2,9.4,9.6,9.9,10.2,10.3,10.4},{0,10,20,30,40,50,60,62,64,66,68,70,72,74,76,78,80,85,90,95,100})</f>
        <v>78</v>
      </c>
      <c r="Q6" s="5">
        <v>4.04</v>
      </c>
      <c r="R6" s="10">
        <f t="shared" si="2"/>
        <v>5.96</v>
      </c>
      <c r="S6" s="7">
        <f>LOOKUP(R6,{0,4.74,4.84,4.94,5.44,5.54,5.64,5.69,5.74,5.79,5.84,5.89,5.94,5.99,6.44,6.49,6.54,6.61,6.68,6.74,6.8},{0,10,20,30,40,50,60,62,64,66,68,70,72,74,76,78,80,85,90,95,100})</f>
        <v>72</v>
      </c>
      <c r="T6" s="5"/>
      <c r="U6" s="5"/>
      <c r="V6" s="5">
        <f t="shared" si="3"/>
        <v>72</v>
      </c>
      <c r="W6" s="5"/>
      <c r="X6" s="13">
        <f t="shared" si="4"/>
        <v>56</v>
      </c>
      <c r="Y6" s="13">
        <f t="shared" si="5"/>
        <v>80</v>
      </c>
    </row>
    <row r="7" ht="15.6" hidden="1" outlineLevel="2" spans="1:25">
      <c r="A7" s="5">
        <v>301</v>
      </c>
      <c r="B7" s="5">
        <v>38</v>
      </c>
      <c r="C7" s="5" t="s">
        <v>51</v>
      </c>
      <c r="D7" s="5" t="s">
        <v>46</v>
      </c>
      <c r="E7" s="5">
        <v>26.5</v>
      </c>
      <c r="F7" s="7">
        <f>LOOKUP(E7,{0,1.5,2.3,3.1,3.9,4.7,5.5,6.8,8.1,9.4,10.7,12,13.3,14.6,15.9,17.2,18.5,20.2,21.9,23.6,25.3},{0,10,20,30,40,50,60,62,64,66,68,70,72,74,76,78,80,85,90,95,100})</f>
        <v>100</v>
      </c>
      <c r="G7" s="5">
        <v>197</v>
      </c>
      <c r="H7" s="7">
        <f>LOOKUP(G7,{0,125,130,135,140,145,150,153,156,159,162,165,168,171,174,177,180,187,194,200,206},{0,10,20,30,40,50,60,62,64,66,68,70,72,74,76,78,80,85,90,95,100})</f>
        <v>90</v>
      </c>
      <c r="I7" s="5">
        <v>58</v>
      </c>
      <c r="J7" s="7">
        <f>LOOKUP(I7,{0,15,17,19,21,23,25,27,29,31,33,35,37,39,41,43,45,48,51,53,55},{0,10,20,30,40,50,60,62,64,66,68,70,72,74,76,78,80,85,90,95,100})</f>
        <v>100</v>
      </c>
      <c r="K7" s="11">
        <f>I7-55</f>
        <v>3</v>
      </c>
      <c r="L7" s="7">
        <f>LOOKUP(K7,{0,2,4,6,7,8,9,10,11,12,13},{0,1,2,3,4,5,6,7,8,9,10})</f>
        <v>1</v>
      </c>
      <c r="M7" s="5">
        <f t="shared" si="0"/>
        <v>101</v>
      </c>
      <c r="N7" s="5">
        <v>8</v>
      </c>
      <c r="O7" s="10">
        <f t="shared" si="1"/>
        <v>10</v>
      </c>
      <c r="P7" s="7">
        <f>LOOKUP(O7,{0,6.6,6.8,7,7.2,7.4,7.6,7.8,8,8.2,8.4,8.6,8.8,9,9.2,9.4,9.6,9.9,10.2,10.3,10.4},{0,10,20,30,40,50,60,62,64,66,68,70,72,74,76,78,80,85,90,95,100})</f>
        <v>85</v>
      </c>
      <c r="Q7" s="5">
        <v>3.18</v>
      </c>
      <c r="R7" s="10">
        <f t="shared" si="2"/>
        <v>6.82</v>
      </c>
      <c r="S7" s="7">
        <f>LOOKUP(R7,{0,4.74,4.84,4.94,5.44,5.54,5.64,5.69,5.74,5.79,5.84,5.89,5.94,5.99,6.44,6.49,6.54,6.61,6.68,6.74,6.8},{0,10,20,30,40,50,60,62,64,66,68,70,72,74,76,78,80,85,90,95,100})</f>
        <v>100</v>
      </c>
      <c r="T7" s="10">
        <f>3.2-Q7</f>
        <v>0.02</v>
      </c>
      <c r="U7" s="7">
        <f>LOOKUP(T7,{0,0.05,0.1,0.15,0.2,0.25,0.3,0.35,0.4,0.45,0.5},{0,1,2,3,4,5,6,7,8,9,10})</f>
        <v>0</v>
      </c>
      <c r="V7" s="5">
        <f t="shared" si="3"/>
        <v>100</v>
      </c>
      <c r="W7" s="5"/>
      <c r="X7" s="13">
        <f t="shared" si="4"/>
        <v>66</v>
      </c>
      <c r="Y7" s="13">
        <f t="shared" si="5"/>
        <v>95.2857142857143</v>
      </c>
    </row>
    <row r="8" ht="15.6" hidden="1" outlineLevel="2" spans="1:25">
      <c r="A8" s="5">
        <v>301</v>
      </c>
      <c r="B8" s="5">
        <v>39</v>
      </c>
      <c r="C8" s="5" t="s">
        <v>52</v>
      </c>
      <c r="D8" s="5" t="s">
        <v>46</v>
      </c>
      <c r="E8" s="5">
        <v>10</v>
      </c>
      <c r="F8" s="7">
        <f>LOOKUP(E8,{0,1.5,2.3,3.1,3.9,4.7,5.5,6.8,8.1,9.4,10.7,12,13.3,14.6,15.9,17.2,18.5,20.2,21.9,23.6,25.3},{0,10,20,30,40,50,60,62,64,66,68,70,72,74,76,78,80,85,90,95,100})</f>
        <v>66</v>
      </c>
      <c r="G8" s="5">
        <v>182</v>
      </c>
      <c r="H8" s="7">
        <f>LOOKUP(G8,{0,125,130,135,140,145,150,153,156,159,162,165,168,171,174,177,180,187,194,200,206},{0,10,20,30,40,50,60,62,64,66,68,70,72,74,76,78,80,85,90,95,100})</f>
        <v>80</v>
      </c>
      <c r="I8" s="5">
        <v>51</v>
      </c>
      <c r="J8" s="7">
        <f>LOOKUP(I8,{0,15,17,19,21,23,25,27,29,31,33,35,37,39,41,43,45,48,51,53,55},{0,10,20,30,40,50,60,62,64,66,68,70,72,74,76,78,80,85,90,95,100})</f>
        <v>90</v>
      </c>
      <c r="K8" s="5"/>
      <c r="L8" s="5"/>
      <c r="M8" s="5">
        <f t="shared" si="0"/>
        <v>90</v>
      </c>
      <c r="N8" s="5">
        <v>8.3</v>
      </c>
      <c r="O8" s="10">
        <f t="shared" si="1"/>
        <v>9.7</v>
      </c>
      <c r="P8" s="7">
        <f>LOOKUP(O8,{0,6.6,6.8,7,7.2,7.4,7.6,7.8,8,8.2,8.4,8.6,8.8,9,9.2,9.4,9.6,9.9,10.2,10.3,10.4},{0,10,20,30,40,50,60,62,64,66,68,70,72,74,76,78,80,85,90,95,100})</f>
        <v>80</v>
      </c>
      <c r="Q8" s="5">
        <v>4.09</v>
      </c>
      <c r="R8" s="10">
        <f t="shared" si="2"/>
        <v>5.91</v>
      </c>
      <c r="S8" s="7">
        <f>LOOKUP(R8,{0,4.74,4.84,4.94,5.44,5.54,5.64,5.69,5.74,5.79,5.84,5.89,5.94,5.99,6.44,6.49,6.54,6.61,6.68,6.74,6.8},{0,10,20,30,40,50,60,62,64,66,68,70,72,74,76,78,80,85,90,95,100})</f>
        <v>70</v>
      </c>
      <c r="T8" s="5"/>
      <c r="U8" s="5"/>
      <c r="V8" s="5">
        <f t="shared" si="3"/>
        <v>70</v>
      </c>
      <c r="W8" s="5"/>
      <c r="X8" s="13">
        <f t="shared" si="4"/>
        <v>53.6</v>
      </c>
      <c r="Y8" s="13">
        <f t="shared" si="5"/>
        <v>76.5714285714286</v>
      </c>
    </row>
    <row r="9" ht="15.6" hidden="1" outlineLevel="2" spans="1:25">
      <c r="A9" s="5">
        <v>301</v>
      </c>
      <c r="B9" s="5">
        <v>40</v>
      </c>
      <c r="C9" s="5" t="s">
        <v>53</v>
      </c>
      <c r="D9" s="5" t="s">
        <v>46</v>
      </c>
      <c r="E9" s="5">
        <v>20</v>
      </c>
      <c r="F9" s="7">
        <f>LOOKUP(E9,{0,1.5,2.3,3.1,3.9,4.7,5.5,6.8,8.1,9.4,10.7,12,13.3,14.6,15.9,17.2,18.5,20.2,21.9,23.6,25.3},{0,10,20,30,40,50,60,62,64,66,68,70,72,74,76,78,80,85,90,95,100})</f>
        <v>80</v>
      </c>
      <c r="G9" s="5">
        <v>192</v>
      </c>
      <c r="H9" s="7">
        <f>LOOKUP(G9,{0,125,130,135,140,145,150,153,156,159,162,165,168,171,174,177,180,187,194,200,206},{0,10,20,30,40,50,60,62,64,66,68,70,72,74,76,78,80,85,90,95,100})</f>
        <v>85</v>
      </c>
      <c r="I9" s="5">
        <v>42</v>
      </c>
      <c r="J9" s="7">
        <f>LOOKUP(I9,{0,15,17,19,21,23,25,27,29,31,33,35,37,39,41,43,45,48,51,53,55},{0,10,20,30,40,50,60,62,64,66,68,70,72,74,76,78,80,85,90,95,100})</f>
        <v>76</v>
      </c>
      <c r="K9" s="5"/>
      <c r="L9" s="5"/>
      <c r="M9" s="5">
        <f t="shared" si="0"/>
        <v>76</v>
      </c>
      <c r="N9" s="5">
        <v>8.5</v>
      </c>
      <c r="O9" s="10">
        <f t="shared" si="1"/>
        <v>9.5</v>
      </c>
      <c r="P9" s="7">
        <f>LOOKUP(O9,{0,6.6,6.8,7,7.2,7.4,7.6,7.8,8,8.2,8.4,8.6,8.8,9,9.2,9.4,9.6,9.9,10.2,10.3,10.4},{0,10,20,30,40,50,60,62,64,66,68,70,72,74,76,78,80,85,90,95,100})</f>
        <v>78</v>
      </c>
      <c r="Q9" s="5">
        <v>3.18</v>
      </c>
      <c r="R9" s="10">
        <f t="shared" si="2"/>
        <v>6.82</v>
      </c>
      <c r="S9" s="7">
        <f>LOOKUP(R9,{0,4.74,4.84,4.94,5.44,5.54,5.64,5.69,5.74,5.79,5.84,5.89,5.94,5.99,6.44,6.49,6.54,6.61,6.68,6.74,6.8},{0,10,20,30,40,50,60,62,64,66,68,70,72,74,76,78,80,85,90,95,100})</f>
        <v>100</v>
      </c>
      <c r="T9" s="10">
        <f>3.2-Q9</f>
        <v>0.02</v>
      </c>
      <c r="U9" s="7">
        <f>LOOKUP(T9,{0,0.05,0.1,0.15,0.2,0.25,0.3,0.35,0.4,0.45,0.5},{0,1,2,3,4,5,6,7,8,9,10})</f>
        <v>0</v>
      </c>
      <c r="V9" s="5">
        <f t="shared" si="3"/>
        <v>100</v>
      </c>
      <c r="W9" s="5"/>
      <c r="X9" s="13">
        <f t="shared" si="4"/>
        <v>59.7</v>
      </c>
      <c r="Y9" s="13">
        <f t="shared" si="5"/>
        <v>85.2857142857143</v>
      </c>
    </row>
    <row r="10" ht="15.6" hidden="1" outlineLevel="2" spans="1:25">
      <c r="A10" s="5">
        <v>301</v>
      </c>
      <c r="B10" s="5">
        <v>41</v>
      </c>
      <c r="C10" s="5" t="s">
        <v>54</v>
      </c>
      <c r="D10" s="5" t="s">
        <v>46</v>
      </c>
      <c r="E10" s="5">
        <v>15</v>
      </c>
      <c r="F10" s="7">
        <f>LOOKUP(E10,{0,1.5,2.3,3.1,3.9,4.7,5.5,6.8,8.1,9.4,10.7,12,13.3,14.6,15.9,17.2,18.5,20.2,21.9,23.6,25.3},{0,10,20,30,40,50,60,62,64,66,68,70,72,74,76,78,80,85,90,95,100})</f>
        <v>74</v>
      </c>
      <c r="G10" s="5">
        <v>155</v>
      </c>
      <c r="H10" s="7">
        <f>LOOKUP(G10,{0,125,130,135,140,145,150,153,156,159,162,165,168,171,174,177,180,187,194,200,206},{0,10,20,30,40,50,60,62,64,66,68,70,72,74,76,78,80,85,90,95,100})</f>
        <v>62</v>
      </c>
      <c r="I10" s="5">
        <v>35</v>
      </c>
      <c r="J10" s="7">
        <f>LOOKUP(I10,{0,15,17,19,21,23,25,27,29,31,33,35,37,39,41,43,45,48,51,53,55},{0,10,20,30,40,50,60,62,64,66,68,70,72,74,76,78,80,85,90,95,100})</f>
        <v>70</v>
      </c>
      <c r="K10" s="5"/>
      <c r="L10" s="5"/>
      <c r="M10" s="5">
        <f t="shared" si="0"/>
        <v>70</v>
      </c>
      <c r="N10" s="5">
        <v>9</v>
      </c>
      <c r="O10" s="10">
        <f t="shared" si="1"/>
        <v>9</v>
      </c>
      <c r="P10" s="7">
        <f>LOOKUP(O10,{0,6.6,6.8,7,7.2,7.4,7.6,7.8,8,8.2,8.4,8.6,8.8,9,9.2,9.4,9.6,9.9,10.2,10.3,10.4},{0,10,20,30,40,50,60,62,64,66,68,70,72,74,76,78,80,85,90,95,100})</f>
        <v>74</v>
      </c>
      <c r="Q10" s="5">
        <v>3.56</v>
      </c>
      <c r="R10" s="10">
        <f t="shared" si="2"/>
        <v>6.44</v>
      </c>
      <c r="S10" s="7">
        <f>LOOKUP(R10,{0,4.74,4.84,4.94,5.44,5.54,5.64,5.69,5.74,5.79,5.84,5.89,5.94,5.99,6.44,6.49,6.54,6.61,6.68,6.74,6.8},{0,10,20,30,40,50,60,62,64,66,68,70,72,74,76,78,80,85,90,95,100})</f>
        <v>76</v>
      </c>
      <c r="T10" s="5"/>
      <c r="U10" s="5"/>
      <c r="V10" s="5">
        <f t="shared" si="3"/>
        <v>76</v>
      </c>
      <c r="W10" s="5"/>
      <c r="X10" s="13">
        <f t="shared" si="4"/>
        <v>50.6</v>
      </c>
      <c r="Y10" s="13">
        <f t="shared" si="5"/>
        <v>72.2857142857143</v>
      </c>
    </row>
    <row r="11" ht="15.6" hidden="1" outlineLevel="2" spans="1:25">
      <c r="A11" s="5">
        <v>301</v>
      </c>
      <c r="B11" s="5">
        <v>42</v>
      </c>
      <c r="C11" s="5" t="s">
        <v>55</v>
      </c>
      <c r="D11" s="5" t="s">
        <v>46</v>
      </c>
      <c r="E11" s="5">
        <v>9.6</v>
      </c>
      <c r="F11" s="7">
        <f>LOOKUP(E11,{0,1.5,2.3,3.1,3.9,4.7,5.5,6.8,8.1,9.4,10.7,12,13.3,14.6,15.9,17.2,18.5,20.2,21.9,23.6,25.3},{0,10,20,30,40,50,60,62,64,66,68,70,72,74,76,78,80,85,90,95,100})</f>
        <v>66</v>
      </c>
      <c r="G11" s="5">
        <v>166</v>
      </c>
      <c r="H11" s="7">
        <f>LOOKUP(G11,{0,125,130,135,140,145,150,153,156,159,162,165,168,171,174,177,180,187,194,200,206},{0,10,20,30,40,50,60,62,64,66,68,70,72,74,76,78,80,85,90,95,100})</f>
        <v>70</v>
      </c>
      <c r="I11" s="5">
        <v>41</v>
      </c>
      <c r="J11" s="7">
        <f>LOOKUP(I11,{0,15,17,19,21,23,25,27,29,31,33,35,37,39,41,43,45,48,51,53,55},{0,10,20,30,40,50,60,62,64,66,68,70,72,74,76,78,80,85,90,95,100})</f>
        <v>76</v>
      </c>
      <c r="K11" s="5"/>
      <c r="L11" s="5"/>
      <c r="M11" s="5">
        <f t="shared" si="0"/>
        <v>76</v>
      </c>
      <c r="N11" s="5">
        <v>9.3</v>
      </c>
      <c r="O11" s="10">
        <f t="shared" si="1"/>
        <v>8.7</v>
      </c>
      <c r="P11" s="7">
        <f>LOOKUP(O11,{0,6.6,6.8,7,7.2,7.4,7.6,7.8,8,8.2,8.4,8.6,8.8,9,9.2,9.4,9.6,9.9,10.2,10.3,10.4},{0,10,20,30,40,50,60,62,64,66,68,70,72,74,76,78,80,85,90,95,100})</f>
        <v>70</v>
      </c>
      <c r="Q11" s="5">
        <v>4.07</v>
      </c>
      <c r="R11" s="10">
        <f t="shared" si="2"/>
        <v>5.93</v>
      </c>
      <c r="S11" s="7">
        <f>LOOKUP(R11,{0,4.74,4.84,4.94,5.44,5.54,5.64,5.69,5.74,5.79,5.84,5.89,5.94,5.99,6.44,6.49,6.54,6.61,6.68,6.74,6.8},{0,10,20,30,40,50,60,62,64,66,68,70,72,74,76,78,80,85,90,95,100})</f>
        <v>70</v>
      </c>
      <c r="T11" s="5"/>
      <c r="U11" s="5"/>
      <c r="V11" s="5">
        <f t="shared" si="3"/>
        <v>70</v>
      </c>
      <c r="W11" s="5"/>
      <c r="X11" s="13">
        <f t="shared" si="4"/>
        <v>49.2</v>
      </c>
      <c r="Y11" s="13">
        <f t="shared" si="5"/>
        <v>70.2857142857143</v>
      </c>
    </row>
    <row r="12" ht="15.6" hidden="1" outlineLevel="2" spans="1:25">
      <c r="A12" s="5">
        <v>301</v>
      </c>
      <c r="B12" s="5">
        <v>43</v>
      </c>
      <c r="C12" s="5" t="s">
        <v>56</v>
      </c>
      <c r="D12" s="5" t="s">
        <v>46</v>
      </c>
      <c r="E12" s="5">
        <v>19</v>
      </c>
      <c r="F12" s="7">
        <f>LOOKUP(E12,{0,1.5,2.3,3.1,3.9,4.7,5.5,6.8,8.1,9.4,10.7,12,13.3,14.6,15.9,17.2,18.5,20.2,21.9,23.6,25.3},{0,10,20,30,40,50,60,62,64,66,68,70,72,74,76,78,80,85,90,95,100})</f>
        <v>80</v>
      </c>
      <c r="G12" s="5">
        <v>185</v>
      </c>
      <c r="H12" s="7">
        <f>LOOKUP(G12,{0,125,130,135,140,145,150,153,156,159,162,165,168,171,174,177,180,187,194,200,206},{0,10,20,30,40,50,60,62,64,66,68,70,72,74,76,78,80,85,90,95,100})</f>
        <v>80</v>
      </c>
      <c r="I12" s="5">
        <v>38</v>
      </c>
      <c r="J12" s="7">
        <f>LOOKUP(I12,{0,15,17,19,21,23,25,27,29,31,33,35,37,39,41,43,45,48,51,53,55},{0,10,20,30,40,50,60,62,64,66,68,70,72,74,76,78,80,85,90,95,100})</f>
        <v>72</v>
      </c>
      <c r="K12" s="5"/>
      <c r="L12" s="5"/>
      <c r="M12" s="5">
        <f t="shared" si="0"/>
        <v>72</v>
      </c>
      <c r="N12" s="5">
        <v>9</v>
      </c>
      <c r="O12" s="10">
        <f t="shared" si="1"/>
        <v>9</v>
      </c>
      <c r="P12" s="7">
        <f>LOOKUP(O12,{0,6.6,6.8,7,7.2,7.4,7.6,7.8,8,8.2,8.4,8.6,8.8,9,9.2,9.4,9.6,9.9,10.2,10.3,10.4},{0,10,20,30,40,50,60,62,64,66,68,70,72,74,76,78,80,85,90,95,100})</f>
        <v>74</v>
      </c>
      <c r="Q12" s="5">
        <v>4.24</v>
      </c>
      <c r="R12" s="10">
        <f t="shared" si="2"/>
        <v>5.76</v>
      </c>
      <c r="S12" s="7">
        <f>LOOKUP(R12,{0,4.74,4.84,4.94,5.44,5.54,5.64,5.69,5.74,5.79,5.84,5.89,5.94,5.99,6.44,6.49,6.54,6.61,6.68,6.74,6.8},{0,10,20,30,40,50,60,62,64,66,68,70,72,74,76,78,80,85,90,95,100})</f>
        <v>64</v>
      </c>
      <c r="T12" s="5"/>
      <c r="U12" s="5"/>
      <c r="V12" s="5">
        <f t="shared" si="3"/>
        <v>64</v>
      </c>
      <c r="W12" s="5"/>
      <c r="X12" s="13">
        <f t="shared" si="4"/>
        <v>50.8</v>
      </c>
      <c r="Y12" s="13">
        <f t="shared" si="5"/>
        <v>72.5714285714286</v>
      </c>
    </row>
    <row r="13" ht="15.6" outlineLevel="1" collapsed="1" spans="1:25">
      <c r="A13" s="6" t="s">
        <v>852</v>
      </c>
      <c r="B13" s="5"/>
      <c r="C13" s="5"/>
      <c r="D13" s="5"/>
      <c r="E13" s="5"/>
      <c r="F13" s="7">
        <f>SUBTOTAL(1,F2:F12)</f>
        <v>76.8181818181818</v>
      </c>
      <c r="G13" s="5"/>
      <c r="H13" s="7">
        <f>SUBTOTAL(1,H2:H12)</f>
        <v>77</v>
      </c>
      <c r="I13" s="5"/>
      <c r="J13" s="7">
        <f>SUBTOTAL(1,J2:J12)</f>
        <v>79.7272727272727</v>
      </c>
      <c r="K13" s="5"/>
      <c r="L13" s="5"/>
      <c r="M13" s="5">
        <f>SUBTOTAL(1,M2:M12)</f>
        <v>79.8181818181818</v>
      </c>
      <c r="N13" s="5"/>
      <c r="O13" s="10"/>
      <c r="P13" s="7">
        <f>SUBTOTAL(1,P2:P12)</f>
        <v>77.3636363636364</v>
      </c>
      <c r="Q13" s="5"/>
      <c r="R13" s="10"/>
      <c r="S13" s="7">
        <f>SUBTOTAL(1,S2:S12)</f>
        <v>73.8181818181818</v>
      </c>
      <c r="T13" s="5"/>
      <c r="U13" s="5"/>
      <c r="V13" s="5">
        <f>SUBTOTAL(1,V2:V12)</f>
        <v>73.8181818181818</v>
      </c>
      <c r="W13" s="5"/>
      <c r="X13" s="13">
        <f>SUBTOTAL(1,X2:X12)</f>
        <v>53.5909090909091</v>
      </c>
      <c r="Y13" s="13">
        <f>SUBTOTAL(1,Y2:Y12)</f>
        <v>76.6493506493507</v>
      </c>
    </row>
    <row r="14" ht="15.6" hidden="1" outlineLevel="2" spans="1:25">
      <c r="A14" s="5">
        <v>302</v>
      </c>
      <c r="B14" s="5">
        <v>31</v>
      </c>
      <c r="C14" s="6" t="s">
        <v>92</v>
      </c>
      <c r="D14" s="5" t="s">
        <v>46</v>
      </c>
      <c r="E14" s="5">
        <v>19</v>
      </c>
      <c r="F14" s="7">
        <f>LOOKUP(E14,{0,1.5,2.3,3.1,3.9,4.7,5.5,6.8,8.1,9.4,10.7,12,13.3,14.6,15.9,17.2,18.5,20.2,21.9,23.6,25.3},{0,10,20,30,40,50,60,62,64,66,68,70,72,74,76,78,80,85,90,95,100})</f>
        <v>80</v>
      </c>
      <c r="G14" s="5">
        <v>185</v>
      </c>
      <c r="H14" s="7">
        <f>LOOKUP(G14,{0,125,130,135,140,145,150,153,156,159,162,165,168,171,174,177,180,187,194,200,206},{0,10,20,30,40,50,60,62,64,66,68,70,72,74,76,78,80,85,90,95,100})</f>
        <v>80</v>
      </c>
      <c r="I14" s="5" t="s">
        <v>77</v>
      </c>
      <c r="J14" s="7"/>
      <c r="K14" s="5"/>
      <c r="L14" s="5"/>
      <c r="M14" s="5"/>
      <c r="N14" s="5" t="s">
        <v>77</v>
      </c>
      <c r="O14" s="5"/>
      <c r="P14" s="5"/>
      <c r="Q14" s="5" t="s">
        <v>77</v>
      </c>
      <c r="R14" s="5"/>
      <c r="S14" s="5"/>
      <c r="T14" s="5"/>
      <c r="U14" s="5"/>
      <c r="V14" s="5"/>
      <c r="W14" s="14">
        <v>50</v>
      </c>
      <c r="X14" s="13">
        <f t="shared" ref="X14:X28" si="6">F14*0.1+H14*0.1+J14*0.1+P14*0.2+S14*0.2</f>
        <v>16</v>
      </c>
      <c r="Y14" s="13">
        <v>50</v>
      </c>
    </row>
    <row r="15" ht="15.6" hidden="1" outlineLevel="2" spans="1:25">
      <c r="A15" s="5">
        <v>302</v>
      </c>
      <c r="B15" s="5">
        <v>32</v>
      </c>
      <c r="C15" s="5" t="s">
        <v>93</v>
      </c>
      <c r="D15" s="5" t="s">
        <v>46</v>
      </c>
      <c r="E15" s="5">
        <v>17</v>
      </c>
      <c r="F15" s="7">
        <f>LOOKUP(E15,{0,1.5,2.3,3.1,3.9,4.7,5.5,6.8,8.1,9.4,10.7,12,13.3,14.6,15.9,17.2,18.5,20.2,21.9,23.6,25.3},{0,10,20,30,40,50,60,62,64,66,68,70,72,74,76,78,80,85,90,95,100})</f>
        <v>76</v>
      </c>
      <c r="G15" s="5">
        <v>185</v>
      </c>
      <c r="H15" s="7">
        <f>LOOKUP(G15,{0,125,130,135,140,145,150,153,156,159,162,165,168,171,174,177,180,187,194,200,206},{0,10,20,30,40,50,60,62,64,66,68,70,72,74,76,78,80,85,90,95,100})</f>
        <v>80</v>
      </c>
      <c r="I15" s="5">
        <v>46</v>
      </c>
      <c r="J15" s="7">
        <f>LOOKUP(I15,{0,15,17,19,21,23,25,27,29,31,33,35,37,39,41,43,45,48,51,53,55},{0,10,20,30,40,50,60,62,64,66,68,70,72,74,76,78,80,85,90,95,100})</f>
        <v>80</v>
      </c>
      <c r="K15" s="5"/>
      <c r="L15" s="5"/>
      <c r="M15" s="5">
        <f t="shared" ref="M15:M28" si="7">J15+L15</f>
        <v>80</v>
      </c>
      <c r="N15" s="5">
        <v>8.5</v>
      </c>
      <c r="O15" s="10">
        <f t="shared" ref="O15:O28" si="8">18-N15</f>
        <v>9.5</v>
      </c>
      <c r="P15" s="7">
        <f>LOOKUP(O15,{0,6.6,6.8,7,7.2,7.4,7.6,7.8,8,8.2,8.4,8.6,8.8,9,9.2,9.4,9.6,9.9,10.2,10.3,10.4},{0,10,20,30,40,50,60,62,64,66,68,70,72,74,76,78,80,85,90,95,100})</f>
        <v>78</v>
      </c>
      <c r="Q15" s="5">
        <v>3.33</v>
      </c>
      <c r="R15" s="10">
        <f t="shared" ref="R15:R22" si="9">10-Q15</f>
        <v>6.67</v>
      </c>
      <c r="S15" s="7">
        <f>LOOKUP(R15,{0,4.74,4.84,4.94,5.44,5.54,5.64,5.69,5.74,5.79,5.84,5.89,5.94,5.99,6.44,6.49,6.54,6.61,6.68,6.74,6.8},{0,10,20,30,40,50,60,62,64,66,68,70,72,74,76,78,80,85,90,95,100})</f>
        <v>85</v>
      </c>
      <c r="T15" s="5"/>
      <c r="U15" s="5"/>
      <c r="V15" s="5">
        <f t="shared" ref="V15:V22" si="10">S15+U15</f>
        <v>85</v>
      </c>
      <c r="W15" s="5"/>
      <c r="X15" s="13">
        <f t="shared" si="6"/>
        <v>56.2</v>
      </c>
      <c r="Y15" s="13">
        <f t="shared" ref="Y15:Y28" si="11">X15/0.7+L15+U15</f>
        <v>80.2857142857143</v>
      </c>
    </row>
    <row r="16" ht="15.6" hidden="1" outlineLevel="2" spans="1:25">
      <c r="A16" s="5">
        <v>302</v>
      </c>
      <c r="B16" s="5">
        <v>33</v>
      </c>
      <c r="C16" s="5" t="s">
        <v>94</v>
      </c>
      <c r="D16" s="5" t="s">
        <v>46</v>
      </c>
      <c r="E16" s="5">
        <v>17</v>
      </c>
      <c r="F16" s="7">
        <f>LOOKUP(E16,{0,1.5,2.3,3.1,3.9,4.7,5.5,6.8,8.1,9.4,10.7,12,13.3,14.6,15.9,17.2,18.5,20.2,21.9,23.6,25.3},{0,10,20,30,40,50,60,62,64,66,68,70,72,74,76,78,80,85,90,95,100})</f>
        <v>76</v>
      </c>
      <c r="G16" s="5">
        <v>180</v>
      </c>
      <c r="H16" s="7">
        <f>LOOKUP(G16,{0,125,130,135,140,145,150,153,156,159,162,165,168,171,174,177,180,187,194,200,206},{0,10,20,30,40,50,60,62,64,66,68,70,72,74,76,78,80,85,90,95,100})</f>
        <v>80</v>
      </c>
      <c r="I16" s="5">
        <v>58</v>
      </c>
      <c r="J16" s="7">
        <f>LOOKUP(I16,{0,15,17,19,21,23,25,27,29,31,33,35,37,39,41,43,45,48,51,53,55},{0,10,20,30,40,50,60,62,64,66,68,70,72,74,76,78,80,85,90,95,100})</f>
        <v>100</v>
      </c>
      <c r="K16" s="11">
        <f>I16-55</f>
        <v>3</v>
      </c>
      <c r="L16" s="7">
        <f>LOOKUP(K16,{0,2,4,6,7,8,9,10,11,12,13},{0,1,2,3,4,5,6,7,8,9,10})</f>
        <v>1</v>
      </c>
      <c r="M16" s="5">
        <f t="shared" si="7"/>
        <v>101</v>
      </c>
      <c r="N16" s="5">
        <v>8.7</v>
      </c>
      <c r="O16" s="10">
        <f t="shared" si="8"/>
        <v>9.3</v>
      </c>
      <c r="P16" s="7">
        <f>LOOKUP(O16,{0,6.6,6.8,7,7.2,7.4,7.6,7.8,8,8.2,8.4,8.6,8.8,9,9.2,9.4,9.6,9.9,10.2,10.3,10.4},{0,10,20,30,40,50,60,62,64,66,68,70,72,74,76,78,80,85,90,95,100})</f>
        <v>76</v>
      </c>
      <c r="Q16" s="5">
        <v>3.36</v>
      </c>
      <c r="R16" s="10">
        <f t="shared" si="9"/>
        <v>6.64</v>
      </c>
      <c r="S16" s="7">
        <f>LOOKUP(R16,{0,4.74,4.84,4.94,5.44,5.54,5.64,5.69,5.74,5.79,5.84,5.89,5.94,5.99,6.44,6.49,6.54,6.61,6.68,6.74,6.8},{0,10,20,30,40,50,60,62,64,66,68,70,72,74,76,78,80,85,90,95,100})</f>
        <v>85</v>
      </c>
      <c r="T16" s="5"/>
      <c r="U16" s="5"/>
      <c r="V16" s="5">
        <f t="shared" si="10"/>
        <v>85</v>
      </c>
      <c r="W16" s="5"/>
      <c r="X16" s="13">
        <f t="shared" si="6"/>
        <v>57.8</v>
      </c>
      <c r="Y16" s="13">
        <f t="shared" si="11"/>
        <v>83.5714285714286</v>
      </c>
    </row>
    <row r="17" ht="15.6" hidden="1" outlineLevel="2" spans="1:25">
      <c r="A17" s="5">
        <v>302</v>
      </c>
      <c r="B17" s="5">
        <v>34</v>
      </c>
      <c r="C17" s="5" t="s">
        <v>95</v>
      </c>
      <c r="D17" s="5" t="s">
        <v>46</v>
      </c>
      <c r="E17" s="5">
        <v>21.3</v>
      </c>
      <c r="F17" s="7">
        <f>LOOKUP(E17,{0,1.5,2.3,3.1,3.9,4.7,5.5,6.8,8.1,9.4,10.7,12,13.3,14.6,15.9,17.2,18.5,20.2,21.9,23.6,25.3},{0,10,20,30,40,50,60,62,64,66,68,70,72,74,76,78,80,85,90,95,100})</f>
        <v>85</v>
      </c>
      <c r="G17" s="5">
        <v>185</v>
      </c>
      <c r="H17" s="7">
        <f>LOOKUP(G17,{0,125,130,135,140,145,150,153,156,159,162,165,168,171,174,177,180,187,194,200,206},{0,10,20,30,40,50,60,62,64,66,68,70,72,74,76,78,80,85,90,95,100})</f>
        <v>80</v>
      </c>
      <c r="I17" s="5" t="s">
        <v>77</v>
      </c>
      <c r="J17" s="7"/>
      <c r="K17" s="5"/>
      <c r="L17" s="5"/>
      <c r="M17" s="5"/>
      <c r="N17" s="5" t="s">
        <v>77</v>
      </c>
      <c r="O17" s="5"/>
      <c r="P17" s="5"/>
      <c r="Q17" s="5" t="s">
        <v>77</v>
      </c>
      <c r="R17" s="5"/>
      <c r="S17" s="5"/>
      <c r="T17" s="5"/>
      <c r="U17" s="5"/>
      <c r="V17" s="5"/>
      <c r="W17" s="14">
        <v>50</v>
      </c>
      <c r="X17" s="13">
        <f t="shared" si="6"/>
        <v>16.5</v>
      </c>
      <c r="Y17" s="13">
        <v>50</v>
      </c>
    </row>
    <row r="18" ht="15.6" hidden="1" outlineLevel="2" spans="1:25">
      <c r="A18" s="5">
        <v>302</v>
      </c>
      <c r="B18" s="5">
        <v>35</v>
      </c>
      <c r="C18" s="5" t="s">
        <v>96</v>
      </c>
      <c r="D18" s="5" t="s">
        <v>46</v>
      </c>
      <c r="E18" s="5">
        <v>15</v>
      </c>
      <c r="F18" s="7">
        <f>LOOKUP(E18,{0,1.5,2.3,3.1,3.9,4.7,5.5,6.8,8.1,9.4,10.7,12,13.3,14.6,15.9,17.2,18.5,20.2,21.9,23.6,25.3},{0,10,20,30,40,50,60,62,64,66,68,70,72,74,76,78,80,85,90,95,100})</f>
        <v>74</v>
      </c>
      <c r="G18" s="5">
        <v>185</v>
      </c>
      <c r="H18" s="7">
        <f>LOOKUP(G18,{0,125,130,135,140,145,150,153,156,159,162,165,168,171,174,177,180,187,194,200,206},{0,10,20,30,40,50,60,62,64,66,68,70,72,74,76,78,80,85,90,95,100})</f>
        <v>80</v>
      </c>
      <c r="I18" s="5">
        <v>37</v>
      </c>
      <c r="J18" s="7">
        <f>LOOKUP(I18,{0,15,17,19,21,23,25,27,29,31,33,35,37,39,41,43,45,48,51,53,55},{0,10,20,30,40,50,60,62,64,66,68,70,72,74,76,78,80,85,90,95,100})</f>
        <v>72</v>
      </c>
      <c r="K18" s="5"/>
      <c r="L18" s="5"/>
      <c r="M18" s="5">
        <f t="shared" si="7"/>
        <v>72</v>
      </c>
      <c r="N18" s="5">
        <v>9</v>
      </c>
      <c r="O18" s="10">
        <f t="shared" si="8"/>
        <v>9</v>
      </c>
      <c r="P18" s="7">
        <f>LOOKUP(O18,{0,6.6,6.8,7,7.2,7.4,7.6,7.8,8,8.2,8.4,8.6,8.8,9,9.2,9.4,9.6,9.9,10.2,10.3,10.4},{0,10,20,30,40,50,60,62,64,66,68,70,72,74,76,78,80,85,90,95,100})</f>
        <v>74</v>
      </c>
      <c r="Q18" s="5">
        <v>3.57</v>
      </c>
      <c r="R18" s="10">
        <f t="shared" si="9"/>
        <v>6.43</v>
      </c>
      <c r="S18" s="7">
        <f>LOOKUP(R18,{0,4.74,4.84,4.94,5.44,5.54,5.64,5.69,5.74,5.79,5.84,5.89,5.94,5.99,6.44,6.49,6.54,6.61,6.68,6.74,6.8},{0,10,20,30,40,50,60,62,64,66,68,70,72,74,76,78,80,85,90,95,100})</f>
        <v>74</v>
      </c>
      <c r="T18" s="5"/>
      <c r="U18" s="5"/>
      <c r="V18" s="5">
        <f t="shared" si="10"/>
        <v>74</v>
      </c>
      <c r="W18" s="5"/>
      <c r="X18" s="13">
        <f t="shared" si="6"/>
        <v>52.2</v>
      </c>
      <c r="Y18" s="13">
        <f t="shared" si="11"/>
        <v>74.5714285714286</v>
      </c>
    </row>
    <row r="19" ht="15.6" hidden="1" outlineLevel="2" spans="1:25">
      <c r="A19" s="5">
        <v>302</v>
      </c>
      <c r="B19" s="5">
        <v>36</v>
      </c>
      <c r="C19" s="5" t="s">
        <v>97</v>
      </c>
      <c r="D19" s="5" t="s">
        <v>46</v>
      </c>
      <c r="E19" s="5">
        <v>21</v>
      </c>
      <c r="F19" s="7">
        <f>LOOKUP(E19,{0,1.5,2.3,3.1,3.9,4.7,5.5,6.8,8.1,9.4,10.7,12,13.3,14.6,15.9,17.2,18.5,20.2,21.9,23.6,25.3},{0,10,20,30,40,50,60,62,64,66,68,70,72,74,76,78,80,85,90,95,100})</f>
        <v>85</v>
      </c>
      <c r="G19" s="5">
        <v>210</v>
      </c>
      <c r="H19" s="7">
        <f>LOOKUP(G19,{0,125,130,135,140,145,150,153,156,159,162,165,168,171,174,177,180,187,194,200,206},{0,10,20,30,40,50,60,62,64,66,68,70,72,74,76,78,80,85,90,95,100})</f>
        <v>100</v>
      </c>
      <c r="I19" s="5">
        <v>48</v>
      </c>
      <c r="J19" s="7">
        <f>LOOKUP(I19,{0,15,17,19,21,23,25,27,29,31,33,35,37,39,41,43,45,48,51,53,55},{0,10,20,30,40,50,60,62,64,66,68,70,72,74,76,78,80,85,90,95,100})</f>
        <v>85</v>
      </c>
      <c r="K19" s="5"/>
      <c r="L19" s="5"/>
      <c r="M19" s="5">
        <f t="shared" si="7"/>
        <v>85</v>
      </c>
      <c r="N19" s="5">
        <v>8.3</v>
      </c>
      <c r="O19" s="10">
        <f t="shared" si="8"/>
        <v>9.7</v>
      </c>
      <c r="P19" s="7">
        <f>LOOKUP(O19,{0,6.6,6.8,7,7.2,7.4,7.6,7.8,8,8.2,8.4,8.6,8.8,9,9.2,9.4,9.6,9.9,10.2,10.3,10.4},{0,10,20,30,40,50,60,62,64,66,68,70,72,74,76,78,80,85,90,95,100})</f>
        <v>80</v>
      </c>
      <c r="Q19" s="5">
        <v>3.39</v>
      </c>
      <c r="R19" s="10">
        <f t="shared" si="9"/>
        <v>6.61</v>
      </c>
      <c r="S19" s="7">
        <f>LOOKUP(R19,{0,4.74,4.84,4.94,5.44,5.54,5.64,5.69,5.74,5.79,5.84,5.89,5.94,5.99,6.44,6.49,6.54,6.61,6.68,6.74,6.8},{0,10,20,30,40,50,60,62,64,66,68,70,72,74,76,78,80,85,90,95,100})</f>
        <v>85</v>
      </c>
      <c r="T19" s="5"/>
      <c r="U19" s="5"/>
      <c r="V19" s="5">
        <f t="shared" si="10"/>
        <v>85</v>
      </c>
      <c r="W19" s="5"/>
      <c r="X19" s="13">
        <f t="shared" si="6"/>
        <v>60</v>
      </c>
      <c r="Y19" s="13">
        <f t="shared" si="11"/>
        <v>85.7142857142857</v>
      </c>
    </row>
    <row r="20" ht="15.6" hidden="1" outlineLevel="2" spans="1:25">
      <c r="A20" s="5">
        <v>302</v>
      </c>
      <c r="B20" s="5">
        <v>37</v>
      </c>
      <c r="C20" s="5" t="s">
        <v>98</v>
      </c>
      <c r="D20" s="5" t="s">
        <v>46</v>
      </c>
      <c r="E20" s="5">
        <v>18.5</v>
      </c>
      <c r="F20" s="7">
        <f>LOOKUP(E20,{0,1.5,2.3,3.1,3.9,4.7,5.5,6.8,8.1,9.4,10.7,12,13.3,14.6,15.9,17.2,18.5,20.2,21.9,23.6,25.3},{0,10,20,30,40,50,60,62,64,66,68,70,72,74,76,78,80,85,90,95,100})</f>
        <v>80</v>
      </c>
      <c r="G20" s="5">
        <v>147</v>
      </c>
      <c r="H20" s="7">
        <f>LOOKUP(G20,{0,125,130,135,140,145,150,153,156,159,162,165,168,171,174,177,180,187,194,200,206},{0,10,20,30,40,50,60,62,64,66,68,70,72,74,76,78,80,85,90,95,100})</f>
        <v>50</v>
      </c>
      <c r="I20" s="5">
        <v>39</v>
      </c>
      <c r="J20" s="7">
        <f>LOOKUP(I20,{0,15,17,19,21,23,25,27,29,31,33,35,37,39,41,43,45,48,51,53,55},{0,10,20,30,40,50,60,62,64,66,68,70,72,74,76,78,80,85,90,95,100})</f>
        <v>74</v>
      </c>
      <c r="K20" s="5"/>
      <c r="L20" s="5"/>
      <c r="M20" s="5">
        <f t="shared" si="7"/>
        <v>74</v>
      </c>
      <c r="N20" s="5">
        <v>9.5</v>
      </c>
      <c r="O20" s="10">
        <f t="shared" si="8"/>
        <v>8.5</v>
      </c>
      <c r="P20" s="7">
        <f>LOOKUP(O20,{0,6.6,6.8,7,7.2,7.4,7.6,7.8,8,8.2,8.4,8.6,8.8,9,9.2,9.4,9.6,9.9,10.2,10.3,10.4},{0,10,20,30,40,50,60,62,64,66,68,70,72,74,76,78,80,85,90,95,100})</f>
        <v>68</v>
      </c>
      <c r="Q20" s="5">
        <v>3.54</v>
      </c>
      <c r="R20" s="10">
        <f t="shared" si="9"/>
        <v>6.46</v>
      </c>
      <c r="S20" s="7">
        <f>LOOKUP(R20,{0,4.74,4.84,4.94,5.44,5.54,5.64,5.69,5.74,5.79,5.84,5.89,5.94,5.99,6.44,6.49,6.54,6.61,6.68,6.74,6.8},{0,10,20,30,40,50,60,62,64,66,68,70,72,74,76,78,80,85,90,95,100})</f>
        <v>76</v>
      </c>
      <c r="T20" s="5"/>
      <c r="U20" s="5"/>
      <c r="V20" s="5">
        <f t="shared" si="10"/>
        <v>76</v>
      </c>
      <c r="W20" s="5"/>
      <c r="X20" s="13">
        <f t="shared" si="6"/>
        <v>49.2</v>
      </c>
      <c r="Y20" s="13">
        <f t="shared" si="11"/>
        <v>70.2857142857143</v>
      </c>
    </row>
    <row r="21" ht="15.6" hidden="1" outlineLevel="2" spans="1:25">
      <c r="A21" s="5">
        <v>302</v>
      </c>
      <c r="B21" s="5">
        <v>38</v>
      </c>
      <c r="C21" s="5" t="s">
        <v>99</v>
      </c>
      <c r="D21" s="5" t="s">
        <v>46</v>
      </c>
      <c r="E21" s="5">
        <v>28.5</v>
      </c>
      <c r="F21" s="7">
        <f>LOOKUP(E21,{0,1.5,2.3,3.1,3.9,4.7,5.5,6.8,8.1,9.4,10.7,12,13.3,14.6,15.9,17.2,18.5,20.2,21.9,23.6,25.3},{0,10,20,30,40,50,60,62,64,66,68,70,72,74,76,78,80,85,90,95,100})</f>
        <v>100</v>
      </c>
      <c r="G21" s="5">
        <v>195</v>
      </c>
      <c r="H21" s="7">
        <f>LOOKUP(G21,{0,125,130,135,140,145,150,153,156,159,162,165,168,171,174,177,180,187,194,200,206},{0,10,20,30,40,50,60,62,64,66,68,70,72,74,76,78,80,85,90,95,100})</f>
        <v>90</v>
      </c>
      <c r="I21" s="5">
        <v>48</v>
      </c>
      <c r="J21" s="7">
        <f>LOOKUP(I21,{0,15,17,19,21,23,25,27,29,31,33,35,37,39,41,43,45,48,51,53,55},{0,10,20,30,40,50,60,62,64,66,68,70,72,74,76,78,80,85,90,95,100})</f>
        <v>85</v>
      </c>
      <c r="K21" s="5"/>
      <c r="L21" s="5"/>
      <c r="M21" s="5">
        <f t="shared" si="7"/>
        <v>85</v>
      </c>
      <c r="N21" s="5">
        <v>8.9</v>
      </c>
      <c r="O21" s="10">
        <f t="shared" si="8"/>
        <v>9.1</v>
      </c>
      <c r="P21" s="7">
        <f>LOOKUP(O21,{0,6.6,6.8,7,7.2,7.4,7.6,7.8,8,8.2,8.4,8.6,8.8,9,9.2,9.4,9.6,9.9,10.2,10.3,10.4},{0,10,20,30,40,50,60,62,64,66,68,70,72,74,76,78,80,85,90,95,100})</f>
        <v>74</v>
      </c>
      <c r="Q21" s="5">
        <v>3.56</v>
      </c>
      <c r="R21" s="10">
        <f t="shared" si="9"/>
        <v>6.44</v>
      </c>
      <c r="S21" s="7">
        <f>LOOKUP(R21,{0,4.74,4.84,4.94,5.44,5.54,5.64,5.69,5.74,5.79,5.84,5.89,5.94,5.99,6.44,6.49,6.54,6.61,6.68,6.74,6.8},{0,10,20,30,40,50,60,62,64,66,68,70,72,74,76,78,80,85,90,95,100})</f>
        <v>76</v>
      </c>
      <c r="T21" s="5"/>
      <c r="U21" s="5"/>
      <c r="V21" s="5">
        <f t="shared" si="10"/>
        <v>76</v>
      </c>
      <c r="W21" s="5"/>
      <c r="X21" s="13">
        <f t="shared" si="6"/>
        <v>57.5</v>
      </c>
      <c r="Y21" s="13">
        <f t="shared" si="11"/>
        <v>82.1428571428572</v>
      </c>
    </row>
    <row r="22" ht="15.6" hidden="1" outlineLevel="2" spans="1:25">
      <c r="A22" s="5">
        <v>302</v>
      </c>
      <c r="B22" s="5">
        <v>39</v>
      </c>
      <c r="C22" s="5" t="s">
        <v>100</v>
      </c>
      <c r="D22" s="5" t="s">
        <v>46</v>
      </c>
      <c r="E22" s="5">
        <v>18.5</v>
      </c>
      <c r="F22" s="7">
        <f>LOOKUP(E22,{0,1.5,2.3,3.1,3.9,4.7,5.5,6.8,8.1,9.4,10.7,12,13.3,14.6,15.9,17.2,18.5,20.2,21.9,23.6,25.3},{0,10,20,30,40,50,60,62,64,66,68,70,72,74,76,78,80,85,90,95,100})</f>
        <v>80</v>
      </c>
      <c r="G22" s="5">
        <v>208</v>
      </c>
      <c r="H22" s="7">
        <f>LOOKUP(G22,{0,125,130,135,140,145,150,153,156,159,162,165,168,171,174,177,180,187,194,200,206},{0,10,20,30,40,50,60,62,64,66,68,70,72,74,76,78,80,85,90,95,100})</f>
        <v>100</v>
      </c>
      <c r="I22" s="5">
        <v>44</v>
      </c>
      <c r="J22" s="7">
        <f>LOOKUP(I22,{0,15,17,19,21,23,25,27,29,31,33,35,37,39,41,43,45,48,51,53,55},{0,10,20,30,40,50,60,62,64,66,68,70,72,74,76,78,80,85,90,95,100})</f>
        <v>78</v>
      </c>
      <c r="K22" s="5"/>
      <c r="L22" s="5"/>
      <c r="M22" s="5">
        <f t="shared" si="7"/>
        <v>78</v>
      </c>
      <c r="N22" s="5">
        <v>8.6</v>
      </c>
      <c r="O22" s="10">
        <f t="shared" si="8"/>
        <v>9.4</v>
      </c>
      <c r="P22" s="7">
        <f>LOOKUP(O22,{0,6.6,6.8,7,7.2,7.4,7.6,7.8,8,8.2,8.4,8.6,8.8,9,9.2,9.4,9.6,9.9,10.2,10.3,10.4},{0,10,20,30,40,50,60,62,64,66,68,70,72,74,76,78,80,85,90,95,100})</f>
        <v>78</v>
      </c>
      <c r="Q22" s="5">
        <v>3.24</v>
      </c>
      <c r="R22" s="10">
        <f t="shared" si="9"/>
        <v>6.76</v>
      </c>
      <c r="S22" s="7">
        <f>LOOKUP(R22,{0,4.74,4.84,4.94,5.44,5.54,5.64,5.69,5.74,5.79,5.84,5.89,5.94,5.99,6.44,6.49,6.54,6.61,6.68,6.74,6.8},{0,10,20,30,40,50,60,62,64,66,68,70,72,74,76,78,80,85,90,95,100})</f>
        <v>95</v>
      </c>
      <c r="T22" s="5"/>
      <c r="U22" s="5"/>
      <c r="V22" s="5">
        <f t="shared" si="10"/>
        <v>95</v>
      </c>
      <c r="W22" s="5"/>
      <c r="X22" s="13">
        <f t="shared" si="6"/>
        <v>60.4</v>
      </c>
      <c r="Y22" s="13">
        <f t="shared" si="11"/>
        <v>86.2857142857143</v>
      </c>
    </row>
    <row r="23" ht="15.6" hidden="1" outlineLevel="2" spans="1:25">
      <c r="A23" s="5">
        <v>302</v>
      </c>
      <c r="B23" s="5">
        <v>40</v>
      </c>
      <c r="C23" s="5" t="s">
        <v>101</v>
      </c>
      <c r="D23" s="5" t="s">
        <v>46</v>
      </c>
      <c r="E23" s="5">
        <v>15</v>
      </c>
      <c r="F23" s="7">
        <f>LOOKUP(E23,{0,1.5,2.3,3.1,3.9,4.7,5.5,6.8,8.1,9.4,10.7,12,13.3,14.6,15.9,17.2,18.5,20.2,21.9,23.6,25.3},{0,10,20,30,40,50,60,62,64,66,68,70,72,74,76,78,80,85,90,95,100})</f>
        <v>74</v>
      </c>
      <c r="G23" s="5">
        <v>175</v>
      </c>
      <c r="H23" s="7">
        <f>LOOKUP(G23,{0,125,130,135,140,145,150,153,156,159,162,165,168,171,174,177,180,187,194,200,206},{0,10,20,30,40,50,60,62,64,66,68,70,72,74,76,78,80,85,90,95,100})</f>
        <v>76</v>
      </c>
      <c r="I23" s="5">
        <v>34</v>
      </c>
      <c r="J23" s="7">
        <f>LOOKUP(I23,{0,15,17,19,21,23,25,27,29,31,33,35,37,39,41,43,45,48,51,53,55},{0,10,20,30,40,50,60,62,64,66,68,70,72,74,76,78,80,85,90,95,100})</f>
        <v>68</v>
      </c>
      <c r="K23" s="5"/>
      <c r="L23" s="5"/>
      <c r="M23" s="5">
        <f t="shared" si="7"/>
        <v>68</v>
      </c>
      <c r="N23" s="5">
        <v>9.2</v>
      </c>
      <c r="O23" s="10">
        <f t="shared" si="8"/>
        <v>8.8</v>
      </c>
      <c r="P23" s="7">
        <f>LOOKUP(O23,{0,6.6,6.8,7,7.2,7.4,7.6,7.8,8,8.2,8.4,8.6,8.8,9,9.2,9.4,9.6,9.9,10.2,10.3,10.4},{0,10,20,30,40,50,60,62,64,66,68,70,72,74,76,78,80,85,90,95,100})</f>
        <v>72</v>
      </c>
      <c r="Q23" s="5" t="s">
        <v>77</v>
      </c>
      <c r="R23" s="5"/>
      <c r="S23" s="5"/>
      <c r="T23" s="5"/>
      <c r="U23" s="5"/>
      <c r="V23" s="5"/>
      <c r="W23" s="5"/>
      <c r="X23" s="13">
        <f t="shared" si="6"/>
        <v>36.2</v>
      </c>
      <c r="Y23" s="13">
        <f t="shared" si="11"/>
        <v>51.7142857142857</v>
      </c>
    </row>
    <row r="24" ht="15.6" outlineLevel="1" collapsed="1" spans="1:25">
      <c r="A24" s="6" t="s">
        <v>853</v>
      </c>
      <c r="B24" s="5"/>
      <c r="C24" s="5"/>
      <c r="D24" s="5"/>
      <c r="E24" s="5"/>
      <c r="F24" s="7">
        <f>SUBTOTAL(1,F14:F23)</f>
        <v>81</v>
      </c>
      <c r="G24" s="5"/>
      <c r="H24" s="7">
        <f>SUBTOTAL(1,H14:H23)</f>
        <v>81.6</v>
      </c>
      <c r="I24" s="5"/>
      <c r="J24" s="7">
        <f>SUBTOTAL(1,J14:J23)</f>
        <v>80.25</v>
      </c>
      <c r="K24" s="5"/>
      <c r="L24" s="5"/>
      <c r="M24" s="5">
        <f>SUBTOTAL(1,M14:M23)</f>
        <v>80.375</v>
      </c>
      <c r="N24" s="5"/>
      <c r="O24" s="10"/>
      <c r="P24" s="7">
        <f>SUBTOTAL(1,P14:P23)</f>
        <v>75</v>
      </c>
      <c r="Q24" s="5"/>
      <c r="R24" s="5"/>
      <c r="S24" s="5">
        <f>SUBTOTAL(1,S14:S23)</f>
        <v>82.2857142857143</v>
      </c>
      <c r="T24" s="5"/>
      <c r="U24" s="5"/>
      <c r="V24" s="5">
        <f>SUBTOTAL(1,V14:V23)</f>
        <v>82.2857142857143</v>
      </c>
      <c r="W24" s="5"/>
      <c r="X24" s="13">
        <f>SUBTOTAL(1,X14:X23)</f>
        <v>46.2</v>
      </c>
      <c r="Y24" s="13">
        <f>SUBTOTAL(1,Y14:Y23)</f>
        <v>71.4571428571429</v>
      </c>
    </row>
    <row r="25" ht="15.6" hidden="1" outlineLevel="2" spans="1:25">
      <c r="A25" s="5">
        <v>303</v>
      </c>
      <c r="B25" s="5">
        <v>36</v>
      </c>
      <c r="C25" s="6" t="s">
        <v>139</v>
      </c>
      <c r="D25" s="5" t="s">
        <v>46</v>
      </c>
      <c r="E25" s="5">
        <v>21.5</v>
      </c>
      <c r="F25" s="7">
        <f>LOOKUP(E25,{0,1.5,2.3,3.1,3.9,4.7,5.5,6.8,8.1,9.4,10.7,12,13.3,14.6,15.9,17.2,18.5,20.2,21.9,23.6,25.3},{0,10,20,30,40,50,60,62,64,66,68,70,72,74,76,78,80,85,90,95,100})</f>
        <v>85</v>
      </c>
      <c r="G25" s="5">
        <v>190</v>
      </c>
      <c r="H25" s="7">
        <f>LOOKUP(G25,{0,125,130,135,140,145,150,153,156,159,162,165,168,171,174,177,180,187,194,200,206},{0,10,20,30,40,50,60,62,64,66,68,70,72,74,76,78,80,85,90,95,100})</f>
        <v>85</v>
      </c>
      <c r="I25" s="5">
        <v>42</v>
      </c>
      <c r="J25" s="7">
        <f>LOOKUP(I25,{0,15,17,19,21,23,25,27,29,31,33,35,37,39,41,43,45,48,51,53,55},{0,10,20,30,40,50,60,62,64,66,68,70,72,74,76,78,80,85,90,95,100})</f>
        <v>76</v>
      </c>
      <c r="K25" s="5"/>
      <c r="L25" s="5"/>
      <c r="M25" s="5">
        <f>J25+L25</f>
        <v>76</v>
      </c>
      <c r="N25" s="5">
        <v>8.4</v>
      </c>
      <c r="O25" s="10">
        <f>18-N25</f>
        <v>9.6</v>
      </c>
      <c r="P25" s="7">
        <f>LOOKUP(O25,{0,6.6,6.8,7,7.2,7.4,7.6,7.8,8,8.2,8.4,8.6,8.8,9,9.2,9.4,9.6,9.9,10.2,10.3,10.4},{0,10,20,30,40,50,60,62,64,66,68,70,72,74,76,78,80,85,90,95,100})</f>
        <v>80</v>
      </c>
      <c r="Q25" s="5">
        <v>4.06</v>
      </c>
      <c r="R25" s="10">
        <f t="shared" ref="R25:R29" si="12">10-Q25</f>
        <v>5.94</v>
      </c>
      <c r="S25" s="7">
        <f>LOOKUP(R25,{0,4.74,4.84,4.94,5.44,5.54,5.64,5.69,5.74,5.79,5.84,5.89,5.94,5.99,6.44,6.49,6.54,6.61,6.68,6.74,6.8},{0,10,20,30,40,50,60,62,64,66,68,70,72,74,76,78,80,85,90,95,100})</f>
        <v>72</v>
      </c>
      <c r="T25" s="5"/>
      <c r="U25" s="5"/>
      <c r="V25" s="5">
        <f t="shared" ref="V25:V29" si="13">S25+U25</f>
        <v>72</v>
      </c>
      <c r="W25" s="5"/>
      <c r="X25" s="13">
        <f>F25*0.1+H25*0.1+J25*0.1+P25*0.2+S25*0.2</f>
        <v>55</v>
      </c>
      <c r="Y25" s="13">
        <f>X25/0.7+L25+U25</f>
        <v>78.5714285714286</v>
      </c>
    </row>
    <row r="26" ht="15.6" hidden="1" outlineLevel="2" spans="1:25">
      <c r="A26" s="5">
        <v>303</v>
      </c>
      <c r="B26" s="5">
        <v>37</v>
      </c>
      <c r="C26" s="5" t="s">
        <v>140</v>
      </c>
      <c r="D26" s="5" t="s">
        <v>46</v>
      </c>
      <c r="E26" s="5">
        <v>16.5</v>
      </c>
      <c r="F26" s="7">
        <f>LOOKUP(E26,{0,1.5,2.3,3.1,3.9,4.7,5.5,6.8,8.1,9.4,10.7,12,13.3,14.6,15.9,17.2,18.5,20.2,21.9,23.6,25.3},{0,10,20,30,40,50,60,62,64,66,68,70,72,74,76,78,80,85,90,95,100})</f>
        <v>76</v>
      </c>
      <c r="G26" s="5">
        <v>180</v>
      </c>
      <c r="H26" s="7">
        <f>LOOKUP(G26,{0,125,130,135,140,145,150,153,156,159,162,165,168,171,174,177,180,187,194,200,206},{0,10,20,30,40,50,60,62,64,66,68,70,72,74,76,78,80,85,90,95,100})</f>
        <v>80</v>
      </c>
      <c r="I26" s="5">
        <v>55</v>
      </c>
      <c r="J26" s="7">
        <f>LOOKUP(I26,{0,15,17,19,21,23,25,27,29,31,33,35,37,39,41,43,45,48,51,53,55},{0,10,20,30,40,50,60,62,64,66,68,70,72,74,76,78,80,85,90,95,100})</f>
        <v>100</v>
      </c>
      <c r="K26" s="5"/>
      <c r="L26" s="5"/>
      <c r="M26" s="5">
        <f>J26+L26</f>
        <v>100</v>
      </c>
      <c r="N26" s="5">
        <v>9.1</v>
      </c>
      <c r="O26" s="10">
        <f>18-N26</f>
        <v>8.9</v>
      </c>
      <c r="P26" s="7">
        <f>LOOKUP(O26,{0,6.6,6.8,7,7.2,7.4,7.6,7.8,8,8.2,8.4,8.6,8.8,9,9.2,9.4,9.6,9.9,10.2,10.3,10.4},{0,10,20,30,40,50,60,62,64,66,68,70,72,74,76,78,80,85,90,95,100})</f>
        <v>72</v>
      </c>
      <c r="Q26" s="5">
        <v>3.51</v>
      </c>
      <c r="R26" s="10">
        <f t="shared" si="12"/>
        <v>6.49</v>
      </c>
      <c r="S26" s="7">
        <f>LOOKUP(R26,{0,4.74,4.84,4.94,5.44,5.54,5.64,5.69,5.74,5.79,5.84,5.89,5.94,5.99,6.44,6.49,6.54,6.61,6.68,6.74,6.8},{0,10,20,30,40,50,60,62,64,66,68,70,72,74,76,78,80,85,90,95,100})</f>
        <v>78</v>
      </c>
      <c r="T26" s="5"/>
      <c r="U26" s="5"/>
      <c r="V26" s="5">
        <f t="shared" si="13"/>
        <v>78</v>
      </c>
      <c r="W26" s="5"/>
      <c r="X26" s="13">
        <f>F26*0.1+H26*0.1+J26*0.1+P26*0.2+S26*0.2</f>
        <v>55.6</v>
      </c>
      <c r="Y26" s="13">
        <f>X26/0.7+L26+U26</f>
        <v>79.4285714285714</v>
      </c>
    </row>
    <row r="27" ht="15.6" hidden="1" outlineLevel="2" spans="1:25">
      <c r="A27" s="5">
        <v>303</v>
      </c>
      <c r="B27" s="5">
        <v>38</v>
      </c>
      <c r="C27" s="5" t="s">
        <v>141</v>
      </c>
      <c r="D27" s="5" t="s">
        <v>46</v>
      </c>
      <c r="E27" s="5">
        <v>10.5</v>
      </c>
      <c r="F27" s="7">
        <f>LOOKUP(E27,{0,1.5,2.3,3.1,3.9,4.7,5.5,6.8,8.1,9.4,10.7,12,13.3,14.6,15.9,17.2,18.5,20.2,21.9,23.6,25.3},{0,10,20,30,40,50,60,62,64,66,68,70,72,74,76,78,80,85,90,95,100})</f>
        <v>66</v>
      </c>
      <c r="G27" s="5">
        <v>176</v>
      </c>
      <c r="H27" s="7">
        <f>LOOKUP(G27,{0,125,130,135,140,145,150,153,156,159,162,165,168,171,174,177,180,187,194,200,206},{0,10,20,30,40,50,60,62,64,66,68,70,72,74,76,78,80,85,90,95,100})</f>
        <v>76</v>
      </c>
      <c r="I27" s="5">
        <v>52</v>
      </c>
      <c r="J27" s="7">
        <f>LOOKUP(I27,{0,15,17,19,21,23,25,27,29,31,33,35,37,39,41,43,45,48,51,53,55},{0,10,20,30,40,50,60,62,64,66,68,70,72,74,76,78,80,85,90,95,100})</f>
        <v>90</v>
      </c>
      <c r="K27" s="5"/>
      <c r="L27" s="5"/>
      <c r="M27" s="5">
        <f>J27+L27</f>
        <v>90</v>
      </c>
      <c r="N27" s="5">
        <v>8.2</v>
      </c>
      <c r="O27" s="10">
        <f>18-N27</f>
        <v>9.8</v>
      </c>
      <c r="P27" s="7">
        <f>LOOKUP(O27,{0,6.6,6.8,7,7.2,7.4,7.6,7.8,8,8.2,8.4,8.6,8.8,9,9.2,9.4,9.6,9.9,10.2,10.3,10.4},{0,10,20,30,40,50,60,62,64,66,68,70,72,74,76,78,80,85,90,95,100})</f>
        <v>80</v>
      </c>
      <c r="Q27" s="5" t="s">
        <v>77</v>
      </c>
      <c r="R27" s="5"/>
      <c r="S27" s="5"/>
      <c r="T27" s="5"/>
      <c r="U27" s="5"/>
      <c r="V27" s="5"/>
      <c r="W27" s="5"/>
      <c r="X27" s="13">
        <f>F27*0.1+H27*0.1+J27*0.1+P27*0.2+S27*0.2</f>
        <v>39.2</v>
      </c>
      <c r="Y27" s="13">
        <f>X27/0.7+L27+U27</f>
        <v>56</v>
      </c>
    </row>
    <row r="28" ht="15.6" hidden="1" outlineLevel="2" spans="1:25">
      <c r="A28" s="5">
        <v>303</v>
      </c>
      <c r="B28" s="5">
        <v>39</v>
      </c>
      <c r="C28" s="5" t="s">
        <v>142</v>
      </c>
      <c r="D28" s="5" t="s">
        <v>46</v>
      </c>
      <c r="E28" s="5">
        <v>17.5</v>
      </c>
      <c r="F28" s="7">
        <f>LOOKUP(E28,{0,1.5,2.3,3.1,3.9,4.7,5.5,6.8,8.1,9.4,10.7,12,13.3,14.6,15.9,17.2,18.5,20.2,21.9,23.6,25.3},{0,10,20,30,40,50,60,62,64,66,68,70,72,74,76,78,80,85,90,95,100})</f>
        <v>78</v>
      </c>
      <c r="G28" s="5">
        <v>168</v>
      </c>
      <c r="H28" s="7">
        <f>LOOKUP(G28,{0,125,130,135,140,145,150,153,156,159,162,165,168,171,174,177,180,187,194,200,206},{0,10,20,30,40,50,60,62,64,66,68,70,72,74,76,78,80,85,90,95,100})</f>
        <v>72</v>
      </c>
      <c r="I28" s="5">
        <v>50</v>
      </c>
      <c r="J28" s="7">
        <f>LOOKUP(I28,{0,15,17,19,21,23,25,27,29,31,33,35,37,39,41,43,45,48,51,53,55},{0,10,20,30,40,50,60,62,64,66,68,70,72,74,76,78,80,85,90,95,100})</f>
        <v>85</v>
      </c>
      <c r="K28" s="5"/>
      <c r="L28" s="5"/>
      <c r="M28" s="5">
        <f>J28+L28</f>
        <v>85</v>
      </c>
      <c r="N28" s="5">
        <v>8.8</v>
      </c>
      <c r="O28" s="10">
        <f>18-N28</f>
        <v>9.2</v>
      </c>
      <c r="P28" s="7">
        <f>LOOKUP(O28,{0,6.6,6.8,7,7.2,7.4,7.6,7.8,8,8.2,8.4,8.6,8.8,9,9.2,9.4,9.6,9.9,10.2,10.3,10.4},{0,10,20,30,40,50,60,62,64,66,68,70,72,74,76,78,80,85,90,95,100})</f>
        <v>76</v>
      </c>
      <c r="Q28" s="5">
        <v>4.44</v>
      </c>
      <c r="R28" s="10">
        <f t="shared" si="12"/>
        <v>5.56</v>
      </c>
      <c r="S28" s="7">
        <f>LOOKUP(R28,{0,4.74,4.84,4.94,5.44,5.54,5.64,5.69,5.74,5.79,5.84,5.89,5.94,5.99,6.44,6.49,6.54,6.61,6.68,6.74,6.8},{0,10,20,30,40,50,60,62,64,66,68,70,72,74,76,78,80,85,90,95,100})</f>
        <v>50</v>
      </c>
      <c r="T28" s="5"/>
      <c r="U28" s="5"/>
      <c r="V28" s="5">
        <f t="shared" si="13"/>
        <v>50</v>
      </c>
      <c r="W28" s="5"/>
      <c r="X28" s="13">
        <f>F28*0.1+H28*0.1+J28*0.1+P28*0.2+S28*0.2</f>
        <v>48.7</v>
      </c>
      <c r="Y28" s="13">
        <f>X28/0.7+L28+U28</f>
        <v>69.5714285714286</v>
      </c>
    </row>
    <row r="29" ht="15.6" hidden="1" outlineLevel="2" spans="1:25">
      <c r="A29" s="5">
        <v>303</v>
      </c>
      <c r="B29" s="5">
        <v>40</v>
      </c>
      <c r="C29" s="5" t="s">
        <v>143</v>
      </c>
      <c r="D29" s="5" t="s">
        <v>46</v>
      </c>
      <c r="E29" s="5">
        <v>21</v>
      </c>
      <c r="F29" s="7">
        <f>LOOKUP(E29,{0,1.5,2.3,3.1,3.9,4.7,5.5,6.8,8.1,9.4,10.7,12,13.3,14.6,15.9,17.2,18.5,20.2,21.9,23.6,25.3},{0,10,20,30,40,50,60,62,64,66,68,70,72,74,76,78,80,85,90,95,100})</f>
        <v>85</v>
      </c>
      <c r="G29" s="5">
        <v>177</v>
      </c>
      <c r="H29" s="7">
        <f>LOOKUP(G29,{0,125,130,135,140,145,150,153,156,159,162,165,168,171,174,177,180,187,194,200,206},{0,10,20,30,40,50,60,62,64,66,68,70,72,74,76,78,80,85,90,95,100})</f>
        <v>78</v>
      </c>
      <c r="I29" s="5">
        <v>53</v>
      </c>
      <c r="J29" s="7">
        <f>LOOKUP(I29,{0,15,17,19,21,23,25,27,29,31,33,35,37,39,41,43,45,48,51,53,55},{0,10,20,30,40,50,60,62,64,66,68,70,72,74,76,78,80,85,90,95,100})</f>
        <v>95</v>
      </c>
      <c r="K29" s="5"/>
      <c r="L29" s="5"/>
      <c r="M29" s="5">
        <f>J29+L29</f>
        <v>95</v>
      </c>
      <c r="N29" s="5">
        <v>8.8</v>
      </c>
      <c r="O29" s="10">
        <f>18-N29</f>
        <v>9.2</v>
      </c>
      <c r="P29" s="7">
        <f>LOOKUP(O29,{0,6.6,6.8,7,7.2,7.4,7.6,7.8,8,8.2,8.4,8.6,8.8,9,9.2,9.4,9.6,9.9,10.2,10.3,10.4},{0,10,20,30,40,50,60,62,64,66,68,70,72,74,76,78,80,85,90,95,100})</f>
        <v>76</v>
      </c>
      <c r="Q29" s="5">
        <v>3.32</v>
      </c>
      <c r="R29" s="10">
        <f t="shared" si="12"/>
        <v>6.68</v>
      </c>
      <c r="S29" s="7">
        <f>LOOKUP(R29,{0,4.74,4.84,4.94,5.44,5.54,5.64,5.69,5.74,5.79,5.84,5.89,5.94,5.99,6.44,6.49,6.54,6.61,6.68,6.74,6.8},{0,10,20,30,40,50,60,62,64,66,68,70,72,74,76,78,80,85,90,95,100})</f>
        <v>90</v>
      </c>
      <c r="T29" s="5"/>
      <c r="U29" s="5"/>
      <c r="V29" s="5">
        <f t="shared" si="13"/>
        <v>90</v>
      </c>
      <c r="W29" s="5"/>
      <c r="X29" s="13">
        <f>F29*0.1+H29*0.1+J29*0.1+P29*0.2+S29*0.2</f>
        <v>59</v>
      </c>
      <c r="Y29" s="13">
        <f>X29/0.7+L29+U29</f>
        <v>84.2857142857143</v>
      </c>
    </row>
    <row r="30" hidden="1" outlineLevel="2" spans="1:25">
      <c r="A30" s="5">
        <v>303</v>
      </c>
      <c r="B30" s="5">
        <v>41</v>
      </c>
      <c r="C30" s="5" t="s">
        <v>144</v>
      </c>
      <c r="D30" s="5" t="s">
        <v>46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50</v>
      </c>
      <c r="X30" s="13"/>
      <c r="Y30" s="13">
        <v>50</v>
      </c>
    </row>
    <row r="31" ht="15.6" hidden="1" outlineLevel="2" spans="1:25">
      <c r="A31" s="5">
        <v>303</v>
      </c>
      <c r="B31" s="5">
        <v>42</v>
      </c>
      <c r="C31" s="5" t="s">
        <v>145</v>
      </c>
      <c r="D31" s="5" t="s">
        <v>46</v>
      </c>
      <c r="E31" s="5">
        <v>19</v>
      </c>
      <c r="F31" s="7">
        <f>LOOKUP(E31,{0,1.5,2.3,3.1,3.9,4.7,5.5,6.8,8.1,9.4,10.7,12,13.3,14.6,15.9,17.2,18.5,20.2,21.9,23.6,25.3},{0,10,20,30,40,50,60,62,64,66,68,70,72,74,76,78,80,85,90,95,100})</f>
        <v>80</v>
      </c>
      <c r="G31" s="5">
        <v>190</v>
      </c>
      <c r="H31" s="7">
        <f>LOOKUP(G31,{0,125,130,135,140,145,150,153,156,159,162,165,168,171,174,177,180,187,194,200,206},{0,10,20,30,40,50,60,62,64,66,68,70,72,74,76,78,80,85,90,95,100})</f>
        <v>85</v>
      </c>
      <c r="I31" s="5">
        <v>46</v>
      </c>
      <c r="J31" s="7">
        <f>LOOKUP(I31,{0,15,17,19,21,23,25,27,29,31,33,35,37,39,41,43,45,48,51,53,55},{0,10,20,30,40,50,60,62,64,66,68,70,72,74,76,78,80,85,90,95,100})</f>
        <v>80</v>
      </c>
      <c r="K31" s="5"/>
      <c r="L31" s="5"/>
      <c r="M31" s="5">
        <f>J31+L31</f>
        <v>80</v>
      </c>
      <c r="N31" s="5">
        <v>9.4</v>
      </c>
      <c r="O31" s="10">
        <f>18-N31</f>
        <v>8.6</v>
      </c>
      <c r="P31" s="7">
        <f>LOOKUP(O31,{0,6.6,6.8,7,7.2,7.4,7.6,7.8,8,8.2,8.4,8.6,8.8,9,9.2,9.4,9.6,9.9,10.2,10.3,10.4},{0,10,20,30,40,50,60,62,64,66,68,70,72,74,76,78,80,85,90,95,100})</f>
        <v>70</v>
      </c>
      <c r="Q31" s="5">
        <v>4.19</v>
      </c>
      <c r="R31" s="10">
        <f>10-Q31</f>
        <v>5.81</v>
      </c>
      <c r="S31" s="7">
        <f>LOOKUP(R31,{0,4.74,4.84,4.94,5.44,5.54,5.64,5.69,5.74,5.79,5.84,5.89,5.94,5.99,6.44,6.49,6.54,6.61,6.68,6.74,6.8},{0,10,20,30,40,50,60,62,64,66,68,70,72,74,76,78,80,85,90,95,100})</f>
        <v>66</v>
      </c>
      <c r="T31" s="5"/>
      <c r="U31" s="5"/>
      <c r="V31" s="5">
        <f>S31+U31</f>
        <v>66</v>
      </c>
      <c r="W31" s="5"/>
      <c r="X31" s="13">
        <f>F31*0.1+H31*0.1+J31*0.1+P31*0.2+S31*0.2</f>
        <v>51.7</v>
      </c>
      <c r="Y31" s="13">
        <f>X31/0.7+L31+U31</f>
        <v>73.8571428571429</v>
      </c>
    </row>
    <row r="32" ht="15.6" hidden="1" outlineLevel="2" spans="1:25">
      <c r="A32" s="5">
        <v>303</v>
      </c>
      <c r="B32" s="5">
        <v>44</v>
      </c>
      <c r="C32" s="5" t="s">
        <v>146</v>
      </c>
      <c r="D32" s="5" t="s">
        <v>46</v>
      </c>
      <c r="E32" s="5">
        <v>14</v>
      </c>
      <c r="F32" s="7">
        <f>LOOKUP(E32,{0,1.5,2.3,3.1,3.9,4.7,5.5,6.8,8.1,9.4,10.7,12,13.3,14.6,15.9,17.2,18.5,20.2,21.9,23.6,25.3},{0,10,20,30,40,50,60,62,64,66,68,70,72,74,76,78,80,85,90,95,100})</f>
        <v>72</v>
      </c>
      <c r="G32" s="5">
        <v>160</v>
      </c>
      <c r="H32" s="7">
        <f>LOOKUP(G32,{0,125,130,135,140,145,150,153,156,159,162,165,168,171,174,177,180,187,194,200,206},{0,10,20,30,40,50,60,62,64,66,68,70,72,74,76,78,80,85,90,95,100})</f>
        <v>66</v>
      </c>
      <c r="I32" s="5">
        <v>36</v>
      </c>
      <c r="J32" s="7">
        <f>LOOKUP(I32,{0,15,17,19,21,23,25,27,29,31,33,35,37,39,41,43,45,48,51,53,55},{0,10,20,30,40,50,60,62,64,66,68,70,72,74,76,78,80,85,90,95,100})</f>
        <v>70</v>
      </c>
      <c r="K32" s="5"/>
      <c r="L32" s="5"/>
      <c r="M32" s="5">
        <f>J32+L32</f>
        <v>70</v>
      </c>
      <c r="N32" s="5">
        <v>9</v>
      </c>
      <c r="O32" s="10">
        <f>18-N32</f>
        <v>9</v>
      </c>
      <c r="P32" s="7">
        <f>LOOKUP(O32,{0,6.6,6.8,7,7.2,7.4,7.6,7.8,8,8.2,8.4,8.6,8.8,9,9.2,9.4,9.6,9.9,10.2,10.3,10.4},{0,10,20,30,40,50,60,62,64,66,68,70,72,74,76,78,80,85,90,95,100})</f>
        <v>74</v>
      </c>
      <c r="Q32" s="5">
        <v>4.44</v>
      </c>
      <c r="R32" s="10">
        <f>10-Q32</f>
        <v>5.56</v>
      </c>
      <c r="S32" s="7">
        <f>LOOKUP(R32,{0,4.74,4.84,4.94,5.44,5.54,5.64,5.69,5.74,5.79,5.84,5.89,5.94,5.99,6.44,6.49,6.54,6.61,6.68,6.74,6.8},{0,10,20,30,40,50,60,62,64,66,68,70,72,74,76,78,80,85,90,95,100})</f>
        <v>50</v>
      </c>
      <c r="T32" s="5"/>
      <c r="U32" s="5"/>
      <c r="V32" s="5">
        <f>S32+U32</f>
        <v>50</v>
      </c>
      <c r="W32" s="5"/>
      <c r="X32" s="13">
        <f>F32*0.1+H32*0.1+J32*0.1+P32*0.2+S32*0.2</f>
        <v>45.6</v>
      </c>
      <c r="Y32" s="13">
        <f>X32/0.7+L32+U32</f>
        <v>65.1428571428572</v>
      </c>
    </row>
    <row r="33" ht="15.6" outlineLevel="1" collapsed="1" spans="1:25">
      <c r="A33" s="6" t="s">
        <v>854</v>
      </c>
      <c r="B33" s="5"/>
      <c r="C33" s="5"/>
      <c r="D33" s="5"/>
      <c r="E33" s="5"/>
      <c r="F33" s="7">
        <f>SUBTOTAL(1,F25:F32)</f>
        <v>77.4285714285714</v>
      </c>
      <c r="G33" s="5"/>
      <c r="H33" s="7">
        <f>SUBTOTAL(1,H25:H32)</f>
        <v>77.4285714285714</v>
      </c>
      <c r="I33" s="5"/>
      <c r="J33" s="7">
        <f>SUBTOTAL(1,J25:J32)</f>
        <v>85.1428571428571</v>
      </c>
      <c r="K33" s="5"/>
      <c r="L33" s="5"/>
      <c r="M33" s="5">
        <f>SUBTOTAL(1,M25:M32)</f>
        <v>85.1428571428571</v>
      </c>
      <c r="N33" s="5"/>
      <c r="O33" s="10"/>
      <c r="P33" s="7">
        <f>SUBTOTAL(1,P25:P32)</f>
        <v>75.4285714285714</v>
      </c>
      <c r="Q33" s="5"/>
      <c r="R33" s="10"/>
      <c r="S33" s="7">
        <f>SUBTOTAL(1,S25:S32)</f>
        <v>67.6666666666667</v>
      </c>
      <c r="T33" s="5"/>
      <c r="U33" s="5"/>
      <c r="V33" s="5">
        <f>SUBTOTAL(1,V25:V32)</f>
        <v>67.6666666666667</v>
      </c>
      <c r="W33" s="5"/>
      <c r="X33" s="13">
        <f>SUBTOTAL(1,X25:X32)</f>
        <v>50.6857142857143</v>
      </c>
      <c r="Y33" s="13">
        <f>SUBTOTAL(1,Y25:Y32)</f>
        <v>69.6071428571428</v>
      </c>
    </row>
    <row r="34" ht="15.6" hidden="1" outlineLevel="2" spans="1:25">
      <c r="A34" s="5">
        <v>305</v>
      </c>
      <c r="B34" s="5">
        <v>40</v>
      </c>
      <c r="C34" s="8" t="s">
        <v>228</v>
      </c>
      <c r="D34" s="9" t="s">
        <v>46</v>
      </c>
      <c r="E34" s="5">
        <v>9.5</v>
      </c>
      <c r="F34" s="7">
        <f>LOOKUP(E34,{0,1.5,2.3,3.1,3.9,4.7,5.5,6.8,8.1,9.4,10.7,12,13.3,14.6,15.9,17.2,18.5,20.2,21.9,23.6,25.3},{0,10,20,30,40,50,60,62,64,66,68,70,72,74,76,78,80,85,90,95,100})</f>
        <v>66</v>
      </c>
      <c r="G34" s="5">
        <v>215</v>
      </c>
      <c r="H34" s="7">
        <f>LOOKUP(G34,{0,125,130,135,140,145,150,153,156,159,162,165,168,171,174,177,180,187,194,200,206},{0,10,20,30,40,50,60,62,64,66,68,70,72,74,76,78,80,85,90,95,100})</f>
        <v>100</v>
      </c>
      <c r="I34" s="5">
        <v>54</v>
      </c>
      <c r="J34" s="7">
        <f>LOOKUP(I34,{0,15,17,19,21,23,25,27,29,31,33,35,37,39,41,43,45,48,51,53,55},{0,10,20,30,40,50,60,62,64,66,68,70,72,74,76,78,80,85,90,95,100})</f>
        <v>95</v>
      </c>
      <c r="K34" s="5"/>
      <c r="L34" s="5"/>
      <c r="M34" s="5">
        <f t="shared" ref="M34:M40" si="14">J34+L34</f>
        <v>95</v>
      </c>
      <c r="N34" s="5" t="s">
        <v>77</v>
      </c>
      <c r="O34" s="5"/>
      <c r="P34" s="5"/>
      <c r="Q34" s="5" t="s">
        <v>77</v>
      </c>
      <c r="R34" s="5"/>
      <c r="S34" s="5"/>
      <c r="T34" s="5"/>
      <c r="U34" s="5"/>
      <c r="V34" s="5"/>
      <c r="W34" s="14">
        <v>50</v>
      </c>
      <c r="X34" s="13">
        <f t="shared" ref="X34:X40" si="15">F34*0.1+H34*0.1+J34*0.1+P34*0.2+S34*0.2</f>
        <v>26.1</v>
      </c>
      <c r="Y34" s="13">
        <v>50</v>
      </c>
    </row>
    <row r="35" ht="15.6" hidden="1" outlineLevel="2" spans="1:25">
      <c r="A35" s="5">
        <v>305</v>
      </c>
      <c r="B35" s="5">
        <v>41</v>
      </c>
      <c r="C35" s="9" t="s">
        <v>229</v>
      </c>
      <c r="D35" s="9" t="s">
        <v>46</v>
      </c>
      <c r="E35" s="5">
        <v>17</v>
      </c>
      <c r="F35" s="7">
        <f>LOOKUP(E35,{0,1.5,2.3,3.1,3.9,4.7,5.5,6.8,8.1,9.4,10.7,12,13.3,14.6,15.9,17.2,18.5,20.2,21.9,23.6,25.3},{0,10,20,30,40,50,60,62,64,66,68,70,72,74,76,78,80,85,90,95,100})</f>
        <v>76</v>
      </c>
      <c r="G35" s="5">
        <v>160</v>
      </c>
      <c r="H35" s="7">
        <f>LOOKUP(G35,{0,125,130,135,140,145,150,153,156,159,162,165,168,171,174,177,180,187,194,200,206},{0,10,20,30,40,50,60,62,64,66,68,70,72,74,76,78,80,85,90,95,100})</f>
        <v>66</v>
      </c>
      <c r="I35" s="5">
        <v>48</v>
      </c>
      <c r="J35" s="7">
        <f>LOOKUP(I35,{0,15,17,19,21,23,25,27,29,31,33,35,37,39,41,43,45,48,51,53,55},{0,10,20,30,40,50,60,62,64,66,68,70,72,74,76,78,80,85,90,95,100})</f>
        <v>85</v>
      </c>
      <c r="K35" s="5"/>
      <c r="L35" s="5"/>
      <c r="M35" s="5">
        <f t="shared" si="14"/>
        <v>85</v>
      </c>
      <c r="N35" s="5">
        <v>9.6</v>
      </c>
      <c r="O35" s="10">
        <f t="shared" ref="O34:O40" si="16">18-N35</f>
        <v>8.4</v>
      </c>
      <c r="P35" s="7">
        <f>LOOKUP(O35,{0,6.6,6.8,7,7.2,7.4,7.6,7.8,8,8.2,8.4,8.6,8.8,9,9.2,9.4,9.6,9.9,10.2,10.3,10.4},{0,10,20,30,40,50,60,62,64,66,68,70,72,74,76,78,80,85,90,95,100})</f>
        <v>68</v>
      </c>
      <c r="Q35" s="5">
        <v>4.06</v>
      </c>
      <c r="R35" s="10">
        <f t="shared" ref="R34:R40" si="17">10-Q35</f>
        <v>5.94</v>
      </c>
      <c r="S35" s="7">
        <f>LOOKUP(R35,{0,4.74,4.84,4.94,5.44,5.54,5.64,5.69,5.74,5.79,5.84,5.89,5.94,5.99,6.44,6.49,6.54,6.61,6.68,6.74,6.8},{0,10,20,30,40,50,60,62,64,66,68,70,72,74,76,78,80,85,90,95,100})</f>
        <v>72</v>
      </c>
      <c r="T35" s="5"/>
      <c r="U35" s="5"/>
      <c r="V35" s="5">
        <f t="shared" ref="V34:V40" si="18">S35+U35</f>
        <v>72</v>
      </c>
      <c r="W35" s="5"/>
      <c r="X35" s="13">
        <f t="shared" si="15"/>
        <v>50.7</v>
      </c>
      <c r="Y35" s="13">
        <f t="shared" ref="Y34:Y40" si="19">X35/0.7+L35+U35</f>
        <v>72.4285714285714</v>
      </c>
    </row>
    <row r="36" ht="15.6" hidden="1" outlineLevel="2" spans="1:25">
      <c r="A36" s="5">
        <v>305</v>
      </c>
      <c r="B36" s="5">
        <v>42</v>
      </c>
      <c r="C36" s="9" t="s">
        <v>230</v>
      </c>
      <c r="D36" s="9" t="s">
        <v>46</v>
      </c>
      <c r="E36" s="5">
        <v>13</v>
      </c>
      <c r="F36" s="7">
        <f>LOOKUP(E36,{0,1.5,2.3,3.1,3.9,4.7,5.5,6.8,8.1,9.4,10.7,12,13.3,14.6,15.9,17.2,18.5,20.2,21.9,23.6,25.3},{0,10,20,30,40,50,60,62,64,66,68,70,72,74,76,78,80,85,90,95,100})</f>
        <v>70</v>
      </c>
      <c r="G36" s="5">
        <v>154</v>
      </c>
      <c r="H36" s="7">
        <f>LOOKUP(G36,{0,125,130,135,140,145,150,153,156,159,162,165,168,171,174,177,180,187,194,200,206},{0,10,20,30,40,50,60,62,64,66,68,70,72,74,76,78,80,85,90,95,100})</f>
        <v>62</v>
      </c>
      <c r="I36" s="5">
        <v>50</v>
      </c>
      <c r="J36" s="7">
        <f>LOOKUP(I36,{0,15,17,19,21,23,25,27,29,31,33,35,37,39,41,43,45,48,51,53,55},{0,10,20,30,40,50,60,62,64,66,68,70,72,74,76,78,80,85,90,95,100})</f>
        <v>85</v>
      </c>
      <c r="K36" s="5"/>
      <c r="L36" s="5"/>
      <c r="M36" s="5">
        <f t="shared" si="14"/>
        <v>85</v>
      </c>
      <c r="N36" s="5">
        <v>9.1</v>
      </c>
      <c r="O36" s="10">
        <f t="shared" si="16"/>
        <v>8.9</v>
      </c>
      <c r="P36" s="7">
        <f>LOOKUP(O36,{0,6.6,6.8,7,7.2,7.4,7.6,7.8,8,8.2,8.4,8.6,8.8,9,9.2,9.4,9.6,9.9,10.2,10.3,10.4},{0,10,20,30,40,50,60,62,64,66,68,70,72,74,76,78,80,85,90,95,100})</f>
        <v>72</v>
      </c>
      <c r="Q36" s="5">
        <v>3.56</v>
      </c>
      <c r="R36" s="10">
        <f t="shared" si="17"/>
        <v>6.44</v>
      </c>
      <c r="S36" s="7">
        <f>LOOKUP(R36,{0,4.74,4.84,4.94,5.44,5.54,5.64,5.69,5.74,5.79,5.84,5.89,5.94,5.99,6.44,6.49,6.54,6.61,6.68,6.74,6.8},{0,10,20,30,40,50,60,62,64,66,68,70,72,74,76,78,80,85,90,95,100})</f>
        <v>76</v>
      </c>
      <c r="T36" s="5"/>
      <c r="U36" s="5"/>
      <c r="V36" s="5">
        <f t="shared" si="18"/>
        <v>76</v>
      </c>
      <c r="W36" s="5"/>
      <c r="X36" s="13">
        <f t="shared" si="15"/>
        <v>51.3</v>
      </c>
      <c r="Y36" s="13">
        <f t="shared" si="19"/>
        <v>73.2857142857143</v>
      </c>
    </row>
    <row r="37" ht="15.6" hidden="1" outlineLevel="2" spans="1:25">
      <c r="A37" s="5">
        <v>305</v>
      </c>
      <c r="B37" s="5">
        <v>43</v>
      </c>
      <c r="C37" s="9" t="s">
        <v>231</v>
      </c>
      <c r="D37" s="9" t="s">
        <v>46</v>
      </c>
      <c r="E37" s="5">
        <v>21.5</v>
      </c>
      <c r="F37" s="7">
        <f>LOOKUP(E37,{0,1.5,2.3,3.1,3.9,4.7,5.5,6.8,8.1,9.4,10.7,12,13.3,14.6,15.9,17.2,18.5,20.2,21.9,23.6,25.3},{0,10,20,30,40,50,60,62,64,66,68,70,72,74,76,78,80,85,90,95,100})</f>
        <v>85</v>
      </c>
      <c r="G37" s="5">
        <v>205</v>
      </c>
      <c r="H37" s="7">
        <f>LOOKUP(G37,{0,125,130,135,140,145,150,153,156,159,162,165,168,171,174,177,180,187,194,200,206},{0,10,20,30,40,50,60,62,64,66,68,70,72,74,76,78,80,85,90,95,100})</f>
        <v>95</v>
      </c>
      <c r="I37" s="5">
        <v>43</v>
      </c>
      <c r="J37" s="7">
        <f>LOOKUP(I37,{0,15,17,19,21,23,25,27,29,31,33,35,37,39,41,43,45,48,51,53,55},{0,10,20,30,40,50,60,62,64,66,68,70,72,74,76,78,80,85,90,95,100})</f>
        <v>78</v>
      </c>
      <c r="K37" s="5"/>
      <c r="L37" s="5"/>
      <c r="M37" s="5">
        <f t="shared" si="14"/>
        <v>78</v>
      </c>
      <c r="N37" s="5">
        <v>8.1</v>
      </c>
      <c r="O37" s="10">
        <f t="shared" si="16"/>
        <v>9.9</v>
      </c>
      <c r="P37" s="7">
        <f>LOOKUP(O37,{0,6.6,6.8,7,7.2,7.4,7.6,7.8,8,8.2,8.4,8.6,8.8,9,9.2,9.4,9.6,9.9,10.2,10.3,10.4},{0,10,20,30,40,50,60,62,64,66,68,70,72,74,76,78,80,85,90,95,100})</f>
        <v>85</v>
      </c>
      <c r="Q37" s="5">
        <v>3.36</v>
      </c>
      <c r="R37" s="10">
        <f t="shared" si="17"/>
        <v>6.64</v>
      </c>
      <c r="S37" s="7">
        <f>LOOKUP(R37,{0,4.74,4.84,4.94,5.44,5.54,5.64,5.69,5.74,5.79,5.84,5.89,5.94,5.99,6.44,6.49,6.54,6.61,6.68,6.74,6.8},{0,10,20,30,40,50,60,62,64,66,68,70,72,74,76,78,80,85,90,95,100})</f>
        <v>85</v>
      </c>
      <c r="T37" s="5"/>
      <c r="U37" s="5"/>
      <c r="V37" s="5">
        <f t="shared" si="18"/>
        <v>85</v>
      </c>
      <c r="W37" s="5"/>
      <c r="X37" s="13">
        <f t="shared" si="15"/>
        <v>59.8</v>
      </c>
      <c r="Y37" s="13">
        <f t="shared" si="19"/>
        <v>85.4285714285714</v>
      </c>
    </row>
    <row r="38" ht="15.6" hidden="1" outlineLevel="2" spans="1:25">
      <c r="A38" s="5">
        <v>305</v>
      </c>
      <c r="B38" s="5">
        <v>44</v>
      </c>
      <c r="C38" s="9" t="s">
        <v>232</v>
      </c>
      <c r="D38" s="9" t="s">
        <v>46</v>
      </c>
      <c r="E38" s="5">
        <v>30.5</v>
      </c>
      <c r="F38" s="7">
        <f>LOOKUP(E38,{0,1.5,2.3,3.1,3.9,4.7,5.5,6.8,8.1,9.4,10.7,12,13.3,14.6,15.9,17.2,18.5,20.2,21.9,23.6,25.3},{0,10,20,30,40,50,60,62,64,66,68,70,72,74,76,78,80,85,90,95,100})</f>
        <v>100</v>
      </c>
      <c r="G38" s="5">
        <v>205</v>
      </c>
      <c r="H38" s="7">
        <f>LOOKUP(G38,{0,125,130,135,140,145,150,153,156,159,162,165,168,171,174,177,180,187,194,200,206},{0,10,20,30,40,50,60,62,64,66,68,70,72,74,76,78,80,85,90,95,100})</f>
        <v>95</v>
      </c>
      <c r="I38" s="5">
        <v>47</v>
      </c>
      <c r="J38" s="7">
        <f>LOOKUP(I38,{0,15,17,19,21,23,25,27,29,31,33,35,37,39,41,43,45,48,51,53,55},{0,10,20,30,40,50,60,62,64,66,68,70,72,74,76,78,80,85,90,95,100})</f>
        <v>80</v>
      </c>
      <c r="K38" s="5"/>
      <c r="L38" s="5"/>
      <c r="M38" s="5">
        <f t="shared" si="14"/>
        <v>80</v>
      </c>
      <c r="N38" s="5">
        <v>8.2</v>
      </c>
      <c r="O38" s="10">
        <f t="shared" si="16"/>
        <v>9.8</v>
      </c>
      <c r="P38" s="7">
        <f>LOOKUP(O38,{0,6.6,6.8,7,7.2,7.4,7.6,7.8,8,8.2,8.4,8.6,8.8,9,9.2,9.4,9.6,9.9,10.2,10.3,10.4},{0,10,20,30,40,50,60,62,64,66,68,70,72,74,76,78,80,85,90,95,100})</f>
        <v>80</v>
      </c>
      <c r="Q38" s="5">
        <v>4.35</v>
      </c>
      <c r="R38" s="10">
        <f t="shared" si="17"/>
        <v>5.65</v>
      </c>
      <c r="S38" s="7">
        <f>LOOKUP(R38,{0,4.74,4.84,4.94,5.44,5.54,5.64,5.69,5.74,5.79,5.84,5.89,5.94,5.99,6.44,6.49,6.54,6.61,6.68,6.74,6.8},{0,10,20,30,40,50,60,62,64,66,68,70,72,74,76,78,80,85,90,95,100})</f>
        <v>60</v>
      </c>
      <c r="T38" s="5"/>
      <c r="U38" s="5"/>
      <c r="V38" s="5">
        <f t="shared" si="18"/>
        <v>60</v>
      </c>
      <c r="W38" s="5"/>
      <c r="X38" s="13">
        <f t="shared" si="15"/>
        <v>55.5</v>
      </c>
      <c r="Y38" s="13">
        <f t="shared" si="19"/>
        <v>79.2857142857143</v>
      </c>
    </row>
    <row r="39" ht="15.6" hidden="1" outlineLevel="2" spans="1:25">
      <c r="A39" s="5">
        <v>305</v>
      </c>
      <c r="B39" s="5">
        <v>45</v>
      </c>
      <c r="C39" s="9" t="s">
        <v>233</v>
      </c>
      <c r="D39" s="9" t="s">
        <v>46</v>
      </c>
      <c r="E39" s="5">
        <v>12.5</v>
      </c>
      <c r="F39" s="7">
        <f>LOOKUP(E39,{0,1.5,2.3,3.1,3.9,4.7,5.5,6.8,8.1,9.4,10.7,12,13.3,14.6,15.9,17.2,18.5,20.2,21.9,23.6,25.3},{0,10,20,30,40,50,60,62,64,66,68,70,72,74,76,78,80,85,90,95,100})</f>
        <v>70</v>
      </c>
      <c r="G39" s="5">
        <v>157</v>
      </c>
      <c r="H39" s="7">
        <f>LOOKUP(G39,{0,125,130,135,140,145,150,153,156,159,162,165,168,171,174,177,180,187,194,200,206},{0,10,20,30,40,50,60,62,64,66,68,70,72,74,76,78,80,85,90,95,100})</f>
        <v>64</v>
      </c>
      <c r="I39" s="5">
        <v>48</v>
      </c>
      <c r="J39" s="7">
        <f>LOOKUP(I39,{0,15,17,19,21,23,25,27,29,31,33,35,37,39,41,43,45,48,51,53,55},{0,10,20,30,40,50,60,62,64,66,68,70,72,74,76,78,80,85,90,95,100})</f>
        <v>85</v>
      </c>
      <c r="K39" s="5"/>
      <c r="L39" s="5"/>
      <c r="M39" s="5">
        <f t="shared" si="14"/>
        <v>85</v>
      </c>
      <c r="N39" s="5">
        <v>9.1</v>
      </c>
      <c r="O39" s="10">
        <f t="shared" si="16"/>
        <v>8.9</v>
      </c>
      <c r="P39" s="7">
        <f>LOOKUP(O39,{0,6.6,6.8,7,7.2,7.4,7.6,7.8,8,8.2,8.4,8.6,8.8,9,9.2,9.4,9.6,9.9,10.2,10.3,10.4},{0,10,20,30,40,50,60,62,64,66,68,70,72,74,76,78,80,85,90,95,100})</f>
        <v>72</v>
      </c>
      <c r="Q39" s="5">
        <v>3.51</v>
      </c>
      <c r="R39" s="10">
        <f t="shared" si="17"/>
        <v>6.49</v>
      </c>
      <c r="S39" s="7">
        <f>LOOKUP(R39,{0,4.74,4.84,4.94,5.44,5.54,5.64,5.69,5.74,5.79,5.84,5.89,5.94,5.99,6.44,6.49,6.54,6.61,6.68,6.74,6.8},{0,10,20,30,40,50,60,62,64,66,68,70,72,74,76,78,80,85,90,95,100})</f>
        <v>78</v>
      </c>
      <c r="T39" s="5"/>
      <c r="U39" s="5"/>
      <c r="V39" s="5">
        <f t="shared" si="18"/>
        <v>78</v>
      </c>
      <c r="W39" s="5"/>
      <c r="X39" s="13">
        <f t="shared" si="15"/>
        <v>51.9</v>
      </c>
      <c r="Y39" s="13">
        <f t="shared" si="19"/>
        <v>74.1428571428571</v>
      </c>
    </row>
    <row r="40" ht="15.6" hidden="1" outlineLevel="2" spans="1:25">
      <c r="A40" s="5">
        <v>305</v>
      </c>
      <c r="B40" s="5">
        <v>46</v>
      </c>
      <c r="C40" s="9" t="s">
        <v>234</v>
      </c>
      <c r="D40" s="9" t="s">
        <v>46</v>
      </c>
      <c r="E40" s="5">
        <v>22.3</v>
      </c>
      <c r="F40" s="7">
        <f>LOOKUP(E40,{0,1.5,2.3,3.1,3.9,4.7,5.5,6.8,8.1,9.4,10.7,12,13.3,14.6,15.9,17.2,18.5,20.2,21.9,23.6,25.3},{0,10,20,30,40,50,60,62,64,66,68,70,72,74,76,78,80,85,90,95,100})</f>
        <v>90</v>
      </c>
      <c r="G40" s="5">
        <v>188</v>
      </c>
      <c r="H40" s="7">
        <f>LOOKUP(G40,{0,125,130,135,140,145,150,153,156,159,162,165,168,171,174,177,180,187,194,200,206},{0,10,20,30,40,50,60,62,64,66,68,70,72,74,76,78,80,85,90,95,100})</f>
        <v>85</v>
      </c>
      <c r="I40" s="5">
        <v>35</v>
      </c>
      <c r="J40" s="7">
        <f>LOOKUP(I40,{0,15,17,19,21,23,25,27,29,31,33,35,37,39,41,43,45,48,51,53,55},{0,10,20,30,40,50,60,62,64,66,68,70,72,74,76,78,80,85,90,95,100})</f>
        <v>70</v>
      </c>
      <c r="K40" s="5"/>
      <c r="L40" s="5"/>
      <c r="M40" s="5">
        <f t="shared" si="14"/>
        <v>70</v>
      </c>
      <c r="N40" s="5">
        <v>9.1</v>
      </c>
      <c r="O40" s="10">
        <f t="shared" si="16"/>
        <v>8.9</v>
      </c>
      <c r="P40" s="7">
        <f>LOOKUP(O40,{0,6.6,6.8,7,7.2,7.4,7.6,7.8,8,8.2,8.4,8.6,8.8,9,9.2,9.4,9.6,9.9,10.2,10.3,10.4},{0,10,20,30,40,50,60,62,64,66,68,70,72,74,76,78,80,85,90,95,100})</f>
        <v>72</v>
      </c>
      <c r="Q40" s="5">
        <v>4</v>
      </c>
      <c r="R40" s="10">
        <f t="shared" si="17"/>
        <v>6</v>
      </c>
      <c r="S40" s="7">
        <f>LOOKUP(R40,{0,4.74,4.84,4.94,5.44,5.54,5.64,5.69,5.74,5.79,5.84,5.89,5.94,5.99,6.44,6.49,6.54,6.61,6.68,6.74,6.8},{0,10,20,30,40,50,60,62,64,66,68,70,72,74,76,78,80,85,90,95,100})</f>
        <v>74</v>
      </c>
      <c r="T40" s="5"/>
      <c r="U40" s="5"/>
      <c r="V40" s="5">
        <f t="shared" si="18"/>
        <v>74</v>
      </c>
      <c r="W40" s="5"/>
      <c r="X40" s="13">
        <f t="shared" si="15"/>
        <v>53.7</v>
      </c>
      <c r="Y40" s="13">
        <f t="shared" si="19"/>
        <v>76.7142857142857</v>
      </c>
    </row>
    <row r="41" hidden="1" outlineLevel="2" spans="1:25">
      <c r="A41" s="5">
        <v>305</v>
      </c>
      <c r="B41" s="5">
        <v>47</v>
      </c>
      <c r="C41" s="9" t="s">
        <v>235</v>
      </c>
      <c r="D41" s="9" t="s">
        <v>46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50</v>
      </c>
      <c r="X41" s="13"/>
      <c r="Y41" s="13">
        <v>50</v>
      </c>
    </row>
    <row r="42" ht="15.6" hidden="1" outlineLevel="2" spans="1:25">
      <c r="A42" s="5">
        <v>305</v>
      </c>
      <c r="B42" s="5">
        <v>48</v>
      </c>
      <c r="C42" s="9" t="s">
        <v>236</v>
      </c>
      <c r="D42" s="9" t="s">
        <v>46</v>
      </c>
      <c r="E42" s="5">
        <v>8.6</v>
      </c>
      <c r="F42" s="7">
        <f>LOOKUP(E42,{0,1.5,2.3,3.1,3.9,4.7,5.5,6.8,8.1,9.4,10.7,12,13.3,14.6,15.9,17.2,18.5,20.2,21.9,23.6,25.3},{0,10,20,30,40,50,60,62,64,66,68,70,72,74,76,78,80,85,90,95,100})</f>
        <v>64</v>
      </c>
      <c r="G42" s="5">
        <v>135</v>
      </c>
      <c r="H42" s="7">
        <f>LOOKUP(G42,{0,125,130,135,140,145,150,153,156,159,162,165,168,171,174,177,180,187,194,200,206},{0,10,20,30,40,50,60,62,64,66,68,70,72,74,76,78,80,85,90,95,100})</f>
        <v>30</v>
      </c>
      <c r="I42" s="5">
        <v>33</v>
      </c>
      <c r="J42" s="7">
        <f>LOOKUP(I42,{0,15,17,19,21,23,25,27,29,31,33,35,37,39,41,43,45,48,51,53,55},{0,10,20,30,40,50,60,62,64,66,68,70,72,74,76,78,80,85,90,95,100})</f>
        <v>68</v>
      </c>
      <c r="K42" s="5"/>
      <c r="L42" s="5"/>
      <c r="M42" s="5">
        <f>J42+L42</f>
        <v>68</v>
      </c>
      <c r="N42" s="5">
        <v>11.9</v>
      </c>
      <c r="O42" s="10">
        <f>18-N42</f>
        <v>6.1</v>
      </c>
      <c r="P42" s="7">
        <f>LOOKUP(O42,{0,6.6,6.8,7,7.2,7.4,7.6,7.8,8,8.2,8.4,8.6,8.8,9,9.2,9.4,9.6,9.9,10.2,10.3,10.4},{0,10,20,30,40,50,60,62,64,66,68,70,72,74,76,78,80,85,90,95,100})</f>
        <v>0</v>
      </c>
      <c r="Q42" s="5">
        <v>5.16</v>
      </c>
      <c r="R42" s="10">
        <f>10-Q42</f>
        <v>4.84</v>
      </c>
      <c r="S42" s="7">
        <f>LOOKUP(R42,{0,4.74,4.84,4.94,5.44,5.54,5.64,5.69,5.74,5.79,5.84,5.89,5.94,5.99,6.44,6.49,6.54,6.61,6.68,6.74,6.8},{0,10,20,30,40,50,60,62,64,66,68,70,72,74,76,78,80,85,90,95,100})</f>
        <v>20</v>
      </c>
      <c r="T42" s="5"/>
      <c r="U42" s="5"/>
      <c r="V42" s="5">
        <f>S42+U42</f>
        <v>20</v>
      </c>
      <c r="W42" s="5"/>
      <c r="X42" s="13">
        <f>F42*0.1+H42*0.1+J42*0.1+P42*0.2+S42*0.2</f>
        <v>20.2</v>
      </c>
      <c r="Y42" s="13">
        <f>X42/0.7+L42+U42</f>
        <v>28.8571428571429</v>
      </c>
    </row>
    <row r="43" ht="15.6" hidden="1" outlineLevel="2" spans="1:25">
      <c r="A43" s="5">
        <v>305</v>
      </c>
      <c r="B43" s="5">
        <v>49</v>
      </c>
      <c r="C43" s="9" t="s">
        <v>237</v>
      </c>
      <c r="D43" s="9" t="s">
        <v>46</v>
      </c>
      <c r="E43" s="5">
        <v>16</v>
      </c>
      <c r="F43" s="7">
        <f>LOOKUP(E43,{0,1.5,2.3,3.1,3.9,4.7,5.5,6.8,8.1,9.4,10.7,12,13.3,14.6,15.9,17.2,18.5,20.2,21.9,23.6,25.3},{0,10,20,30,40,50,60,62,64,66,68,70,72,74,76,78,80,85,90,95,100})</f>
        <v>76</v>
      </c>
      <c r="G43" s="5">
        <v>165</v>
      </c>
      <c r="H43" s="7">
        <f>LOOKUP(G43,{0,125,130,135,140,145,150,153,156,159,162,165,168,171,174,177,180,187,194,200,206},{0,10,20,30,40,50,60,62,64,66,68,70,72,74,76,78,80,85,90,95,100})</f>
        <v>70</v>
      </c>
      <c r="I43" s="5">
        <v>51</v>
      </c>
      <c r="J43" s="7">
        <f>LOOKUP(I43,{0,15,17,19,21,23,25,27,29,31,33,35,37,39,41,43,45,48,51,53,55},{0,10,20,30,40,50,60,62,64,66,68,70,72,74,76,78,80,85,90,95,100})</f>
        <v>90</v>
      </c>
      <c r="K43" s="5"/>
      <c r="L43" s="5"/>
      <c r="M43" s="5">
        <f>J43+L43</f>
        <v>90</v>
      </c>
      <c r="N43" s="5">
        <v>9.1</v>
      </c>
      <c r="O43" s="10">
        <f>18-N43</f>
        <v>8.9</v>
      </c>
      <c r="P43" s="7">
        <f>LOOKUP(O43,{0,6.6,6.8,7,7.2,7.4,7.6,7.8,8,8.2,8.4,8.6,8.8,9,9.2,9.4,9.6,9.9,10.2,10.3,10.4},{0,10,20,30,40,50,60,62,64,66,68,70,72,74,76,78,80,85,90,95,100})</f>
        <v>72</v>
      </c>
      <c r="Q43" s="5">
        <v>3.34</v>
      </c>
      <c r="R43" s="10">
        <f>10-Q43</f>
        <v>6.66</v>
      </c>
      <c r="S43" s="7">
        <f>LOOKUP(R43,{0,4.74,4.84,4.94,5.44,5.54,5.64,5.69,5.74,5.79,5.84,5.89,5.94,5.99,6.44,6.49,6.54,6.61,6.68,6.74,6.8},{0,10,20,30,40,50,60,62,64,66,68,70,72,74,76,78,80,85,90,95,100})</f>
        <v>85</v>
      </c>
      <c r="T43" s="5"/>
      <c r="U43" s="5"/>
      <c r="V43" s="5">
        <f>S43+U43</f>
        <v>85</v>
      </c>
      <c r="W43" s="5"/>
      <c r="X43" s="13">
        <f>F43*0.1+H43*0.1+J43*0.1+P43*0.2+S43*0.2</f>
        <v>55</v>
      </c>
      <c r="Y43" s="13">
        <f>X43/0.7+L43+U43</f>
        <v>78.5714285714286</v>
      </c>
    </row>
    <row r="44" ht="15.6" hidden="1" outlineLevel="2" spans="1:25">
      <c r="A44" s="5">
        <v>305</v>
      </c>
      <c r="B44" s="5">
        <v>50</v>
      </c>
      <c r="C44" s="5" t="s">
        <v>238</v>
      </c>
      <c r="D44" s="5" t="s">
        <v>46</v>
      </c>
      <c r="E44" s="5">
        <v>8</v>
      </c>
      <c r="F44" s="7">
        <f>LOOKUP(E44,{0,1.5,2.3,3.1,3.9,4.7,5.5,6.8,8.1,9.4,10.7,12,13.3,14.6,15.9,17.2,18.5,20.2,21.9,23.6,25.3},{0,10,20,30,40,50,60,62,64,66,68,70,72,74,76,78,80,85,90,95,100})</f>
        <v>62</v>
      </c>
      <c r="G44" s="5" t="s">
        <v>77</v>
      </c>
      <c r="H44" s="7"/>
      <c r="I44" s="5">
        <v>58</v>
      </c>
      <c r="J44" s="7">
        <f>LOOKUP(I44,{0,15,17,19,21,23,25,27,29,31,33,35,37,39,41,43,45,48,51,53,55},{0,10,20,30,40,50,60,62,64,66,68,70,72,74,76,78,80,85,90,95,100})</f>
        <v>100</v>
      </c>
      <c r="K44" s="11">
        <f>I44-55</f>
        <v>3</v>
      </c>
      <c r="L44" s="7">
        <f>LOOKUP(K44,{0,2,4,6,7,8,9,10,11,12,13},{0,1,2,3,4,5,6,7,8,9,10})</f>
        <v>1</v>
      </c>
      <c r="M44" s="5">
        <f>J44+L44</f>
        <v>101</v>
      </c>
      <c r="N44" s="5" t="s">
        <v>77</v>
      </c>
      <c r="O44" s="5"/>
      <c r="P44" s="5"/>
      <c r="Q44" s="5" t="s">
        <v>77</v>
      </c>
      <c r="R44" s="5"/>
      <c r="S44" s="5"/>
      <c r="T44" s="5"/>
      <c r="U44" s="5"/>
      <c r="V44" s="5"/>
      <c r="W44" s="14">
        <v>50</v>
      </c>
      <c r="X44" s="13">
        <f>F44*0.1+H44*0.1+J44*0.1+P44*0.2+S44*0.2</f>
        <v>16.2</v>
      </c>
      <c r="Y44" s="13">
        <v>50</v>
      </c>
    </row>
    <row r="45" ht="15.6" hidden="1" outlineLevel="2" spans="1:25">
      <c r="A45" s="5">
        <v>305</v>
      </c>
      <c r="B45" s="5">
        <v>51</v>
      </c>
      <c r="C45" s="9" t="s">
        <v>239</v>
      </c>
      <c r="D45" s="9" t="s">
        <v>46</v>
      </c>
      <c r="E45" s="5">
        <v>24</v>
      </c>
      <c r="F45" s="7">
        <f>LOOKUP(E45,{0,1.5,2.3,3.1,3.9,4.7,5.5,6.8,8.1,9.4,10.7,12,13.3,14.6,15.9,17.2,18.5,20.2,21.9,23.6,25.3},{0,10,20,30,40,50,60,62,64,66,68,70,72,74,76,78,80,85,90,95,100})</f>
        <v>95</v>
      </c>
      <c r="G45" s="5">
        <v>160</v>
      </c>
      <c r="H45" s="7">
        <f>LOOKUP(G45,{0,125,130,135,140,145,150,153,156,159,162,165,168,171,174,177,180,187,194,200,206},{0,10,20,30,40,50,60,62,64,66,68,70,72,74,76,78,80,85,90,95,100})</f>
        <v>66</v>
      </c>
      <c r="I45" s="5">
        <v>38</v>
      </c>
      <c r="J45" s="7">
        <f>LOOKUP(I45,{0,15,17,19,21,23,25,27,29,31,33,35,37,39,41,43,45,48,51,53,55},{0,10,20,30,40,50,60,62,64,66,68,70,72,74,76,78,80,85,90,95,100})</f>
        <v>72</v>
      </c>
      <c r="K45" s="5"/>
      <c r="L45" s="5"/>
      <c r="M45" s="5">
        <f>J45+L45</f>
        <v>72</v>
      </c>
      <c r="N45" s="5">
        <v>9.7</v>
      </c>
      <c r="O45" s="10">
        <f>18-N45</f>
        <v>8.3</v>
      </c>
      <c r="P45" s="7">
        <f>LOOKUP(O45,{0,6.6,6.8,7,7.2,7.4,7.6,7.8,8,8.2,8.4,8.6,8.8,9,9.2,9.4,9.6,9.9,10.2,10.3,10.4},{0,10,20,30,40,50,60,62,64,66,68,70,72,74,76,78,80,85,90,95,100})</f>
        <v>66</v>
      </c>
      <c r="Q45" s="5">
        <v>5.22</v>
      </c>
      <c r="R45" s="10">
        <f>10-Q45</f>
        <v>4.78</v>
      </c>
      <c r="S45" s="7">
        <f>LOOKUP(R45,{0,4.74,4.84,4.94,5.44,5.54,5.64,5.69,5.74,5.79,5.84,5.89,5.94,5.99,6.44,6.49,6.54,6.61,6.68,6.74,6.8},{0,10,20,30,40,50,60,62,64,66,68,70,72,74,76,78,80,85,90,95,100})</f>
        <v>10</v>
      </c>
      <c r="T45" s="5"/>
      <c r="U45" s="5"/>
      <c r="V45" s="5">
        <f>S45+U45</f>
        <v>10</v>
      </c>
      <c r="W45" s="5"/>
      <c r="X45" s="13">
        <f>F45*0.1+H45*0.1+J45*0.1+P45*0.2+S45*0.2</f>
        <v>38.5</v>
      </c>
      <c r="Y45" s="13">
        <f>X45/0.7+L45+U45</f>
        <v>55</v>
      </c>
    </row>
    <row r="46" ht="15.6" hidden="1" outlineLevel="2" spans="1:25">
      <c r="A46" s="5">
        <v>305</v>
      </c>
      <c r="B46" s="5">
        <v>52</v>
      </c>
      <c r="C46" s="9" t="s">
        <v>240</v>
      </c>
      <c r="D46" s="9" t="s">
        <v>46</v>
      </c>
      <c r="E46" s="5">
        <v>10.5</v>
      </c>
      <c r="F46" s="7">
        <f>LOOKUP(E46,{0,1.5,2.3,3.1,3.9,4.7,5.5,6.8,8.1,9.4,10.7,12,13.3,14.6,15.9,17.2,18.5,20.2,21.9,23.6,25.3},{0,10,20,30,40,50,60,62,64,66,68,70,72,74,76,78,80,85,90,95,100})</f>
        <v>66</v>
      </c>
      <c r="G46" s="5">
        <v>172</v>
      </c>
      <c r="H46" s="7">
        <f>LOOKUP(G46,{0,125,130,135,140,145,150,153,156,159,162,165,168,171,174,177,180,187,194,200,206},{0,10,20,30,40,50,60,62,64,66,68,70,72,74,76,78,80,85,90,95,100})</f>
        <v>74</v>
      </c>
      <c r="I46" s="5">
        <v>51</v>
      </c>
      <c r="J46" s="7">
        <f>LOOKUP(I46,{0,15,17,19,21,23,25,27,29,31,33,35,37,39,41,43,45,48,51,53,55},{0,10,20,30,40,50,60,62,64,66,68,70,72,74,76,78,80,85,90,95,100})</f>
        <v>90</v>
      </c>
      <c r="K46" s="5"/>
      <c r="L46" s="5"/>
      <c r="M46" s="5">
        <f>J46+L46</f>
        <v>90</v>
      </c>
      <c r="N46" s="5">
        <v>9.2</v>
      </c>
      <c r="O46" s="10">
        <f>18-N46</f>
        <v>8.8</v>
      </c>
      <c r="P46" s="7">
        <f>LOOKUP(O46,{0,6.6,6.8,7,7.2,7.4,7.6,7.8,8,8.2,8.4,8.6,8.8,9,9.2,9.4,9.6,9.9,10.2,10.3,10.4},{0,10,20,30,40,50,60,62,64,66,68,70,72,74,76,78,80,85,90,95,100})</f>
        <v>72</v>
      </c>
      <c r="Q46" s="5">
        <v>4.01</v>
      </c>
      <c r="R46" s="10">
        <f>10-Q46</f>
        <v>5.99</v>
      </c>
      <c r="S46" s="7">
        <f>LOOKUP(R46,{0,4.74,4.84,4.94,5.44,5.54,5.64,5.69,5.74,5.79,5.84,5.89,5.94,5.99,6.44,6.49,6.54,6.61,6.68,6.74,6.8},{0,10,20,30,40,50,60,62,64,66,68,70,72,74,76,78,80,85,90,95,100})</f>
        <v>74</v>
      </c>
      <c r="T46" s="5"/>
      <c r="U46" s="5"/>
      <c r="V46" s="5">
        <f>S46+U46</f>
        <v>74</v>
      </c>
      <c r="W46" s="5"/>
      <c r="X46" s="13">
        <f>F46*0.1+H46*0.1+J46*0.1+P46*0.2+S46*0.2</f>
        <v>52.2</v>
      </c>
      <c r="Y46" s="13">
        <f>X46/0.7+L46+U46</f>
        <v>74.5714285714286</v>
      </c>
    </row>
    <row r="47" ht="15.6" outlineLevel="1" collapsed="1" spans="1:25">
      <c r="A47" s="6" t="s">
        <v>856</v>
      </c>
      <c r="B47" s="5"/>
      <c r="C47" s="9"/>
      <c r="D47" s="9"/>
      <c r="E47" s="5"/>
      <c r="F47" s="7">
        <f>SUBTOTAL(1,F34:F46)</f>
        <v>76.6666666666667</v>
      </c>
      <c r="G47" s="5"/>
      <c r="H47" s="7">
        <f>SUBTOTAL(1,H34:H46)</f>
        <v>73.3636363636364</v>
      </c>
      <c r="I47" s="5"/>
      <c r="J47" s="7">
        <f>SUBTOTAL(1,J34:J46)</f>
        <v>83.1666666666667</v>
      </c>
      <c r="K47" s="5"/>
      <c r="L47" s="5"/>
      <c r="M47" s="5">
        <f>SUBTOTAL(1,M34:M46)</f>
        <v>83.25</v>
      </c>
      <c r="N47" s="5"/>
      <c r="O47" s="10"/>
      <c r="P47" s="7">
        <f>SUBTOTAL(1,P34:P46)</f>
        <v>65.9</v>
      </c>
      <c r="Q47" s="5"/>
      <c r="R47" s="10"/>
      <c r="S47" s="7">
        <f>SUBTOTAL(1,S34:S46)</f>
        <v>63.4</v>
      </c>
      <c r="T47" s="5"/>
      <c r="U47" s="5"/>
      <c r="V47" s="5">
        <f>SUBTOTAL(1,V34:V46)</f>
        <v>63.4</v>
      </c>
      <c r="W47" s="5"/>
      <c r="X47" s="13">
        <f>SUBTOTAL(1,X34:X46)</f>
        <v>44.2583333333333</v>
      </c>
      <c r="Y47" s="13">
        <f>SUBTOTAL(1,Y34:Y46)</f>
        <v>65.2527472527472</v>
      </c>
    </row>
    <row r="48" ht="15.6" hidden="1" outlineLevel="2" spans="1:25">
      <c r="A48" s="5">
        <v>306</v>
      </c>
      <c r="B48" s="5">
        <v>33</v>
      </c>
      <c r="C48" s="8" t="s">
        <v>277</v>
      </c>
      <c r="D48" s="9" t="s">
        <v>46</v>
      </c>
      <c r="E48" s="5">
        <v>0.5</v>
      </c>
      <c r="F48" s="7">
        <f>LOOKUP(E48,{0,1.5,2.3,3.1,3.9,4.7,5.5,6.8,8.1,9.4,10.7,12,13.3,14.6,15.9,17.2,18.5,20.2,21.9,23.6,25.3},{0,10,20,30,40,50,60,62,64,66,68,70,72,74,76,78,80,85,90,95,100})</f>
        <v>0</v>
      </c>
      <c r="G48" s="5">
        <v>155</v>
      </c>
      <c r="H48" s="7">
        <f>LOOKUP(G48,{0,125,130,135,140,145,150,153,156,159,162,165,168,171,174,177,180,187,194,200,206},{0,10,20,30,40,50,60,62,64,66,68,70,72,74,76,78,80,85,90,95,100})</f>
        <v>62</v>
      </c>
      <c r="I48" s="5">
        <v>50</v>
      </c>
      <c r="J48" s="7">
        <f>LOOKUP(I48,{0,15,17,19,21,23,25,27,29,31,33,35,37,39,41,43,45,48,51,53,55},{0,10,20,30,40,50,60,62,64,66,68,70,72,74,76,78,80,85,90,95,100})</f>
        <v>85</v>
      </c>
      <c r="K48" s="5"/>
      <c r="L48" s="5"/>
      <c r="M48" s="5">
        <f>J48+L48</f>
        <v>85</v>
      </c>
      <c r="N48" s="5">
        <v>10.3</v>
      </c>
      <c r="O48" s="10">
        <f>18-N48</f>
        <v>7.7</v>
      </c>
      <c r="P48" s="7">
        <f>LOOKUP(O48,{0,6.6,6.8,7,7.2,7.4,7.6,7.8,8,8.2,8.4,8.6,8.8,9,9.2,9.4,9.6,9.9,10.2,10.3,10.4},{0,10,20,30,40,50,60,62,64,66,68,70,72,74,76,78,80,85,90,95,100})</f>
        <v>60</v>
      </c>
      <c r="Q48" s="5">
        <v>4.28</v>
      </c>
      <c r="R48" s="10">
        <f>10-Q48</f>
        <v>5.72</v>
      </c>
      <c r="S48" s="7">
        <f>LOOKUP(R48,{0,4.74,4.84,4.94,5.44,5.54,5.64,5.69,5.74,5.79,5.84,5.89,5.94,5.99,6.44,6.49,6.54,6.61,6.68,6.74,6.8},{0,10,20,30,40,50,60,62,64,66,68,70,72,74,76,78,80,85,90,95,100})</f>
        <v>62</v>
      </c>
      <c r="T48" s="5"/>
      <c r="U48" s="5"/>
      <c r="V48" s="5">
        <f>S48+U48</f>
        <v>62</v>
      </c>
      <c r="W48" s="5"/>
      <c r="X48" s="13">
        <f>F48*0.1+H48*0.1+J48*0.1+P48*0.2+S48*0.2</f>
        <v>39.1</v>
      </c>
      <c r="Y48" s="13">
        <f>X48/0.7+L48+U48</f>
        <v>55.8571428571429</v>
      </c>
    </row>
    <row r="49" hidden="1" outlineLevel="2" spans="1:25">
      <c r="A49" s="5">
        <v>306</v>
      </c>
      <c r="B49" s="5">
        <v>34</v>
      </c>
      <c r="C49" s="9" t="s">
        <v>278</v>
      </c>
      <c r="D49" s="9" t="s">
        <v>46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50</v>
      </c>
      <c r="X49" s="13"/>
      <c r="Y49" s="13">
        <v>50</v>
      </c>
    </row>
    <row r="50" ht="15.6" hidden="1" outlineLevel="2" spans="1:25">
      <c r="A50" s="5">
        <v>306</v>
      </c>
      <c r="B50" s="5">
        <v>35</v>
      </c>
      <c r="C50" s="9" t="s">
        <v>279</v>
      </c>
      <c r="D50" s="9" t="s">
        <v>46</v>
      </c>
      <c r="E50" s="5">
        <v>28</v>
      </c>
      <c r="F50" s="7">
        <f>LOOKUP(E50,{0,1.5,2.3,3.1,3.9,4.7,5.5,6.8,8.1,9.4,10.7,12,13.3,14.6,15.9,17.2,18.5,20.2,21.9,23.6,25.3},{0,10,20,30,40,50,60,62,64,66,68,70,72,74,76,78,80,85,90,95,100})</f>
        <v>100</v>
      </c>
      <c r="G50" s="5">
        <v>190</v>
      </c>
      <c r="H50" s="7">
        <f>LOOKUP(G50,{0,125,130,135,140,145,150,153,156,159,162,165,168,171,174,177,180,187,194,200,206},{0,10,20,30,40,50,60,62,64,66,68,70,72,74,76,78,80,85,90,95,100})</f>
        <v>85</v>
      </c>
      <c r="I50" s="5">
        <v>62</v>
      </c>
      <c r="J50" s="7">
        <f>LOOKUP(I50,{0,15,17,19,21,23,25,27,29,31,33,35,37,39,41,43,45,48,51,53,55},{0,10,20,30,40,50,60,62,64,66,68,70,72,74,76,78,80,85,90,95,100})</f>
        <v>100</v>
      </c>
      <c r="K50" s="11">
        <f>I50-55</f>
        <v>7</v>
      </c>
      <c r="L50" s="7">
        <f>LOOKUP(K50,{0,2,4,6,7,8,9,10,11,12,13},{0,1,2,3,4,5,6,7,8,9,10})</f>
        <v>4</v>
      </c>
      <c r="M50" s="5">
        <f t="shared" ref="M50:M53" si="20">J50+L50</f>
        <v>104</v>
      </c>
      <c r="N50" s="5">
        <v>8.2</v>
      </c>
      <c r="O50" s="10">
        <f t="shared" ref="O50:O53" si="21">18-N50</f>
        <v>9.8</v>
      </c>
      <c r="P50" s="7">
        <f>LOOKUP(O50,{0,6.6,6.8,7,7.2,7.4,7.6,7.8,8,8.2,8.4,8.6,8.8,9,9.2,9.4,9.6,9.9,10.2,10.3,10.4},{0,10,20,30,40,50,60,62,64,66,68,70,72,74,76,78,80,85,90,95,100})</f>
        <v>80</v>
      </c>
      <c r="Q50" s="5">
        <v>3.328</v>
      </c>
      <c r="R50" s="10">
        <f t="shared" ref="R50:R53" si="22">10-Q50</f>
        <v>6.672</v>
      </c>
      <c r="S50" s="7">
        <f>LOOKUP(R50,{0,4.74,4.84,4.94,5.44,5.54,5.64,5.69,5.74,5.79,5.84,5.89,5.94,5.99,6.44,6.49,6.54,6.61,6.68,6.74,6.8},{0,10,20,30,40,50,60,62,64,66,68,70,72,74,76,78,80,85,90,95,100})</f>
        <v>85</v>
      </c>
      <c r="T50" s="5"/>
      <c r="U50" s="5"/>
      <c r="V50" s="5">
        <f t="shared" ref="V50:V53" si="23">S50+U50</f>
        <v>85</v>
      </c>
      <c r="W50" s="5"/>
      <c r="X50" s="13">
        <f t="shared" ref="X50:X53" si="24">F50*0.1+H50*0.1+J50*0.1+P50*0.2+S50*0.2</f>
        <v>61.5</v>
      </c>
      <c r="Y50" s="13">
        <f t="shared" ref="Y50:Y53" si="25">X50/0.7+L50+U50</f>
        <v>91.8571428571429</v>
      </c>
    </row>
    <row r="51" ht="15.6" hidden="1" outlineLevel="2" spans="1:25">
      <c r="A51" s="5">
        <v>306</v>
      </c>
      <c r="B51" s="5">
        <v>36</v>
      </c>
      <c r="C51" s="9" t="s">
        <v>280</v>
      </c>
      <c r="D51" s="9" t="s">
        <v>46</v>
      </c>
      <c r="E51" s="5">
        <v>25.5</v>
      </c>
      <c r="F51" s="7">
        <f>LOOKUP(E51,{0,1.5,2.3,3.1,3.9,4.7,5.5,6.8,8.1,9.4,10.7,12,13.3,14.6,15.9,17.2,18.5,20.2,21.9,23.6,25.3},{0,10,20,30,40,50,60,62,64,66,68,70,72,74,76,78,80,85,90,95,100})</f>
        <v>100</v>
      </c>
      <c r="G51" s="5">
        <v>172</v>
      </c>
      <c r="H51" s="7">
        <f>LOOKUP(G51,{0,125,130,135,140,145,150,153,156,159,162,165,168,171,174,177,180,187,194,200,206},{0,10,20,30,40,50,60,62,64,66,68,70,72,74,76,78,80,85,90,95,100})</f>
        <v>74</v>
      </c>
      <c r="I51" s="5">
        <v>56</v>
      </c>
      <c r="J51" s="7">
        <f>LOOKUP(I51,{0,15,17,19,21,23,25,27,29,31,33,35,37,39,41,43,45,48,51,53,55},{0,10,20,30,40,50,60,62,64,66,68,70,72,74,76,78,80,85,90,95,100})</f>
        <v>100</v>
      </c>
      <c r="K51" s="11">
        <f>I51-55</f>
        <v>1</v>
      </c>
      <c r="L51" s="7">
        <f>LOOKUP(K51,{0,2,4,6,7,8,9,10,11,12,13},{0,1,2,3,4,5,6,7,8,9,10})</f>
        <v>0</v>
      </c>
      <c r="M51" s="5">
        <f t="shared" si="20"/>
        <v>100</v>
      </c>
      <c r="N51" s="5">
        <v>8.7</v>
      </c>
      <c r="O51" s="10">
        <f t="shared" si="21"/>
        <v>9.3</v>
      </c>
      <c r="P51" s="7">
        <f>LOOKUP(O51,{0,6.6,6.8,7,7.2,7.4,7.6,7.8,8,8.2,8.4,8.6,8.8,9,9.2,9.4,9.6,9.9,10.2,10.3,10.4},{0,10,20,30,40,50,60,62,64,66,68,70,72,74,76,78,80,85,90,95,100})</f>
        <v>76</v>
      </c>
      <c r="Q51" s="5">
        <v>3.52</v>
      </c>
      <c r="R51" s="10">
        <f t="shared" si="22"/>
        <v>6.48</v>
      </c>
      <c r="S51" s="7">
        <f>LOOKUP(R51,{0,4.74,4.84,4.94,5.44,5.54,5.64,5.69,5.74,5.79,5.84,5.89,5.94,5.99,6.44,6.49,6.54,6.61,6.68,6.74,6.8},{0,10,20,30,40,50,60,62,64,66,68,70,72,74,76,78,80,85,90,95,100})</f>
        <v>76</v>
      </c>
      <c r="T51" s="5"/>
      <c r="U51" s="5"/>
      <c r="V51" s="5">
        <f t="shared" si="23"/>
        <v>76</v>
      </c>
      <c r="W51" s="5"/>
      <c r="X51" s="13">
        <f t="shared" si="24"/>
        <v>57.8</v>
      </c>
      <c r="Y51" s="13">
        <f t="shared" si="25"/>
        <v>82.5714285714286</v>
      </c>
    </row>
    <row r="52" ht="15.6" hidden="1" outlineLevel="2" spans="1:25">
      <c r="A52" s="5">
        <v>306</v>
      </c>
      <c r="B52" s="5">
        <v>37</v>
      </c>
      <c r="C52" s="9" t="s">
        <v>281</v>
      </c>
      <c r="D52" s="9" t="s">
        <v>46</v>
      </c>
      <c r="E52" s="5">
        <v>7</v>
      </c>
      <c r="F52" s="7">
        <f>LOOKUP(E52,{0,1.5,2.3,3.1,3.9,4.7,5.5,6.8,8.1,9.4,10.7,12,13.3,14.6,15.9,17.2,18.5,20.2,21.9,23.6,25.3},{0,10,20,30,40,50,60,62,64,66,68,70,72,74,76,78,80,85,90,95,100})</f>
        <v>62</v>
      </c>
      <c r="G52" s="5">
        <v>174</v>
      </c>
      <c r="H52" s="7">
        <f>LOOKUP(G52,{0,125,130,135,140,145,150,153,156,159,162,165,168,171,174,177,180,187,194,200,206},{0,10,20,30,40,50,60,62,64,66,68,70,72,74,76,78,80,85,90,95,100})</f>
        <v>76</v>
      </c>
      <c r="I52" s="5">
        <v>41</v>
      </c>
      <c r="J52" s="7">
        <f>LOOKUP(I52,{0,15,17,19,21,23,25,27,29,31,33,35,37,39,41,43,45,48,51,53,55},{0,10,20,30,40,50,60,62,64,66,68,70,72,74,76,78,80,85,90,95,100})</f>
        <v>76</v>
      </c>
      <c r="K52" s="5"/>
      <c r="L52" s="5"/>
      <c r="M52" s="5">
        <f t="shared" si="20"/>
        <v>76</v>
      </c>
      <c r="N52" s="5">
        <v>9.7</v>
      </c>
      <c r="O52" s="10">
        <f t="shared" si="21"/>
        <v>8.3</v>
      </c>
      <c r="P52" s="7">
        <f>LOOKUP(O52,{0,6.6,6.8,7,7.2,7.4,7.6,7.8,8,8.2,8.4,8.6,8.8,9,9.2,9.4,9.6,9.9,10.2,10.3,10.4},{0,10,20,30,40,50,60,62,64,66,68,70,72,74,76,78,80,85,90,95,100})</f>
        <v>66</v>
      </c>
      <c r="Q52" s="5">
        <v>4.11</v>
      </c>
      <c r="R52" s="10">
        <f t="shared" si="22"/>
        <v>5.89</v>
      </c>
      <c r="S52" s="7">
        <f>LOOKUP(R52,{0,4.74,4.84,4.94,5.44,5.54,5.64,5.69,5.74,5.79,5.84,5.89,5.94,5.99,6.44,6.49,6.54,6.61,6.68,6.74,6.8},{0,10,20,30,40,50,60,62,64,66,68,70,72,74,76,78,80,85,90,95,100})</f>
        <v>70</v>
      </c>
      <c r="T52" s="5"/>
      <c r="U52" s="5"/>
      <c r="V52" s="5">
        <f t="shared" si="23"/>
        <v>70</v>
      </c>
      <c r="W52" s="5"/>
      <c r="X52" s="13">
        <f t="shared" si="24"/>
        <v>48.6</v>
      </c>
      <c r="Y52" s="13">
        <f t="shared" si="25"/>
        <v>69.4285714285714</v>
      </c>
    </row>
    <row r="53" ht="15.6" hidden="1" outlineLevel="2" spans="1:25">
      <c r="A53" s="5">
        <v>306</v>
      </c>
      <c r="B53" s="5">
        <v>38</v>
      </c>
      <c r="C53" s="9" t="s">
        <v>282</v>
      </c>
      <c r="D53" s="9" t="s">
        <v>46</v>
      </c>
      <c r="E53" s="5">
        <v>25.5</v>
      </c>
      <c r="F53" s="7">
        <f>LOOKUP(E53,{0,1.5,2.3,3.1,3.9,4.7,5.5,6.8,8.1,9.4,10.7,12,13.3,14.6,15.9,17.2,18.5,20.2,21.9,23.6,25.3},{0,10,20,30,40,50,60,62,64,66,68,70,72,74,76,78,80,85,90,95,100})</f>
        <v>100</v>
      </c>
      <c r="G53" s="5">
        <v>165</v>
      </c>
      <c r="H53" s="7">
        <f>LOOKUP(G53,{0,125,130,135,140,145,150,153,156,159,162,165,168,171,174,177,180,187,194,200,206},{0,10,20,30,40,50,60,62,64,66,68,70,72,74,76,78,80,85,90,95,100})</f>
        <v>70</v>
      </c>
      <c r="I53" s="5">
        <v>42</v>
      </c>
      <c r="J53" s="7">
        <f>LOOKUP(I53,{0,15,17,19,21,23,25,27,29,31,33,35,37,39,41,43,45,48,51,53,55},{0,10,20,30,40,50,60,62,64,66,68,70,72,74,76,78,80,85,90,95,100})</f>
        <v>76</v>
      </c>
      <c r="K53" s="5"/>
      <c r="L53" s="5"/>
      <c r="M53" s="5">
        <f t="shared" si="20"/>
        <v>76</v>
      </c>
      <c r="N53" s="5">
        <v>9.9</v>
      </c>
      <c r="O53" s="10">
        <f t="shared" si="21"/>
        <v>8.1</v>
      </c>
      <c r="P53" s="7">
        <f>LOOKUP(O53,{0,6.6,6.8,7,7.2,7.4,7.6,7.8,8,8.2,8.4,8.6,8.8,9,9.2,9.4,9.6,9.9,10.2,10.3,10.4},{0,10,20,30,40,50,60,62,64,66,68,70,72,74,76,78,80,85,90,95,100})</f>
        <v>64</v>
      </c>
      <c r="Q53" s="5">
        <v>4.04</v>
      </c>
      <c r="R53" s="10">
        <f t="shared" si="22"/>
        <v>5.96</v>
      </c>
      <c r="S53" s="7">
        <f>LOOKUP(R53,{0,4.74,4.84,4.94,5.44,5.54,5.64,5.69,5.74,5.79,5.84,5.89,5.94,5.99,6.44,6.49,6.54,6.61,6.68,6.74,6.8},{0,10,20,30,40,50,60,62,64,66,68,70,72,74,76,78,80,85,90,95,100})</f>
        <v>72</v>
      </c>
      <c r="T53" s="5"/>
      <c r="U53" s="5"/>
      <c r="V53" s="5">
        <f t="shared" si="23"/>
        <v>72</v>
      </c>
      <c r="W53" s="5"/>
      <c r="X53" s="13">
        <f t="shared" si="24"/>
        <v>51.8</v>
      </c>
      <c r="Y53" s="13">
        <f t="shared" si="25"/>
        <v>74</v>
      </c>
    </row>
    <row r="54" hidden="1" outlineLevel="2" spans="1:25">
      <c r="A54" s="5">
        <v>306</v>
      </c>
      <c r="B54" s="5">
        <v>39</v>
      </c>
      <c r="C54" s="9" t="s">
        <v>283</v>
      </c>
      <c r="D54" s="9" t="s">
        <v>46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50</v>
      </c>
      <c r="X54" s="13"/>
      <c r="Y54" s="13">
        <v>50</v>
      </c>
    </row>
    <row r="55" ht="15.6" hidden="1" outlineLevel="2" spans="1:25">
      <c r="A55" s="5">
        <v>306</v>
      </c>
      <c r="B55" s="5">
        <v>40</v>
      </c>
      <c r="C55" s="9" t="s">
        <v>284</v>
      </c>
      <c r="D55" s="9" t="s">
        <v>46</v>
      </c>
      <c r="E55" s="5">
        <v>13</v>
      </c>
      <c r="F55" s="7">
        <f>LOOKUP(E55,{0,1.5,2.3,3.1,3.9,4.7,5.5,6.8,8.1,9.4,10.7,12,13.3,14.6,15.9,17.2,18.5,20.2,21.9,23.6,25.3},{0,10,20,30,40,50,60,62,64,66,68,70,72,74,76,78,80,85,90,95,100})</f>
        <v>70</v>
      </c>
      <c r="G55" s="5">
        <v>140</v>
      </c>
      <c r="H55" s="7">
        <f>LOOKUP(G55,{0,125,130,135,140,145,150,153,156,159,162,165,168,171,174,177,180,187,194,200,206},{0,10,20,30,40,50,60,62,64,66,68,70,72,74,76,78,80,85,90,95,100})</f>
        <v>40</v>
      </c>
      <c r="I55" s="5">
        <v>34</v>
      </c>
      <c r="J55" s="7">
        <f>LOOKUP(I55,{0,15,17,19,21,23,25,27,29,31,33,35,37,39,41,43,45,48,51,53,55},{0,10,20,30,40,50,60,62,64,66,68,70,72,74,76,78,80,85,90,95,100})</f>
        <v>68</v>
      </c>
      <c r="K55" s="5"/>
      <c r="L55" s="5"/>
      <c r="M55" s="5">
        <f t="shared" ref="M55:M74" si="26">J55+L55</f>
        <v>68</v>
      </c>
      <c r="N55" s="5">
        <v>9.7</v>
      </c>
      <c r="O55" s="10">
        <f t="shared" ref="O55:O74" si="27">18-N55</f>
        <v>8.3</v>
      </c>
      <c r="P55" s="7">
        <f>LOOKUP(O55,{0,6.6,6.8,7,7.2,7.4,7.6,7.8,8,8.2,8.4,8.6,8.8,9,9.2,9.4,9.6,9.9,10.2,10.3,10.4},{0,10,20,30,40,50,60,62,64,66,68,70,72,74,76,78,80,85,90,95,100})</f>
        <v>66</v>
      </c>
      <c r="Q55" s="5">
        <v>4.09</v>
      </c>
      <c r="R55" s="10">
        <f t="shared" ref="R55:R74" si="28">10-Q55</f>
        <v>5.91</v>
      </c>
      <c r="S55" s="7">
        <f>LOOKUP(R55,{0,4.74,4.84,4.94,5.44,5.54,5.64,5.69,5.74,5.79,5.84,5.89,5.94,5.99,6.44,6.49,6.54,6.61,6.68,6.74,6.8},{0,10,20,30,40,50,60,62,64,66,68,70,72,74,76,78,80,85,90,95,100})</f>
        <v>70</v>
      </c>
      <c r="T55" s="5"/>
      <c r="U55" s="5"/>
      <c r="V55" s="5">
        <f t="shared" ref="V55:V74" si="29">S55+U55</f>
        <v>70</v>
      </c>
      <c r="W55" s="5"/>
      <c r="X55" s="13">
        <f t="shared" ref="X55:X74" si="30">F55*0.1+H55*0.1+J55*0.1+P55*0.2+S55*0.2</f>
        <v>45</v>
      </c>
      <c r="Y55" s="13">
        <f t="shared" ref="Y55:Y74" si="31">X55/0.7+L55+U55</f>
        <v>64.2857142857143</v>
      </c>
    </row>
    <row r="56" hidden="1" outlineLevel="2" spans="1:25">
      <c r="A56" s="5">
        <v>306</v>
      </c>
      <c r="B56" s="5">
        <v>41</v>
      </c>
      <c r="C56" s="9" t="s">
        <v>285</v>
      </c>
      <c r="D56" s="9" t="s">
        <v>46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50</v>
      </c>
      <c r="X56" s="13"/>
      <c r="Y56" s="13">
        <v>50</v>
      </c>
    </row>
    <row r="57" ht="15.6" hidden="1" outlineLevel="2" spans="1:25">
      <c r="A57" s="5">
        <v>306</v>
      </c>
      <c r="B57" s="5">
        <v>42</v>
      </c>
      <c r="C57" s="9" t="s">
        <v>286</v>
      </c>
      <c r="D57" s="9" t="s">
        <v>46</v>
      </c>
      <c r="E57" s="5">
        <v>15.5</v>
      </c>
      <c r="F57" s="7">
        <f>LOOKUP(E57,{0,1.5,2.3,3.1,3.9,4.7,5.5,6.8,8.1,9.4,10.7,12,13.3,14.6,15.9,17.2,18.5,20.2,21.9,23.6,25.3},{0,10,20,30,40,50,60,62,64,66,68,70,72,74,76,78,80,85,90,95,100})</f>
        <v>74</v>
      </c>
      <c r="G57" s="5">
        <v>180</v>
      </c>
      <c r="H57" s="7">
        <f>LOOKUP(G57,{0,125,130,135,140,145,150,153,156,159,162,165,168,171,174,177,180,187,194,200,206},{0,10,20,30,40,50,60,62,64,66,68,70,72,74,76,78,80,85,90,95,100})</f>
        <v>80</v>
      </c>
      <c r="I57" s="5">
        <v>42</v>
      </c>
      <c r="J57" s="7">
        <f>LOOKUP(I57,{0,15,17,19,21,23,25,27,29,31,33,35,37,39,41,43,45,48,51,53,55},{0,10,20,30,40,50,60,62,64,66,68,70,72,74,76,78,80,85,90,95,100})</f>
        <v>76</v>
      </c>
      <c r="K57" s="5"/>
      <c r="L57" s="5"/>
      <c r="M57" s="5">
        <f t="shared" si="26"/>
        <v>76</v>
      </c>
      <c r="N57" s="5">
        <v>9.3</v>
      </c>
      <c r="O57" s="10">
        <f t="shared" si="27"/>
        <v>8.7</v>
      </c>
      <c r="P57" s="7">
        <f>LOOKUP(O57,{0,6.6,6.8,7,7.2,7.4,7.6,7.8,8,8.2,8.4,8.6,8.8,9,9.2,9.4,9.6,9.9,10.2,10.3,10.4},{0,10,20,30,40,50,60,62,64,66,68,70,72,74,76,78,80,85,90,95,100})</f>
        <v>70</v>
      </c>
      <c r="Q57" s="5">
        <v>3.56</v>
      </c>
      <c r="R57" s="10">
        <f t="shared" si="28"/>
        <v>6.44</v>
      </c>
      <c r="S57" s="7">
        <f>LOOKUP(R57,{0,4.74,4.84,4.94,5.44,5.54,5.64,5.69,5.74,5.79,5.84,5.89,5.94,5.99,6.44,6.49,6.54,6.61,6.68,6.74,6.8},{0,10,20,30,40,50,60,62,64,66,68,70,72,74,76,78,80,85,90,95,100})</f>
        <v>76</v>
      </c>
      <c r="T57" s="5"/>
      <c r="U57" s="5"/>
      <c r="V57" s="5">
        <f t="shared" si="29"/>
        <v>76</v>
      </c>
      <c r="W57" s="5"/>
      <c r="X57" s="13">
        <f t="shared" si="30"/>
        <v>52.2</v>
      </c>
      <c r="Y57" s="13">
        <f t="shared" si="31"/>
        <v>74.5714285714286</v>
      </c>
    </row>
    <row r="58" ht="15.6" hidden="1" outlineLevel="2" spans="1:25">
      <c r="A58" s="5">
        <v>306</v>
      </c>
      <c r="B58" s="5">
        <v>43</v>
      </c>
      <c r="C58" s="8" t="s">
        <v>288</v>
      </c>
      <c r="D58" s="9" t="s">
        <v>46</v>
      </c>
      <c r="E58" s="5">
        <v>10.5</v>
      </c>
      <c r="F58" s="7">
        <f>LOOKUP(E58,{0,1.5,2.3,3.1,3.9,4.7,5.5,6.8,8.1,9.4,10.7,12,13.3,14.6,15.9,17.2,18.5,20.2,21.9,23.6,25.3},{0,10,20,30,40,50,60,62,64,66,68,70,72,74,76,78,80,85,90,95,100})</f>
        <v>66</v>
      </c>
      <c r="G58" s="5">
        <v>179</v>
      </c>
      <c r="H58" s="7">
        <f>LOOKUP(G58,{0,125,130,135,140,145,150,153,156,159,162,165,168,171,174,177,180,187,194,200,206},{0,10,20,30,40,50,60,62,64,66,68,70,72,74,76,78,80,85,90,95,100})</f>
        <v>78</v>
      </c>
      <c r="I58" s="5">
        <v>46</v>
      </c>
      <c r="J58" s="7">
        <f>LOOKUP(I58,{0,15,17,19,21,23,25,27,29,31,33,35,37,39,41,43,45,48,51,53,55},{0,10,20,30,40,50,60,62,64,66,68,70,72,74,76,78,80,85,90,95,100})</f>
        <v>80</v>
      </c>
      <c r="K58" s="5"/>
      <c r="L58" s="5"/>
      <c r="M58" s="5">
        <f t="shared" si="26"/>
        <v>80</v>
      </c>
      <c r="N58" s="5">
        <v>9.1</v>
      </c>
      <c r="O58" s="10">
        <f t="shared" si="27"/>
        <v>8.9</v>
      </c>
      <c r="P58" s="7">
        <f>LOOKUP(O58,{0,6.6,6.8,7,7.2,7.4,7.6,7.8,8,8.2,8.4,8.6,8.8,9,9.2,9.4,9.6,9.9,10.2,10.3,10.4},{0,10,20,30,40,50,60,62,64,66,68,70,72,74,76,78,80,85,90,95,100})</f>
        <v>72</v>
      </c>
      <c r="Q58" s="5">
        <v>3.48</v>
      </c>
      <c r="R58" s="10">
        <f t="shared" si="28"/>
        <v>6.52</v>
      </c>
      <c r="S58" s="7">
        <f>LOOKUP(R58,{0,4.74,4.84,4.94,5.44,5.54,5.64,5.69,5.74,5.79,5.84,5.89,5.94,5.99,6.44,6.49,6.54,6.61,6.68,6.74,6.8},{0,10,20,30,40,50,60,62,64,66,68,70,72,74,76,78,80,85,90,95,100})</f>
        <v>78</v>
      </c>
      <c r="T58" s="5"/>
      <c r="U58" s="5"/>
      <c r="V58" s="5">
        <f t="shared" si="29"/>
        <v>78</v>
      </c>
      <c r="W58" s="5"/>
      <c r="X58" s="13">
        <f t="shared" si="30"/>
        <v>52.4</v>
      </c>
      <c r="Y58" s="13">
        <f t="shared" si="31"/>
        <v>74.8571428571429</v>
      </c>
    </row>
    <row r="59" ht="15.6" hidden="1" outlineLevel="2" spans="1:25">
      <c r="A59" s="5">
        <v>306</v>
      </c>
      <c r="B59" s="5">
        <v>44</v>
      </c>
      <c r="C59" s="9" t="s">
        <v>289</v>
      </c>
      <c r="D59" s="9" t="s">
        <v>46</v>
      </c>
      <c r="E59" s="5">
        <v>19.5</v>
      </c>
      <c r="F59" s="7">
        <f>LOOKUP(E59,{0,1.5,2.3,3.1,3.9,4.7,5.5,6.8,8.1,9.4,10.7,12,13.3,14.6,15.9,17.2,18.5,20.2,21.9,23.6,25.3},{0,10,20,30,40,50,60,62,64,66,68,70,72,74,76,78,80,85,90,95,100})</f>
        <v>80</v>
      </c>
      <c r="G59" s="5">
        <v>182</v>
      </c>
      <c r="H59" s="7">
        <f>LOOKUP(G59,{0,125,130,135,140,145,150,153,156,159,162,165,168,171,174,177,180,187,194,200,206},{0,10,20,30,40,50,60,62,64,66,68,70,72,74,76,78,80,85,90,95,100})</f>
        <v>80</v>
      </c>
      <c r="I59" s="5">
        <v>42</v>
      </c>
      <c r="J59" s="7">
        <f>LOOKUP(I59,{0,15,17,19,21,23,25,27,29,31,33,35,37,39,41,43,45,48,51,53,55},{0,10,20,30,40,50,60,62,64,66,68,70,72,74,76,78,80,85,90,95,100})</f>
        <v>76</v>
      </c>
      <c r="K59" s="5"/>
      <c r="L59" s="5"/>
      <c r="M59" s="5">
        <f t="shared" si="26"/>
        <v>76</v>
      </c>
      <c r="N59" s="5">
        <v>8.6</v>
      </c>
      <c r="O59" s="10">
        <f t="shared" si="27"/>
        <v>9.4</v>
      </c>
      <c r="P59" s="7">
        <f>LOOKUP(O59,{0,6.6,6.8,7,7.2,7.4,7.6,7.8,8,8.2,8.4,8.6,8.8,9,9.2,9.4,9.6,9.9,10.2,10.3,10.4},{0,10,20,30,40,50,60,62,64,66,68,70,72,74,76,78,80,85,90,95,100})</f>
        <v>78</v>
      </c>
      <c r="Q59" s="5">
        <v>4.01</v>
      </c>
      <c r="R59" s="10">
        <f t="shared" si="28"/>
        <v>5.99</v>
      </c>
      <c r="S59" s="7">
        <f>LOOKUP(R59,{0,4.74,4.84,4.94,5.44,5.54,5.64,5.69,5.74,5.79,5.84,5.89,5.94,5.99,6.44,6.49,6.54,6.61,6.68,6.74,6.8},{0,10,20,30,40,50,60,62,64,66,68,70,72,74,76,78,80,85,90,95,100})</f>
        <v>74</v>
      </c>
      <c r="T59" s="5"/>
      <c r="U59" s="5"/>
      <c r="V59" s="5">
        <f t="shared" si="29"/>
        <v>74</v>
      </c>
      <c r="W59" s="5"/>
      <c r="X59" s="13">
        <f t="shared" si="30"/>
        <v>54</v>
      </c>
      <c r="Y59" s="13">
        <f t="shared" si="31"/>
        <v>77.1428571428572</v>
      </c>
    </row>
    <row r="60" ht="15.6" hidden="1" outlineLevel="2" spans="1:25">
      <c r="A60" s="5">
        <v>306</v>
      </c>
      <c r="B60" s="5">
        <v>45</v>
      </c>
      <c r="C60" s="9" t="s">
        <v>290</v>
      </c>
      <c r="D60" s="9" t="s">
        <v>46</v>
      </c>
      <c r="E60" s="5">
        <v>25.6</v>
      </c>
      <c r="F60" s="7">
        <f>LOOKUP(E60,{0,1.5,2.3,3.1,3.9,4.7,5.5,6.8,8.1,9.4,10.7,12,13.3,14.6,15.9,17.2,18.5,20.2,21.9,23.6,25.3},{0,10,20,30,40,50,60,62,64,66,68,70,72,74,76,78,80,85,90,95,100})</f>
        <v>100</v>
      </c>
      <c r="G60" s="5">
        <v>205</v>
      </c>
      <c r="H60" s="7">
        <f>LOOKUP(G60,{0,125,130,135,140,145,150,153,156,159,162,165,168,171,174,177,180,187,194,200,206},{0,10,20,30,40,50,60,62,64,66,68,70,72,74,76,78,80,85,90,95,100})</f>
        <v>95</v>
      </c>
      <c r="I60" s="5">
        <v>49</v>
      </c>
      <c r="J60" s="7">
        <f>LOOKUP(I60,{0,15,17,19,21,23,25,27,29,31,33,35,37,39,41,43,45,48,51,53,55},{0,10,20,30,40,50,60,62,64,66,68,70,72,74,76,78,80,85,90,95,100})</f>
        <v>85</v>
      </c>
      <c r="K60" s="5"/>
      <c r="L60" s="5"/>
      <c r="M60" s="5">
        <f t="shared" si="26"/>
        <v>85</v>
      </c>
      <c r="N60" s="5">
        <v>8.1</v>
      </c>
      <c r="O60" s="10">
        <f t="shared" si="27"/>
        <v>9.9</v>
      </c>
      <c r="P60" s="7">
        <f>LOOKUP(O60,{0,6.6,6.8,7,7.2,7.4,7.6,7.8,8,8.2,8.4,8.6,8.8,9,9.2,9.4,9.6,9.9,10.2,10.3,10.4},{0,10,20,30,40,50,60,62,64,66,68,70,72,74,76,78,80,85,90,95,100})</f>
        <v>85</v>
      </c>
      <c r="Q60" s="5">
        <v>3.52</v>
      </c>
      <c r="R60" s="10">
        <f t="shared" si="28"/>
        <v>6.48</v>
      </c>
      <c r="S60" s="7">
        <f>LOOKUP(R60,{0,4.74,4.84,4.94,5.44,5.54,5.64,5.69,5.74,5.79,5.84,5.89,5.94,5.99,6.44,6.49,6.54,6.61,6.68,6.74,6.8},{0,10,20,30,40,50,60,62,64,66,68,70,72,74,76,78,80,85,90,95,100})</f>
        <v>76</v>
      </c>
      <c r="T60" s="5"/>
      <c r="U60" s="5"/>
      <c r="V60" s="5">
        <f t="shared" si="29"/>
        <v>76</v>
      </c>
      <c r="W60" s="5"/>
      <c r="X60" s="13">
        <f t="shared" si="30"/>
        <v>60.2</v>
      </c>
      <c r="Y60" s="13">
        <f t="shared" si="31"/>
        <v>86</v>
      </c>
    </row>
    <row r="61" ht="15.6" hidden="1" outlineLevel="2" spans="1:25">
      <c r="A61" s="5">
        <v>306</v>
      </c>
      <c r="B61" s="5">
        <v>46</v>
      </c>
      <c r="C61" s="9" t="s">
        <v>291</v>
      </c>
      <c r="D61" s="9" t="s">
        <v>46</v>
      </c>
      <c r="E61" s="5">
        <v>12.5</v>
      </c>
      <c r="F61" s="7">
        <f>LOOKUP(E61,{0,1.5,2.3,3.1,3.9,4.7,5.5,6.8,8.1,9.4,10.7,12,13.3,14.6,15.9,17.2,18.5,20.2,21.9,23.6,25.3},{0,10,20,30,40,50,60,62,64,66,68,70,72,74,76,78,80,85,90,95,100})</f>
        <v>70</v>
      </c>
      <c r="G61" s="5">
        <v>173</v>
      </c>
      <c r="H61" s="7">
        <f>LOOKUP(G61,{0,125,130,135,140,145,150,153,156,159,162,165,168,171,174,177,180,187,194,200,206},{0,10,20,30,40,50,60,62,64,66,68,70,72,74,76,78,80,85,90,95,100})</f>
        <v>74</v>
      </c>
      <c r="I61" s="5">
        <v>43</v>
      </c>
      <c r="J61" s="7">
        <f>LOOKUP(I61,{0,15,17,19,21,23,25,27,29,31,33,35,37,39,41,43,45,48,51,53,55},{0,10,20,30,40,50,60,62,64,66,68,70,72,74,76,78,80,85,90,95,100})</f>
        <v>78</v>
      </c>
      <c r="K61" s="5"/>
      <c r="L61" s="5"/>
      <c r="M61" s="5">
        <f t="shared" si="26"/>
        <v>78</v>
      </c>
      <c r="N61" s="5">
        <v>9.1</v>
      </c>
      <c r="O61" s="10">
        <f t="shared" si="27"/>
        <v>8.9</v>
      </c>
      <c r="P61" s="7">
        <f>LOOKUP(O61,{0,6.6,6.8,7,7.2,7.4,7.6,7.8,8,8.2,8.4,8.6,8.8,9,9.2,9.4,9.6,9.9,10.2,10.3,10.4},{0,10,20,30,40,50,60,62,64,66,68,70,72,74,76,78,80,85,90,95,100})</f>
        <v>72</v>
      </c>
      <c r="Q61" s="5">
        <v>4.23</v>
      </c>
      <c r="R61" s="10">
        <f t="shared" si="28"/>
        <v>5.77</v>
      </c>
      <c r="S61" s="7">
        <f>LOOKUP(R61,{0,4.74,4.84,4.94,5.44,5.54,5.64,5.69,5.74,5.79,5.84,5.89,5.94,5.99,6.44,6.49,6.54,6.61,6.68,6.74,6.8},{0,10,20,30,40,50,60,62,64,66,68,70,72,74,76,78,80,85,90,95,100})</f>
        <v>64</v>
      </c>
      <c r="T61" s="5"/>
      <c r="U61" s="5"/>
      <c r="V61" s="5">
        <f t="shared" si="29"/>
        <v>64</v>
      </c>
      <c r="W61" s="5"/>
      <c r="X61" s="13">
        <f t="shared" si="30"/>
        <v>49.4</v>
      </c>
      <c r="Y61" s="13">
        <f t="shared" si="31"/>
        <v>70.5714285714286</v>
      </c>
    </row>
    <row r="62" ht="15.6" hidden="1" outlineLevel="2" spans="1:25">
      <c r="A62" s="5">
        <v>306</v>
      </c>
      <c r="B62" s="5">
        <v>47</v>
      </c>
      <c r="C62" s="9" t="s">
        <v>292</v>
      </c>
      <c r="D62" s="9" t="s">
        <v>46</v>
      </c>
      <c r="E62" s="5">
        <v>10</v>
      </c>
      <c r="F62" s="7">
        <f>LOOKUP(E62,{0,1.5,2.3,3.1,3.9,4.7,5.5,6.8,8.1,9.4,10.7,12,13.3,14.6,15.9,17.2,18.5,20.2,21.9,23.6,25.3},{0,10,20,30,40,50,60,62,64,66,68,70,72,74,76,78,80,85,90,95,100})</f>
        <v>66</v>
      </c>
      <c r="G62" s="5">
        <v>163</v>
      </c>
      <c r="H62" s="7">
        <f>LOOKUP(G62,{0,125,130,135,140,145,150,153,156,159,162,165,168,171,174,177,180,187,194,200,206},{0,10,20,30,40,50,60,62,64,66,68,70,72,74,76,78,80,85,90,95,100})</f>
        <v>68</v>
      </c>
      <c r="I62" s="5">
        <v>41</v>
      </c>
      <c r="J62" s="7">
        <f>LOOKUP(I62,{0,15,17,19,21,23,25,27,29,31,33,35,37,39,41,43,45,48,51,53,55},{0,10,20,30,40,50,60,62,64,66,68,70,72,74,76,78,80,85,90,95,100})</f>
        <v>76</v>
      </c>
      <c r="K62" s="5"/>
      <c r="L62" s="5"/>
      <c r="M62" s="5">
        <f t="shared" si="26"/>
        <v>76</v>
      </c>
      <c r="N62" s="5">
        <v>9.6</v>
      </c>
      <c r="O62" s="10">
        <f t="shared" si="27"/>
        <v>8.4</v>
      </c>
      <c r="P62" s="7">
        <f>LOOKUP(O62,{0,6.6,6.8,7,7.2,7.4,7.6,7.8,8,8.2,8.4,8.6,8.8,9,9.2,9.4,9.6,9.9,10.2,10.3,10.4},{0,10,20,30,40,50,60,62,64,66,68,70,72,74,76,78,80,85,90,95,100})</f>
        <v>68</v>
      </c>
      <c r="Q62" s="5">
        <v>4.05</v>
      </c>
      <c r="R62" s="10">
        <f t="shared" si="28"/>
        <v>5.95</v>
      </c>
      <c r="S62" s="7">
        <f>LOOKUP(R62,{0,4.74,4.84,4.94,5.44,5.54,5.64,5.69,5.74,5.79,5.84,5.89,5.94,5.99,6.44,6.49,6.54,6.61,6.68,6.74,6.8},{0,10,20,30,40,50,60,62,64,66,68,70,72,74,76,78,80,85,90,95,100})</f>
        <v>72</v>
      </c>
      <c r="T62" s="5"/>
      <c r="U62" s="5"/>
      <c r="V62" s="5">
        <f t="shared" si="29"/>
        <v>72</v>
      </c>
      <c r="W62" s="5"/>
      <c r="X62" s="13">
        <f t="shared" si="30"/>
        <v>49</v>
      </c>
      <c r="Y62" s="13">
        <f t="shared" si="31"/>
        <v>70</v>
      </c>
    </row>
    <row r="63" ht="15.6" hidden="1" outlineLevel="2" spans="1:25">
      <c r="A63" s="5">
        <v>306</v>
      </c>
      <c r="B63" s="5">
        <v>48</v>
      </c>
      <c r="C63" s="9" t="s">
        <v>293</v>
      </c>
      <c r="D63" s="9" t="s">
        <v>46</v>
      </c>
      <c r="E63" s="5">
        <v>12</v>
      </c>
      <c r="F63" s="7">
        <f>LOOKUP(E63,{0,1.5,2.3,3.1,3.9,4.7,5.5,6.8,8.1,9.4,10.7,12,13.3,14.6,15.9,17.2,18.5,20.2,21.9,23.6,25.3},{0,10,20,30,40,50,60,62,64,66,68,70,72,74,76,78,80,85,90,95,100})</f>
        <v>70</v>
      </c>
      <c r="G63" s="5">
        <v>195</v>
      </c>
      <c r="H63" s="7">
        <f>LOOKUP(G63,{0,125,130,135,140,145,150,153,156,159,162,165,168,171,174,177,180,187,194,200,206},{0,10,20,30,40,50,60,62,64,66,68,70,72,74,76,78,80,85,90,95,100})</f>
        <v>90</v>
      </c>
      <c r="I63" s="5">
        <v>46</v>
      </c>
      <c r="J63" s="7">
        <f>LOOKUP(I63,{0,15,17,19,21,23,25,27,29,31,33,35,37,39,41,43,45,48,51,53,55},{0,10,20,30,40,50,60,62,64,66,68,70,72,74,76,78,80,85,90,95,100})</f>
        <v>80</v>
      </c>
      <c r="K63" s="5"/>
      <c r="L63" s="5"/>
      <c r="M63" s="5">
        <f t="shared" si="26"/>
        <v>80</v>
      </c>
      <c r="N63" s="5">
        <v>8.9</v>
      </c>
      <c r="O63" s="10">
        <f t="shared" si="27"/>
        <v>9.1</v>
      </c>
      <c r="P63" s="7">
        <f>LOOKUP(O63,{0,6.6,6.8,7,7.2,7.4,7.6,7.8,8,8.2,8.4,8.6,8.8,9,9.2,9.4,9.6,9.9,10.2,10.3,10.4},{0,10,20,30,40,50,60,62,64,66,68,70,72,74,76,78,80,85,90,95,100})</f>
        <v>74</v>
      </c>
      <c r="Q63" s="5">
        <v>3.45</v>
      </c>
      <c r="R63" s="10">
        <f t="shared" si="28"/>
        <v>6.55</v>
      </c>
      <c r="S63" s="7">
        <f>LOOKUP(R63,{0,4.74,4.84,4.94,5.44,5.54,5.64,5.69,5.74,5.79,5.84,5.89,5.94,5.99,6.44,6.49,6.54,6.61,6.68,6.74,6.8},{0,10,20,30,40,50,60,62,64,66,68,70,72,74,76,78,80,85,90,95,100})</f>
        <v>80</v>
      </c>
      <c r="T63" s="5"/>
      <c r="U63" s="5"/>
      <c r="V63" s="5">
        <f t="shared" si="29"/>
        <v>80</v>
      </c>
      <c r="W63" s="5"/>
      <c r="X63" s="13">
        <f t="shared" si="30"/>
        <v>54.8</v>
      </c>
      <c r="Y63" s="13">
        <f t="shared" si="31"/>
        <v>78.2857142857143</v>
      </c>
    </row>
    <row r="64" ht="15.6" hidden="1" outlineLevel="2" spans="1:25">
      <c r="A64" s="5">
        <v>306</v>
      </c>
      <c r="B64" s="5">
        <v>49</v>
      </c>
      <c r="C64" s="9" t="s">
        <v>294</v>
      </c>
      <c r="D64" s="9" t="s">
        <v>46</v>
      </c>
      <c r="E64" s="5">
        <v>25</v>
      </c>
      <c r="F64" s="7">
        <f>LOOKUP(E64,{0,1.5,2.3,3.1,3.9,4.7,5.5,6.8,8.1,9.4,10.7,12,13.3,14.6,15.9,17.2,18.5,20.2,21.9,23.6,25.3},{0,10,20,30,40,50,60,62,64,66,68,70,72,74,76,78,80,85,90,95,100})</f>
        <v>95</v>
      </c>
      <c r="G64" s="5">
        <v>173</v>
      </c>
      <c r="H64" s="7">
        <f>LOOKUP(G64,{0,125,130,135,140,145,150,153,156,159,162,165,168,171,174,177,180,187,194,200,206},{0,10,20,30,40,50,60,62,64,66,68,70,72,74,76,78,80,85,90,95,100})</f>
        <v>74</v>
      </c>
      <c r="I64" s="5">
        <v>50</v>
      </c>
      <c r="J64" s="7">
        <f>LOOKUP(I64,{0,15,17,19,21,23,25,27,29,31,33,35,37,39,41,43,45,48,51,53,55},{0,10,20,30,40,50,60,62,64,66,68,70,72,74,76,78,80,85,90,95,100})</f>
        <v>85</v>
      </c>
      <c r="K64" s="5"/>
      <c r="L64" s="5"/>
      <c r="M64" s="5">
        <f t="shared" si="26"/>
        <v>85</v>
      </c>
      <c r="N64" s="5">
        <v>9.2</v>
      </c>
      <c r="O64" s="10">
        <f t="shared" si="27"/>
        <v>8.8</v>
      </c>
      <c r="P64" s="7">
        <f>LOOKUP(O64,{0,6.6,6.8,7,7.2,7.4,7.6,7.8,8,8.2,8.4,8.6,8.8,9,9.2,9.4,9.6,9.9,10.2,10.3,10.4},{0,10,20,30,40,50,60,62,64,66,68,70,72,74,76,78,80,85,90,95,100})</f>
        <v>72</v>
      </c>
      <c r="Q64" s="5">
        <v>3.58</v>
      </c>
      <c r="R64" s="10">
        <f t="shared" si="28"/>
        <v>6.42</v>
      </c>
      <c r="S64" s="7">
        <f>LOOKUP(R64,{0,4.74,4.84,4.94,5.44,5.54,5.64,5.69,5.74,5.79,5.84,5.89,5.94,5.99,6.44,6.49,6.54,6.61,6.68,6.74,6.8},{0,10,20,30,40,50,60,62,64,66,68,70,72,74,76,78,80,85,90,95,100})</f>
        <v>74</v>
      </c>
      <c r="T64" s="5"/>
      <c r="U64" s="5"/>
      <c r="V64" s="5">
        <f t="shared" si="29"/>
        <v>74</v>
      </c>
      <c r="W64" s="5"/>
      <c r="X64" s="13">
        <f t="shared" si="30"/>
        <v>54.6</v>
      </c>
      <c r="Y64" s="13">
        <f t="shared" si="31"/>
        <v>78</v>
      </c>
    </row>
    <row r="65" ht="15.6" hidden="1" outlineLevel="2" spans="1:25">
      <c r="A65" s="5">
        <v>306</v>
      </c>
      <c r="B65" s="5">
        <v>50</v>
      </c>
      <c r="C65" s="9" t="s">
        <v>295</v>
      </c>
      <c r="D65" s="9" t="s">
        <v>46</v>
      </c>
      <c r="E65" s="5">
        <v>17</v>
      </c>
      <c r="F65" s="7">
        <f>LOOKUP(E65,{0,1.5,2.3,3.1,3.9,4.7,5.5,6.8,8.1,9.4,10.7,12,13.3,14.6,15.9,17.2,18.5,20.2,21.9,23.6,25.3},{0,10,20,30,40,50,60,62,64,66,68,70,72,74,76,78,80,85,90,95,100})</f>
        <v>76</v>
      </c>
      <c r="G65" s="5">
        <v>130</v>
      </c>
      <c r="H65" s="7">
        <f>LOOKUP(G65,{0,125,130,135,140,145,150,153,156,159,162,165,168,171,174,177,180,187,194,200,206},{0,10,20,30,40,50,60,62,64,66,68,70,72,74,76,78,80,85,90,95,100})</f>
        <v>20</v>
      </c>
      <c r="I65" s="5">
        <v>45</v>
      </c>
      <c r="J65" s="7">
        <f>LOOKUP(I65,{0,15,17,19,21,23,25,27,29,31,33,35,37,39,41,43,45,48,51,53,55},{0,10,20,30,40,50,60,62,64,66,68,70,72,74,76,78,80,85,90,95,100})</f>
        <v>80</v>
      </c>
      <c r="K65" s="5"/>
      <c r="L65" s="5"/>
      <c r="M65" s="5">
        <f t="shared" si="26"/>
        <v>80</v>
      </c>
      <c r="N65" s="5">
        <v>9.8</v>
      </c>
      <c r="O65" s="10">
        <f t="shared" si="27"/>
        <v>8.2</v>
      </c>
      <c r="P65" s="7">
        <f>LOOKUP(O65,{0,6.6,6.8,7,7.2,7.4,7.6,7.8,8,8.2,8.4,8.6,8.8,9,9.2,9.4,9.6,9.9,10.2,10.3,10.4},{0,10,20,30,40,50,60,62,64,66,68,70,72,74,76,78,80,85,90,95,100})</f>
        <v>66</v>
      </c>
      <c r="Q65" s="5">
        <v>4.13</v>
      </c>
      <c r="R65" s="10">
        <f t="shared" si="28"/>
        <v>5.87</v>
      </c>
      <c r="S65" s="7">
        <f>LOOKUP(R65,{0,4.74,4.84,4.94,5.44,5.54,5.64,5.69,5.74,5.79,5.84,5.89,5.94,5.99,6.44,6.49,6.54,6.61,6.68,6.74,6.8},{0,10,20,30,40,50,60,62,64,66,68,70,72,74,76,78,80,85,90,95,100})</f>
        <v>68</v>
      </c>
      <c r="T65" s="5"/>
      <c r="U65" s="5"/>
      <c r="V65" s="5">
        <f t="shared" si="29"/>
        <v>68</v>
      </c>
      <c r="W65" s="5"/>
      <c r="X65" s="13">
        <f t="shared" si="30"/>
        <v>44.4</v>
      </c>
      <c r="Y65" s="13">
        <f t="shared" si="31"/>
        <v>63.4285714285714</v>
      </c>
    </row>
    <row r="66" ht="15.6" hidden="1" outlineLevel="2" spans="1:25">
      <c r="A66" s="5">
        <v>306</v>
      </c>
      <c r="B66" s="5">
        <v>51</v>
      </c>
      <c r="C66" s="9" t="s">
        <v>296</v>
      </c>
      <c r="D66" s="9" t="s">
        <v>46</v>
      </c>
      <c r="E66" s="5">
        <v>15</v>
      </c>
      <c r="F66" s="7">
        <f>LOOKUP(E66,{0,1.5,2.3,3.1,3.9,4.7,5.5,6.8,8.1,9.4,10.7,12,13.3,14.6,15.9,17.2,18.5,20.2,21.9,23.6,25.3},{0,10,20,30,40,50,60,62,64,66,68,70,72,74,76,78,80,85,90,95,100})</f>
        <v>74</v>
      </c>
      <c r="G66" s="5">
        <v>163</v>
      </c>
      <c r="H66" s="7">
        <f>LOOKUP(G66,{0,125,130,135,140,145,150,153,156,159,162,165,168,171,174,177,180,187,194,200,206},{0,10,20,30,40,50,60,62,64,66,68,70,72,74,76,78,80,85,90,95,100})</f>
        <v>68</v>
      </c>
      <c r="I66" s="5">
        <v>38</v>
      </c>
      <c r="J66" s="7">
        <f>LOOKUP(I66,{0,15,17,19,21,23,25,27,29,31,33,35,37,39,41,43,45,48,51,53,55},{0,10,20,30,40,50,60,62,64,66,68,70,72,74,76,78,80,85,90,95,100})</f>
        <v>72</v>
      </c>
      <c r="K66" s="5"/>
      <c r="L66" s="5"/>
      <c r="M66" s="5">
        <f t="shared" si="26"/>
        <v>72</v>
      </c>
      <c r="N66" s="5">
        <v>9.8</v>
      </c>
      <c r="O66" s="10">
        <f t="shared" si="27"/>
        <v>8.2</v>
      </c>
      <c r="P66" s="7">
        <f>LOOKUP(O66,{0,6.6,6.8,7,7.2,7.4,7.6,7.8,8,8.2,8.4,8.6,8.8,9,9.2,9.4,9.6,9.9,10.2,10.3,10.4},{0,10,20,30,40,50,60,62,64,66,68,70,72,74,76,78,80,85,90,95,100})</f>
        <v>66</v>
      </c>
      <c r="Q66" s="5">
        <v>4.32</v>
      </c>
      <c r="R66" s="10">
        <f t="shared" si="28"/>
        <v>5.68</v>
      </c>
      <c r="S66" s="7">
        <f>LOOKUP(R66,{0,4.74,4.84,4.94,5.44,5.54,5.64,5.69,5.74,5.79,5.84,5.89,5.94,5.99,6.44,6.49,6.54,6.61,6.68,6.74,6.8},{0,10,20,30,40,50,60,62,64,66,68,70,72,74,76,78,80,85,90,95,100})</f>
        <v>60</v>
      </c>
      <c r="T66" s="5"/>
      <c r="U66" s="5"/>
      <c r="V66" s="5">
        <f t="shared" si="29"/>
        <v>60</v>
      </c>
      <c r="W66" s="5"/>
      <c r="X66" s="13">
        <f t="shared" si="30"/>
        <v>46.6</v>
      </c>
      <c r="Y66" s="13">
        <f t="shared" si="31"/>
        <v>66.5714285714286</v>
      </c>
    </row>
    <row r="67" ht="15.6" hidden="1" outlineLevel="2" spans="1:25">
      <c r="A67" s="5">
        <v>306</v>
      </c>
      <c r="B67" s="5">
        <v>52</v>
      </c>
      <c r="C67" s="9" t="s">
        <v>297</v>
      </c>
      <c r="D67" s="9" t="s">
        <v>46</v>
      </c>
      <c r="E67" s="5">
        <v>14</v>
      </c>
      <c r="F67" s="7">
        <f>LOOKUP(E67,{0,1.5,2.3,3.1,3.9,4.7,5.5,6.8,8.1,9.4,10.7,12,13.3,14.6,15.9,17.2,18.5,20.2,21.9,23.6,25.3},{0,10,20,30,40,50,60,62,64,66,68,70,72,74,76,78,80,85,90,95,100})</f>
        <v>72</v>
      </c>
      <c r="G67" s="5">
        <v>205</v>
      </c>
      <c r="H67" s="7">
        <f>LOOKUP(G67,{0,125,130,135,140,145,150,153,156,159,162,165,168,171,174,177,180,187,194,200,206},{0,10,20,30,40,50,60,62,64,66,68,70,72,74,76,78,80,85,90,95,100})</f>
        <v>95</v>
      </c>
      <c r="I67" s="5">
        <v>35</v>
      </c>
      <c r="J67" s="7">
        <f>LOOKUP(I67,{0,15,17,19,21,23,25,27,29,31,33,35,37,39,41,43,45,48,51,53,55},{0,10,20,30,40,50,60,62,64,66,68,70,72,74,76,78,80,85,90,95,100})</f>
        <v>70</v>
      </c>
      <c r="K67" s="5"/>
      <c r="L67" s="5"/>
      <c r="M67" s="5">
        <f t="shared" si="26"/>
        <v>70</v>
      </c>
      <c r="N67" s="5">
        <v>8.1</v>
      </c>
      <c r="O67" s="10">
        <f t="shared" si="27"/>
        <v>9.9</v>
      </c>
      <c r="P67" s="7">
        <f>LOOKUP(O67,{0,6.6,6.8,7,7.2,7.4,7.6,7.8,8,8.2,8.4,8.6,8.8,9,9.2,9.4,9.6,9.9,10.2,10.3,10.4},{0,10,20,30,40,50,60,62,64,66,68,70,72,74,76,78,80,85,90,95,100})</f>
        <v>85</v>
      </c>
      <c r="Q67" s="5">
        <v>3.36</v>
      </c>
      <c r="R67" s="10">
        <f t="shared" si="28"/>
        <v>6.64</v>
      </c>
      <c r="S67" s="7">
        <f>LOOKUP(R67,{0,4.74,4.84,4.94,5.44,5.54,5.64,5.69,5.74,5.79,5.84,5.89,5.94,5.99,6.44,6.49,6.54,6.61,6.68,6.74,6.8},{0,10,20,30,40,50,60,62,64,66,68,70,72,74,76,78,80,85,90,95,100})</f>
        <v>85</v>
      </c>
      <c r="T67" s="5"/>
      <c r="U67" s="5"/>
      <c r="V67" s="5">
        <f t="shared" si="29"/>
        <v>85</v>
      </c>
      <c r="W67" s="5"/>
      <c r="X67" s="13">
        <f t="shared" si="30"/>
        <v>57.7</v>
      </c>
      <c r="Y67" s="13">
        <f t="shared" si="31"/>
        <v>82.4285714285714</v>
      </c>
    </row>
    <row r="68" ht="15.6" outlineLevel="1" collapsed="1" spans="1:25">
      <c r="A68" s="6" t="s">
        <v>857</v>
      </c>
      <c r="B68" s="5"/>
      <c r="C68" s="9"/>
      <c r="D68" s="9"/>
      <c r="E68" s="5"/>
      <c r="F68" s="7">
        <f>SUBTOTAL(1,F48:F67)</f>
        <v>75</v>
      </c>
      <c r="G68" s="5"/>
      <c r="H68" s="7">
        <f>SUBTOTAL(1,H48:H67)</f>
        <v>72.2941176470588</v>
      </c>
      <c r="I68" s="5"/>
      <c r="J68" s="7">
        <f>SUBTOTAL(1,J48:J67)</f>
        <v>80.1764705882353</v>
      </c>
      <c r="K68" s="5"/>
      <c r="L68" s="5"/>
      <c r="M68" s="5">
        <f>SUBTOTAL(1,M48:M67)</f>
        <v>80.4117647058823</v>
      </c>
      <c r="N68" s="5"/>
      <c r="O68" s="10"/>
      <c r="P68" s="7">
        <f>SUBTOTAL(1,P48:P67)</f>
        <v>71.7647058823529</v>
      </c>
      <c r="Q68" s="5"/>
      <c r="R68" s="10"/>
      <c r="S68" s="7">
        <f>SUBTOTAL(1,S48:S67)</f>
        <v>73.0588235294118</v>
      </c>
      <c r="T68" s="5"/>
      <c r="U68" s="5"/>
      <c r="V68" s="5">
        <f>SUBTOTAL(1,V48:V67)</f>
        <v>73.0588235294118</v>
      </c>
      <c r="W68" s="5"/>
      <c r="X68" s="13">
        <f>SUBTOTAL(1,X48:X67)</f>
        <v>51.7117647058824</v>
      </c>
      <c r="Y68" s="13">
        <f>SUBTOTAL(1,Y48:Y67)</f>
        <v>70.4928571428572</v>
      </c>
    </row>
    <row r="69" ht="15.6" hidden="1" outlineLevel="2" spans="1:25">
      <c r="A69" s="5">
        <v>307</v>
      </c>
      <c r="B69" s="5">
        <v>18</v>
      </c>
      <c r="C69" s="8" t="s">
        <v>318</v>
      </c>
      <c r="D69" s="9" t="s">
        <v>46</v>
      </c>
      <c r="E69" s="5">
        <v>10</v>
      </c>
      <c r="F69" s="7">
        <f>LOOKUP(E69,{0,1.5,2.3,3.1,3.9,4.7,5.5,6.8,8.1,9.4,10.7,12,13.3,14.6,15.9,17.2,18.5,20.2,21.9,23.6,25.3},{0,10,20,30,40,50,60,62,64,66,68,70,72,74,76,78,80,85,90,95,100})</f>
        <v>66</v>
      </c>
      <c r="G69" s="5">
        <v>170</v>
      </c>
      <c r="H69" s="7">
        <f>LOOKUP(G69,{0,125,130,135,140,145,150,153,156,159,162,165,168,171,174,177,180,187,194,200,206},{0,10,20,30,40,50,60,62,64,66,68,70,72,74,76,78,80,85,90,95,100})</f>
        <v>72</v>
      </c>
      <c r="I69" s="5">
        <v>37</v>
      </c>
      <c r="J69" s="7">
        <f>LOOKUP(I69,{0,15,17,19,21,23,25,27,29,31,33,35,37,39,41,43,45,48,51,53,55},{0,10,20,30,40,50,60,62,64,66,68,70,72,74,76,78,80,85,90,95,100})</f>
        <v>72</v>
      </c>
      <c r="K69" s="5"/>
      <c r="L69" s="5"/>
      <c r="M69" s="5">
        <f t="shared" ref="M69:M75" si="32">J69+L69</f>
        <v>72</v>
      </c>
      <c r="N69" s="5">
        <v>10.1</v>
      </c>
      <c r="O69" s="10">
        <f t="shared" ref="O69:O75" si="33">18-N69</f>
        <v>7.9</v>
      </c>
      <c r="P69" s="7">
        <f>LOOKUP(O69,{0,6.6,6.8,7,7.2,7.4,7.6,7.8,8,8.2,8.4,8.6,8.8,9,9.2,9.4,9.6,9.9,10.2,10.3,10.4},{0,10,20,30,40,50,60,62,64,66,68,70,72,74,76,78,80,85,90,95,100})</f>
        <v>62</v>
      </c>
      <c r="Q69" s="5">
        <v>4.17</v>
      </c>
      <c r="R69" s="10">
        <f t="shared" ref="R69:R75" si="34">10-Q69</f>
        <v>5.83</v>
      </c>
      <c r="S69" s="7">
        <f>LOOKUP(R69,{0,4.74,4.84,4.94,5.44,5.54,5.64,5.69,5.74,5.79,5.84,5.89,5.94,5.99,6.44,6.49,6.54,6.61,6.68,6.74,6.8},{0,10,20,30,40,50,60,62,64,66,68,70,72,74,76,78,80,85,90,95,100})</f>
        <v>66</v>
      </c>
      <c r="T69" s="5"/>
      <c r="U69" s="5"/>
      <c r="V69" s="5">
        <f t="shared" ref="V69:V75" si="35">S69+U69</f>
        <v>66</v>
      </c>
      <c r="W69" s="5"/>
      <c r="X69" s="13">
        <f t="shared" ref="X69:X75" si="36">F69*0.1+H69*0.1+J69*0.1+P69*0.2+S69*0.2</f>
        <v>46.6</v>
      </c>
      <c r="Y69" s="13">
        <f t="shared" ref="Y69:Y75" si="37">X69/0.7+L69+U69</f>
        <v>66.5714285714286</v>
      </c>
    </row>
    <row r="70" ht="15.6" hidden="1" outlineLevel="2" spans="1:25">
      <c r="A70" s="5">
        <v>307</v>
      </c>
      <c r="B70" s="5">
        <v>19</v>
      </c>
      <c r="C70" s="9" t="s">
        <v>319</v>
      </c>
      <c r="D70" s="9" t="s">
        <v>46</v>
      </c>
      <c r="E70" s="5">
        <v>8</v>
      </c>
      <c r="F70" s="7">
        <f>LOOKUP(E70,{0,1.5,2.3,3.1,3.9,4.7,5.5,6.8,8.1,9.4,10.7,12,13.3,14.6,15.9,17.2,18.5,20.2,21.9,23.6,25.3},{0,10,20,30,40,50,60,62,64,66,68,70,72,74,76,78,80,85,90,95,100})</f>
        <v>62</v>
      </c>
      <c r="G70" s="5">
        <v>180</v>
      </c>
      <c r="H70" s="7">
        <f>LOOKUP(G70,{0,125,130,135,140,145,150,153,156,159,162,165,168,171,174,177,180,187,194,200,206},{0,10,20,30,40,50,60,62,64,66,68,70,72,74,76,78,80,85,90,95,100})</f>
        <v>80</v>
      </c>
      <c r="I70" s="5">
        <v>45</v>
      </c>
      <c r="J70" s="7">
        <f>LOOKUP(I70,{0,15,17,19,21,23,25,27,29,31,33,35,37,39,41,43,45,48,51,53,55},{0,10,20,30,40,50,60,62,64,66,68,70,72,74,76,78,80,85,90,95,100})</f>
        <v>80</v>
      </c>
      <c r="K70" s="5"/>
      <c r="L70" s="5"/>
      <c r="M70" s="5">
        <f t="shared" si="32"/>
        <v>80</v>
      </c>
      <c r="N70" s="5">
        <v>9.1</v>
      </c>
      <c r="O70" s="10">
        <f t="shared" si="33"/>
        <v>8.9</v>
      </c>
      <c r="P70" s="7">
        <f>LOOKUP(O70,{0,6.6,6.8,7,7.2,7.4,7.6,7.8,8,8.2,8.4,8.6,8.8,9,9.2,9.4,9.6,9.9,10.2,10.3,10.4},{0,10,20,30,40,50,60,62,64,66,68,70,72,74,76,78,80,85,90,95,100})</f>
        <v>72</v>
      </c>
      <c r="Q70" s="5">
        <v>4.14</v>
      </c>
      <c r="R70" s="10">
        <f t="shared" si="34"/>
        <v>5.86</v>
      </c>
      <c r="S70" s="7">
        <f>LOOKUP(R70,{0,4.74,4.84,4.94,5.44,5.54,5.64,5.69,5.74,5.79,5.84,5.89,5.94,5.99,6.44,6.49,6.54,6.61,6.68,6.74,6.8},{0,10,20,30,40,50,60,62,64,66,68,70,72,74,76,78,80,85,90,95,100})</f>
        <v>68</v>
      </c>
      <c r="T70" s="5"/>
      <c r="U70" s="5"/>
      <c r="V70" s="5">
        <f t="shared" si="35"/>
        <v>68</v>
      </c>
      <c r="W70" s="5"/>
      <c r="X70" s="13">
        <f t="shared" si="36"/>
        <v>50.2</v>
      </c>
      <c r="Y70" s="13">
        <f t="shared" si="37"/>
        <v>71.7142857142857</v>
      </c>
    </row>
    <row r="71" ht="15.6" hidden="1" outlineLevel="2" spans="1:25">
      <c r="A71" s="5">
        <v>307</v>
      </c>
      <c r="B71" s="5">
        <v>20</v>
      </c>
      <c r="C71" s="9" t="s">
        <v>320</v>
      </c>
      <c r="D71" s="9" t="s">
        <v>46</v>
      </c>
      <c r="E71" s="5">
        <v>13.5</v>
      </c>
      <c r="F71" s="7">
        <f>LOOKUP(E71,{0,1.5,2.3,3.1,3.9,4.7,5.5,6.8,8.1,9.4,10.7,12,13.3,14.6,15.9,17.2,18.5,20.2,21.9,23.6,25.3},{0,10,20,30,40,50,60,62,64,66,68,70,72,74,76,78,80,85,90,95,100})</f>
        <v>72</v>
      </c>
      <c r="G71" s="5">
        <v>175</v>
      </c>
      <c r="H71" s="7">
        <f>LOOKUP(G71,{0,125,130,135,140,145,150,153,156,159,162,165,168,171,174,177,180,187,194,200,206},{0,10,20,30,40,50,60,62,64,66,68,70,72,74,76,78,80,85,90,95,100})</f>
        <v>76</v>
      </c>
      <c r="I71" s="5">
        <v>39</v>
      </c>
      <c r="J71" s="7">
        <f>LOOKUP(I71,{0,15,17,19,21,23,25,27,29,31,33,35,37,39,41,43,45,48,51,53,55},{0,10,20,30,40,50,60,62,64,66,68,70,72,74,76,78,80,85,90,95,100})</f>
        <v>74</v>
      </c>
      <c r="K71" s="5"/>
      <c r="L71" s="5"/>
      <c r="M71" s="5">
        <f t="shared" si="32"/>
        <v>74</v>
      </c>
      <c r="N71" s="5">
        <v>8.3</v>
      </c>
      <c r="O71" s="10">
        <f t="shared" si="33"/>
        <v>9.7</v>
      </c>
      <c r="P71" s="7">
        <f>LOOKUP(O71,{0,6.6,6.8,7,7.2,7.4,7.6,7.8,8,8.2,8.4,8.6,8.8,9,9.2,9.4,9.6,9.9,10.2,10.3,10.4},{0,10,20,30,40,50,60,62,64,66,68,70,72,74,76,78,80,85,90,95,100})</f>
        <v>80</v>
      </c>
      <c r="Q71" s="5">
        <v>4.35</v>
      </c>
      <c r="R71" s="10">
        <f t="shared" si="34"/>
        <v>5.65</v>
      </c>
      <c r="S71" s="7">
        <f>LOOKUP(R71,{0,4.74,4.84,4.94,5.44,5.54,5.64,5.69,5.74,5.79,5.84,5.89,5.94,5.99,6.44,6.49,6.54,6.61,6.68,6.74,6.8},{0,10,20,30,40,50,60,62,64,66,68,70,72,74,76,78,80,85,90,95,100})</f>
        <v>60</v>
      </c>
      <c r="T71" s="5"/>
      <c r="U71" s="5"/>
      <c r="V71" s="5">
        <f t="shared" si="35"/>
        <v>60</v>
      </c>
      <c r="W71" s="5"/>
      <c r="X71" s="13">
        <f t="shared" si="36"/>
        <v>50.2</v>
      </c>
      <c r="Y71" s="13">
        <f t="shared" si="37"/>
        <v>71.7142857142857</v>
      </c>
    </row>
    <row r="72" ht="15.6" hidden="1" outlineLevel="2" spans="1:25">
      <c r="A72" s="5">
        <v>307</v>
      </c>
      <c r="B72" s="5">
        <v>21</v>
      </c>
      <c r="C72" s="9" t="s">
        <v>321</v>
      </c>
      <c r="D72" s="9" t="s">
        <v>46</v>
      </c>
      <c r="E72" s="5">
        <v>12.5</v>
      </c>
      <c r="F72" s="7">
        <f>LOOKUP(E72,{0,1.5,2.3,3.1,3.9,4.7,5.5,6.8,8.1,9.4,10.7,12,13.3,14.6,15.9,17.2,18.5,20.2,21.9,23.6,25.3},{0,10,20,30,40,50,60,62,64,66,68,70,72,74,76,78,80,85,90,95,100})</f>
        <v>70</v>
      </c>
      <c r="G72" s="5">
        <v>168</v>
      </c>
      <c r="H72" s="7">
        <f>LOOKUP(G72,{0,125,130,135,140,145,150,153,156,159,162,165,168,171,174,177,180,187,194,200,206},{0,10,20,30,40,50,60,62,64,66,68,70,72,74,76,78,80,85,90,95,100})</f>
        <v>72</v>
      </c>
      <c r="I72" s="5">
        <v>45</v>
      </c>
      <c r="J72" s="7">
        <f>LOOKUP(I72,{0,15,17,19,21,23,25,27,29,31,33,35,37,39,41,43,45,48,51,53,55},{0,10,20,30,40,50,60,62,64,66,68,70,72,74,76,78,80,85,90,95,100})</f>
        <v>80</v>
      </c>
      <c r="K72" s="5"/>
      <c r="L72" s="5"/>
      <c r="M72" s="5">
        <f t="shared" si="32"/>
        <v>80</v>
      </c>
      <c r="N72" s="5">
        <v>9</v>
      </c>
      <c r="O72" s="10">
        <f t="shared" si="33"/>
        <v>9</v>
      </c>
      <c r="P72" s="7">
        <f>LOOKUP(O72,{0,6.6,6.8,7,7.2,7.4,7.6,7.8,8,8.2,8.4,8.6,8.8,9,9.2,9.4,9.6,9.9,10.2,10.3,10.4},{0,10,20,30,40,50,60,62,64,66,68,70,72,74,76,78,80,85,90,95,100})</f>
        <v>74</v>
      </c>
      <c r="Q72" s="5">
        <v>4.35</v>
      </c>
      <c r="R72" s="10">
        <f t="shared" si="34"/>
        <v>5.65</v>
      </c>
      <c r="S72" s="7">
        <f>LOOKUP(R72,{0,4.74,4.84,4.94,5.44,5.54,5.64,5.69,5.74,5.79,5.84,5.89,5.94,5.99,6.44,6.49,6.54,6.61,6.68,6.74,6.8},{0,10,20,30,40,50,60,62,64,66,68,70,72,74,76,78,80,85,90,95,100})</f>
        <v>60</v>
      </c>
      <c r="T72" s="5"/>
      <c r="U72" s="5"/>
      <c r="V72" s="5">
        <f t="shared" si="35"/>
        <v>60</v>
      </c>
      <c r="W72" s="5"/>
      <c r="X72" s="13">
        <f t="shared" si="36"/>
        <v>49</v>
      </c>
      <c r="Y72" s="13">
        <f t="shared" si="37"/>
        <v>70</v>
      </c>
    </row>
    <row r="73" ht="15.6" hidden="1" outlineLevel="2" spans="1:25">
      <c r="A73" s="5">
        <v>307</v>
      </c>
      <c r="B73" s="5">
        <v>22</v>
      </c>
      <c r="C73" s="9" t="s">
        <v>322</v>
      </c>
      <c r="D73" s="9" t="s">
        <v>46</v>
      </c>
      <c r="E73" s="5">
        <v>23</v>
      </c>
      <c r="F73" s="7">
        <f>LOOKUP(E73,{0,1.5,2.3,3.1,3.9,4.7,5.5,6.8,8.1,9.4,10.7,12,13.3,14.6,15.9,17.2,18.5,20.2,21.9,23.6,25.3},{0,10,20,30,40,50,60,62,64,66,68,70,72,74,76,78,80,85,90,95,100})</f>
        <v>90</v>
      </c>
      <c r="G73" s="5">
        <v>205</v>
      </c>
      <c r="H73" s="7">
        <f>LOOKUP(G73,{0,125,130,135,140,145,150,153,156,159,162,165,168,171,174,177,180,187,194,200,206},{0,10,20,30,40,50,60,62,64,66,68,70,72,74,76,78,80,85,90,95,100})</f>
        <v>95</v>
      </c>
      <c r="I73" s="5">
        <v>47</v>
      </c>
      <c r="J73" s="7">
        <f>LOOKUP(I73,{0,15,17,19,21,23,25,27,29,31,33,35,37,39,41,43,45,48,51,53,55},{0,10,20,30,40,50,60,62,64,66,68,70,72,74,76,78,80,85,90,95,100})</f>
        <v>80</v>
      </c>
      <c r="K73" s="5"/>
      <c r="L73" s="5"/>
      <c r="M73" s="5">
        <f t="shared" si="32"/>
        <v>80</v>
      </c>
      <c r="N73" s="5">
        <v>8.2</v>
      </c>
      <c r="O73" s="10">
        <f t="shared" si="33"/>
        <v>9.8</v>
      </c>
      <c r="P73" s="7">
        <f>LOOKUP(O73,{0,6.6,6.8,7,7.2,7.4,7.6,7.8,8,8.2,8.4,8.6,8.8,9,9.2,9.4,9.6,9.9,10.2,10.3,10.4},{0,10,20,30,40,50,60,62,64,66,68,70,72,74,76,78,80,85,90,95,100})</f>
        <v>80</v>
      </c>
      <c r="Q73" s="5">
        <v>5.08</v>
      </c>
      <c r="R73" s="10">
        <f t="shared" si="34"/>
        <v>4.92</v>
      </c>
      <c r="S73" s="7">
        <f>LOOKUP(R73,{0,4.74,4.84,4.94,5.44,5.54,5.64,5.69,5.74,5.79,5.84,5.89,5.94,5.99,6.44,6.49,6.54,6.61,6.68,6.74,6.8},{0,10,20,30,40,50,60,62,64,66,68,70,72,74,76,78,80,85,90,95,100})</f>
        <v>20</v>
      </c>
      <c r="T73" s="5"/>
      <c r="U73" s="5"/>
      <c r="V73" s="5">
        <f t="shared" si="35"/>
        <v>20</v>
      </c>
      <c r="W73" s="5"/>
      <c r="X73" s="13">
        <f t="shared" si="36"/>
        <v>46.5</v>
      </c>
      <c r="Y73" s="13">
        <f t="shared" si="37"/>
        <v>66.4285714285714</v>
      </c>
    </row>
    <row r="74" ht="15.6" hidden="1" outlineLevel="2" spans="1:25">
      <c r="A74" s="5">
        <v>307</v>
      </c>
      <c r="B74" s="5">
        <v>23</v>
      </c>
      <c r="C74" s="9" t="s">
        <v>323</v>
      </c>
      <c r="D74" s="9" t="s">
        <v>46</v>
      </c>
      <c r="E74" s="5">
        <v>32.5</v>
      </c>
      <c r="F74" s="7">
        <f>LOOKUP(E74,{0,1.5,2.3,3.1,3.9,4.7,5.5,6.8,8.1,9.4,10.7,12,13.3,14.6,15.9,17.2,18.5,20.2,21.9,23.6,25.3},{0,10,20,30,40,50,60,62,64,66,68,70,72,74,76,78,80,85,90,95,100})</f>
        <v>100</v>
      </c>
      <c r="G74" s="5">
        <v>159</v>
      </c>
      <c r="H74" s="7">
        <f>LOOKUP(G74,{0,125,130,135,140,145,150,153,156,159,162,165,168,171,174,177,180,187,194,200,206},{0,10,20,30,40,50,60,62,64,66,68,70,72,74,76,78,80,85,90,95,100})</f>
        <v>66</v>
      </c>
      <c r="I74" s="5">
        <v>42</v>
      </c>
      <c r="J74" s="7">
        <f>LOOKUP(I74,{0,15,17,19,21,23,25,27,29,31,33,35,37,39,41,43,45,48,51,53,55},{0,10,20,30,40,50,60,62,64,66,68,70,72,74,76,78,80,85,90,95,100})</f>
        <v>76</v>
      </c>
      <c r="K74" s="5"/>
      <c r="L74" s="5"/>
      <c r="M74" s="5">
        <f t="shared" si="32"/>
        <v>76</v>
      </c>
      <c r="N74" s="5">
        <v>9.4</v>
      </c>
      <c r="O74" s="10">
        <f t="shared" si="33"/>
        <v>8.6</v>
      </c>
      <c r="P74" s="7">
        <f>LOOKUP(O74,{0,6.6,6.8,7,7.2,7.4,7.6,7.8,8,8.2,8.4,8.6,8.8,9,9.2,9.4,9.6,9.9,10.2,10.3,10.4},{0,10,20,30,40,50,60,62,64,66,68,70,72,74,76,78,80,85,90,95,100})</f>
        <v>70</v>
      </c>
      <c r="Q74" s="5">
        <v>3.55</v>
      </c>
      <c r="R74" s="10">
        <f t="shared" si="34"/>
        <v>6.45</v>
      </c>
      <c r="S74" s="7">
        <f>LOOKUP(R74,{0,4.74,4.84,4.94,5.44,5.54,5.64,5.69,5.74,5.79,5.84,5.89,5.94,5.99,6.44,6.49,6.54,6.61,6.68,6.74,6.8},{0,10,20,30,40,50,60,62,64,66,68,70,72,74,76,78,80,85,90,95,100})</f>
        <v>76</v>
      </c>
      <c r="T74" s="5"/>
      <c r="U74" s="5"/>
      <c r="V74" s="5">
        <f t="shared" si="35"/>
        <v>76</v>
      </c>
      <c r="W74" s="5"/>
      <c r="X74" s="13">
        <f t="shared" si="36"/>
        <v>53.4</v>
      </c>
      <c r="Y74" s="13">
        <f t="shared" si="37"/>
        <v>76.2857142857143</v>
      </c>
    </row>
    <row r="75" ht="15.6" hidden="1" outlineLevel="2" spans="1:25">
      <c r="A75" s="5">
        <v>307</v>
      </c>
      <c r="B75" s="5">
        <v>24</v>
      </c>
      <c r="C75" s="9" t="s">
        <v>324</v>
      </c>
      <c r="D75" s="9" t="s">
        <v>46</v>
      </c>
      <c r="E75" s="5">
        <v>17</v>
      </c>
      <c r="F75" s="7">
        <f>LOOKUP(E75,{0,1.5,2.3,3.1,3.9,4.7,5.5,6.8,8.1,9.4,10.7,12,13.3,14.6,15.9,17.2,18.5,20.2,21.9,23.6,25.3},{0,10,20,30,40,50,60,62,64,66,68,70,72,74,76,78,80,85,90,95,100})</f>
        <v>76</v>
      </c>
      <c r="G75" s="5">
        <v>175</v>
      </c>
      <c r="H75" s="7">
        <f>LOOKUP(G75,{0,125,130,135,140,145,150,153,156,159,162,165,168,171,174,177,180,187,194,200,206},{0,10,20,30,40,50,60,62,64,66,68,70,72,74,76,78,80,85,90,95,100})</f>
        <v>76</v>
      </c>
      <c r="I75" s="5">
        <v>39</v>
      </c>
      <c r="J75" s="7">
        <f>LOOKUP(I75,{0,15,17,19,21,23,25,27,29,31,33,35,37,39,41,43,45,48,51,53,55},{0,10,20,30,40,50,60,62,64,66,68,70,72,74,76,78,80,85,90,95,100})</f>
        <v>74</v>
      </c>
      <c r="K75" s="5"/>
      <c r="L75" s="5"/>
      <c r="M75" s="5">
        <f t="shared" si="32"/>
        <v>74</v>
      </c>
      <c r="N75" s="5">
        <v>8.7</v>
      </c>
      <c r="O75" s="10">
        <f t="shared" si="33"/>
        <v>9.3</v>
      </c>
      <c r="P75" s="7">
        <f>LOOKUP(O75,{0,6.6,6.8,7,7.2,7.4,7.6,7.8,8,8.2,8.4,8.6,8.8,9,9.2,9.4,9.6,9.9,10.2,10.3,10.4},{0,10,20,30,40,50,60,62,64,66,68,70,72,74,76,78,80,85,90,95,100})</f>
        <v>76</v>
      </c>
      <c r="Q75" s="5">
        <v>5.26</v>
      </c>
      <c r="R75" s="10">
        <f t="shared" si="34"/>
        <v>4.74</v>
      </c>
      <c r="S75" s="7">
        <f>LOOKUP(R75,{0,4.74,4.84,4.94,5.44,5.54,5.64,5.69,5.74,5.79,5.84,5.89,5.94,5.99,6.44,6.49,6.54,6.61,6.68,6.74,6.8},{0,10,20,30,40,50,60,62,64,66,68,70,72,74,76,78,80,85,90,95,100})</f>
        <v>10</v>
      </c>
      <c r="T75" s="5"/>
      <c r="U75" s="5"/>
      <c r="V75" s="5">
        <f t="shared" si="35"/>
        <v>10</v>
      </c>
      <c r="W75" s="5"/>
      <c r="X75" s="13">
        <f t="shared" si="36"/>
        <v>39.8</v>
      </c>
      <c r="Y75" s="13">
        <f t="shared" si="37"/>
        <v>56.8571428571429</v>
      </c>
    </row>
    <row r="76" hidden="1" outlineLevel="2" spans="1:25">
      <c r="A76" s="5">
        <v>307</v>
      </c>
      <c r="B76" s="5">
        <v>25</v>
      </c>
      <c r="C76" s="9" t="s">
        <v>325</v>
      </c>
      <c r="D76" s="9" t="s">
        <v>46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50</v>
      </c>
      <c r="X76" s="13"/>
      <c r="Y76" s="13">
        <v>50</v>
      </c>
    </row>
    <row r="77" ht="15.6" hidden="1" outlineLevel="2" spans="1:25">
      <c r="A77" s="5">
        <v>307</v>
      </c>
      <c r="B77" s="5">
        <v>26</v>
      </c>
      <c r="C77" s="9" t="s">
        <v>326</v>
      </c>
      <c r="D77" s="9" t="s">
        <v>46</v>
      </c>
      <c r="E77" s="5">
        <v>8.5</v>
      </c>
      <c r="F77" s="7">
        <f>LOOKUP(E77,{0,1.5,2.3,3.1,3.9,4.7,5.5,6.8,8.1,9.4,10.7,12,13.3,14.6,15.9,17.2,18.5,20.2,21.9,23.6,25.3},{0,10,20,30,40,50,60,62,64,66,68,70,72,74,76,78,80,85,90,95,100})</f>
        <v>64</v>
      </c>
      <c r="G77" s="5">
        <v>165</v>
      </c>
      <c r="H77" s="7">
        <f>LOOKUP(G77,{0,125,130,135,140,145,150,153,156,159,162,165,168,171,174,177,180,187,194,200,206},{0,10,20,30,40,50,60,62,64,66,68,70,72,74,76,78,80,85,90,95,100})</f>
        <v>70</v>
      </c>
      <c r="I77" s="5">
        <v>47</v>
      </c>
      <c r="J77" s="7">
        <f>LOOKUP(I77,{0,15,17,19,21,23,25,27,29,31,33,35,37,39,41,43,45,48,51,53,55},{0,10,20,30,40,50,60,62,64,66,68,70,72,74,76,78,80,85,90,95,100})</f>
        <v>80</v>
      </c>
      <c r="K77" s="5"/>
      <c r="L77" s="5"/>
      <c r="M77" s="5">
        <f t="shared" ref="M77:M81" si="38">J77+L77</f>
        <v>80</v>
      </c>
      <c r="N77" s="5">
        <v>9.5</v>
      </c>
      <c r="O77" s="10">
        <f t="shared" ref="O77:O81" si="39">18-N77</f>
        <v>8.5</v>
      </c>
      <c r="P77" s="7">
        <f>LOOKUP(O77,{0,6.6,6.8,7,7.2,7.4,7.6,7.8,8,8.2,8.4,8.6,8.8,9,9.2,9.4,9.6,9.9,10.2,10.3,10.4},{0,10,20,30,40,50,60,62,64,66,68,70,72,74,76,78,80,85,90,95,100})</f>
        <v>68</v>
      </c>
      <c r="Q77" s="5">
        <v>4.05</v>
      </c>
      <c r="R77" s="10">
        <f t="shared" ref="R77:R81" si="40">10-Q77</f>
        <v>5.95</v>
      </c>
      <c r="S77" s="7">
        <f>LOOKUP(R77,{0,4.74,4.84,4.94,5.44,5.54,5.64,5.69,5.74,5.79,5.84,5.89,5.94,5.99,6.44,6.49,6.54,6.61,6.68,6.74,6.8},{0,10,20,30,40,50,60,62,64,66,68,70,72,74,76,78,80,85,90,95,100})</f>
        <v>72</v>
      </c>
      <c r="T77" s="5"/>
      <c r="U77" s="5"/>
      <c r="V77" s="5">
        <f t="shared" ref="V77:V81" si="41">S77+U77</f>
        <v>72</v>
      </c>
      <c r="W77" s="5"/>
      <c r="X77" s="13">
        <f t="shared" ref="X77:X81" si="42">F77*0.1+H77*0.1+J77*0.1+P77*0.2+S77*0.2</f>
        <v>49.4</v>
      </c>
      <c r="Y77" s="13">
        <f t="shared" ref="Y77:Y81" si="43">X77/0.7+L77+U77</f>
        <v>70.5714285714286</v>
      </c>
    </row>
    <row r="78" hidden="1" outlineLevel="2" spans="1:25">
      <c r="A78" s="5">
        <v>307</v>
      </c>
      <c r="B78" s="5">
        <v>27</v>
      </c>
      <c r="C78" s="9" t="s">
        <v>327</v>
      </c>
      <c r="D78" s="9" t="s">
        <v>46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50</v>
      </c>
      <c r="X78" s="13"/>
      <c r="Y78" s="13">
        <v>50</v>
      </c>
    </row>
    <row r="79" ht="15.6" hidden="1" outlineLevel="2" spans="1:25">
      <c r="A79" s="5">
        <v>307</v>
      </c>
      <c r="B79" s="5">
        <v>28</v>
      </c>
      <c r="C79" s="8" t="s">
        <v>329</v>
      </c>
      <c r="D79" s="9" t="s">
        <v>46</v>
      </c>
      <c r="E79" s="5">
        <v>19</v>
      </c>
      <c r="F79" s="7">
        <f>LOOKUP(E79,{0,1.5,2.3,3.1,3.9,4.7,5.5,6.8,8.1,9.4,10.7,12,13.3,14.6,15.9,17.2,18.5,20.2,21.9,23.6,25.3},{0,10,20,30,40,50,60,62,64,66,68,70,72,74,76,78,80,85,90,95,100})</f>
        <v>80</v>
      </c>
      <c r="G79" s="5">
        <v>172</v>
      </c>
      <c r="H79" s="7">
        <f>LOOKUP(G79,{0,125,130,135,140,145,150,153,156,159,162,165,168,171,174,177,180,187,194,200,206},{0,10,20,30,40,50,60,62,64,66,68,70,72,74,76,78,80,85,90,95,100})</f>
        <v>74</v>
      </c>
      <c r="I79" s="5">
        <v>40</v>
      </c>
      <c r="J79" s="7">
        <f>LOOKUP(I79,{0,15,17,19,21,23,25,27,29,31,33,35,37,39,41,43,45,48,51,53,55},{0,10,20,30,40,50,60,62,64,66,68,70,72,74,76,78,80,85,90,95,100})</f>
        <v>74</v>
      </c>
      <c r="K79" s="5"/>
      <c r="L79" s="5"/>
      <c r="M79" s="5">
        <f t="shared" si="38"/>
        <v>74</v>
      </c>
      <c r="N79" s="5">
        <v>8.6</v>
      </c>
      <c r="O79" s="10">
        <f t="shared" si="39"/>
        <v>9.4</v>
      </c>
      <c r="P79" s="7">
        <f>LOOKUP(O79,{0,6.6,6.8,7,7.2,7.4,7.6,7.8,8,8.2,8.4,8.6,8.8,9,9.2,9.4,9.6,9.9,10.2,10.3,10.4},{0,10,20,30,40,50,60,62,64,66,68,70,72,74,76,78,80,85,90,95,100})</f>
        <v>78</v>
      </c>
      <c r="Q79" s="5">
        <v>5.06</v>
      </c>
      <c r="R79" s="10">
        <f t="shared" si="40"/>
        <v>4.94</v>
      </c>
      <c r="S79" s="7">
        <f>LOOKUP(R79,{0,4.74,4.84,4.94,5.44,5.54,5.64,5.69,5.74,5.79,5.84,5.89,5.94,5.99,6.44,6.49,6.54,6.61,6.68,6.74,6.8},{0,10,20,30,40,50,60,62,64,66,68,70,72,74,76,78,80,85,90,95,100})</f>
        <v>30</v>
      </c>
      <c r="T79" s="5"/>
      <c r="U79" s="5"/>
      <c r="V79" s="5">
        <f t="shared" si="41"/>
        <v>30</v>
      </c>
      <c r="W79" s="5"/>
      <c r="X79" s="13">
        <f t="shared" si="42"/>
        <v>44.4</v>
      </c>
      <c r="Y79" s="13">
        <f t="shared" si="43"/>
        <v>63.4285714285714</v>
      </c>
    </row>
    <row r="80" ht="15.6" hidden="1" outlineLevel="2" spans="1:25">
      <c r="A80" s="5">
        <v>307</v>
      </c>
      <c r="B80" s="5">
        <v>29</v>
      </c>
      <c r="C80" s="9" t="s">
        <v>330</v>
      </c>
      <c r="D80" s="9" t="s">
        <v>46</v>
      </c>
      <c r="E80" s="5">
        <v>12.2</v>
      </c>
      <c r="F80" s="7">
        <f>LOOKUP(E80,{0,1.5,2.3,3.1,3.9,4.7,5.5,6.8,8.1,9.4,10.7,12,13.3,14.6,15.9,17.2,18.5,20.2,21.9,23.6,25.3},{0,10,20,30,40,50,60,62,64,66,68,70,72,74,76,78,80,85,90,95,100})</f>
        <v>70</v>
      </c>
      <c r="G80" s="5">
        <v>160</v>
      </c>
      <c r="H80" s="7">
        <f>LOOKUP(G80,{0,125,130,135,140,145,150,153,156,159,162,165,168,171,174,177,180,187,194,200,206},{0,10,20,30,40,50,60,62,64,66,68,70,72,74,76,78,80,85,90,95,100})</f>
        <v>66</v>
      </c>
      <c r="I80" s="5">
        <v>42</v>
      </c>
      <c r="J80" s="7">
        <f>LOOKUP(I80,{0,15,17,19,21,23,25,27,29,31,33,35,37,39,41,43,45,48,51,53,55},{0,10,20,30,40,50,60,62,64,66,68,70,72,74,76,78,80,85,90,95,100})</f>
        <v>76</v>
      </c>
      <c r="K80" s="5"/>
      <c r="L80" s="5"/>
      <c r="M80" s="5">
        <f t="shared" si="38"/>
        <v>76</v>
      </c>
      <c r="N80" s="5">
        <v>10.1</v>
      </c>
      <c r="O80" s="10">
        <f t="shared" si="39"/>
        <v>7.9</v>
      </c>
      <c r="P80" s="7">
        <f>LOOKUP(O80,{0,6.6,6.8,7,7.2,7.4,7.6,7.8,8,8.2,8.4,8.6,8.8,9,9.2,9.4,9.6,9.9,10.2,10.3,10.4},{0,10,20,30,40,50,60,62,64,66,68,70,72,74,76,78,80,85,90,95,100})</f>
        <v>62</v>
      </c>
      <c r="Q80" s="5">
        <v>4.37</v>
      </c>
      <c r="R80" s="10">
        <f t="shared" si="40"/>
        <v>5.63</v>
      </c>
      <c r="S80" s="7">
        <f>LOOKUP(R80,{0,4.74,4.84,4.94,5.44,5.54,5.64,5.69,5.74,5.79,5.84,5.89,5.94,5.99,6.44,6.49,6.54,6.61,6.68,6.74,6.8},{0,10,20,30,40,50,60,62,64,66,68,70,72,74,76,78,80,85,90,95,100})</f>
        <v>50</v>
      </c>
      <c r="T80" s="5"/>
      <c r="U80" s="5"/>
      <c r="V80" s="5">
        <f t="shared" si="41"/>
        <v>50</v>
      </c>
      <c r="W80" s="5"/>
      <c r="X80" s="13">
        <f t="shared" si="42"/>
        <v>43.6</v>
      </c>
      <c r="Y80" s="13">
        <f t="shared" si="43"/>
        <v>62.2857142857143</v>
      </c>
    </row>
    <row r="81" ht="15.6" hidden="1" outlineLevel="2" spans="1:25">
      <c r="A81" s="5">
        <v>307</v>
      </c>
      <c r="B81" s="5">
        <v>30</v>
      </c>
      <c r="C81" s="9" t="s">
        <v>331</v>
      </c>
      <c r="D81" s="9" t="s">
        <v>46</v>
      </c>
      <c r="E81" s="5">
        <v>14</v>
      </c>
      <c r="F81" s="7">
        <f>LOOKUP(E81,{0,1.5,2.3,3.1,3.9,4.7,5.5,6.8,8.1,9.4,10.7,12,13.3,14.6,15.9,17.2,18.5,20.2,21.9,23.6,25.3},{0,10,20,30,40,50,60,62,64,66,68,70,72,74,76,78,80,85,90,95,100})</f>
        <v>72</v>
      </c>
      <c r="G81" s="5">
        <v>150</v>
      </c>
      <c r="H81" s="7">
        <f>LOOKUP(G81,{0,125,130,135,140,145,150,153,156,159,162,165,168,171,174,177,180,187,194,200,206},{0,10,20,30,40,50,60,62,64,66,68,70,72,74,76,78,80,85,90,95,100})</f>
        <v>60</v>
      </c>
      <c r="I81" s="5">
        <v>45</v>
      </c>
      <c r="J81" s="7">
        <f>LOOKUP(I81,{0,15,17,19,21,23,25,27,29,31,33,35,37,39,41,43,45,48,51,53,55},{0,10,20,30,40,50,60,62,64,66,68,70,72,74,76,78,80,85,90,95,100})</f>
        <v>80</v>
      </c>
      <c r="K81" s="5"/>
      <c r="L81" s="5"/>
      <c r="M81" s="5">
        <f t="shared" si="38"/>
        <v>80</v>
      </c>
      <c r="N81" s="5">
        <v>9.9</v>
      </c>
      <c r="O81" s="10">
        <f t="shared" si="39"/>
        <v>8.1</v>
      </c>
      <c r="P81" s="7">
        <f>LOOKUP(O81,{0,6.6,6.8,7,7.2,7.4,7.6,7.8,8,8.2,8.4,8.6,8.8,9,9.2,9.4,9.6,9.9,10.2,10.3,10.4},{0,10,20,30,40,50,60,62,64,66,68,70,72,74,76,78,80,85,90,95,100})</f>
        <v>64</v>
      </c>
      <c r="Q81" s="5">
        <v>4.53</v>
      </c>
      <c r="R81" s="10">
        <f t="shared" si="40"/>
        <v>5.47</v>
      </c>
      <c r="S81" s="7">
        <f>LOOKUP(R81,{0,4.74,4.84,4.94,5.44,5.54,5.64,5.69,5.74,5.79,5.84,5.89,5.94,5.99,6.44,6.49,6.54,6.61,6.68,6.74,6.8},{0,10,20,30,40,50,60,62,64,66,68,70,72,74,76,78,80,85,90,95,100})</f>
        <v>40</v>
      </c>
      <c r="T81" s="5"/>
      <c r="U81" s="5"/>
      <c r="V81" s="5">
        <f t="shared" si="41"/>
        <v>40</v>
      </c>
      <c r="W81" s="5"/>
      <c r="X81" s="13">
        <f t="shared" si="42"/>
        <v>42</v>
      </c>
      <c r="Y81" s="13">
        <f t="shared" si="43"/>
        <v>60</v>
      </c>
    </row>
    <row r="82" hidden="1" outlineLevel="2" spans="1:25">
      <c r="A82" s="5">
        <v>307</v>
      </c>
      <c r="B82" s="5">
        <v>31</v>
      </c>
      <c r="C82" s="9" t="s">
        <v>332</v>
      </c>
      <c r="D82" s="9" t="s">
        <v>46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50</v>
      </c>
      <c r="X82" s="13"/>
      <c r="Y82" s="13">
        <v>50</v>
      </c>
    </row>
    <row r="83" ht="15.6" hidden="1" outlineLevel="2" spans="1:25">
      <c r="A83" s="5">
        <v>307</v>
      </c>
      <c r="B83" s="5">
        <v>32</v>
      </c>
      <c r="C83" s="9" t="s">
        <v>333</v>
      </c>
      <c r="D83" s="9" t="s">
        <v>46</v>
      </c>
      <c r="E83" s="5">
        <v>13.2</v>
      </c>
      <c r="F83" s="7">
        <f>LOOKUP(E83,{0,1.5,2.3,3.1,3.9,4.7,5.5,6.8,8.1,9.4,10.7,12,13.3,14.6,15.9,17.2,18.5,20.2,21.9,23.6,25.3},{0,10,20,30,40,50,60,62,64,66,68,70,72,74,76,78,80,85,90,95,100})</f>
        <v>70</v>
      </c>
      <c r="G83" s="5">
        <v>175</v>
      </c>
      <c r="H83" s="7">
        <f>LOOKUP(G83,{0,125,130,135,140,145,150,153,156,159,162,165,168,171,174,177,180,187,194,200,206},{0,10,20,30,40,50,60,62,64,66,68,70,72,74,76,78,80,85,90,95,100})</f>
        <v>76</v>
      </c>
      <c r="I83" s="5">
        <v>50</v>
      </c>
      <c r="J83" s="7">
        <f>LOOKUP(I83,{0,15,17,19,21,23,25,27,29,31,33,35,37,39,41,43,45,48,51,53,55},{0,10,20,30,40,50,60,62,64,66,68,70,72,74,76,78,80,85,90,95,100})</f>
        <v>85</v>
      </c>
      <c r="K83" s="5"/>
      <c r="L83" s="5"/>
      <c r="M83" s="5">
        <f t="shared" ref="M83:M86" si="44">J83+L83</f>
        <v>85</v>
      </c>
      <c r="N83" s="5">
        <v>8.9</v>
      </c>
      <c r="O83" s="10">
        <f t="shared" ref="O83:O86" si="45">18-N83</f>
        <v>9.1</v>
      </c>
      <c r="P83" s="7">
        <f>LOOKUP(O83,{0,6.6,6.8,7,7.2,7.4,7.6,7.8,8,8.2,8.4,8.6,8.8,9,9.2,9.4,9.6,9.9,10.2,10.3,10.4},{0,10,20,30,40,50,60,62,64,66,68,70,72,74,76,78,80,85,90,95,100})</f>
        <v>74</v>
      </c>
      <c r="Q83" s="5">
        <v>4.25</v>
      </c>
      <c r="R83" s="10">
        <f t="shared" ref="R83:R86" si="46">10-Q83</f>
        <v>5.75</v>
      </c>
      <c r="S83" s="7">
        <f>LOOKUP(R83,{0,4.74,4.84,4.94,5.44,5.54,5.64,5.69,5.74,5.79,5.84,5.89,5.94,5.99,6.44,6.49,6.54,6.61,6.68,6.74,6.8},{0,10,20,30,40,50,60,62,64,66,68,70,72,74,76,78,80,85,90,95,100})</f>
        <v>64</v>
      </c>
      <c r="T83" s="5"/>
      <c r="U83" s="5"/>
      <c r="V83" s="5">
        <f t="shared" ref="V83:V86" si="47">S83+U83</f>
        <v>64</v>
      </c>
      <c r="W83" s="5"/>
      <c r="X83" s="13">
        <f t="shared" ref="X83:X99" si="48">F83*0.1+H83*0.1+J83*0.1+P83*0.2+S83*0.2</f>
        <v>50.7</v>
      </c>
      <c r="Y83" s="13">
        <f t="shared" ref="Y83:Y86" si="49">X83/0.7+L83+U83</f>
        <v>72.4285714285714</v>
      </c>
    </row>
    <row r="84" ht="15.6" hidden="1" outlineLevel="2" spans="1:25">
      <c r="A84" s="5">
        <v>307</v>
      </c>
      <c r="B84" s="5">
        <v>33</v>
      </c>
      <c r="C84" s="9" t="s">
        <v>334</v>
      </c>
      <c r="D84" s="9" t="s">
        <v>46</v>
      </c>
      <c r="E84" s="5">
        <v>8.6</v>
      </c>
      <c r="F84" s="7">
        <f>LOOKUP(E84,{0,1.5,2.3,3.1,3.9,4.7,5.5,6.8,8.1,9.4,10.7,12,13.3,14.6,15.9,17.2,18.5,20.2,21.9,23.6,25.3},{0,10,20,30,40,50,60,62,64,66,68,70,72,74,76,78,80,85,90,95,100})</f>
        <v>64</v>
      </c>
      <c r="G84" s="5">
        <v>130</v>
      </c>
      <c r="H84" s="7">
        <f>LOOKUP(G84,{0,125,130,135,140,145,150,153,156,159,162,165,168,171,174,177,180,187,194,200,206},{0,10,20,30,40,50,60,62,64,66,68,70,72,74,76,78,80,85,90,95,100})</f>
        <v>20</v>
      </c>
      <c r="I84" s="5">
        <v>26</v>
      </c>
      <c r="J84" s="7">
        <f>LOOKUP(I84,{0,15,17,19,21,23,25,27,29,31,33,35,37,39,41,43,45,48,51,53,55},{0,10,20,30,40,50,60,62,64,66,68,70,72,74,76,78,80,85,90,95,100})</f>
        <v>60</v>
      </c>
      <c r="K84" s="5"/>
      <c r="L84" s="5"/>
      <c r="M84" s="5">
        <f t="shared" si="44"/>
        <v>60</v>
      </c>
      <c r="N84" s="5">
        <v>13.2</v>
      </c>
      <c r="O84" s="10">
        <f t="shared" si="45"/>
        <v>4.8</v>
      </c>
      <c r="P84" s="7">
        <f>LOOKUP(O84,{0,6.6,6.8,7,7.2,7.4,7.6,7.8,8,8.2,8.4,8.6,8.8,9,9.2,9.4,9.6,9.9,10.2,10.3,10.4},{0,10,20,30,40,50,60,62,64,66,68,70,72,74,76,78,80,85,90,95,100})</f>
        <v>0</v>
      </c>
      <c r="Q84" s="5">
        <v>7.31</v>
      </c>
      <c r="R84" s="10">
        <f t="shared" si="46"/>
        <v>2.69</v>
      </c>
      <c r="S84" s="7">
        <f>LOOKUP(R84,{0,4.74,4.84,4.94,5.44,5.54,5.64,5.69,5.74,5.79,5.84,5.89,5.94,5.99,6.44,6.49,6.54,6.61,6.68,6.74,6.8},{0,10,20,30,40,50,60,62,64,66,68,70,72,74,76,78,80,85,90,95,100})</f>
        <v>0</v>
      </c>
      <c r="T84" s="5"/>
      <c r="U84" s="5"/>
      <c r="V84" s="5">
        <f t="shared" si="47"/>
        <v>0</v>
      </c>
      <c r="W84" s="5"/>
      <c r="X84" s="13">
        <f t="shared" si="48"/>
        <v>14.4</v>
      </c>
      <c r="Y84" s="13">
        <f t="shared" si="49"/>
        <v>20.5714285714286</v>
      </c>
    </row>
    <row r="85" ht="15.6" hidden="1" outlineLevel="2" spans="1:25">
      <c r="A85" s="5">
        <v>307</v>
      </c>
      <c r="B85" s="5">
        <v>34</v>
      </c>
      <c r="C85" s="9" t="s">
        <v>335</v>
      </c>
      <c r="D85" s="9" t="s">
        <v>46</v>
      </c>
      <c r="E85" s="5">
        <v>30</v>
      </c>
      <c r="F85" s="7">
        <f>LOOKUP(E85,{0,1.5,2.3,3.1,3.9,4.7,5.5,6.8,8.1,9.4,10.7,12,13.3,14.6,15.9,17.2,18.5,20.2,21.9,23.6,25.3},{0,10,20,30,40,50,60,62,64,66,68,70,72,74,76,78,80,85,90,95,100})</f>
        <v>100</v>
      </c>
      <c r="G85" s="5">
        <v>192</v>
      </c>
      <c r="H85" s="7">
        <f>LOOKUP(G85,{0,125,130,135,140,145,150,153,156,159,162,165,168,171,174,177,180,187,194,200,206},{0,10,20,30,40,50,60,62,64,66,68,70,72,74,76,78,80,85,90,95,100})</f>
        <v>85</v>
      </c>
      <c r="I85" s="5">
        <v>42</v>
      </c>
      <c r="J85" s="7">
        <f>LOOKUP(I85,{0,15,17,19,21,23,25,27,29,31,33,35,37,39,41,43,45,48,51,53,55},{0,10,20,30,40,50,60,62,64,66,68,70,72,74,76,78,80,85,90,95,100})</f>
        <v>76</v>
      </c>
      <c r="K85" s="5"/>
      <c r="L85" s="5"/>
      <c r="M85" s="5">
        <f t="shared" si="44"/>
        <v>76</v>
      </c>
      <c r="N85" s="5">
        <v>8.9</v>
      </c>
      <c r="O85" s="10">
        <f t="shared" si="45"/>
        <v>9.1</v>
      </c>
      <c r="P85" s="7">
        <f>LOOKUP(O85,{0,6.6,6.8,7,7.2,7.4,7.6,7.8,8,8.2,8.4,8.6,8.8,9,9.2,9.4,9.6,9.9,10.2,10.3,10.4},{0,10,20,30,40,50,60,62,64,66,68,70,72,74,76,78,80,85,90,95,100})</f>
        <v>74</v>
      </c>
      <c r="Q85" s="5">
        <v>5.07</v>
      </c>
      <c r="R85" s="10">
        <f t="shared" si="46"/>
        <v>4.93</v>
      </c>
      <c r="S85" s="7">
        <f>LOOKUP(R85,{0,4.74,4.84,4.94,5.44,5.54,5.64,5.69,5.74,5.79,5.84,5.89,5.94,5.99,6.44,6.49,6.54,6.61,6.68,6.74,6.8},{0,10,20,30,40,50,60,62,64,66,68,70,72,74,76,78,80,85,90,95,100})</f>
        <v>20</v>
      </c>
      <c r="T85" s="5"/>
      <c r="U85" s="5"/>
      <c r="V85" s="5">
        <f t="shared" si="47"/>
        <v>20</v>
      </c>
      <c r="W85" s="5"/>
      <c r="X85" s="13">
        <f t="shared" si="48"/>
        <v>44.9</v>
      </c>
      <c r="Y85" s="13">
        <f t="shared" si="49"/>
        <v>64.1428571428572</v>
      </c>
    </row>
    <row r="86" ht="15.6" hidden="1" outlineLevel="2" spans="1:25">
      <c r="A86" s="5">
        <v>307</v>
      </c>
      <c r="B86" s="5">
        <v>35</v>
      </c>
      <c r="C86" s="9" t="s">
        <v>336</v>
      </c>
      <c r="D86" s="9" t="s">
        <v>46</v>
      </c>
      <c r="E86" s="5">
        <v>5.5</v>
      </c>
      <c r="F86" s="7">
        <f>LOOKUP(E86,{0,1.5,2.3,3.1,3.9,4.7,5.5,6.8,8.1,9.4,10.7,12,13.3,14.6,15.9,17.2,18.5,20.2,21.9,23.6,25.3},{0,10,20,30,40,50,60,62,64,66,68,70,72,74,76,78,80,85,90,95,100})</f>
        <v>60</v>
      </c>
      <c r="G86" s="5">
        <v>160</v>
      </c>
      <c r="H86" s="7">
        <f>LOOKUP(G86,{0,125,130,135,140,145,150,153,156,159,162,165,168,171,174,177,180,187,194,200,206},{0,10,20,30,40,50,60,62,64,66,68,70,72,74,76,78,80,85,90,95,100})</f>
        <v>66</v>
      </c>
      <c r="I86" s="5">
        <v>51</v>
      </c>
      <c r="J86" s="7">
        <f>LOOKUP(I86,{0,15,17,19,21,23,25,27,29,31,33,35,37,39,41,43,45,48,51,53,55},{0,10,20,30,40,50,60,62,64,66,68,70,72,74,76,78,80,85,90,95,100})</f>
        <v>90</v>
      </c>
      <c r="K86" s="5"/>
      <c r="L86" s="5"/>
      <c r="M86" s="5">
        <f t="shared" si="44"/>
        <v>90</v>
      </c>
      <c r="N86" s="5">
        <v>9</v>
      </c>
      <c r="O86" s="10">
        <f t="shared" si="45"/>
        <v>9</v>
      </c>
      <c r="P86" s="7">
        <f>LOOKUP(O86,{0,6.6,6.8,7,7.2,7.4,7.6,7.8,8,8.2,8.4,8.6,8.8,9,9.2,9.4,9.6,9.9,10.2,10.3,10.4},{0,10,20,30,40,50,60,62,64,66,68,70,72,74,76,78,80,85,90,95,100})</f>
        <v>74</v>
      </c>
      <c r="Q86" s="5">
        <v>3.52</v>
      </c>
      <c r="R86" s="10">
        <f t="shared" si="46"/>
        <v>6.48</v>
      </c>
      <c r="S86" s="7">
        <f>LOOKUP(R86,{0,4.74,4.84,4.94,5.44,5.54,5.64,5.69,5.74,5.79,5.84,5.89,5.94,5.99,6.44,6.49,6.54,6.61,6.68,6.74,6.8},{0,10,20,30,40,50,60,62,64,66,68,70,72,74,76,78,80,85,90,95,100})</f>
        <v>76</v>
      </c>
      <c r="T86" s="5"/>
      <c r="U86" s="5"/>
      <c r="V86" s="5">
        <f t="shared" si="47"/>
        <v>76</v>
      </c>
      <c r="W86" s="5"/>
      <c r="X86" s="13">
        <f t="shared" si="48"/>
        <v>51.6</v>
      </c>
      <c r="Y86" s="13">
        <f t="shared" si="49"/>
        <v>73.7142857142857</v>
      </c>
    </row>
    <row r="87" ht="15.6" hidden="1" outlineLevel="2" spans="1:25">
      <c r="A87" s="5">
        <v>307</v>
      </c>
      <c r="B87" s="5">
        <v>36</v>
      </c>
      <c r="C87" s="9" t="s">
        <v>337</v>
      </c>
      <c r="D87" s="9" t="s">
        <v>46</v>
      </c>
      <c r="E87" s="5" t="s">
        <v>77</v>
      </c>
      <c r="F87" s="7"/>
      <c r="G87" s="5">
        <v>225</v>
      </c>
      <c r="H87" s="7">
        <f>LOOKUP(G87,{0,125,130,135,140,145,150,153,156,159,162,165,168,171,174,177,180,187,194,200,206},{0,10,20,30,40,50,60,62,64,66,68,70,72,74,76,78,80,85,90,95,100})</f>
        <v>100</v>
      </c>
      <c r="I87" s="5" t="s">
        <v>77</v>
      </c>
      <c r="J87" s="7"/>
      <c r="K87" s="5"/>
      <c r="L87" s="5"/>
      <c r="M87" s="5"/>
      <c r="N87" s="5" t="s">
        <v>77</v>
      </c>
      <c r="O87" s="5"/>
      <c r="P87" s="5"/>
      <c r="Q87" s="5" t="s">
        <v>77</v>
      </c>
      <c r="R87" s="5"/>
      <c r="S87" s="5"/>
      <c r="T87" s="5"/>
      <c r="U87" s="5"/>
      <c r="V87" s="5"/>
      <c r="W87" s="14">
        <v>50</v>
      </c>
      <c r="X87" s="13">
        <f t="shared" si="48"/>
        <v>10</v>
      </c>
      <c r="Y87" s="13">
        <v>50</v>
      </c>
    </row>
    <row r="88" ht="15.6" hidden="1" outlineLevel="2" spans="1:25">
      <c r="A88" s="5">
        <v>307</v>
      </c>
      <c r="B88" s="5">
        <v>37</v>
      </c>
      <c r="C88" s="9" t="s">
        <v>338</v>
      </c>
      <c r="D88" s="9" t="s">
        <v>46</v>
      </c>
      <c r="E88" s="5">
        <v>16.4</v>
      </c>
      <c r="F88" s="7">
        <f>LOOKUP(E88,{0,1.5,2.3,3.1,3.9,4.7,5.5,6.8,8.1,9.4,10.7,12,13.3,14.6,15.9,17.2,18.5,20.2,21.9,23.6,25.3},{0,10,20,30,40,50,60,62,64,66,68,70,72,74,76,78,80,85,90,95,100})</f>
        <v>76</v>
      </c>
      <c r="G88" s="5">
        <v>150</v>
      </c>
      <c r="H88" s="7">
        <f>LOOKUP(G88,{0,125,130,135,140,145,150,153,156,159,162,165,168,171,174,177,180,187,194,200,206},{0,10,20,30,40,50,60,62,64,66,68,70,72,74,76,78,80,85,90,95,100})</f>
        <v>60</v>
      </c>
      <c r="I88" s="5">
        <v>36</v>
      </c>
      <c r="J88" s="7">
        <f>LOOKUP(I88,{0,15,17,19,21,23,25,27,29,31,33,35,37,39,41,43,45,48,51,53,55},{0,10,20,30,40,50,60,62,64,66,68,70,72,74,76,78,80,85,90,95,100})</f>
        <v>70</v>
      </c>
      <c r="K88" s="5"/>
      <c r="L88" s="5"/>
      <c r="M88" s="5">
        <f t="shared" ref="M88:M97" si="50">J88+L88</f>
        <v>70</v>
      </c>
      <c r="N88" s="5">
        <v>8.5</v>
      </c>
      <c r="O88" s="10">
        <f t="shared" ref="O88:O92" si="51">18-N88</f>
        <v>9.5</v>
      </c>
      <c r="P88" s="7">
        <f>LOOKUP(O88,{0,6.6,6.8,7,7.2,7.4,7.6,7.8,8,8.2,8.4,8.6,8.8,9,9.2,9.4,9.6,9.9,10.2,10.3,10.4},{0,10,20,30,40,50,60,62,64,66,68,70,72,74,76,78,80,85,90,95,100})</f>
        <v>78</v>
      </c>
      <c r="Q88" s="5">
        <v>3.54</v>
      </c>
      <c r="R88" s="10">
        <f t="shared" ref="R88:R92" si="52">10-Q88</f>
        <v>6.46</v>
      </c>
      <c r="S88" s="7">
        <f>LOOKUP(R88,{0,4.74,4.84,4.94,5.44,5.54,5.64,5.69,5.74,5.79,5.84,5.89,5.94,5.99,6.44,6.49,6.54,6.61,6.68,6.74,6.8},{0,10,20,30,40,50,60,62,64,66,68,70,72,74,76,78,80,85,90,95,100})</f>
        <v>76</v>
      </c>
      <c r="T88" s="5"/>
      <c r="U88" s="5"/>
      <c r="V88" s="5">
        <f t="shared" ref="V88:V92" si="53">S88+U88</f>
        <v>76</v>
      </c>
      <c r="W88" s="5"/>
      <c r="X88" s="13">
        <f t="shared" si="48"/>
        <v>51.4</v>
      </c>
      <c r="Y88" s="13">
        <f t="shared" ref="Y88:Y92" si="54">X88/0.7+L88+U88</f>
        <v>73.4285714285714</v>
      </c>
    </row>
    <row r="89" ht="15.6" hidden="1" outlineLevel="2" spans="1:25">
      <c r="A89" s="5">
        <v>307</v>
      </c>
      <c r="B89" s="5">
        <v>38</v>
      </c>
      <c r="C89" s="8" t="s">
        <v>340</v>
      </c>
      <c r="D89" s="9" t="s">
        <v>46</v>
      </c>
      <c r="E89" s="5">
        <v>18.5</v>
      </c>
      <c r="F89" s="7">
        <f>LOOKUP(E89,{0,1.5,2.3,3.1,3.9,4.7,5.5,6.8,8.1,9.4,10.7,12,13.3,14.6,15.9,17.2,18.5,20.2,21.9,23.6,25.3},{0,10,20,30,40,50,60,62,64,66,68,70,72,74,76,78,80,85,90,95,100})</f>
        <v>80</v>
      </c>
      <c r="G89" s="5">
        <v>170</v>
      </c>
      <c r="H89" s="7">
        <f>LOOKUP(G89,{0,125,130,135,140,145,150,153,156,159,162,165,168,171,174,177,180,187,194,200,206},{0,10,20,30,40,50,60,62,64,66,68,70,72,74,76,78,80,85,90,95,100})</f>
        <v>72</v>
      </c>
      <c r="I89" s="5">
        <v>28</v>
      </c>
      <c r="J89" s="7">
        <f>LOOKUP(I89,{0,15,17,19,21,23,25,27,29,31,33,35,37,39,41,43,45,48,51,53,55},{0,10,20,30,40,50,60,62,64,66,68,70,72,74,76,78,80,85,90,95,100})</f>
        <v>62</v>
      </c>
      <c r="K89" s="5"/>
      <c r="L89" s="5"/>
      <c r="M89" s="5">
        <f t="shared" si="50"/>
        <v>62</v>
      </c>
      <c r="N89" s="5">
        <v>9.5</v>
      </c>
      <c r="O89" s="10">
        <f t="shared" si="51"/>
        <v>8.5</v>
      </c>
      <c r="P89" s="7">
        <f>LOOKUP(O89,{0,6.6,6.8,7,7.2,7.4,7.6,7.8,8,8.2,8.4,8.6,8.8,9,9.2,9.4,9.6,9.9,10.2,10.3,10.4},{0,10,20,30,40,50,60,62,64,66,68,70,72,74,76,78,80,85,90,95,100})</f>
        <v>68</v>
      </c>
      <c r="Q89" s="5">
        <v>4.51</v>
      </c>
      <c r="R89" s="10">
        <f t="shared" si="52"/>
        <v>5.49</v>
      </c>
      <c r="S89" s="7">
        <f>LOOKUP(R89,{0,4.74,4.84,4.94,5.44,5.54,5.64,5.69,5.74,5.79,5.84,5.89,5.94,5.99,6.44,6.49,6.54,6.61,6.68,6.74,6.8},{0,10,20,30,40,50,60,62,64,66,68,70,72,74,76,78,80,85,90,95,100})</f>
        <v>40</v>
      </c>
      <c r="T89" s="5"/>
      <c r="U89" s="5"/>
      <c r="V89" s="5">
        <f t="shared" si="53"/>
        <v>40</v>
      </c>
      <c r="W89" s="5"/>
      <c r="X89" s="13">
        <f t="shared" si="48"/>
        <v>43</v>
      </c>
      <c r="Y89" s="13">
        <f t="shared" si="54"/>
        <v>61.4285714285714</v>
      </c>
    </row>
    <row r="90" ht="15.6" hidden="1" outlineLevel="2" spans="1:25">
      <c r="A90" s="5">
        <v>307</v>
      </c>
      <c r="B90" s="5">
        <v>39</v>
      </c>
      <c r="C90" s="9" t="s">
        <v>341</v>
      </c>
      <c r="D90" s="9" t="s">
        <v>46</v>
      </c>
      <c r="E90" s="5">
        <v>19.5</v>
      </c>
      <c r="F90" s="7">
        <f>LOOKUP(E90,{0,1.5,2.3,3.1,3.9,4.7,5.5,6.8,8.1,9.4,10.7,12,13.3,14.6,15.9,17.2,18.5,20.2,21.9,23.6,25.3},{0,10,20,30,40,50,60,62,64,66,68,70,72,74,76,78,80,85,90,95,100})</f>
        <v>80</v>
      </c>
      <c r="G90" s="5">
        <v>185</v>
      </c>
      <c r="H90" s="7">
        <f>LOOKUP(G90,{0,125,130,135,140,145,150,153,156,159,162,165,168,171,174,177,180,187,194,200,206},{0,10,20,30,40,50,60,62,64,66,68,70,72,74,76,78,80,85,90,95,100})</f>
        <v>80</v>
      </c>
      <c r="I90" s="5">
        <v>53</v>
      </c>
      <c r="J90" s="7">
        <f>LOOKUP(I90,{0,15,17,19,21,23,25,27,29,31,33,35,37,39,41,43,45,48,51,53,55},{0,10,20,30,40,50,60,62,64,66,68,70,72,74,76,78,80,85,90,95,100})</f>
        <v>95</v>
      </c>
      <c r="K90" s="5"/>
      <c r="L90" s="5"/>
      <c r="M90" s="5">
        <f t="shared" si="50"/>
        <v>95</v>
      </c>
      <c r="N90" s="5">
        <v>8.8</v>
      </c>
      <c r="O90" s="10">
        <f t="shared" si="51"/>
        <v>9.2</v>
      </c>
      <c r="P90" s="7">
        <f>LOOKUP(O90,{0,6.6,6.8,7,7.2,7.4,7.6,7.8,8,8.2,8.4,8.6,8.8,9,9.2,9.4,9.6,9.9,10.2,10.3,10.4},{0,10,20,30,40,50,60,62,64,66,68,70,72,74,76,78,80,85,90,95,100})</f>
        <v>76</v>
      </c>
      <c r="Q90" s="5">
        <v>4.23</v>
      </c>
      <c r="R90" s="10">
        <f t="shared" si="52"/>
        <v>5.77</v>
      </c>
      <c r="S90" s="7">
        <f>LOOKUP(R90,{0,4.74,4.84,4.94,5.44,5.54,5.64,5.69,5.74,5.79,5.84,5.89,5.94,5.99,6.44,6.49,6.54,6.61,6.68,6.74,6.8},{0,10,20,30,40,50,60,62,64,66,68,70,72,74,76,78,80,85,90,95,100})</f>
        <v>64</v>
      </c>
      <c r="T90" s="5"/>
      <c r="U90" s="5"/>
      <c r="V90" s="5">
        <f t="shared" si="53"/>
        <v>64</v>
      </c>
      <c r="W90" s="5"/>
      <c r="X90" s="13">
        <f t="shared" si="48"/>
        <v>53.5</v>
      </c>
      <c r="Y90" s="13">
        <f t="shared" si="54"/>
        <v>76.4285714285714</v>
      </c>
    </row>
    <row r="91" ht="15.6" hidden="1" outlineLevel="2" spans="1:25">
      <c r="A91" s="5">
        <v>307</v>
      </c>
      <c r="B91" s="5">
        <v>40</v>
      </c>
      <c r="C91" s="9" t="s">
        <v>342</v>
      </c>
      <c r="D91" s="9" t="s">
        <v>46</v>
      </c>
      <c r="E91" s="5">
        <v>16.5</v>
      </c>
      <c r="F91" s="7">
        <f>LOOKUP(E91,{0,1.5,2.3,3.1,3.9,4.7,5.5,6.8,8.1,9.4,10.7,12,13.3,14.6,15.9,17.2,18.5,20.2,21.9,23.6,25.3},{0,10,20,30,40,50,60,62,64,66,68,70,72,74,76,78,80,85,90,95,100})</f>
        <v>76</v>
      </c>
      <c r="G91" s="5">
        <v>165</v>
      </c>
      <c r="H91" s="7">
        <f>LOOKUP(G91,{0,125,130,135,140,145,150,153,156,159,162,165,168,171,174,177,180,187,194,200,206},{0,10,20,30,40,50,60,62,64,66,68,70,72,74,76,78,80,85,90,95,100})</f>
        <v>70</v>
      </c>
      <c r="I91" s="5">
        <v>41</v>
      </c>
      <c r="J91" s="7">
        <f>LOOKUP(I91,{0,15,17,19,21,23,25,27,29,31,33,35,37,39,41,43,45,48,51,53,55},{0,10,20,30,40,50,60,62,64,66,68,70,72,74,76,78,80,85,90,95,100})</f>
        <v>76</v>
      </c>
      <c r="K91" s="5"/>
      <c r="L91" s="5"/>
      <c r="M91" s="5">
        <f t="shared" si="50"/>
        <v>76</v>
      </c>
      <c r="N91" s="5">
        <v>10.7</v>
      </c>
      <c r="O91" s="10">
        <f t="shared" si="51"/>
        <v>7.3</v>
      </c>
      <c r="P91" s="7">
        <f>LOOKUP(O91,{0,6.6,6.8,7,7.2,7.4,7.6,7.8,8,8.2,8.4,8.6,8.8,9,9.2,9.4,9.6,9.9,10.2,10.3,10.4},{0,10,20,30,40,50,60,62,64,66,68,70,72,74,76,78,80,85,90,95,100})</f>
        <v>40</v>
      </c>
      <c r="Q91" s="5">
        <v>4.06</v>
      </c>
      <c r="R91" s="10">
        <f t="shared" si="52"/>
        <v>5.94</v>
      </c>
      <c r="S91" s="7">
        <f>LOOKUP(R91,{0,4.74,4.84,4.94,5.44,5.54,5.64,5.69,5.74,5.79,5.84,5.89,5.94,5.99,6.44,6.49,6.54,6.61,6.68,6.74,6.8},{0,10,20,30,40,50,60,62,64,66,68,70,72,74,76,78,80,85,90,95,100})</f>
        <v>72</v>
      </c>
      <c r="T91" s="5"/>
      <c r="U91" s="5"/>
      <c r="V91" s="5">
        <f t="shared" si="53"/>
        <v>72</v>
      </c>
      <c r="W91" s="5"/>
      <c r="X91" s="13">
        <f t="shared" si="48"/>
        <v>44.6</v>
      </c>
      <c r="Y91" s="13">
        <f t="shared" si="54"/>
        <v>63.7142857142857</v>
      </c>
    </row>
    <row r="92" ht="15.6" hidden="1" outlineLevel="2" spans="1:25">
      <c r="A92" s="5">
        <v>307</v>
      </c>
      <c r="B92" s="5">
        <v>41</v>
      </c>
      <c r="C92" s="9" t="s">
        <v>343</v>
      </c>
      <c r="D92" s="9" t="s">
        <v>46</v>
      </c>
      <c r="E92" s="5">
        <v>3</v>
      </c>
      <c r="F92" s="7">
        <f>LOOKUP(E92,{0,1.5,2.3,3.1,3.9,4.7,5.5,6.8,8.1,9.4,10.7,12,13.3,14.6,15.9,17.2,18.5,20.2,21.9,23.6,25.3},{0,10,20,30,40,50,60,62,64,66,68,70,72,74,76,78,80,85,90,95,100})</f>
        <v>20</v>
      </c>
      <c r="G92" s="5">
        <v>150</v>
      </c>
      <c r="H92" s="7">
        <f>LOOKUP(G92,{0,125,130,135,140,145,150,153,156,159,162,165,168,171,174,177,180,187,194,200,206},{0,10,20,30,40,50,60,62,64,66,68,70,72,74,76,78,80,85,90,95,100})</f>
        <v>60</v>
      </c>
      <c r="I92" s="5">
        <v>25</v>
      </c>
      <c r="J92" s="7">
        <f>LOOKUP(I92,{0,15,17,19,21,23,25,27,29,31,33,35,37,39,41,43,45,48,51,53,55},{0,10,20,30,40,50,60,62,64,66,68,70,72,74,76,78,80,85,90,95,100})</f>
        <v>60</v>
      </c>
      <c r="K92" s="5"/>
      <c r="L92" s="5"/>
      <c r="M92" s="5">
        <f t="shared" si="50"/>
        <v>60</v>
      </c>
      <c r="N92" s="5">
        <v>12.6</v>
      </c>
      <c r="O92" s="10">
        <f t="shared" si="51"/>
        <v>5.4</v>
      </c>
      <c r="P92" s="7">
        <f>LOOKUP(O92,{0,6.6,6.8,7,7.2,7.4,7.6,7.8,8,8.2,8.4,8.6,8.8,9,9.2,9.4,9.6,9.9,10.2,10.3,10.4},{0,10,20,30,40,50,60,62,64,66,68,70,72,74,76,78,80,85,90,95,100})</f>
        <v>0</v>
      </c>
      <c r="Q92" s="5">
        <v>5.13</v>
      </c>
      <c r="R92" s="10">
        <f t="shared" si="52"/>
        <v>4.87</v>
      </c>
      <c r="S92" s="7">
        <f>LOOKUP(R92,{0,4.74,4.84,4.94,5.44,5.54,5.64,5.69,5.74,5.79,5.84,5.89,5.94,5.99,6.44,6.49,6.54,6.61,6.68,6.74,6.8},{0,10,20,30,40,50,60,62,64,66,68,70,72,74,76,78,80,85,90,95,100})</f>
        <v>20</v>
      </c>
      <c r="T92" s="5"/>
      <c r="U92" s="5"/>
      <c r="V92" s="5">
        <f t="shared" si="53"/>
        <v>20</v>
      </c>
      <c r="W92" s="5"/>
      <c r="X92" s="13">
        <f t="shared" si="48"/>
        <v>18</v>
      </c>
      <c r="Y92" s="13">
        <f t="shared" si="54"/>
        <v>25.7142857142857</v>
      </c>
    </row>
    <row r="93" ht="15.6" hidden="1" outlineLevel="2" spans="1:25">
      <c r="A93" s="5">
        <v>307</v>
      </c>
      <c r="B93" s="5">
        <v>42</v>
      </c>
      <c r="C93" s="9" t="s">
        <v>344</v>
      </c>
      <c r="D93" s="9" t="s">
        <v>46</v>
      </c>
      <c r="E93" s="5">
        <v>25</v>
      </c>
      <c r="F93" s="7">
        <f>LOOKUP(E93,{0,1.5,2.3,3.1,3.9,4.7,5.5,6.8,8.1,9.4,10.7,12,13.3,14.6,15.9,17.2,18.5,20.2,21.9,23.6,25.3},{0,10,20,30,40,50,60,62,64,66,68,70,72,74,76,78,80,85,90,95,100})</f>
        <v>95</v>
      </c>
      <c r="G93" s="5" t="s">
        <v>77</v>
      </c>
      <c r="H93" s="7"/>
      <c r="I93" s="5">
        <v>53</v>
      </c>
      <c r="J93" s="7">
        <f>LOOKUP(I93,{0,15,17,19,21,23,25,27,29,31,33,35,37,39,41,43,45,48,51,53,55},{0,10,20,30,40,50,60,62,64,66,68,70,72,74,76,78,80,85,90,95,100})</f>
        <v>95</v>
      </c>
      <c r="K93" s="5"/>
      <c r="L93" s="5"/>
      <c r="M93" s="5">
        <f t="shared" si="50"/>
        <v>95</v>
      </c>
      <c r="N93" s="5" t="s">
        <v>77</v>
      </c>
      <c r="O93" s="5"/>
      <c r="P93" s="5"/>
      <c r="Q93" s="5" t="s">
        <v>77</v>
      </c>
      <c r="R93" s="5"/>
      <c r="S93" s="5"/>
      <c r="T93" s="5"/>
      <c r="U93" s="5"/>
      <c r="V93" s="5"/>
      <c r="W93" s="14">
        <v>50</v>
      </c>
      <c r="X93" s="13">
        <f t="shared" si="48"/>
        <v>19</v>
      </c>
      <c r="Y93" s="13">
        <v>50</v>
      </c>
    </row>
    <row r="94" ht="15.6" hidden="1" outlineLevel="2" spans="1:25">
      <c r="A94" s="5">
        <v>307</v>
      </c>
      <c r="B94" s="5">
        <v>43</v>
      </c>
      <c r="C94" s="9" t="s">
        <v>345</v>
      </c>
      <c r="D94" s="9" t="s">
        <v>46</v>
      </c>
      <c r="E94" s="5">
        <v>11</v>
      </c>
      <c r="F94" s="7">
        <f>LOOKUP(E94,{0,1.5,2.3,3.1,3.9,4.7,5.5,6.8,8.1,9.4,10.7,12,13.3,14.6,15.9,17.2,18.5,20.2,21.9,23.6,25.3},{0,10,20,30,40,50,60,62,64,66,68,70,72,74,76,78,80,85,90,95,100})</f>
        <v>68</v>
      </c>
      <c r="G94" s="5">
        <v>180</v>
      </c>
      <c r="H94" s="7">
        <f>LOOKUP(G94,{0,125,130,135,140,145,150,153,156,159,162,165,168,171,174,177,180,187,194,200,206},{0,10,20,30,40,50,60,62,64,66,68,70,72,74,76,78,80,85,90,95,100})</f>
        <v>80</v>
      </c>
      <c r="I94" s="5">
        <v>46</v>
      </c>
      <c r="J94" s="7">
        <f>LOOKUP(I94,{0,15,17,19,21,23,25,27,29,31,33,35,37,39,41,43,45,48,51,53,55},{0,10,20,30,40,50,60,62,64,66,68,70,72,74,76,78,80,85,90,95,100})</f>
        <v>80</v>
      </c>
      <c r="K94" s="5"/>
      <c r="L94" s="5"/>
      <c r="M94" s="5">
        <f t="shared" si="50"/>
        <v>80</v>
      </c>
      <c r="N94" s="5">
        <v>8.7</v>
      </c>
      <c r="O94" s="10">
        <f t="shared" ref="O94:O97" si="55">18-N94</f>
        <v>9.3</v>
      </c>
      <c r="P94" s="7">
        <f>LOOKUP(O94,{0,6.6,6.8,7,7.2,7.4,7.6,7.8,8,8.2,8.4,8.6,8.8,9,9.2,9.4,9.6,9.9,10.2,10.3,10.4},{0,10,20,30,40,50,60,62,64,66,68,70,72,74,76,78,80,85,90,95,100})</f>
        <v>76</v>
      </c>
      <c r="Q94" s="5">
        <v>4.05</v>
      </c>
      <c r="R94" s="10">
        <f t="shared" ref="R94:R104" si="56">10-Q94</f>
        <v>5.95</v>
      </c>
      <c r="S94" s="7">
        <f>LOOKUP(R94,{0,4.74,4.84,4.94,5.44,5.54,5.64,5.69,5.74,5.79,5.84,5.89,5.94,5.99,6.44,6.49,6.54,6.61,6.68,6.74,6.8},{0,10,20,30,40,50,60,62,64,66,68,70,72,74,76,78,80,85,90,95,100})</f>
        <v>72</v>
      </c>
      <c r="T94" s="5"/>
      <c r="U94" s="5"/>
      <c r="V94" s="5">
        <f t="shared" ref="V94:V104" si="57">S94+U94</f>
        <v>72</v>
      </c>
      <c r="W94" s="5"/>
      <c r="X94" s="13">
        <f t="shared" si="48"/>
        <v>52.4</v>
      </c>
      <c r="Y94" s="13">
        <f t="shared" ref="Y94:Y97" si="58">X94/0.7+L94+U94</f>
        <v>74.8571428571429</v>
      </c>
    </row>
    <row r="95" ht="15.6" hidden="1" outlineLevel="2" spans="1:25">
      <c r="A95" s="5">
        <v>307</v>
      </c>
      <c r="B95" s="5">
        <v>44</v>
      </c>
      <c r="C95" s="9" t="s">
        <v>346</v>
      </c>
      <c r="D95" s="9" t="s">
        <v>46</v>
      </c>
      <c r="E95" s="5">
        <v>12.5</v>
      </c>
      <c r="F95" s="7">
        <f>LOOKUP(E95,{0,1.5,2.3,3.1,3.9,4.7,5.5,6.8,8.1,9.4,10.7,12,13.3,14.6,15.9,17.2,18.5,20.2,21.9,23.6,25.3},{0,10,20,30,40,50,60,62,64,66,68,70,72,74,76,78,80,85,90,95,100})</f>
        <v>70</v>
      </c>
      <c r="G95" s="5">
        <v>165</v>
      </c>
      <c r="H95" s="7">
        <f>LOOKUP(G95,{0,125,130,135,140,145,150,153,156,159,162,165,168,171,174,177,180,187,194,200,206},{0,10,20,30,40,50,60,62,64,66,68,70,72,74,76,78,80,85,90,95,100})</f>
        <v>70</v>
      </c>
      <c r="I95" s="5">
        <v>38</v>
      </c>
      <c r="J95" s="7">
        <f>LOOKUP(I95,{0,15,17,19,21,23,25,27,29,31,33,35,37,39,41,43,45,48,51,53,55},{0,10,20,30,40,50,60,62,64,66,68,70,72,74,76,78,80,85,90,95,100})</f>
        <v>72</v>
      </c>
      <c r="K95" s="5"/>
      <c r="L95" s="5"/>
      <c r="M95" s="5">
        <f t="shared" si="50"/>
        <v>72</v>
      </c>
      <c r="N95" s="5">
        <v>9.6</v>
      </c>
      <c r="O95" s="10">
        <f t="shared" si="55"/>
        <v>8.4</v>
      </c>
      <c r="P95" s="7">
        <f>LOOKUP(O95,{0,6.6,6.8,7,7.2,7.4,7.6,7.8,8,8.2,8.4,8.6,8.8,9,9.2,9.4,9.6,9.9,10.2,10.3,10.4},{0,10,20,30,40,50,60,62,64,66,68,70,72,74,76,78,80,85,90,95,100})</f>
        <v>68</v>
      </c>
      <c r="Q95" s="5">
        <v>4.47</v>
      </c>
      <c r="R95" s="10">
        <f t="shared" si="56"/>
        <v>5.53</v>
      </c>
      <c r="S95" s="7">
        <f>LOOKUP(R95,{0,4.74,4.84,4.94,5.44,5.54,5.64,5.69,5.74,5.79,5.84,5.89,5.94,5.99,6.44,6.49,6.54,6.61,6.68,6.74,6.8},{0,10,20,30,40,50,60,62,64,66,68,70,72,74,76,78,80,85,90,95,100})</f>
        <v>40</v>
      </c>
      <c r="T95" s="5"/>
      <c r="U95" s="5"/>
      <c r="V95" s="5">
        <f t="shared" si="57"/>
        <v>40</v>
      </c>
      <c r="W95" s="5"/>
      <c r="X95" s="13">
        <f t="shared" si="48"/>
        <v>42.8</v>
      </c>
      <c r="Y95" s="13">
        <f t="shared" si="58"/>
        <v>61.1428571428571</v>
      </c>
    </row>
    <row r="96" ht="15.6" hidden="1" outlineLevel="2" spans="1:25">
      <c r="A96" s="5">
        <v>307</v>
      </c>
      <c r="B96" s="5">
        <v>45</v>
      </c>
      <c r="C96" s="9" t="s">
        <v>347</v>
      </c>
      <c r="D96" s="9" t="s">
        <v>46</v>
      </c>
      <c r="E96" s="5">
        <v>7</v>
      </c>
      <c r="F96" s="7">
        <f>LOOKUP(E96,{0,1.5,2.3,3.1,3.9,4.7,5.5,6.8,8.1,9.4,10.7,12,13.3,14.6,15.9,17.2,18.5,20.2,21.9,23.6,25.3},{0,10,20,30,40,50,60,62,64,66,68,70,72,74,76,78,80,85,90,95,100})</f>
        <v>62</v>
      </c>
      <c r="G96" s="5">
        <v>195</v>
      </c>
      <c r="H96" s="7">
        <f>LOOKUP(G96,{0,125,130,135,140,145,150,153,156,159,162,165,168,171,174,177,180,187,194,200,206},{0,10,20,30,40,50,60,62,64,66,68,70,72,74,76,78,80,85,90,95,100})</f>
        <v>90</v>
      </c>
      <c r="I96" s="5">
        <v>30</v>
      </c>
      <c r="J96" s="7">
        <f>LOOKUP(I96,{0,15,17,19,21,23,25,27,29,31,33,35,37,39,41,43,45,48,51,53,55},{0,10,20,30,40,50,60,62,64,66,68,70,72,74,76,78,80,85,90,95,100})</f>
        <v>64</v>
      </c>
      <c r="K96" s="5"/>
      <c r="L96" s="5"/>
      <c r="M96" s="5">
        <f t="shared" si="50"/>
        <v>64</v>
      </c>
      <c r="N96" s="5">
        <v>7.8</v>
      </c>
      <c r="O96" s="10">
        <f t="shared" si="55"/>
        <v>10.2</v>
      </c>
      <c r="P96" s="7">
        <f>LOOKUP(O96,{0,6.6,6.8,7,7.2,7.4,7.6,7.8,8,8.2,8.4,8.6,8.8,9,9.2,9.4,9.6,9.9,10.2,10.3,10.4},{0,10,20,30,40,50,60,62,64,66,68,70,72,74,76,78,80,85,90,95,100})</f>
        <v>90</v>
      </c>
      <c r="Q96" s="5">
        <v>5.19</v>
      </c>
      <c r="R96" s="10">
        <f t="shared" si="56"/>
        <v>4.81</v>
      </c>
      <c r="S96" s="7">
        <f>LOOKUP(R96,{0,4.74,4.84,4.94,5.44,5.54,5.64,5.69,5.74,5.79,5.84,5.89,5.94,5.99,6.44,6.49,6.54,6.61,6.68,6.74,6.8},{0,10,20,30,40,50,60,62,64,66,68,70,72,74,76,78,80,85,90,95,100})</f>
        <v>10</v>
      </c>
      <c r="T96" s="5"/>
      <c r="U96" s="5"/>
      <c r="V96" s="5">
        <f t="shared" si="57"/>
        <v>10</v>
      </c>
      <c r="W96" s="5"/>
      <c r="X96" s="13">
        <f t="shared" si="48"/>
        <v>41.6</v>
      </c>
      <c r="Y96" s="13">
        <f t="shared" si="58"/>
        <v>59.4285714285714</v>
      </c>
    </row>
    <row r="97" ht="15.6" hidden="1" outlineLevel="2" spans="1:25">
      <c r="A97" s="5">
        <v>307</v>
      </c>
      <c r="B97" s="5">
        <v>46</v>
      </c>
      <c r="C97" s="9" t="s">
        <v>348</v>
      </c>
      <c r="D97" s="9" t="s">
        <v>46</v>
      </c>
      <c r="E97" s="5">
        <v>32</v>
      </c>
      <c r="F97" s="7">
        <f>LOOKUP(E97,{0,1.5,2.3,3.1,3.9,4.7,5.5,6.8,8.1,9.4,10.7,12,13.3,14.6,15.9,17.2,18.5,20.2,21.9,23.6,25.3},{0,10,20,30,40,50,60,62,64,66,68,70,72,74,76,78,80,85,90,95,100})</f>
        <v>100</v>
      </c>
      <c r="G97" s="5">
        <v>180</v>
      </c>
      <c r="H97" s="7">
        <f>LOOKUP(G97,{0,125,130,135,140,145,150,153,156,159,162,165,168,171,174,177,180,187,194,200,206},{0,10,20,30,40,50,60,62,64,66,68,70,72,74,76,78,80,85,90,95,100})</f>
        <v>80</v>
      </c>
      <c r="I97" s="5">
        <v>38</v>
      </c>
      <c r="J97" s="7">
        <f>LOOKUP(I97,{0,15,17,19,21,23,25,27,29,31,33,35,37,39,41,43,45,48,51,53,55},{0,10,20,30,40,50,60,62,64,66,68,70,72,74,76,78,80,85,90,95,100})</f>
        <v>72</v>
      </c>
      <c r="K97" s="5"/>
      <c r="L97" s="5"/>
      <c r="M97" s="5">
        <f t="shared" si="50"/>
        <v>72</v>
      </c>
      <c r="N97" s="5">
        <v>8.7</v>
      </c>
      <c r="O97" s="10">
        <f t="shared" si="55"/>
        <v>9.3</v>
      </c>
      <c r="P97" s="7">
        <f>LOOKUP(O97,{0,6.6,6.8,7,7.2,7.4,7.6,7.8,8,8.2,8.4,8.6,8.8,9,9.2,9.4,9.6,9.9,10.2,10.3,10.4},{0,10,20,30,40,50,60,62,64,66,68,70,72,74,76,78,80,85,90,95,100})</f>
        <v>76</v>
      </c>
      <c r="Q97" s="5">
        <v>5.14</v>
      </c>
      <c r="R97" s="10">
        <f t="shared" si="56"/>
        <v>4.86</v>
      </c>
      <c r="S97" s="7">
        <f>LOOKUP(R97,{0,4.74,4.84,4.94,5.44,5.54,5.64,5.69,5.74,5.79,5.84,5.89,5.94,5.99,6.44,6.49,6.54,6.61,6.68,6.74,6.8},{0,10,20,30,40,50,60,62,64,66,68,70,72,74,76,78,80,85,90,95,100})</f>
        <v>20</v>
      </c>
      <c r="T97" s="5"/>
      <c r="U97" s="5"/>
      <c r="V97" s="5">
        <f t="shared" si="57"/>
        <v>20</v>
      </c>
      <c r="W97" s="5"/>
      <c r="X97" s="13">
        <f t="shared" si="48"/>
        <v>44.4</v>
      </c>
      <c r="Y97" s="13">
        <f t="shared" si="58"/>
        <v>63.4285714285714</v>
      </c>
    </row>
    <row r="98" ht="15.6" hidden="1" outlineLevel="2" spans="1:25">
      <c r="A98" s="5">
        <v>307</v>
      </c>
      <c r="B98" s="5">
        <v>47</v>
      </c>
      <c r="C98" s="9" t="s">
        <v>349</v>
      </c>
      <c r="D98" s="9" t="s">
        <v>46</v>
      </c>
      <c r="E98" s="5">
        <v>0</v>
      </c>
      <c r="F98" s="7">
        <f>LOOKUP(E98,{0,1.5,2.3,3.1,3.9,4.7,5.5,6.8,8.1,9.4,10.7,12,13.3,14.6,15.9,17.2,18.5,20.2,21.9,23.6,25.3},{0,10,20,30,40,50,60,62,64,66,68,70,72,74,76,78,80,85,90,95,100})</f>
        <v>0</v>
      </c>
      <c r="G98" s="5">
        <v>170</v>
      </c>
      <c r="H98" s="7">
        <f>LOOKUP(G98,{0,125,130,135,140,145,150,153,156,159,162,165,168,171,174,177,180,187,194,200,206},{0,10,20,30,40,50,60,62,64,66,68,70,72,74,76,78,80,85,90,95,100})</f>
        <v>72</v>
      </c>
      <c r="I98" s="5" t="s">
        <v>77</v>
      </c>
      <c r="J98" s="7"/>
      <c r="K98" s="5"/>
      <c r="L98" s="5"/>
      <c r="M98" s="5"/>
      <c r="N98" s="5" t="s">
        <v>77</v>
      </c>
      <c r="O98" s="5"/>
      <c r="P98" s="5"/>
      <c r="Q98" s="5">
        <v>7.32</v>
      </c>
      <c r="R98" s="10">
        <f t="shared" si="56"/>
        <v>2.68</v>
      </c>
      <c r="S98" s="7">
        <f>LOOKUP(R98,{0,4.74,4.84,4.94,5.44,5.54,5.64,5.69,5.74,5.79,5.84,5.89,5.94,5.99,6.44,6.49,6.54,6.61,6.68,6.74,6.8},{0,10,20,30,40,50,60,62,64,66,68,70,72,74,76,78,80,85,90,95,100})</f>
        <v>0</v>
      </c>
      <c r="T98" s="5"/>
      <c r="U98" s="5"/>
      <c r="V98" s="5">
        <f t="shared" si="57"/>
        <v>0</v>
      </c>
      <c r="W98" s="14">
        <v>50</v>
      </c>
      <c r="X98" s="13">
        <f t="shared" si="48"/>
        <v>7.2</v>
      </c>
      <c r="Y98" s="13">
        <v>50</v>
      </c>
    </row>
    <row r="99" ht="15.6" hidden="1" outlineLevel="2" spans="1:25">
      <c r="A99" s="5">
        <v>307</v>
      </c>
      <c r="B99" s="5">
        <v>48</v>
      </c>
      <c r="C99" s="9" t="s">
        <v>350</v>
      </c>
      <c r="D99" s="9" t="s">
        <v>46</v>
      </c>
      <c r="E99" s="5">
        <v>14.5</v>
      </c>
      <c r="F99" s="7">
        <f>LOOKUP(E99,{0,1.5,2.3,3.1,3.9,4.7,5.5,6.8,8.1,9.4,10.7,12,13.3,14.6,15.9,17.2,18.5,20.2,21.9,23.6,25.3},{0,10,20,30,40,50,60,62,64,66,68,70,72,74,76,78,80,85,90,95,100})</f>
        <v>72</v>
      </c>
      <c r="G99" s="5">
        <v>130</v>
      </c>
      <c r="H99" s="7">
        <f>LOOKUP(G99,{0,125,130,135,140,145,150,153,156,159,162,165,168,171,174,177,180,187,194,200,206},{0,10,20,30,40,50,60,62,64,66,68,70,72,74,76,78,80,85,90,95,100})</f>
        <v>20</v>
      </c>
      <c r="I99" s="5">
        <v>29</v>
      </c>
      <c r="J99" s="7">
        <f>LOOKUP(I99,{0,15,17,19,21,23,25,27,29,31,33,35,37,39,41,43,45,48,51,53,55},{0,10,20,30,40,50,60,62,64,66,68,70,72,74,76,78,80,85,90,95,100})</f>
        <v>64</v>
      </c>
      <c r="K99" s="5"/>
      <c r="L99" s="5"/>
      <c r="M99" s="5">
        <f>J99+L99</f>
        <v>64</v>
      </c>
      <c r="N99" s="5">
        <v>10.6</v>
      </c>
      <c r="O99" s="10">
        <f>18-N99</f>
        <v>7.4</v>
      </c>
      <c r="P99" s="7">
        <f>LOOKUP(O99,{0,6.6,6.8,7,7.2,7.4,7.6,7.8,8,8.2,8.4,8.6,8.8,9,9.2,9.4,9.6,9.9,10.2,10.3,10.4},{0,10,20,30,40,50,60,62,64,66,68,70,72,74,76,78,80,85,90,95,100})</f>
        <v>50</v>
      </c>
      <c r="Q99" s="5">
        <v>6</v>
      </c>
      <c r="R99" s="10">
        <f t="shared" si="56"/>
        <v>4</v>
      </c>
      <c r="S99" s="7">
        <f>LOOKUP(R99,{0,4.74,4.84,4.94,5.44,5.54,5.64,5.69,5.74,5.79,5.84,5.89,5.94,5.99,6.44,6.49,6.54,6.61,6.68,6.74,6.8},{0,10,20,30,40,50,60,62,64,66,68,70,72,74,76,78,80,85,90,95,100})</f>
        <v>0</v>
      </c>
      <c r="T99" s="5"/>
      <c r="U99" s="5"/>
      <c r="V99" s="5">
        <f t="shared" si="57"/>
        <v>0</v>
      </c>
      <c r="W99" s="5"/>
      <c r="X99" s="13">
        <f t="shared" si="48"/>
        <v>25.6</v>
      </c>
      <c r="Y99" s="13">
        <f>X99/0.7+L99+U99</f>
        <v>36.5714285714286</v>
      </c>
    </row>
    <row r="100" ht="15.6" outlineLevel="1" collapsed="1" spans="1:25">
      <c r="A100" s="6" t="s">
        <v>858</v>
      </c>
      <c r="B100" s="5"/>
      <c r="C100" s="9"/>
      <c r="D100" s="9"/>
      <c r="E100" s="5"/>
      <c r="F100" s="7">
        <f>SUBTOTAL(1,F69:F99)</f>
        <v>70.9259259259259</v>
      </c>
      <c r="G100" s="5"/>
      <c r="H100" s="7">
        <f>SUBTOTAL(1,H69:H99)</f>
        <v>70.6666666666667</v>
      </c>
      <c r="I100" s="5"/>
      <c r="J100" s="7">
        <f>SUBTOTAL(1,J69:J99)</f>
        <v>75.6538461538462</v>
      </c>
      <c r="K100" s="5"/>
      <c r="L100" s="5"/>
      <c r="M100" s="5">
        <f>SUBTOTAL(1,M69:M99)</f>
        <v>75.6538461538462</v>
      </c>
      <c r="N100" s="5"/>
      <c r="O100" s="10"/>
      <c r="P100" s="7">
        <f>SUBTOTAL(1,P69:P99)</f>
        <v>65.2</v>
      </c>
      <c r="Q100" s="5"/>
      <c r="R100" s="10"/>
      <c r="S100" s="7">
        <f>SUBTOTAL(1,S69:S99)</f>
        <v>43.3076923076923</v>
      </c>
      <c r="T100" s="5"/>
      <c r="U100" s="5"/>
      <c r="V100" s="5">
        <f>SUBTOTAL(1,V69:V99)</f>
        <v>43.3076923076923</v>
      </c>
      <c r="W100" s="5"/>
      <c r="X100" s="13">
        <f>SUBTOTAL(1,X69:X99)</f>
        <v>40.3642857142857</v>
      </c>
      <c r="Y100" s="13">
        <f>SUBTOTAL(1,Y69:Y99)</f>
        <v>60.0921658986175</v>
      </c>
    </row>
    <row r="101" ht="15.6" hidden="1" outlineLevel="2" spans="1:25">
      <c r="A101" s="5">
        <v>308</v>
      </c>
      <c r="B101" s="5">
        <v>21</v>
      </c>
      <c r="C101" s="8" t="s">
        <v>374</v>
      </c>
      <c r="D101" s="9" t="s">
        <v>46</v>
      </c>
      <c r="E101" s="5">
        <v>19</v>
      </c>
      <c r="F101" s="7">
        <f>LOOKUP(E101,{0,1.5,2.3,3.1,3.9,4.7,5.5,6.8,8.1,9.4,10.7,12,13.3,14.6,15.9,17.2,18.5,20.2,21.9,23.6,25.3},{0,10,20,30,40,50,60,62,64,66,68,70,72,74,76,78,80,85,90,95,100})</f>
        <v>80</v>
      </c>
      <c r="G101" s="5">
        <v>205</v>
      </c>
      <c r="H101" s="7">
        <f>LOOKUP(G101,{0,125,130,135,140,145,150,153,156,159,162,165,168,171,174,177,180,187,194,200,206},{0,10,20,30,40,50,60,62,64,66,68,70,72,74,76,78,80,85,90,95,100})</f>
        <v>95</v>
      </c>
      <c r="I101" s="5">
        <v>38</v>
      </c>
      <c r="J101" s="7">
        <f>LOOKUP(I101,{0,15,17,19,21,23,25,27,29,31,33,35,37,39,41,43,45,48,51,53,55},{0,10,20,30,40,50,60,62,64,66,68,70,72,74,76,78,80,85,90,95,100})</f>
        <v>72</v>
      </c>
      <c r="K101" s="5"/>
      <c r="L101" s="5"/>
      <c r="M101" s="5">
        <f>J101+L101</f>
        <v>72</v>
      </c>
      <c r="N101" s="5">
        <v>8.3</v>
      </c>
      <c r="O101" s="10">
        <f>18-N101</f>
        <v>9.7</v>
      </c>
      <c r="P101" s="7">
        <f>LOOKUP(O101,{0,6.6,6.8,7,7.2,7.4,7.6,7.8,8,8.2,8.4,8.6,8.8,9,9.2,9.4,9.6,9.9,10.2,10.3,10.4},{0,10,20,30,40,50,60,62,64,66,68,70,72,74,76,78,80,85,90,95,100})</f>
        <v>80</v>
      </c>
      <c r="Q101" s="5">
        <v>3.43</v>
      </c>
      <c r="R101" s="10">
        <f>10-Q101</f>
        <v>6.57</v>
      </c>
      <c r="S101" s="7">
        <f>LOOKUP(R101,{0,4.74,4.84,4.94,5.44,5.54,5.64,5.69,5.74,5.79,5.84,5.89,5.94,5.99,6.44,6.49,6.54,6.61,6.68,6.74,6.8},{0,10,20,30,40,50,60,62,64,66,68,70,72,74,76,78,80,85,90,95,100})</f>
        <v>80</v>
      </c>
      <c r="T101" s="5"/>
      <c r="U101" s="5"/>
      <c r="V101" s="5">
        <f>S101+U101</f>
        <v>80</v>
      </c>
      <c r="W101" s="5"/>
      <c r="X101" s="13">
        <f t="shared" ref="X101:X125" si="59">F101*0.1+H101*0.1+J101*0.1+P101*0.2+S101*0.2</f>
        <v>56.7</v>
      </c>
      <c r="Y101" s="13">
        <f>X101/0.7+L101+U101</f>
        <v>81</v>
      </c>
    </row>
    <row r="102" ht="15.6" hidden="1" outlineLevel="2" spans="1:25">
      <c r="A102" s="5">
        <v>308</v>
      </c>
      <c r="B102" s="5">
        <v>22</v>
      </c>
      <c r="C102" s="9" t="s">
        <v>375</v>
      </c>
      <c r="D102" s="9" t="s">
        <v>46</v>
      </c>
      <c r="E102" s="5">
        <v>6</v>
      </c>
      <c r="F102" s="7">
        <f>LOOKUP(E102,{0,1.5,2.3,3.1,3.9,4.7,5.5,6.8,8.1,9.4,10.7,12,13.3,14.6,15.9,17.2,18.5,20.2,21.9,23.6,25.3},{0,10,20,30,40,50,60,62,64,66,68,70,72,74,76,78,80,85,90,95,100})</f>
        <v>60</v>
      </c>
      <c r="G102" s="5">
        <v>150</v>
      </c>
      <c r="H102" s="7">
        <f>LOOKUP(G102,{0,125,130,135,140,145,150,153,156,159,162,165,168,171,174,177,180,187,194,200,206},{0,10,20,30,40,50,60,62,64,66,68,70,72,74,76,78,80,85,90,95,100})</f>
        <v>60</v>
      </c>
      <c r="I102" s="5">
        <v>45</v>
      </c>
      <c r="J102" s="7">
        <f>LOOKUP(I102,{0,15,17,19,21,23,25,27,29,31,33,35,37,39,41,43,45,48,51,53,55},{0,10,20,30,40,50,60,62,64,66,68,70,72,74,76,78,80,85,90,95,100})</f>
        <v>80</v>
      </c>
      <c r="K102" s="5"/>
      <c r="L102" s="5"/>
      <c r="M102" s="5">
        <f>J102+L102</f>
        <v>80</v>
      </c>
      <c r="N102" s="5">
        <v>9.4</v>
      </c>
      <c r="O102" s="10">
        <f>18-N102</f>
        <v>8.6</v>
      </c>
      <c r="P102" s="7">
        <f>LOOKUP(O102,{0,6.6,6.8,7,7.2,7.4,7.6,7.8,8,8.2,8.4,8.6,8.8,9,9.2,9.4,9.6,9.9,10.2,10.3,10.4},{0,10,20,30,40,50,60,62,64,66,68,70,72,74,76,78,80,85,90,95,100})</f>
        <v>70</v>
      </c>
      <c r="Q102" s="5">
        <v>4.55</v>
      </c>
      <c r="R102" s="10">
        <f>10-Q102</f>
        <v>5.45</v>
      </c>
      <c r="S102" s="7">
        <f>LOOKUP(R102,{0,4.74,4.84,4.94,5.44,5.54,5.64,5.69,5.74,5.79,5.84,5.89,5.94,5.99,6.44,6.49,6.54,6.61,6.68,6.74,6.8},{0,10,20,30,40,50,60,62,64,66,68,70,72,74,76,78,80,85,90,95,100})</f>
        <v>40</v>
      </c>
      <c r="T102" s="5"/>
      <c r="U102" s="5"/>
      <c r="V102" s="5">
        <f>S102+U102</f>
        <v>40</v>
      </c>
      <c r="W102" s="5"/>
      <c r="X102" s="13">
        <f t="shared" si="59"/>
        <v>42</v>
      </c>
      <c r="Y102" s="13">
        <f>X102/0.7+L102+U102</f>
        <v>60</v>
      </c>
    </row>
    <row r="103" ht="15.6" hidden="1" outlineLevel="2" spans="1:25">
      <c r="A103" s="5">
        <v>308</v>
      </c>
      <c r="B103" s="5">
        <v>23</v>
      </c>
      <c r="C103" s="9" t="s">
        <v>376</v>
      </c>
      <c r="D103" s="9" t="s">
        <v>46</v>
      </c>
      <c r="E103" s="5">
        <v>15.5</v>
      </c>
      <c r="F103" s="7">
        <f>LOOKUP(E103,{0,1.5,2.3,3.1,3.9,4.7,5.5,6.8,8.1,9.4,10.7,12,13.3,14.6,15.9,17.2,18.5,20.2,21.9,23.6,25.3},{0,10,20,30,40,50,60,62,64,66,68,70,72,74,76,78,80,85,90,95,100})</f>
        <v>74</v>
      </c>
      <c r="G103" s="5">
        <v>200</v>
      </c>
      <c r="H103" s="7">
        <f>LOOKUP(G103,{0,125,130,135,140,145,150,153,156,159,162,165,168,171,174,177,180,187,194,200,206},{0,10,20,30,40,50,60,62,64,66,68,70,72,74,76,78,80,85,90,95,100})</f>
        <v>95</v>
      </c>
      <c r="I103" s="5">
        <v>46</v>
      </c>
      <c r="J103" s="7">
        <f>LOOKUP(I103,{0,15,17,19,21,23,25,27,29,31,33,35,37,39,41,43,45,48,51,53,55},{0,10,20,30,40,50,60,62,64,66,68,70,72,74,76,78,80,85,90,95,100})</f>
        <v>80</v>
      </c>
      <c r="K103" s="5"/>
      <c r="L103" s="5"/>
      <c r="M103" s="5">
        <f>J103+L103</f>
        <v>80</v>
      </c>
      <c r="N103" s="5">
        <v>8.7</v>
      </c>
      <c r="O103" s="10">
        <f>18-N103</f>
        <v>9.3</v>
      </c>
      <c r="P103" s="7">
        <f>LOOKUP(O103,{0,6.6,6.8,7,7.2,7.4,7.6,7.8,8,8.2,8.4,8.6,8.8,9,9.2,9.4,9.6,9.9,10.2,10.3,10.4},{0,10,20,30,40,50,60,62,64,66,68,70,72,74,76,78,80,85,90,95,100})</f>
        <v>76</v>
      </c>
      <c r="Q103" s="5">
        <v>4.08</v>
      </c>
      <c r="R103" s="10">
        <f>10-Q103</f>
        <v>5.92</v>
      </c>
      <c r="S103" s="7">
        <f>LOOKUP(R103,{0,4.74,4.84,4.94,5.44,5.54,5.64,5.69,5.74,5.79,5.84,5.89,5.94,5.99,6.44,6.49,6.54,6.61,6.68,6.74,6.8},{0,10,20,30,40,50,60,62,64,66,68,70,72,74,76,78,80,85,90,95,100})</f>
        <v>70</v>
      </c>
      <c r="T103" s="5"/>
      <c r="U103" s="5"/>
      <c r="V103" s="5">
        <f>S103+U103</f>
        <v>70</v>
      </c>
      <c r="W103" s="5"/>
      <c r="X103" s="13">
        <f t="shared" si="59"/>
        <v>54.1</v>
      </c>
      <c r="Y103" s="13">
        <f>X103/0.7+L103+U103</f>
        <v>77.2857142857143</v>
      </c>
    </row>
    <row r="104" ht="15.6" hidden="1" outlineLevel="2" spans="1:25">
      <c r="A104" s="5">
        <v>308</v>
      </c>
      <c r="B104" s="5">
        <v>24</v>
      </c>
      <c r="C104" s="9" t="s">
        <v>377</v>
      </c>
      <c r="D104" s="9" t="s">
        <v>46</v>
      </c>
      <c r="E104" s="5">
        <v>16.5</v>
      </c>
      <c r="F104" s="7">
        <f>LOOKUP(E104,{0,1.5,2.3,3.1,3.9,4.7,5.5,6.8,8.1,9.4,10.7,12,13.3,14.6,15.9,17.2,18.5,20.2,21.9,23.6,25.3},{0,10,20,30,40,50,60,62,64,66,68,70,72,74,76,78,80,85,90,95,100})</f>
        <v>76</v>
      </c>
      <c r="G104" s="5">
        <v>155</v>
      </c>
      <c r="H104" s="7">
        <f>LOOKUP(G104,{0,125,130,135,140,145,150,153,156,159,162,165,168,171,174,177,180,187,194,200,206},{0,10,20,30,40,50,60,62,64,66,68,70,72,74,76,78,80,85,90,95,100})</f>
        <v>62</v>
      </c>
      <c r="I104" s="5">
        <v>45</v>
      </c>
      <c r="J104" s="7">
        <f>LOOKUP(I104,{0,15,17,19,21,23,25,27,29,31,33,35,37,39,41,43,45,48,51,53,55},{0,10,20,30,40,50,60,62,64,66,68,70,72,74,76,78,80,85,90,95,100})</f>
        <v>80</v>
      </c>
      <c r="K104" s="5"/>
      <c r="L104" s="5"/>
      <c r="M104" s="5">
        <f>J104+L104</f>
        <v>80</v>
      </c>
      <c r="N104" s="5">
        <v>10</v>
      </c>
      <c r="O104" s="10">
        <f>18-N104</f>
        <v>8</v>
      </c>
      <c r="P104" s="7">
        <f>LOOKUP(O104,{0,6.6,6.8,7,7.2,7.4,7.6,7.8,8,8.2,8.4,8.6,8.8,9,9.2,9.4,9.6,9.9,10.2,10.3,10.4},{0,10,20,30,40,50,60,62,64,66,68,70,72,74,76,78,80,85,90,95,100})</f>
        <v>64</v>
      </c>
      <c r="Q104" s="5">
        <v>4.57</v>
      </c>
      <c r="R104" s="10">
        <f>10-Q104</f>
        <v>5.43</v>
      </c>
      <c r="S104" s="7">
        <f>LOOKUP(R104,{0,4.74,4.84,4.94,5.44,5.54,5.64,5.69,5.74,5.79,5.84,5.89,5.94,5.99,6.44,6.49,6.54,6.61,6.68,6.74,6.8},{0,10,20,30,40,50,60,62,64,66,68,70,72,74,76,78,80,85,90,95,100})</f>
        <v>30</v>
      </c>
      <c r="T104" s="5"/>
      <c r="U104" s="5"/>
      <c r="V104" s="5">
        <f>S104+U104</f>
        <v>30</v>
      </c>
      <c r="W104" s="5"/>
      <c r="X104" s="13">
        <f t="shared" si="59"/>
        <v>40.6</v>
      </c>
      <c r="Y104" s="13">
        <f>X104/0.7+L104+U104</f>
        <v>58</v>
      </c>
    </row>
    <row r="105" ht="15.6" hidden="1" outlineLevel="2" spans="1:25">
      <c r="A105" s="5">
        <v>308</v>
      </c>
      <c r="B105" s="5">
        <v>25</v>
      </c>
      <c r="C105" s="9" t="s">
        <v>378</v>
      </c>
      <c r="D105" s="9" t="s">
        <v>46</v>
      </c>
      <c r="E105" s="5">
        <v>28</v>
      </c>
      <c r="F105" s="7">
        <f>LOOKUP(E105,{0,1.5,2.3,3.1,3.9,4.7,5.5,6.8,8.1,9.4,10.7,12,13.3,14.6,15.9,17.2,18.5,20.2,21.9,23.6,25.3},{0,10,20,30,40,50,60,62,64,66,68,70,72,74,76,78,80,85,90,95,100})</f>
        <v>100</v>
      </c>
      <c r="G105" s="5">
        <v>190</v>
      </c>
      <c r="H105" s="7">
        <f>LOOKUP(G105,{0,125,130,135,140,145,150,153,156,159,162,165,168,171,174,177,180,187,194,200,206},{0,10,20,30,40,50,60,62,64,66,68,70,72,74,76,78,80,85,90,95,100})</f>
        <v>85</v>
      </c>
      <c r="I105" s="5">
        <v>45</v>
      </c>
      <c r="J105" s="7">
        <f>LOOKUP(I105,{0,15,17,19,21,23,25,27,29,31,33,35,37,39,41,43,45,48,51,53,55},{0,10,20,30,40,50,60,62,64,66,68,70,72,74,76,78,80,85,90,95,100})</f>
        <v>80</v>
      </c>
      <c r="K105" s="5"/>
      <c r="L105" s="5"/>
      <c r="M105" s="5">
        <f>J105+L105</f>
        <v>80</v>
      </c>
      <c r="N105" s="5">
        <v>9.1</v>
      </c>
      <c r="O105" s="10">
        <f>18-N105</f>
        <v>8.9</v>
      </c>
      <c r="P105" s="7">
        <f>LOOKUP(O105,{0,6.6,6.8,7,7.2,7.4,7.6,7.8,8,8.2,8.4,8.6,8.8,9,9.2,9.4,9.6,9.9,10.2,10.3,10.4},{0,10,20,30,40,50,60,62,64,66,68,70,72,74,76,78,80,85,90,95,100})</f>
        <v>72</v>
      </c>
      <c r="Q105" s="5">
        <v>5.16</v>
      </c>
      <c r="R105" s="10">
        <f>10-Q105</f>
        <v>4.84</v>
      </c>
      <c r="S105" s="7">
        <f>LOOKUP(R105,{0,4.74,4.84,4.94,5.44,5.54,5.64,5.69,5.74,5.79,5.84,5.89,5.94,5.99,6.44,6.49,6.54,6.61,6.68,6.74,6.8},{0,10,20,30,40,50,60,62,64,66,68,70,72,74,76,78,80,85,90,95,100})</f>
        <v>20</v>
      </c>
      <c r="T105" s="5"/>
      <c r="U105" s="5"/>
      <c r="V105" s="5">
        <f>S105+U105</f>
        <v>20</v>
      </c>
      <c r="W105" s="5"/>
      <c r="X105" s="13">
        <f t="shared" si="59"/>
        <v>44.9</v>
      </c>
      <c r="Y105" s="13">
        <f>X105/0.7+L105+U105</f>
        <v>64.1428571428571</v>
      </c>
    </row>
    <row r="106" ht="15.6" hidden="1" outlineLevel="2" spans="1:25">
      <c r="A106" s="5">
        <v>308</v>
      </c>
      <c r="B106" s="5">
        <v>26</v>
      </c>
      <c r="C106" s="9" t="s">
        <v>379</v>
      </c>
      <c r="D106" s="9" t="s">
        <v>46</v>
      </c>
      <c r="E106" s="5">
        <v>18</v>
      </c>
      <c r="F106" s="7">
        <f>LOOKUP(E106,{0,1.5,2.3,3.1,3.9,4.7,5.5,6.8,8.1,9.4,10.7,12,13.3,14.6,15.9,17.2,18.5,20.2,21.9,23.6,25.3},{0,10,20,30,40,50,60,62,64,66,68,70,72,74,76,78,80,85,90,95,100})</f>
        <v>78</v>
      </c>
      <c r="G106" s="5">
        <v>172</v>
      </c>
      <c r="H106" s="7">
        <f>LOOKUP(G106,{0,125,130,135,140,145,150,153,156,159,162,165,168,171,174,177,180,187,194,200,206},{0,10,20,30,40,50,60,62,64,66,68,70,72,74,76,78,80,85,90,95,100})</f>
        <v>74</v>
      </c>
      <c r="I106" s="5" t="s">
        <v>77</v>
      </c>
      <c r="J106" s="7"/>
      <c r="K106" s="5"/>
      <c r="L106" s="5"/>
      <c r="M106" s="5"/>
      <c r="N106" s="5" t="s">
        <v>77</v>
      </c>
      <c r="O106" s="5"/>
      <c r="P106" s="5"/>
      <c r="Q106" s="5" t="s">
        <v>77</v>
      </c>
      <c r="R106" s="5"/>
      <c r="S106" s="5"/>
      <c r="T106" s="5"/>
      <c r="U106" s="5"/>
      <c r="V106" s="5"/>
      <c r="W106" s="14">
        <v>50</v>
      </c>
      <c r="X106" s="13">
        <f t="shared" si="59"/>
        <v>15.2</v>
      </c>
      <c r="Y106" s="13">
        <v>50</v>
      </c>
    </row>
    <row r="107" ht="15.6" hidden="1" outlineLevel="2" spans="1:25">
      <c r="A107" s="5">
        <v>308</v>
      </c>
      <c r="B107" s="5">
        <v>27</v>
      </c>
      <c r="C107" s="9" t="s">
        <v>380</v>
      </c>
      <c r="D107" s="9" t="s">
        <v>46</v>
      </c>
      <c r="E107" s="5">
        <v>23</v>
      </c>
      <c r="F107" s="7">
        <f>LOOKUP(E107,{0,1.5,2.3,3.1,3.9,4.7,5.5,6.8,8.1,9.4,10.7,12,13.3,14.6,15.9,17.2,18.5,20.2,21.9,23.6,25.3},{0,10,20,30,40,50,60,62,64,66,68,70,72,74,76,78,80,85,90,95,100})</f>
        <v>90</v>
      </c>
      <c r="G107" s="5">
        <v>227</v>
      </c>
      <c r="H107" s="7">
        <f>LOOKUP(G107,{0,125,130,135,140,145,150,153,156,159,162,165,168,171,174,177,180,187,194,200,206},{0,10,20,30,40,50,60,62,64,66,68,70,72,74,76,78,80,85,90,95,100})</f>
        <v>100</v>
      </c>
      <c r="I107" s="5">
        <v>56</v>
      </c>
      <c r="J107" s="7">
        <f>LOOKUP(I107,{0,15,17,19,21,23,25,27,29,31,33,35,37,39,41,43,45,48,51,53,55},{0,10,20,30,40,50,60,62,64,66,68,70,72,74,76,78,80,85,90,95,100})</f>
        <v>100</v>
      </c>
      <c r="K107" s="11">
        <f>I107-55</f>
        <v>1</v>
      </c>
      <c r="L107" s="7">
        <f>LOOKUP(K107,{0,2,4,6,7,8,9,10,11,12,13},{0,1,2,3,4,5,6,7,8,9,10})</f>
        <v>0</v>
      </c>
      <c r="M107" s="5">
        <f t="shared" ref="M107:M119" si="60">J107+L107</f>
        <v>100</v>
      </c>
      <c r="N107" s="5">
        <v>7.4</v>
      </c>
      <c r="O107" s="10">
        <f t="shared" ref="O107:O119" si="61">18-N107</f>
        <v>10.6</v>
      </c>
      <c r="P107" s="7">
        <f>LOOKUP(O107,{0,6.6,6.8,7,7.2,7.4,7.6,7.8,8,8.2,8.4,8.6,8.8,9,9.2,9.4,9.6,9.9,10.2,10.3,10.4},{0,10,20,30,40,50,60,62,64,66,68,70,72,74,76,78,80,85,90,95,100})</f>
        <v>100</v>
      </c>
      <c r="Q107" s="5">
        <v>3.27</v>
      </c>
      <c r="R107" s="10">
        <f t="shared" ref="R107:R119" si="62">10-Q107</f>
        <v>6.73</v>
      </c>
      <c r="S107" s="7">
        <f>LOOKUP(R107,{0,4.74,4.84,4.94,5.44,5.54,5.64,5.69,5.74,5.79,5.84,5.89,5.94,5.99,6.44,6.49,6.54,6.61,6.68,6.74,6.8},{0,10,20,30,40,50,60,62,64,66,68,70,72,74,76,78,80,85,90,95,100})</f>
        <v>90</v>
      </c>
      <c r="T107" s="5"/>
      <c r="U107" s="5"/>
      <c r="V107" s="5">
        <f t="shared" ref="V107:V119" si="63">S107+U107</f>
        <v>90</v>
      </c>
      <c r="W107" s="5"/>
      <c r="X107" s="13">
        <f t="shared" si="59"/>
        <v>67</v>
      </c>
      <c r="Y107" s="13">
        <f t="shared" ref="Y107:Y119" si="64">X107/0.7+L107+U107</f>
        <v>95.7142857142857</v>
      </c>
    </row>
    <row r="108" ht="15.6" hidden="1" outlineLevel="2" spans="1:25">
      <c r="A108" s="5">
        <v>308</v>
      </c>
      <c r="B108" s="5">
        <v>28</v>
      </c>
      <c r="C108" s="9" t="s">
        <v>381</v>
      </c>
      <c r="D108" s="9" t="s">
        <v>46</v>
      </c>
      <c r="E108" s="5">
        <v>17</v>
      </c>
      <c r="F108" s="7">
        <f>LOOKUP(E108,{0,1.5,2.3,3.1,3.9,4.7,5.5,6.8,8.1,9.4,10.7,12,13.3,14.6,15.9,17.2,18.5,20.2,21.9,23.6,25.3},{0,10,20,30,40,50,60,62,64,66,68,70,72,74,76,78,80,85,90,95,100})</f>
        <v>76</v>
      </c>
      <c r="G108" s="5">
        <v>175</v>
      </c>
      <c r="H108" s="7">
        <f>LOOKUP(G108,{0,125,130,135,140,145,150,153,156,159,162,165,168,171,174,177,180,187,194,200,206},{0,10,20,30,40,50,60,62,64,66,68,70,72,74,76,78,80,85,90,95,100})</f>
        <v>76</v>
      </c>
      <c r="I108" s="5">
        <v>45</v>
      </c>
      <c r="J108" s="7">
        <f>LOOKUP(I108,{0,15,17,19,21,23,25,27,29,31,33,35,37,39,41,43,45,48,51,53,55},{0,10,20,30,40,50,60,62,64,66,68,70,72,74,76,78,80,85,90,95,100})</f>
        <v>80</v>
      </c>
      <c r="K108" s="5"/>
      <c r="L108" s="5"/>
      <c r="M108" s="5">
        <f t="shared" si="60"/>
        <v>80</v>
      </c>
      <c r="N108" s="5">
        <v>8.8</v>
      </c>
      <c r="O108" s="10">
        <f t="shared" si="61"/>
        <v>9.2</v>
      </c>
      <c r="P108" s="7">
        <f>LOOKUP(O108,{0,6.6,6.8,7,7.2,7.4,7.6,7.8,8,8.2,8.4,8.6,8.8,9,9.2,9.4,9.6,9.9,10.2,10.3,10.4},{0,10,20,30,40,50,60,62,64,66,68,70,72,74,76,78,80,85,90,95,100})</f>
        <v>76</v>
      </c>
      <c r="Q108" s="5">
        <v>4.54</v>
      </c>
      <c r="R108" s="10">
        <f t="shared" si="62"/>
        <v>5.46</v>
      </c>
      <c r="S108" s="7">
        <f>LOOKUP(R108,{0,4.74,4.84,4.94,5.44,5.54,5.64,5.69,5.74,5.79,5.84,5.89,5.94,5.99,6.44,6.49,6.54,6.61,6.68,6.74,6.8},{0,10,20,30,40,50,60,62,64,66,68,70,72,74,76,78,80,85,90,95,100})</f>
        <v>40</v>
      </c>
      <c r="T108" s="5"/>
      <c r="U108" s="5"/>
      <c r="V108" s="5">
        <f t="shared" si="63"/>
        <v>40</v>
      </c>
      <c r="W108" s="5"/>
      <c r="X108" s="13">
        <f t="shared" si="59"/>
        <v>46.4</v>
      </c>
      <c r="Y108" s="13">
        <f t="shared" si="64"/>
        <v>66.2857142857143</v>
      </c>
    </row>
    <row r="109" ht="15.6" hidden="1" outlineLevel="2" spans="1:25">
      <c r="A109" s="5">
        <v>308</v>
      </c>
      <c r="B109" s="5">
        <v>29</v>
      </c>
      <c r="C109" s="9" t="s">
        <v>382</v>
      </c>
      <c r="D109" s="9" t="s">
        <v>46</v>
      </c>
      <c r="E109" s="5">
        <v>19.5</v>
      </c>
      <c r="F109" s="7">
        <f>LOOKUP(E109,{0,1.5,2.3,3.1,3.9,4.7,5.5,6.8,8.1,9.4,10.7,12,13.3,14.6,15.9,17.2,18.5,20.2,21.9,23.6,25.3},{0,10,20,30,40,50,60,62,64,66,68,70,72,74,76,78,80,85,90,95,100})</f>
        <v>80</v>
      </c>
      <c r="G109" s="5">
        <v>150</v>
      </c>
      <c r="H109" s="7">
        <f>LOOKUP(G109,{0,125,130,135,140,145,150,153,156,159,162,165,168,171,174,177,180,187,194,200,206},{0,10,20,30,40,50,60,62,64,66,68,70,72,74,76,78,80,85,90,95,100})</f>
        <v>60</v>
      </c>
      <c r="I109" s="5">
        <v>41</v>
      </c>
      <c r="J109" s="7">
        <f>LOOKUP(I109,{0,15,17,19,21,23,25,27,29,31,33,35,37,39,41,43,45,48,51,53,55},{0,10,20,30,40,50,60,62,64,66,68,70,72,74,76,78,80,85,90,95,100})</f>
        <v>76</v>
      </c>
      <c r="K109" s="5"/>
      <c r="L109" s="5"/>
      <c r="M109" s="5">
        <f t="shared" si="60"/>
        <v>76</v>
      </c>
      <c r="N109" s="5">
        <v>9.3</v>
      </c>
      <c r="O109" s="10">
        <f t="shared" si="61"/>
        <v>8.7</v>
      </c>
      <c r="P109" s="7">
        <f>LOOKUP(O109,{0,6.6,6.8,7,7.2,7.4,7.6,7.8,8,8.2,8.4,8.6,8.8,9,9.2,9.4,9.6,9.9,10.2,10.3,10.4},{0,10,20,30,40,50,60,62,64,66,68,70,72,74,76,78,80,85,90,95,100})</f>
        <v>70</v>
      </c>
      <c r="Q109" s="5">
        <v>5.27</v>
      </c>
      <c r="R109" s="10">
        <f t="shared" si="62"/>
        <v>4.73</v>
      </c>
      <c r="S109" s="7">
        <f>LOOKUP(R109,{0,4.74,4.84,4.94,5.44,5.54,5.64,5.69,5.74,5.79,5.84,5.89,5.94,5.99,6.44,6.49,6.54,6.61,6.68,6.74,6.8},{0,10,20,30,40,50,60,62,64,66,68,70,72,74,76,78,80,85,90,95,100})</f>
        <v>0</v>
      </c>
      <c r="T109" s="5"/>
      <c r="U109" s="5"/>
      <c r="V109" s="5">
        <f t="shared" si="63"/>
        <v>0</v>
      </c>
      <c r="W109" s="5"/>
      <c r="X109" s="13">
        <f t="shared" si="59"/>
        <v>35.6</v>
      </c>
      <c r="Y109" s="13">
        <f t="shared" si="64"/>
        <v>50.8571428571429</v>
      </c>
    </row>
    <row r="110" ht="15.6" hidden="1" outlineLevel="2" spans="1:25">
      <c r="A110" s="5">
        <v>308</v>
      </c>
      <c r="B110" s="5">
        <v>30</v>
      </c>
      <c r="C110" s="9" t="s">
        <v>383</v>
      </c>
      <c r="D110" s="9" t="s">
        <v>46</v>
      </c>
      <c r="E110" s="5">
        <v>22</v>
      </c>
      <c r="F110" s="7">
        <f>LOOKUP(E110,{0,1.5,2.3,3.1,3.9,4.7,5.5,6.8,8.1,9.4,10.7,12,13.3,14.6,15.9,17.2,18.5,20.2,21.9,23.6,25.3},{0,10,20,30,40,50,60,62,64,66,68,70,72,74,76,78,80,85,90,95,100})</f>
        <v>90</v>
      </c>
      <c r="G110" s="5">
        <v>150</v>
      </c>
      <c r="H110" s="7">
        <f>LOOKUP(G110,{0,125,130,135,140,145,150,153,156,159,162,165,168,171,174,177,180,187,194,200,206},{0,10,20,30,40,50,60,62,64,66,68,70,72,74,76,78,80,85,90,95,100})</f>
        <v>60</v>
      </c>
      <c r="I110" s="5">
        <v>37</v>
      </c>
      <c r="J110" s="7">
        <f>LOOKUP(I110,{0,15,17,19,21,23,25,27,29,31,33,35,37,39,41,43,45,48,51,53,55},{0,10,20,30,40,50,60,62,64,66,68,70,72,74,76,78,80,85,90,95,100})</f>
        <v>72</v>
      </c>
      <c r="K110" s="5"/>
      <c r="L110" s="5"/>
      <c r="M110" s="5">
        <f t="shared" si="60"/>
        <v>72</v>
      </c>
      <c r="N110" s="5">
        <v>9.1</v>
      </c>
      <c r="O110" s="10">
        <f t="shared" si="61"/>
        <v>8.9</v>
      </c>
      <c r="P110" s="7">
        <f>LOOKUP(O110,{0,6.6,6.8,7,7.2,7.4,7.6,7.8,8,8.2,8.4,8.6,8.8,9,9.2,9.4,9.6,9.9,10.2,10.3,10.4},{0,10,20,30,40,50,60,62,64,66,68,70,72,74,76,78,80,85,90,95,100})</f>
        <v>72</v>
      </c>
      <c r="Q110" s="5">
        <v>3.49</v>
      </c>
      <c r="R110" s="10">
        <f t="shared" si="62"/>
        <v>6.51</v>
      </c>
      <c r="S110" s="7">
        <f>LOOKUP(R110,{0,4.74,4.84,4.94,5.44,5.54,5.64,5.69,5.74,5.79,5.84,5.89,5.94,5.99,6.44,6.49,6.54,6.61,6.68,6.74,6.8},{0,10,20,30,40,50,60,62,64,66,68,70,72,74,76,78,80,85,90,95,100})</f>
        <v>78</v>
      </c>
      <c r="T110" s="5"/>
      <c r="U110" s="5"/>
      <c r="V110" s="5">
        <f t="shared" si="63"/>
        <v>78</v>
      </c>
      <c r="W110" s="5"/>
      <c r="X110" s="13">
        <f t="shared" si="59"/>
        <v>52.2</v>
      </c>
      <c r="Y110" s="13">
        <f t="shared" si="64"/>
        <v>74.5714285714286</v>
      </c>
    </row>
    <row r="111" ht="15.6" hidden="1" outlineLevel="2" spans="1:25">
      <c r="A111" s="5">
        <v>308</v>
      </c>
      <c r="B111" s="5">
        <v>31</v>
      </c>
      <c r="C111" s="8" t="s">
        <v>385</v>
      </c>
      <c r="D111" s="9" t="s">
        <v>46</v>
      </c>
      <c r="E111" s="5">
        <v>24</v>
      </c>
      <c r="F111" s="7">
        <f>LOOKUP(E111,{0,1.5,2.3,3.1,3.9,4.7,5.5,6.8,8.1,9.4,10.7,12,13.3,14.6,15.9,17.2,18.5,20.2,21.9,23.6,25.3},{0,10,20,30,40,50,60,62,64,66,68,70,72,74,76,78,80,85,90,95,100})</f>
        <v>95</v>
      </c>
      <c r="G111" s="5">
        <v>188</v>
      </c>
      <c r="H111" s="7">
        <f>LOOKUP(G111,{0,125,130,135,140,145,150,153,156,159,162,165,168,171,174,177,180,187,194,200,206},{0,10,20,30,40,50,60,62,64,66,68,70,72,74,76,78,80,85,90,95,100})</f>
        <v>85</v>
      </c>
      <c r="I111" s="5">
        <v>46</v>
      </c>
      <c r="J111" s="7">
        <f>LOOKUP(I111,{0,15,17,19,21,23,25,27,29,31,33,35,37,39,41,43,45,48,51,53,55},{0,10,20,30,40,50,60,62,64,66,68,70,72,74,76,78,80,85,90,95,100})</f>
        <v>80</v>
      </c>
      <c r="K111" s="5"/>
      <c r="L111" s="5"/>
      <c r="M111" s="5">
        <f t="shared" si="60"/>
        <v>80</v>
      </c>
      <c r="N111" s="5">
        <v>8.9</v>
      </c>
      <c r="O111" s="10">
        <f t="shared" si="61"/>
        <v>9.1</v>
      </c>
      <c r="P111" s="7">
        <f>LOOKUP(O111,{0,6.6,6.8,7,7.2,7.4,7.6,7.8,8,8.2,8.4,8.6,8.8,9,9.2,9.4,9.6,9.9,10.2,10.3,10.4},{0,10,20,30,40,50,60,62,64,66,68,70,72,74,76,78,80,85,90,95,100})</f>
        <v>74</v>
      </c>
      <c r="Q111" s="5">
        <v>5.16</v>
      </c>
      <c r="R111" s="10">
        <f t="shared" si="62"/>
        <v>4.84</v>
      </c>
      <c r="S111" s="7">
        <f>LOOKUP(R111,{0,4.74,4.84,4.94,5.44,5.54,5.64,5.69,5.74,5.79,5.84,5.89,5.94,5.99,6.44,6.49,6.54,6.61,6.68,6.74,6.8},{0,10,20,30,40,50,60,62,64,66,68,70,72,74,76,78,80,85,90,95,100})</f>
        <v>20</v>
      </c>
      <c r="T111" s="5"/>
      <c r="U111" s="5"/>
      <c r="V111" s="5">
        <f t="shared" si="63"/>
        <v>20</v>
      </c>
      <c r="W111" s="5"/>
      <c r="X111" s="13">
        <f t="shared" si="59"/>
        <v>44.8</v>
      </c>
      <c r="Y111" s="13">
        <f t="shared" si="64"/>
        <v>64</v>
      </c>
    </row>
    <row r="112" ht="15.6" hidden="1" outlineLevel="2" spans="1:25">
      <c r="A112" s="5">
        <v>308</v>
      </c>
      <c r="B112" s="5">
        <v>32</v>
      </c>
      <c r="C112" s="9" t="s">
        <v>386</v>
      </c>
      <c r="D112" s="9" t="s">
        <v>46</v>
      </c>
      <c r="E112" s="5">
        <v>10</v>
      </c>
      <c r="F112" s="7">
        <f>LOOKUP(E112,{0,1.5,2.3,3.1,3.9,4.7,5.5,6.8,8.1,9.4,10.7,12,13.3,14.6,15.9,17.2,18.5,20.2,21.9,23.6,25.3},{0,10,20,30,40,50,60,62,64,66,68,70,72,74,76,78,80,85,90,95,100})</f>
        <v>66</v>
      </c>
      <c r="G112" s="5">
        <v>135</v>
      </c>
      <c r="H112" s="7">
        <f>LOOKUP(G112,{0,125,130,135,140,145,150,153,156,159,162,165,168,171,174,177,180,187,194,200,206},{0,10,20,30,40,50,60,62,64,66,68,70,72,74,76,78,80,85,90,95,100})</f>
        <v>30</v>
      </c>
      <c r="I112" s="5">
        <v>47</v>
      </c>
      <c r="J112" s="7">
        <f>LOOKUP(I112,{0,15,17,19,21,23,25,27,29,31,33,35,37,39,41,43,45,48,51,53,55},{0,10,20,30,40,50,60,62,64,66,68,70,72,74,76,78,80,85,90,95,100})</f>
        <v>80</v>
      </c>
      <c r="K112" s="5"/>
      <c r="L112" s="5"/>
      <c r="M112" s="5">
        <f t="shared" si="60"/>
        <v>80</v>
      </c>
      <c r="N112" s="5">
        <v>10.3</v>
      </c>
      <c r="O112" s="10">
        <f t="shared" si="61"/>
        <v>7.7</v>
      </c>
      <c r="P112" s="7">
        <f>LOOKUP(O112,{0,6.6,6.8,7,7.2,7.4,7.6,7.8,8,8.2,8.4,8.6,8.8,9,9.2,9.4,9.6,9.9,10.2,10.3,10.4},{0,10,20,30,40,50,60,62,64,66,68,70,72,74,76,78,80,85,90,95,100})</f>
        <v>60</v>
      </c>
      <c r="Q112" s="5">
        <v>5.24</v>
      </c>
      <c r="R112" s="10">
        <f t="shared" si="62"/>
        <v>4.76</v>
      </c>
      <c r="S112" s="7">
        <f>LOOKUP(R112,{0,4.74,4.84,4.94,5.44,5.54,5.64,5.69,5.74,5.79,5.84,5.89,5.94,5.99,6.44,6.49,6.54,6.61,6.68,6.74,6.8},{0,10,20,30,40,50,60,62,64,66,68,70,72,74,76,78,80,85,90,95,100})</f>
        <v>10</v>
      </c>
      <c r="T112" s="5"/>
      <c r="U112" s="5"/>
      <c r="V112" s="5">
        <f t="shared" si="63"/>
        <v>10</v>
      </c>
      <c r="W112" s="5"/>
      <c r="X112" s="13">
        <f t="shared" si="59"/>
        <v>31.6</v>
      </c>
      <c r="Y112" s="13">
        <f t="shared" si="64"/>
        <v>45.1428571428571</v>
      </c>
    </row>
    <row r="113" ht="15.6" hidden="1" outlineLevel="2" spans="1:25">
      <c r="A113" s="5">
        <v>308</v>
      </c>
      <c r="B113" s="5">
        <v>33</v>
      </c>
      <c r="C113" s="9" t="s">
        <v>387</v>
      </c>
      <c r="D113" s="9" t="s">
        <v>46</v>
      </c>
      <c r="E113" s="5">
        <v>17</v>
      </c>
      <c r="F113" s="7">
        <f>LOOKUP(E113,{0,1.5,2.3,3.1,3.9,4.7,5.5,6.8,8.1,9.4,10.7,12,13.3,14.6,15.9,17.2,18.5,20.2,21.9,23.6,25.3},{0,10,20,30,40,50,60,62,64,66,68,70,72,74,76,78,80,85,90,95,100})</f>
        <v>76</v>
      </c>
      <c r="G113" s="5">
        <v>150</v>
      </c>
      <c r="H113" s="7">
        <f>LOOKUP(G113,{0,125,130,135,140,145,150,153,156,159,162,165,168,171,174,177,180,187,194,200,206},{0,10,20,30,40,50,60,62,64,66,68,70,72,74,76,78,80,85,90,95,100})</f>
        <v>60</v>
      </c>
      <c r="I113" s="5">
        <v>36</v>
      </c>
      <c r="J113" s="7">
        <f>LOOKUP(I113,{0,15,17,19,21,23,25,27,29,31,33,35,37,39,41,43,45,48,51,53,55},{0,10,20,30,40,50,60,62,64,66,68,70,72,74,76,78,80,85,90,95,100})</f>
        <v>70</v>
      </c>
      <c r="K113" s="5"/>
      <c r="L113" s="5"/>
      <c r="M113" s="5">
        <f t="shared" si="60"/>
        <v>70</v>
      </c>
      <c r="N113" s="5">
        <v>10</v>
      </c>
      <c r="O113" s="10">
        <f t="shared" si="61"/>
        <v>8</v>
      </c>
      <c r="P113" s="7">
        <f>LOOKUP(O113,{0,6.6,6.8,7,7.2,7.4,7.6,7.8,8,8.2,8.4,8.6,8.8,9,9.2,9.4,9.6,9.9,10.2,10.3,10.4},{0,10,20,30,40,50,60,62,64,66,68,70,72,74,76,78,80,85,90,95,100})</f>
        <v>64</v>
      </c>
      <c r="Q113" s="5">
        <v>4.58</v>
      </c>
      <c r="R113" s="10">
        <f t="shared" si="62"/>
        <v>5.42</v>
      </c>
      <c r="S113" s="7">
        <f>LOOKUP(R113,{0,4.74,4.84,4.94,5.44,5.54,5.64,5.69,5.74,5.79,5.84,5.89,5.94,5.99,6.44,6.49,6.54,6.61,6.68,6.74,6.8},{0,10,20,30,40,50,60,62,64,66,68,70,72,74,76,78,80,85,90,95,100})</f>
        <v>30</v>
      </c>
      <c r="T113" s="5"/>
      <c r="U113" s="5"/>
      <c r="V113" s="5">
        <f t="shared" si="63"/>
        <v>30</v>
      </c>
      <c r="W113" s="5"/>
      <c r="X113" s="13">
        <f t="shared" si="59"/>
        <v>39.4</v>
      </c>
      <c r="Y113" s="13">
        <f t="shared" si="64"/>
        <v>56.2857142857143</v>
      </c>
    </row>
    <row r="114" ht="15.6" hidden="1" outlineLevel="2" spans="1:25">
      <c r="A114" s="5">
        <v>308</v>
      </c>
      <c r="B114" s="5">
        <v>34</v>
      </c>
      <c r="C114" s="9" t="s">
        <v>388</v>
      </c>
      <c r="D114" s="9" t="s">
        <v>46</v>
      </c>
      <c r="E114" s="5">
        <v>7.5</v>
      </c>
      <c r="F114" s="7">
        <f>LOOKUP(E114,{0,1.5,2.3,3.1,3.9,4.7,5.5,6.8,8.1,9.4,10.7,12,13.3,14.6,15.9,17.2,18.5,20.2,21.9,23.6,25.3},{0,10,20,30,40,50,60,62,64,66,68,70,72,74,76,78,80,85,90,95,100})</f>
        <v>62</v>
      </c>
      <c r="G114" s="5">
        <v>172</v>
      </c>
      <c r="H114" s="7">
        <f>LOOKUP(G114,{0,125,130,135,140,145,150,153,156,159,162,165,168,171,174,177,180,187,194,200,206},{0,10,20,30,40,50,60,62,64,66,68,70,72,74,76,78,80,85,90,95,100})</f>
        <v>74</v>
      </c>
      <c r="I114" s="5">
        <v>55</v>
      </c>
      <c r="J114" s="7">
        <f>LOOKUP(I114,{0,15,17,19,21,23,25,27,29,31,33,35,37,39,41,43,45,48,51,53,55},{0,10,20,30,40,50,60,62,64,66,68,70,72,74,76,78,80,85,90,95,100})</f>
        <v>100</v>
      </c>
      <c r="K114" s="5"/>
      <c r="L114" s="5"/>
      <c r="M114" s="5">
        <f t="shared" si="60"/>
        <v>100</v>
      </c>
      <c r="N114" s="5">
        <v>9.5</v>
      </c>
      <c r="O114" s="10">
        <f t="shared" si="61"/>
        <v>8.5</v>
      </c>
      <c r="P114" s="7">
        <f>LOOKUP(O114,{0,6.6,6.8,7,7.2,7.4,7.6,7.8,8,8.2,8.4,8.6,8.8,9,9.2,9.4,9.6,9.9,10.2,10.3,10.4},{0,10,20,30,40,50,60,62,64,66,68,70,72,74,76,78,80,85,90,95,100})</f>
        <v>68</v>
      </c>
      <c r="Q114" s="5">
        <v>4.27</v>
      </c>
      <c r="R114" s="10">
        <f t="shared" si="62"/>
        <v>5.73</v>
      </c>
      <c r="S114" s="7">
        <f>LOOKUP(R114,{0,4.74,4.84,4.94,5.44,5.54,5.64,5.69,5.74,5.79,5.84,5.89,5.94,5.99,6.44,6.49,6.54,6.61,6.68,6.74,6.8},{0,10,20,30,40,50,60,62,64,66,68,70,72,74,76,78,80,85,90,95,100})</f>
        <v>62</v>
      </c>
      <c r="T114" s="5"/>
      <c r="U114" s="5"/>
      <c r="V114" s="5">
        <f t="shared" si="63"/>
        <v>62</v>
      </c>
      <c r="W114" s="5"/>
      <c r="X114" s="13">
        <f t="shared" si="59"/>
        <v>49.6</v>
      </c>
      <c r="Y114" s="13">
        <f t="shared" si="64"/>
        <v>70.8571428571429</v>
      </c>
    </row>
    <row r="115" ht="15.6" hidden="1" outlineLevel="2" spans="1:25">
      <c r="A115" s="5">
        <v>308</v>
      </c>
      <c r="B115" s="5">
        <v>35</v>
      </c>
      <c r="C115" s="9" t="s">
        <v>389</v>
      </c>
      <c r="D115" s="9" t="s">
        <v>46</v>
      </c>
      <c r="E115" s="5">
        <v>18</v>
      </c>
      <c r="F115" s="7">
        <f>LOOKUP(E115,{0,1.5,2.3,3.1,3.9,4.7,5.5,6.8,8.1,9.4,10.7,12,13.3,14.6,15.9,17.2,18.5,20.2,21.9,23.6,25.3},{0,10,20,30,40,50,60,62,64,66,68,70,72,74,76,78,80,85,90,95,100})</f>
        <v>78</v>
      </c>
      <c r="G115" s="5">
        <v>152</v>
      </c>
      <c r="H115" s="7">
        <f>LOOKUP(G115,{0,125,130,135,140,145,150,153,156,159,162,165,168,171,174,177,180,187,194,200,206},{0,10,20,30,40,50,60,62,64,66,68,70,72,74,76,78,80,85,90,95,100})</f>
        <v>60</v>
      </c>
      <c r="I115" s="5">
        <v>45</v>
      </c>
      <c r="J115" s="7">
        <f>LOOKUP(I115,{0,15,17,19,21,23,25,27,29,31,33,35,37,39,41,43,45,48,51,53,55},{0,10,20,30,40,50,60,62,64,66,68,70,72,74,76,78,80,85,90,95,100})</f>
        <v>80</v>
      </c>
      <c r="K115" s="5"/>
      <c r="L115" s="5"/>
      <c r="M115" s="5">
        <f t="shared" si="60"/>
        <v>80</v>
      </c>
      <c r="N115" s="5">
        <v>9.2</v>
      </c>
      <c r="O115" s="10">
        <f t="shared" si="61"/>
        <v>8.8</v>
      </c>
      <c r="P115" s="7">
        <f>LOOKUP(O115,{0,6.6,6.8,7,7.2,7.4,7.6,7.8,8,8.2,8.4,8.6,8.8,9,9.2,9.4,9.6,9.9,10.2,10.3,10.4},{0,10,20,30,40,50,60,62,64,66,68,70,72,74,76,78,80,85,90,95,100})</f>
        <v>72</v>
      </c>
      <c r="Q115" s="5">
        <v>4.1</v>
      </c>
      <c r="R115" s="10">
        <f t="shared" si="62"/>
        <v>5.9</v>
      </c>
      <c r="S115" s="7">
        <f>LOOKUP(R115,{0,4.74,4.84,4.94,5.44,5.54,5.64,5.69,5.74,5.79,5.84,5.89,5.94,5.99,6.44,6.49,6.54,6.61,6.68,6.74,6.8},{0,10,20,30,40,50,60,62,64,66,68,70,72,74,76,78,80,85,90,95,100})</f>
        <v>70</v>
      </c>
      <c r="T115" s="5"/>
      <c r="U115" s="5"/>
      <c r="V115" s="5">
        <f t="shared" si="63"/>
        <v>70</v>
      </c>
      <c r="W115" s="5"/>
      <c r="X115" s="13">
        <f t="shared" si="59"/>
        <v>50.2</v>
      </c>
      <c r="Y115" s="13">
        <f t="shared" si="64"/>
        <v>71.7142857142857</v>
      </c>
    </row>
    <row r="116" ht="15.6" hidden="1" outlineLevel="2" spans="1:25">
      <c r="A116" s="5">
        <v>308</v>
      </c>
      <c r="B116" s="5">
        <v>36</v>
      </c>
      <c r="C116" s="9" t="s">
        <v>390</v>
      </c>
      <c r="D116" s="9" t="s">
        <v>46</v>
      </c>
      <c r="E116" s="5">
        <v>24</v>
      </c>
      <c r="F116" s="7">
        <f>LOOKUP(E116,{0,1.5,2.3,3.1,3.9,4.7,5.5,6.8,8.1,9.4,10.7,12,13.3,14.6,15.9,17.2,18.5,20.2,21.9,23.6,25.3},{0,10,20,30,40,50,60,62,64,66,68,70,72,74,76,78,80,85,90,95,100})</f>
        <v>95</v>
      </c>
      <c r="G116" s="5">
        <v>174</v>
      </c>
      <c r="H116" s="7">
        <f>LOOKUP(G116,{0,125,130,135,140,145,150,153,156,159,162,165,168,171,174,177,180,187,194,200,206},{0,10,20,30,40,50,60,62,64,66,68,70,72,74,76,78,80,85,90,95,100})</f>
        <v>76</v>
      </c>
      <c r="I116" s="5">
        <v>42</v>
      </c>
      <c r="J116" s="7">
        <f>LOOKUP(I116,{0,15,17,19,21,23,25,27,29,31,33,35,37,39,41,43,45,48,51,53,55},{0,10,20,30,40,50,60,62,64,66,68,70,72,74,76,78,80,85,90,95,100})</f>
        <v>76</v>
      </c>
      <c r="K116" s="5"/>
      <c r="L116" s="5"/>
      <c r="M116" s="5">
        <f t="shared" si="60"/>
        <v>76</v>
      </c>
      <c r="N116" s="5">
        <v>9.4</v>
      </c>
      <c r="O116" s="10">
        <f t="shared" si="61"/>
        <v>8.6</v>
      </c>
      <c r="P116" s="7">
        <f>LOOKUP(O116,{0,6.6,6.8,7,7.2,7.4,7.6,7.8,8,8.2,8.4,8.6,8.8,9,9.2,9.4,9.6,9.9,10.2,10.3,10.4},{0,10,20,30,40,50,60,62,64,66,68,70,72,74,76,78,80,85,90,95,100})</f>
        <v>70</v>
      </c>
      <c r="Q116" s="5">
        <v>4.56</v>
      </c>
      <c r="R116" s="10">
        <f t="shared" si="62"/>
        <v>5.44</v>
      </c>
      <c r="S116" s="7">
        <f>LOOKUP(R116,{0,4.74,4.84,4.94,5.44,5.54,5.64,5.69,5.74,5.79,5.84,5.89,5.94,5.99,6.44,6.49,6.54,6.61,6.68,6.74,6.8},{0,10,20,30,40,50,60,62,64,66,68,70,72,74,76,78,80,85,90,95,100})</f>
        <v>40</v>
      </c>
      <c r="T116" s="5"/>
      <c r="U116" s="5"/>
      <c r="V116" s="5">
        <f t="shared" si="63"/>
        <v>40</v>
      </c>
      <c r="W116" s="5"/>
      <c r="X116" s="13">
        <f t="shared" si="59"/>
        <v>46.7</v>
      </c>
      <c r="Y116" s="13">
        <f t="shared" si="64"/>
        <v>66.7142857142857</v>
      </c>
    </row>
    <row r="117" ht="15.6" hidden="1" outlineLevel="2" spans="1:25">
      <c r="A117" s="5">
        <v>308</v>
      </c>
      <c r="B117" s="5">
        <v>37</v>
      </c>
      <c r="C117" s="9" t="s">
        <v>391</v>
      </c>
      <c r="D117" s="9" t="s">
        <v>46</v>
      </c>
      <c r="E117" s="5">
        <v>11</v>
      </c>
      <c r="F117" s="7">
        <f>LOOKUP(E117,{0,1.5,2.3,3.1,3.9,4.7,5.5,6.8,8.1,9.4,10.7,12,13.3,14.6,15.9,17.2,18.5,20.2,21.9,23.6,25.3},{0,10,20,30,40,50,60,62,64,66,68,70,72,74,76,78,80,85,90,95,100})</f>
        <v>68</v>
      </c>
      <c r="G117" s="5">
        <v>156</v>
      </c>
      <c r="H117" s="7">
        <f>LOOKUP(G117,{0,125,130,135,140,145,150,153,156,159,162,165,168,171,174,177,180,187,194,200,206},{0,10,20,30,40,50,60,62,64,66,68,70,72,74,76,78,80,85,90,95,100})</f>
        <v>64</v>
      </c>
      <c r="I117" s="5">
        <v>31</v>
      </c>
      <c r="J117" s="7">
        <f>LOOKUP(I117,{0,15,17,19,21,23,25,27,29,31,33,35,37,39,41,43,45,48,51,53,55},{0,10,20,30,40,50,60,62,64,66,68,70,72,74,76,78,80,85,90,95,100})</f>
        <v>66</v>
      </c>
      <c r="K117" s="5"/>
      <c r="L117" s="5"/>
      <c r="M117" s="5">
        <f t="shared" si="60"/>
        <v>66</v>
      </c>
      <c r="N117" s="5">
        <v>9.6</v>
      </c>
      <c r="O117" s="10">
        <f t="shared" si="61"/>
        <v>8.4</v>
      </c>
      <c r="P117" s="7">
        <f>LOOKUP(O117,{0,6.6,6.8,7,7.2,7.4,7.6,7.8,8,8.2,8.4,8.6,8.8,9,9.2,9.4,9.6,9.9,10.2,10.3,10.4},{0,10,20,30,40,50,60,62,64,66,68,70,72,74,76,78,80,85,90,95,100})</f>
        <v>68</v>
      </c>
      <c r="Q117" s="5">
        <v>5.01</v>
      </c>
      <c r="R117" s="10">
        <f t="shared" si="62"/>
        <v>4.99</v>
      </c>
      <c r="S117" s="7">
        <f>LOOKUP(R117,{0,4.74,4.84,4.94,5.44,5.54,5.64,5.69,5.74,5.79,5.84,5.89,5.94,5.99,6.44,6.49,6.54,6.61,6.68,6.74,6.8},{0,10,20,30,40,50,60,62,64,66,68,70,72,74,76,78,80,85,90,95,100})</f>
        <v>30</v>
      </c>
      <c r="T117" s="5"/>
      <c r="U117" s="5"/>
      <c r="V117" s="5">
        <f t="shared" si="63"/>
        <v>30</v>
      </c>
      <c r="W117" s="5"/>
      <c r="X117" s="13">
        <f t="shared" si="59"/>
        <v>39.4</v>
      </c>
      <c r="Y117" s="13">
        <f t="shared" si="64"/>
        <v>56.2857142857143</v>
      </c>
    </row>
    <row r="118" ht="15.6" hidden="1" outlineLevel="2" spans="1:25">
      <c r="A118" s="5">
        <v>308</v>
      </c>
      <c r="B118" s="5">
        <v>38</v>
      </c>
      <c r="C118" s="9" t="s">
        <v>392</v>
      </c>
      <c r="D118" s="9" t="s">
        <v>46</v>
      </c>
      <c r="E118" s="5">
        <v>16</v>
      </c>
      <c r="F118" s="7">
        <f>LOOKUP(E118,{0,1.5,2.3,3.1,3.9,4.7,5.5,6.8,8.1,9.4,10.7,12,13.3,14.6,15.9,17.2,18.5,20.2,21.9,23.6,25.3},{0,10,20,30,40,50,60,62,64,66,68,70,72,74,76,78,80,85,90,95,100})</f>
        <v>76</v>
      </c>
      <c r="G118" s="5">
        <v>155</v>
      </c>
      <c r="H118" s="7">
        <f>LOOKUP(G118,{0,125,130,135,140,145,150,153,156,159,162,165,168,171,174,177,180,187,194,200,206},{0,10,20,30,40,50,60,62,64,66,68,70,72,74,76,78,80,85,90,95,100})</f>
        <v>62</v>
      </c>
      <c r="I118" s="5">
        <v>37</v>
      </c>
      <c r="J118" s="7">
        <f>LOOKUP(I118,{0,15,17,19,21,23,25,27,29,31,33,35,37,39,41,43,45,48,51,53,55},{0,10,20,30,40,50,60,62,64,66,68,70,72,74,76,78,80,85,90,95,100})</f>
        <v>72</v>
      </c>
      <c r="K118" s="5"/>
      <c r="L118" s="5"/>
      <c r="M118" s="5">
        <f t="shared" si="60"/>
        <v>72</v>
      </c>
      <c r="N118" s="5">
        <v>10.5</v>
      </c>
      <c r="O118" s="10">
        <f t="shared" si="61"/>
        <v>7.5</v>
      </c>
      <c r="P118" s="7">
        <f>LOOKUP(O118,{0,6.6,6.8,7,7.2,7.4,7.6,7.8,8,8.2,8.4,8.6,8.8,9,9.2,9.4,9.6,9.9,10.2,10.3,10.4},{0,10,20,30,40,50,60,62,64,66,68,70,72,74,76,78,80,85,90,95,100})</f>
        <v>50</v>
      </c>
      <c r="Q118" s="5">
        <v>4.29</v>
      </c>
      <c r="R118" s="10">
        <f t="shared" si="62"/>
        <v>5.71</v>
      </c>
      <c r="S118" s="7">
        <f>LOOKUP(R118,{0,4.74,4.84,4.94,5.44,5.54,5.64,5.69,5.74,5.79,5.84,5.89,5.94,5.99,6.44,6.49,6.54,6.61,6.68,6.74,6.8},{0,10,20,30,40,50,60,62,64,66,68,70,72,74,76,78,80,85,90,95,100})</f>
        <v>62</v>
      </c>
      <c r="T118" s="5"/>
      <c r="U118" s="5"/>
      <c r="V118" s="5">
        <f t="shared" si="63"/>
        <v>62</v>
      </c>
      <c r="W118" s="5"/>
      <c r="X118" s="13">
        <f t="shared" si="59"/>
        <v>43.4</v>
      </c>
      <c r="Y118" s="13">
        <f t="shared" si="64"/>
        <v>62</v>
      </c>
    </row>
    <row r="119" ht="15.6" hidden="1" outlineLevel="2" spans="1:25">
      <c r="A119" s="5">
        <v>308</v>
      </c>
      <c r="B119" s="5">
        <v>39</v>
      </c>
      <c r="C119" s="9" t="s">
        <v>393</v>
      </c>
      <c r="D119" s="9" t="s">
        <v>46</v>
      </c>
      <c r="E119" s="5">
        <v>20</v>
      </c>
      <c r="F119" s="7">
        <f>LOOKUP(E119,{0,1.5,2.3,3.1,3.9,4.7,5.5,6.8,8.1,9.4,10.7,12,13.3,14.6,15.9,17.2,18.5,20.2,21.9,23.6,25.3},{0,10,20,30,40,50,60,62,64,66,68,70,72,74,76,78,80,85,90,95,100})</f>
        <v>80</v>
      </c>
      <c r="G119" s="5">
        <v>196</v>
      </c>
      <c r="H119" s="7">
        <f>LOOKUP(G119,{0,125,130,135,140,145,150,153,156,159,162,165,168,171,174,177,180,187,194,200,206},{0,10,20,30,40,50,60,62,64,66,68,70,72,74,76,78,80,85,90,95,100})</f>
        <v>90</v>
      </c>
      <c r="I119" s="5">
        <v>49</v>
      </c>
      <c r="J119" s="7">
        <f>LOOKUP(I119,{0,15,17,19,21,23,25,27,29,31,33,35,37,39,41,43,45,48,51,53,55},{0,10,20,30,40,50,60,62,64,66,68,70,72,74,76,78,80,85,90,95,100})</f>
        <v>85</v>
      </c>
      <c r="K119" s="5"/>
      <c r="L119" s="5"/>
      <c r="M119" s="5">
        <f t="shared" si="60"/>
        <v>85</v>
      </c>
      <c r="N119" s="5">
        <v>8</v>
      </c>
      <c r="O119" s="10">
        <f t="shared" si="61"/>
        <v>10</v>
      </c>
      <c r="P119" s="7">
        <f>LOOKUP(O119,{0,6.6,6.8,7,7.2,7.4,7.6,7.8,8,8.2,8.4,8.6,8.8,9,9.2,9.4,9.6,9.9,10.2,10.3,10.4},{0,10,20,30,40,50,60,62,64,66,68,70,72,74,76,78,80,85,90,95,100})</f>
        <v>85</v>
      </c>
      <c r="Q119" s="5">
        <v>3.31</v>
      </c>
      <c r="R119" s="10">
        <f t="shared" si="62"/>
        <v>6.69</v>
      </c>
      <c r="S119" s="7">
        <f>LOOKUP(R119,{0,4.74,4.84,4.94,5.44,5.54,5.64,5.69,5.74,5.79,5.84,5.89,5.94,5.99,6.44,6.49,6.54,6.61,6.68,6.74,6.8},{0,10,20,30,40,50,60,62,64,66,68,70,72,74,76,78,80,85,90,95,100})</f>
        <v>90</v>
      </c>
      <c r="T119" s="5"/>
      <c r="U119" s="5"/>
      <c r="V119" s="5">
        <f t="shared" si="63"/>
        <v>90</v>
      </c>
      <c r="W119" s="5"/>
      <c r="X119" s="13">
        <f t="shared" si="59"/>
        <v>60.5</v>
      </c>
      <c r="Y119" s="13">
        <f t="shared" si="64"/>
        <v>86.4285714285714</v>
      </c>
    </row>
    <row r="120" ht="15.6" hidden="1" outlineLevel="2" spans="1:25">
      <c r="A120" s="5">
        <v>308</v>
      </c>
      <c r="B120" s="5">
        <v>40</v>
      </c>
      <c r="C120" s="8" t="s">
        <v>395</v>
      </c>
      <c r="D120" s="9" t="s">
        <v>46</v>
      </c>
      <c r="E120" s="5">
        <v>12.7</v>
      </c>
      <c r="F120" s="7">
        <f>LOOKUP(E120,{0,1.5,2.3,3.1,3.9,4.7,5.5,6.8,8.1,9.4,10.7,12,13.3,14.6,15.9,17.2,18.5,20.2,21.9,23.6,25.3},{0,10,20,30,40,50,60,62,64,66,68,70,72,74,76,78,80,85,90,95,100})</f>
        <v>70</v>
      </c>
      <c r="G120" s="5">
        <v>162</v>
      </c>
      <c r="H120" s="7">
        <f>LOOKUP(G120,{0,125,130,135,140,145,150,153,156,159,162,165,168,171,174,177,180,187,194,200,206},{0,10,20,30,40,50,60,62,64,66,68,70,72,74,76,78,80,85,90,95,100})</f>
        <v>68</v>
      </c>
      <c r="I120" s="5" t="s">
        <v>77</v>
      </c>
      <c r="J120" s="7"/>
      <c r="K120" s="5"/>
      <c r="L120" s="5"/>
      <c r="M120" s="5"/>
      <c r="N120" s="5" t="s">
        <v>77</v>
      </c>
      <c r="O120" s="5"/>
      <c r="P120" s="5"/>
      <c r="Q120" s="5" t="s">
        <v>77</v>
      </c>
      <c r="R120" s="5"/>
      <c r="S120" s="5"/>
      <c r="T120" s="5"/>
      <c r="U120" s="5"/>
      <c r="V120" s="5"/>
      <c r="W120" s="14">
        <v>50</v>
      </c>
      <c r="X120" s="13">
        <f t="shared" si="59"/>
        <v>13.8</v>
      </c>
      <c r="Y120" s="13">
        <v>50</v>
      </c>
    </row>
    <row r="121" ht="15.6" hidden="1" outlineLevel="2" spans="1:25">
      <c r="A121" s="5">
        <v>308</v>
      </c>
      <c r="B121" s="5">
        <v>41</v>
      </c>
      <c r="C121" s="9" t="s">
        <v>396</v>
      </c>
      <c r="D121" s="9" t="s">
        <v>46</v>
      </c>
      <c r="E121" s="5">
        <v>12.3</v>
      </c>
      <c r="F121" s="7">
        <f>LOOKUP(E121,{0,1.5,2.3,3.1,3.9,4.7,5.5,6.8,8.1,9.4,10.7,12,13.3,14.6,15.9,17.2,18.5,20.2,21.9,23.6,25.3},{0,10,20,30,40,50,60,62,64,66,68,70,72,74,76,78,80,85,90,95,100})</f>
        <v>70</v>
      </c>
      <c r="G121" s="5">
        <v>177</v>
      </c>
      <c r="H121" s="7">
        <f>LOOKUP(G121,{0,125,130,135,140,145,150,153,156,159,162,165,168,171,174,177,180,187,194,200,206},{0,10,20,30,40,50,60,62,64,66,68,70,72,74,76,78,80,85,90,95,100})</f>
        <v>78</v>
      </c>
      <c r="I121" s="5">
        <v>46</v>
      </c>
      <c r="J121" s="7">
        <f>LOOKUP(I121,{0,15,17,19,21,23,25,27,29,31,33,35,37,39,41,43,45,48,51,53,55},{0,10,20,30,40,50,60,62,64,66,68,70,72,74,76,78,80,85,90,95,100})</f>
        <v>80</v>
      </c>
      <c r="K121" s="5"/>
      <c r="L121" s="5"/>
      <c r="M121" s="5">
        <f t="shared" ref="M121:M125" si="65">J121+L121</f>
        <v>80</v>
      </c>
      <c r="N121" s="5">
        <v>9.4</v>
      </c>
      <c r="O121" s="10">
        <f t="shared" ref="O121:O125" si="66">18-N121</f>
        <v>8.6</v>
      </c>
      <c r="P121" s="7">
        <f>LOOKUP(O121,{0,6.6,6.8,7,7.2,7.4,7.6,7.8,8,8.2,8.4,8.6,8.8,9,9.2,9.4,9.6,9.9,10.2,10.3,10.4},{0,10,20,30,40,50,60,62,64,66,68,70,72,74,76,78,80,85,90,95,100})</f>
        <v>70</v>
      </c>
      <c r="Q121" s="5">
        <v>4.533</v>
      </c>
      <c r="R121" s="10">
        <f t="shared" ref="R121:R125" si="67">10-Q121</f>
        <v>5.467</v>
      </c>
      <c r="S121" s="7">
        <f>LOOKUP(R121,{0,4.74,4.84,4.94,5.44,5.54,5.64,5.69,5.74,5.79,5.84,5.89,5.94,5.99,6.44,6.49,6.54,6.61,6.68,6.74,6.8},{0,10,20,30,40,50,60,62,64,66,68,70,72,74,76,78,80,85,90,95,100})</f>
        <v>40</v>
      </c>
      <c r="T121" s="5"/>
      <c r="U121" s="5"/>
      <c r="V121" s="5">
        <f t="shared" ref="V121:V125" si="68">S121+U121</f>
        <v>40</v>
      </c>
      <c r="W121" s="5"/>
      <c r="X121" s="13">
        <f t="shared" si="59"/>
        <v>44.8</v>
      </c>
      <c r="Y121" s="13">
        <f t="shared" ref="Y121:Y125" si="69">X121/0.7+L121+U121</f>
        <v>64</v>
      </c>
    </row>
    <row r="122" ht="15.6" hidden="1" outlineLevel="2" spans="1:25">
      <c r="A122" s="5">
        <v>308</v>
      </c>
      <c r="B122" s="5">
        <v>42</v>
      </c>
      <c r="C122" s="9" t="s">
        <v>397</v>
      </c>
      <c r="D122" s="9" t="s">
        <v>46</v>
      </c>
      <c r="E122" s="5">
        <v>22.8</v>
      </c>
      <c r="F122" s="7">
        <f>LOOKUP(E122,{0,1.5,2.3,3.1,3.9,4.7,5.5,6.8,8.1,9.4,10.7,12,13.3,14.6,15.9,17.2,18.5,20.2,21.9,23.6,25.3},{0,10,20,30,40,50,60,62,64,66,68,70,72,74,76,78,80,85,90,95,100})</f>
        <v>90</v>
      </c>
      <c r="G122" s="5">
        <v>164</v>
      </c>
      <c r="H122" s="7">
        <f>LOOKUP(G122,{0,125,130,135,140,145,150,153,156,159,162,165,168,171,174,177,180,187,194,200,206},{0,10,20,30,40,50,60,62,64,66,68,70,72,74,76,78,80,85,90,95,100})</f>
        <v>68</v>
      </c>
      <c r="I122" s="5">
        <v>52</v>
      </c>
      <c r="J122" s="7">
        <f>LOOKUP(I122,{0,15,17,19,21,23,25,27,29,31,33,35,37,39,41,43,45,48,51,53,55},{0,10,20,30,40,50,60,62,64,66,68,70,72,74,76,78,80,85,90,95,100})</f>
        <v>90</v>
      </c>
      <c r="K122" s="5"/>
      <c r="L122" s="5"/>
      <c r="M122" s="5">
        <f t="shared" si="65"/>
        <v>90</v>
      </c>
      <c r="N122" s="5">
        <v>8.9</v>
      </c>
      <c r="O122" s="10">
        <f t="shared" si="66"/>
        <v>9.1</v>
      </c>
      <c r="P122" s="7">
        <f>LOOKUP(O122,{0,6.6,6.8,7,7.2,7.4,7.6,7.8,8,8.2,8.4,8.6,8.8,9,9.2,9.4,9.6,9.9,10.2,10.3,10.4},{0,10,20,30,40,50,60,62,64,66,68,70,72,74,76,78,80,85,90,95,100})</f>
        <v>74</v>
      </c>
      <c r="Q122" s="5">
        <v>4.54</v>
      </c>
      <c r="R122" s="10">
        <f t="shared" si="67"/>
        <v>5.46</v>
      </c>
      <c r="S122" s="7">
        <f>LOOKUP(R122,{0,4.74,4.84,4.94,5.44,5.54,5.64,5.69,5.74,5.79,5.84,5.89,5.94,5.99,6.44,6.49,6.54,6.61,6.68,6.74,6.8},{0,10,20,30,40,50,60,62,64,66,68,70,72,74,76,78,80,85,90,95,100})</f>
        <v>40</v>
      </c>
      <c r="T122" s="5"/>
      <c r="U122" s="5"/>
      <c r="V122" s="5">
        <f t="shared" si="68"/>
        <v>40</v>
      </c>
      <c r="W122" s="5"/>
      <c r="X122" s="13">
        <f t="shared" si="59"/>
        <v>47.6</v>
      </c>
      <c r="Y122" s="13">
        <f t="shared" si="69"/>
        <v>68</v>
      </c>
    </row>
    <row r="123" ht="15.6" hidden="1" outlineLevel="2" spans="1:25">
      <c r="A123" s="5">
        <v>308</v>
      </c>
      <c r="B123" s="5">
        <v>43</v>
      </c>
      <c r="C123" s="9" t="s">
        <v>398</v>
      </c>
      <c r="D123" s="9" t="s">
        <v>46</v>
      </c>
      <c r="E123" s="5">
        <v>15.7</v>
      </c>
      <c r="F123" s="7">
        <f>LOOKUP(E123,{0,1.5,2.3,3.1,3.9,4.7,5.5,6.8,8.1,9.4,10.7,12,13.3,14.6,15.9,17.2,18.5,20.2,21.9,23.6,25.3},{0,10,20,30,40,50,60,62,64,66,68,70,72,74,76,78,80,85,90,95,100})</f>
        <v>74</v>
      </c>
      <c r="G123" s="5">
        <v>143</v>
      </c>
      <c r="H123" s="7">
        <f>LOOKUP(G123,{0,125,130,135,140,145,150,153,156,159,162,165,168,171,174,177,180,187,194,200,206},{0,10,20,30,40,50,60,62,64,66,68,70,72,74,76,78,80,85,90,95,100})</f>
        <v>40</v>
      </c>
      <c r="I123" s="5">
        <v>48</v>
      </c>
      <c r="J123" s="7">
        <f>LOOKUP(I123,{0,15,17,19,21,23,25,27,29,31,33,35,37,39,41,43,45,48,51,53,55},{0,10,20,30,40,50,60,62,64,66,68,70,72,74,76,78,80,85,90,95,100})</f>
        <v>85</v>
      </c>
      <c r="K123" s="5"/>
      <c r="L123" s="5"/>
      <c r="M123" s="5">
        <f t="shared" si="65"/>
        <v>85</v>
      </c>
      <c r="N123" s="5">
        <v>10.1</v>
      </c>
      <c r="O123" s="10">
        <f t="shared" si="66"/>
        <v>7.9</v>
      </c>
      <c r="P123" s="7">
        <f>LOOKUP(O123,{0,6.6,6.8,7,7.2,7.4,7.6,7.8,8,8.2,8.4,8.6,8.8,9,9.2,9.4,9.6,9.9,10.2,10.3,10.4},{0,10,20,30,40,50,60,62,64,66,68,70,72,74,76,78,80,85,90,95,100})</f>
        <v>62</v>
      </c>
      <c r="Q123" s="5">
        <v>4.3</v>
      </c>
      <c r="R123" s="10">
        <f t="shared" si="67"/>
        <v>5.7</v>
      </c>
      <c r="S123" s="7">
        <f>LOOKUP(R123,{0,4.74,4.84,4.94,5.44,5.54,5.64,5.69,5.74,5.79,5.84,5.89,5.94,5.99,6.44,6.49,6.54,6.61,6.68,6.74,6.8},{0,10,20,30,40,50,60,62,64,66,68,70,72,74,76,78,80,85,90,95,100})</f>
        <v>62</v>
      </c>
      <c r="T123" s="5"/>
      <c r="U123" s="5"/>
      <c r="V123" s="5">
        <f t="shared" si="68"/>
        <v>62</v>
      </c>
      <c r="W123" s="5"/>
      <c r="X123" s="13">
        <f t="shared" si="59"/>
        <v>44.7</v>
      </c>
      <c r="Y123" s="13">
        <f t="shared" si="69"/>
        <v>63.8571428571429</v>
      </c>
    </row>
    <row r="124" ht="15.6" hidden="1" outlineLevel="2" spans="1:25">
      <c r="A124" s="5">
        <v>308</v>
      </c>
      <c r="B124" s="5">
        <v>44</v>
      </c>
      <c r="C124" s="9" t="s">
        <v>399</v>
      </c>
      <c r="D124" s="9" t="s">
        <v>46</v>
      </c>
      <c r="E124" s="5">
        <v>21.7</v>
      </c>
      <c r="F124" s="7">
        <f>LOOKUP(E124,{0,1.5,2.3,3.1,3.9,4.7,5.5,6.8,8.1,9.4,10.7,12,13.3,14.6,15.9,17.2,18.5,20.2,21.9,23.6,25.3},{0,10,20,30,40,50,60,62,64,66,68,70,72,74,76,78,80,85,90,95,100})</f>
        <v>85</v>
      </c>
      <c r="G124" s="5">
        <v>162</v>
      </c>
      <c r="H124" s="7">
        <f>LOOKUP(G124,{0,125,130,135,140,145,150,153,156,159,162,165,168,171,174,177,180,187,194,200,206},{0,10,20,30,40,50,60,62,64,66,68,70,72,74,76,78,80,85,90,95,100})</f>
        <v>68</v>
      </c>
      <c r="I124" s="5">
        <v>58</v>
      </c>
      <c r="J124" s="7">
        <f>LOOKUP(I124,{0,15,17,19,21,23,25,27,29,31,33,35,37,39,41,43,45,48,51,53,55},{0,10,20,30,40,50,60,62,64,66,68,70,72,74,76,78,80,85,90,95,100})</f>
        <v>100</v>
      </c>
      <c r="K124" s="11">
        <f>I124-55</f>
        <v>3</v>
      </c>
      <c r="L124" s="7">
        <f>LOOKUP(K124,{0,2,4,6,7,8,9,10,11,12,13},{0,1,2,3,4,5,6,7,8,9,10})</f>
        <v>1</v>
      </c>
      <c r="M124" s="5">
        <f t="shared" si="65"/>
        <v>101</v>
      </c>
      <c r="N124" s="5">
        <v>9.6</v>
      </c>
      <c r="O124" s="10">
        <f t="shared" si="66"/>
        <v>8.4</v>
      </c>
      <c r="P124" s="7">
        <f>LOOKUP(O124,{0,6.6,6.8,7,7.2,7.4,7.6,7.8,8,8.2,8.4,8.6,8.8,9,9.2,9.4,9.6,9.9,10.2,10.3,10.4},{0,10,20,30,40,50,60,62,64,66,68,70,72,74,76,78,80,85,90,95,100})</f>
        <v>68</v>
      </c>
      <c r="Q124" s="5">
        <v>4.57</v>
      </c>
      <c r="R124" s="10">
        <f t="shared" si="67"/>
        <v>5.43</v>
      </c>
      <c r="S124" s="7">
        <f>LOOKUP(R124,{0,4.74,4.84,4.94,5.44,5.54,5.64,5.69,5.74,5.79,5.84,5.89,5.94,5.99,6.44,6.49,6.54,6.61,6.68,6.74,6.8},{0,10,20,30,40,50,60,62,64,66,68,70,72,74,76,78,80,85,90,95,100})</f>
        <v>30</v>
      </c>
      <c r="T124" s="5"/>
      <c r="U124" s="5"/>
      <c r="V124" s="5">
        <f t="shared" si="68"/>
        <v>30</v>
      </c>
      <c r="W124" s="5"/>
      <c r="X124" s="13">
        <f t="shared" si="59"/>
        <v>44.9</v>
      </c>
      <c r="Y124" s="13">
        <f t="shared" si="69"/>
        <v>65.1428571428572</v>
      </c>
    </row>
    <row r="125" ht="15.6" hidden="1" outlineLevel="2" spans="1:25">
      <c r="A125" s="5">
        <v>308</v>
      </c>
      <c r="B125" s="5">
        <v>45</v>
      </c>
      <c r="C125" s="9" t="s">
        <v>400</v>
      </c>
      <c r="D125" s="9" t="s">
        <v>46</v>
      </c>
      <c r="E125" s="5">
        <v>12</v>
      </c>
      <c r="F125" s="7">
        <f>LOOKUP(E125,{0,1.5,2.3,3.1,3.9,4.7,5.5,6.8,8.1,9.4,10.7,12,13.3,14.6,15.9,17.2,18.5,20.2,21.9,23.6,25.3},{0,10,20,30,40,50,60,62,64,66,68,70,72,74,76,78,80,85,90,95,100})</f>
        <v>70</v>
      </c>
      <c r="G125" s="5">
        <v>168</v>
      </c>
      <c r="H125" s="7">
        <f>LOOKUP(G125,{0,125,130,135,140,145,150,153,156,159,162,165,168,171,174,177,180,187,194,200,206},{0,10,20,30,40,50,60,62,64,66,68,70,72,74,76,78,80,85,90,95,100})</f>
        <v>72</v>
      </c>
      <c r="I125" s="5">
        <v>50</v>
      </c>
      <c r="J125" s="7">
        <f>LOOKUP(I125,{0,15,17,19,21,23,25,27,29,31,33,35,37,39,41,43,45,48,51,53,55},{0,10,20,30,40,50,60,62,64,66,68,70,72,74,76,78,80,85,90,95,100})</f>
        <v>85</v>
      </c>
      <c r="K125" s="5"/>
      <c r="L125" s="5"/>
      <c r="M125" s="5">
        <f t="shared" si="65"/>
        <v>85</v>
      </c>
      <c r="N125" s="5">
        <v>9.4</v>
      </c>
      <c r="O125" s="10">
        <f t="shared" si="66"/>
        <v>8.6</v>
      </c>
      <c r="P125" s="7">
        <f>LOOKUP(O125,{0,6.6,6.8,7,7.2,7.4,7.6,7.8,8,8.2,8.4,8.6,8.8,9,9.2,9.4,9.6,9.9,10.2,10.3,10.4},{0,10,20,30,40,50,60,62,64,66,68,70,72,74,76,78,80,85,90,95,100})</f>
        <v>70</v>
      </c>
      <c r="Q125" s="5">
        <v>4.56</v>
      </c>
      <c r="R125" s="10">
        <f t="shared" si="67"/>
        <v>5.44</v>
      </c>
      <c r="S125" s="7">
        <f>LOOKUP(R125,{0,4.74,4.84,4.94,5.44,5.54,5.64,5.69,5.74,5.79,5.84,5.89,5.94,5.99,6.44,6.49,6.54,6.61,6.68,6.74,6.8},{0,10,20,30,40,50,60,62,64,66,68,70,72,74,76,78,80,85,90,95,100})</f>
        <v>40</v>
      </c>
      <c r="T125" s="5"/>
      <c r="U125" s="5"/>
      <c r="V125" s="5">
        <f t="shared" si="68"/>
        <v>40</v>
      </c>
      <c r="W125" s="5"/>
      <c r="X125" s="13">
        <f t="shared" si="59"/>
        <v>44.7</v>
      </c>
      <c r="Y125" s="13">
        <f t="shared" si="69"/>
        <v>63.8571428571429</v>
      </c>
    </row>
    <row r="126" hidden="1" outlineLevel="2" spans="1:25">
      <c r="A126" s="5">
        <v>308</v>
      </c>
      <c r="B126" s="5">
        <v>46</v>
      </c>
      <c r="C126" s="9" t="s">
        <v>401</v>
      </c>
      <c r="D126" s="9" t="s">
        <v>46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>
        <v>50</v>
      </c>
      <c r="X126" s="13"/>
      <c r="Y126" s="13">
        <v>50</v>
      </c>
    </row>
    <row r="127" ht="15.6" hidden="1" outlineLevel="2" spans="1:25">
      <c r="A127" s="5">
        <v>308</v>
      </c>
      <c r="B127" s="5">
        <v>47</v>
      </c>
      <c r="C127" s="9" t="s">
        <v>402</v>
      </c>
      <c r="D127" s="9" t="s">
        <v>46</v>
      </c>
      <c r="E127" s="5">
        <v>13</v>
      </c>
      <c r="F127" s="7">
        <f>LOOKUP(E127,{0,1.5,2.3,3.1,3.9,4.7,5.5,6.8,8.1,9.4,10.7,12,13.3,14.6,15.9,17.2,18.5,20.2,21.9,23.6,25.3},{0,10,20,30,40,50,60,62,64,66,68,70,72,74,76,78,80,85,90,95,100})</f>
        <v>70</v>
      </c>
      <c r="G127" s="5">
        <v>220</v>
      </c>
      <c r="H127" s="7">
        <f>LOOKUP(G127,{0,125,130,135,140,145,150,153,156,159,162,165,168,171,174,177,180,187,194,200,206},{0,10,20,30,40,50,60,62,64,66,68,70,72,74,76,78,80,85,90,95,100})</f>
        <v>100</v>
      </c>
      <c r="I127" s="5">
        <v>43</v>
      </c>
      <c r="J127" s="7">
        <f>LOOKUP(I127,{0,15,17,19,21,23,25,27,29,31,33,35,37,39,41,43,45,48,51,53,55},{0,10,20,30,40,50,60,62,64,66,68,70,72,74,76,78,80,85,90,95,100})</f>
        <v>78</v>
      </c>
      <c r="K127" s="5"/>
      <c r="L127" s="5"/>
      <c r="M127" s="5">
        <f>J127+L127</f>
        <v>78</v>
      </c>
      <c r="N127" s="5">
        <v>8</v>
      </c>
      <c r="O127" s="10">
        <f>18-N127</f>
        <v>10</v>
      </c>
      <c r="P127" s="7">
        <f>LOOKUP(O127,{0,6.6,6.8,7,7.2,7.4,7.6,7.8,8,8.2,8.4,8.6,8.8,9,9.2,9.4,9.6,9.9,10.2,10.3,10.4},{0,10,20,30,40,50,60,62,64,66,68,70,72,74,76,78,80,85,90,95,100})</f>
        <v>85</v>
      </c>
      <c r="Q127" s="5">
        <v>4.57</v>
      </c>
      <c r="R127" s="10">
        <f>10-Q127</f>
        <v>5.43</v>
      </c>
      <c r="S127" s="7">
        <f>LOOKUP(R127,{0,4.74,4.84,4.94,5.44,5.54,5.64,5.69,5.74,5.79,5.84,5.89,5.94,5.99,6.44,6.49,6.54,6.61,6.68,6.74,6.8},{0,10,20,30,40,50,60,62,64,66,68,70,72,74,76,78,80,85,90,95,100})</f>
        <v>30</v>
      </c>
      <c r="T127" s="5"/>
      <c r="U127" s="5"/>
      <c r="V127" s="5">
        <f>S127+U127</f>
        <v>30</v>
      </c>
      <c r="W127" s="5"/>
      <c r="X127" s="13">
        <f>F127*0.1+H127*0.1+J127*0.1+P127*0.2+S127*0.2</f>
        <v>47.8</v>
      </c>
      <c r="Y127" s="13">
        <f>X127/0.7+L127+U127</f>
        <v>68.2857142857143</v>
      </c>
    </row>
    <row r="128" ht="15.6" hidden="1" outlineLevel="2" spans="1:25">
      <c r="A128" s="5">
        <v>308</v>
      </c>
      <c r="B128" s="5">
        <v>48</v>
      </c>
      <c r="C128" s="9" t="s">
        <v>403</v>
      </c>
      <c r="D128" s="9" t="s">
        <v>46</v>
      </c>
      <c r="E128" s="5">
        <v>10.2</v>
      </c>
      <c r="F128" s="7">
        <f>LOOKUP(E128,{0,1.5,2.3,3.1,3.9,4.7,5.5,6.8,8.1,9.4,10.7,12,13.3,14.6,15.9,17.2,18.5,20.2,21.9,23.6,25.3},{0,10,20,30,40,50,60,62,64,66,68,70,72,74,76,78,80,85,90,95,100})</f>
        <v>66</v>
      </c>
      <c r="G128" s="5">
        <v>147</v>
      </c>
      <c r="H128" s="7">
        <f>LOOKUP(G128,{0,125,130,135,140,145,150,153,156,159,162,165,168,171,174,177,180,187,194,200,206},{0,10,20,30,40,50,60,62,64,66,68,70,72,74,76,78,80,85,90,95,100})</f>
        <v>50</v>
      </c>
      <c r="I128" s="5">
        <v>44</v>
      </c>
      <c r="J128" s="7">
        <f>LOOKUP(I128,{0,15,17,19,21,23,25,27,29,31,33,35,37,39,41,43,45,48,51,53,55},{0,10,20,30,40,50,60,62,64,66,68,70,72,74,76,78,80,85,90,95,100})</f>
        <v>78</v>
      </c>
      <c r="K128" s="5"/>
      <c r="L128" s="5"/>
      <c r="M128" s="5">
        <f>J128+L128</f>
        <v>78</v>
      </c>
      <c r="N128" s="5">
        <v>9.8</v>
      </c>
      <c r="O128" s="10">
        <f>18-N128</f>
        <v>8.2</v>
      </c>
      <c r="P128" s="7">
        <f>LOOKUP(O128,{0,6.6,6.8,7,7.2,7.4,7.6,7.8,8,8.2,8.4,8.6,8.8,9,9.2,9.4,9.6,9.9,10.2,10.3,10.4},{0,10,20,30,40,50,60,62,64,66,68,70,72,74,76,78,80,85,90,95,100})</f>
        <v>66</v>
      </c>
      <c r="Q128" s="5">
        <v>4.19</v>
      </c>
      <c r="R128" s="10">
        <f>10-Q128</f>
        <v>5.81</v>
      </c>
      <c r="S128" s="7">
        <f>LOOKUP(R128,{0,4.74,4.84,4.94,5.44,5.54,5.64,5.69,5.74,5.79,5.84,5.89,5.94,5.99,6.44,6.49,6.54,6.61,6.68,6.74,6.8},{0,10,20,30,40,50,60,62,64,66,68,70,72,74,76,78,80,85,90,95,100})</f>
        <v>66</v>
      </c>
      <c r="T128" s="5"/>
      <c r="U128" s="5"/>
      <c r="V128" s="5">
        <f>S128+U128</f>
        <v>66</v>
      </c>
      <c r="W128" s="5"/>
      <c r="X128" s="13">
        <f>F128*0.1+H128*0.1+J128*0.1+P128*0.2+S128*0.2</f>
        <v>45.8</v>
      </c>
      <c r="Y128" s="13">
        <f>X128/0.7+L128+U128</f>
        <v>65.4285714285714</v>
      </c>
    </row>
    <row r="129" ht="15.6" outlineLevel="1" collapsed="1" spans="1:25">
      <c r="A129" s="6" t="s">
        <v>859</v>
      </c>
      <c r="B129" s="5"/>
      <c r="C129" s="9"/>
      <c r="D129" s="9"/>
      <c r="E129" s="5"/>
      <c r="F129" s="7">
        <f>SUBTOTAL(1,F101:F128)</f>
        <v>77.5925925925926</v>
      </c>
      <c r="G129" s="5"/>
      <c r="H129" s="7">
        <f>SUBTOTAL(1,H101:H128)</f>
        <v>70.8148148148148</v>
      </c>
      <c r="I129" s="5"/>
      <c r="J129" s="7">
        <f>SUBTOTAL(1,J101:J128)</f>
        <v>81</v>
      </c>
      <c r="K129" s="5"/>
      <c r="L129" s="5"/>
      <c r="M129" s="5">
        <f>SUBTOTAL(1,M101:M128)</f>
        <v>81.04</v>
      </c>
      <c r="N129" s="5"/>
      <c r="O129" s="10"/>
      <c r="P129" s="7">
        <f>SUBTOTAL(1,P101:P128)</f>
        <v>71.44</v>
      </c>
      <c r="Q129" s="5"/>
      <c r="R129" s="10"/>
      <c r="S129" s="7">
        <f>SUBTOTAL(1,S101:S128)</f>
        <v>46.8</v>
      </c>
      <c r="T129" s="5"/>
      <c r="U129" s="5"/>
      <c r="V129" s="5">
        <f>SUBTOTAL(1,V101:V128)</f>
        <v>46.8</v>
      </c>
      <c r="W129" s="5"/>
      <c r="X129" s="13">
        <f>SUBTOTAL(1,X101:X128)</f>
        <v>44.237037037037</v>
      </c>
      <c r="Y129" s="13">
        <f>SUBTOTAL(1,Y101:Y128)</f>
        <v>64.8520408163265</v>
      </c>
    </row>
    <row r="130" hidden="1" outlineLevel="2" spans="1:25">
      <c r="A130" s="5">
        <v>309</v>
      </c>
      <c r="B130" s="5">
        <v>39</v>
      </c>
      <c r="C130" s="8" t="s">
        <v>447</v>
      </c>
      <c r="D130" s="9" t="s">
        <v>46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>
        <v>50</v>
      </c>
      <c r="X130" s="13"/>
      <c r="Y130" s="13">
        <v>50</v>
      </c>
    </row>
    <row r="131" ht="15.6" hidden="1" outlineLevel="2" spans="1:25">
      <c r="A131" s="5">
        <v>309</v>
      </c>
      <c r="B131" s="5">
        <v>40</v>
      </c>
      <c r="C131" s="5" t="s">
        <v>448</v>
      </c>
      <c r="D131" s="5" t="s">
        <v>46</v>
      </c>
      <c r="E131" s="5">
        <v>17</v>
      </c>
      <c r="F131" s="7">
        <f>LOOKUP(E131,{0,1.5,2.3,3.1,3.9,4.7,5.5,6.8,8.1,9.4,10.7,12,13.3,14.6,15.9,17.2,18.5,20.2,21.9,23.6,25.3},{0,10,20,30,40,50,60,62,64,66,68,70,72,74,76,78,80,85,90,95,100})</f>
        <v>76</v>
      </c>
      <c r="G131" s="5">
        <v>190</v>
      </c>
      <c r="H131" s="7">
        <f>LOOKUP(G131,{0,125,130,135,140,145,150,153,156,159,162,165,168,171,174,177,180,187,194,200,206},{0,10,20,30,40,50,60,62,64,66,68,70,72,74,76,78,80,85,90,95,100})</f>
        <v>85</v>
      </c>
      <c r="I131" s="5">
        <v>45</v>
      </c>
      <c r="J131" s="7">
        <f>LOOKUP(I131,{0,15,17,19,21,23,25,27,29,31,33,35,37,39,41,43,45,48,51,53,55},{0,10,20,30,40,50,60,62,64,66,68,70,72,74,76,78,80,85,90,95,100})</f>
        <v>80</v>
      </c>
      <c r="K131" s="5"/>
      <c r="L131" s="5"/>
      <c r="M131" s="5">
        <f t="shared" ref="M130:M136" si="70">J131+L131</f>
        <v>80</v>
      </c>
      <c r="N131" s="5">
        <v>8.9</v>
      </c>
      <c r="O131" s="10">
        <f t="shared" ref="O130:O136" si="71">18-N131</f>
        <v>9.1</v>
      </c>
      <c r="P131" s="7">
        <f>LOOKUP(O131,{0,6.6,6.8,7,7.2,7.4,7.6,7.8,8,8.2,8.4,8.6,8.8,9,9.2,9.4,9.6,9.9,10.2,10.3,10.4},{0,10,20,30,40,50,60,62,64,66,68,70,72,74,76,78,80,85,90,95,100})</f>
        <v>74</v>
      </c>
      <c r="Q131" s="5">
        <v>4.03</v>
      </c>
      <c r="R131" s="10">
        <f t="shared" ref="R130:R136" si="72">10-Q131</f>
        <v>5.97</v>
      </c>
      <c r="S131" s="7">
        <f>LOOKUP(R131,{0,4.74,4.84,4.94,5.44,5.54,5.64,5.69,5.74,5.79,5.84,5.89,5.94,5.99,6.44,6.49,6.54,6.61,6.68,6.74,6.8},{0,10,20,30,40,50,60,62,64,66,68,70,72,74,76,78,80,85,90,95,100})</f>
        <v>72</v>
      </c>
      <c r="T131" s="5"/>
      <c r="U131" s="5"/>
      <c r="V131" s="5">
        <f t="shared" ref="V130:V136" si="73">S131+U131</f>
        <v>72</v>
      </c>
      <c r="W131" s="5"/>
      <c r="X131" s="13">
        <f t="shared" ref="X130:X136" si="74">F131*0.1+H131*0.1+J131*0.1+P131*0.2+S131*0.2</f>
        <v>53.3</v>
      </c>
      <c r="Y131" s="13">
        <f t="shared" ref="Y130:Y136" si="75">X131/0.7+L131+U131</f>
        <v>76.1428571428572</v>
      </c>
    </row>
    <row r="132" ht="15.6" hidden="1" outlineLevel="2" spans="1:25">
      <c r="A132" s="5">
        <v>309</v>
      </c>
      <c r="B132" s="5">
        <v>41</v>
      </c>
      <c r="C132" s="9" t="s">
        <v>449</v>
      </c>
      <c r="D132" s="9" t="s">
        <v>46</v>
      </c>
      <c r="E132" s="5">
        <v>18.2</v>
      </c>
      <c r="F132" s="7">
        <f>LOOKUP(E132,{0,1.5,2.3,3.1,3.9,4.7,5.5,6.8,8.1,9.4,10.7,12,13.3,14.6,15.9,17.2,18.5,20.2,21.9,23.6,25.3},{0,10,20,30,40,50,60,62,64,66,68,70,72,74,76,78,80,85,90,95,100})</f>
        <v>78</v>
      </c>
      <c r="G132" s="5">
        <v>170</v>
      </c>
      <c r="H132" s="7">
        <f>LOOKUP(G132,{0,125,130,135,140,145,150,153,156,159,162,165,168,171,174,177,180,187,194,200,206},{0,10,20,30,40,50,60,62,64,66,68,70,72,74,76,78,80,85,90,95,100})</f>
        <v>72</v>
      </c>
      <c r="I132" s="5">
        <v>42</v>
      </c>
      <c r="J132" s="7">
        <f>LOOKUP(I132,{0,15,17,19,21,23,25,27,29,31,33,35,37,39,41,43,45,48,51,53,55},{0,10,20,30,40,50,60,62,64,66,68,70,72,74,76,78,80,85,90,95,100})</f>
        <v>76</v>
      </c>
      <c r="K132" s="5"/>
      <c r="L132" s="5"/>
      <c r="M132" s="5">
        <f t="shared" si="70"/>
        <v>76</v>
      </c>
      <c r="N132" s="5">
        <v>9.3</v>
      </c>
      <c r="O132" s="10">
        <f t="shared" si="71"/>
        <v>8.7</v>
      </c>
      <c r="P132" s="7">
        <f>LOOKUP(O132,{0,6.6,6.8,7,7.2,7.4,7.6,7.8,8,8.2,8.4,8.6,8.8,9,9.2,9.4,9.6,9.9,10.2,10.3,10.4},{0,10,20,30,40,50,60,62,64,66,68,70,72,74,76,78,80,85,90,95,100})</f>
        <v>70</v>
      </c>
      <c r="Q132" s="5">
        <v>4.1</v>
      </c>
      <c r="R132" s="10">
        <f t="shared" si="72"/>
        <v>5.9</v>
      </c>
      <c r="S132" s="7">
        <f>LOOKUP(R132,{0,4.74,4.84,4.94,5.44,5.54,5.64,5.69,5.74,5.79,5.84,5.89,5.94,5.99,6.44,6.49,6.54,6.61,6.68,6.74,6.8},{0,10,20,30,40,50,60,62,64,66,68,70,72,74,76,78,80,85,90,95,100})</f>
        <v>70</v>
      </c>
      <c r="T132" s="5"/>
      <c r="U132" s="5"/>
      <c r="V132" s="5">
        <f t="shared" si="73"/>
        <v>70</v>
      </c>
      <c r="W132" s="5"/>
      <c r="X132" s="13">
        <f t="shared" si="74"/>
        <v>50.6</v>
      </c>
      <c r="Y132" s="13">
        <f t="shared" si="75"/>
        <v>72.2857142857143</v>
      </c>
    </row>
    <row r="133" ht="15.6" hidden="1" outlineLevel="2" spans="1:25">
      <c r="A133" s="5">
        <v>309</v>
      </c>
      <c r="B133" s="5">
        <v>42</v>
      </c>
      <c r="C133" s="9" t="s">
        <v>450</v>
      </c>
      <c r="D133" s="9" t="s">
        <v>46</v>
      </c>
      <c r="E133" s="5">
        <v>16.7</v>
      </c>
      <c r="F133" s="7">
        <f>LOOKUP(E133,{0,1.5,2.3,3.1,3.9,4.7,5.5,6.8,8.1,9.4,10.7,12,13.3,14.6,15.9,17.2,18.5,20.2,21.9,23.6,25.3},{0,10,20,30,40,50,60,62,64,66,68,70,72,74,76,78,80,85,90,95,100})</f>
        <v>76</v>
      </c>
      <c r="G133" s="5">
        <v>168</v>
      </c>
      <c r="H133" s="7">
        <f>LOOKUP(G133,{0,125,130,135,140,145,150,153,156,159,162,165,168,171,174,177,180,187,194,200,206},{0,10,20,30,40,50,60,62,64,66,68,70,72,74,76,78,80,85,90,95,100})</f>
        <v>72</v>
      </c>
      <c r="I133" s="5">
        <v>49</v>
      </c>
      <c r="J133" s="7">
        <f>LOOKUP(I133,{0,15,17,19,21,23,25,27,29,31,33,35,37,39,41,43,45,48,51,53,55},{0,10,20,30,40,50,60,62,64,66,68,70,72,74,76,78,80,85,90,95,100})</f>
        <v>85</v>
      </c>
      <c r="K133" s="5"/>
      <c r="L133" s="5"/>
      <c r="M133" s="5">
        <f t="shared" si="70"/>
        <v>85</v>
      </c>
      <c r="N133" s="5">
        <v>8.5</v>
      </c>
      <c r="O133" s="10">
        <f t="shared" si="71"/>
        <v>9.5</v>
      </c>
      <c r="P133" s="7">
        <f>LOOKUP(O133,{0,6.6,6.8,7,7.2,7.4,7.6,7.8,8,8.2,8.4,8.6,8.8,9,9.2,9.4,9.6,9.9,10.2,10.3,10.4},{0,10,20,30,40,50,60,62,64,66,68,70,72,74,76,78,80,85,90,95,100})</f>
        <v>78</v>
      </c>
      <c r="Q133" s="5">
        <v>3.46</v>
      </c>
      <c r="R133" s="10">
        <f t="shared" si="72"/>
        <v>6.54</v>
      </c>
      <c r="S133" s="7">
        <f>LOOKUP(R133,{0,4.74,4.84,4.94,5.44,5.54,5.64,5.69,5.74,5.79,5.84,5.89,5.94,5.99,6.44,6.49,6.54,6.61,6.68,6.74,6.8},{0,10,20,30,40,50,60,62,64,66,68,70,72,74,76,78,80,85,90,95,100})</f>
        <v>80</v>
      </c>
      <c r="T133" s="5"/>
      <c r="U133" s="5"/>
      <c r="V133" s="5">
        <f t="shared" si="73"/>
        <v>80</v>
      </c>
      <c r="W133" s="5"/>
      <c r="X133" s="13">
        <f t="shared" si="74"/>
        <v>54.9</v>
      </c>
      <c r="Y133" s="13">
        <f t="shared" si="75"/>
        <v>78.4285714285714</v>
      </c>
    </row>
    <row r="134" ht="15.6" hidden="1" outlineLevel="2" spans="1:25">
      <c r="A134" s="5">
        <v>309</v>
      </c>
      <c r="B134" s="5">
        <v>43</v>
      </c>
      <c r="C134" s="9" t="s">
        <v>451</v>
      </c>
      <c r="D134" s="9" t="s">
        <v>46</v>
      </c>
      <c r="E134" s="5">
        <v>31.6</v>
      </c>
      <c r="F134" s="7">
        <f>LOOKUP(E134,{0,1.5,2.3,3.1,3.9,4.7,5.5,6.8,8.1,9.4,10.7,12,13.3,14.6,15.9,17.2,18.5,20.2,21.9,23.6,25.3},{0,10,20,30,40,50,60,62,64,66,68,70,72,74,76,78,80,85,90,95,100})</f>
        <v>100</v>
      </c>
      <c r="G134" s="5">
        <v>185</v>
      </c>
      <c r="H134" s="7">
        <f>LOOKUP(G134,{0,125,130,135,140,145,150,153,156,159,162,165,168,171,174,177,180,187,194,200,206},{0,10,20,30,40,50,60,62,64,66,68,70,72,74,76,78,80,85,90,95,100})</f>
        <v>80</v>
      </c>
      <c r="I134" s="5">
        <v>36</v>
      </c>
      <c r="J134" s="7">
        <f>LOOKUP(I134,{0,15,17,19,21,23,25,27,29,31,33,35,37,39,41,43,45,48,51,53,55},{0,10,20,30,40,50,60,62,64,66,68,70,72,74,76,78,80,85,90,95,100})</f>
        <v>70</v>
      </c>
      <c r="K134" s="5"/>
      <c r="L134" s="5"/>
      <c r="M134" s="5">
        <f t="shared" si="70"/>
        <v>70</v>
      </c>
      <c r="N134" s="5">
        <v>9.1</v>
      </c>
      <c r="O134" s="10">
        <f t="shared" si="71"/>
        <v>8.9</v>
      </c>
      <c r="P134" s="7">
        <f>LOOKUP(O134,{0,6.6,6.8,7,7.2,7.4,7.6,7.8,8,8.2,8.4,8.6,8.8,9,9.2,9.4,9.6,9.9,10.2,10.3,10.4},{0,10,20,30,40,50,60,62,64,66,68,70,72,74,76,78,80,85,90,95,100})</f>
        <v>72</v>
      </c>
      <c r="Q134" s="5">
        <v>4.01</v>
      </c>
      <c r="R134" s="10">
        <f t="shared" si="72"/>
        <v>5.99</v>
      </c>
      <c r="S134" s="7">
        <f>LOOKUP(R134,{0,4.74,4.84,4.94,5.44,5.54,5.64,5.69,5.74,5.79,5.84,5.89,5.94,5.99,6.44,6.49,6.54,6.61,6.68,6.74,6.8},{0,10,20,30,40,50,60,62,64,66,68,70,72,74,76,78,80,85,90,95,100})</f>
        <v>74</v>
      </c>
      <c r="T134" s="5"/>
      <c r="U134" s="5"/>
      <c r="V134" s="5">
        <f t="shared" si="73"/>
        <v>74</v>
      </c>
      <c r="W134" s="5"/>
      <c r="X134" s="13">
        <f t="shared" si="74"/>
        <v>54.2</v>
      </c>
      <c r="Y134" s="13">
        <f t="shared" si="75"/>
        <v>77.4285714285714</v>
      </c>
    </row>
    <row r="135" ht="15.6" hidden="1" outlineLevel="2" spans="1:25">
      <c r="A135" s="5">
        <v>309</v>
      </c>
      <c r="B135" s="5">
        <v>44</v>
      </c>
      <c r="C135" s="9" t="s">
        <v>452</v>
      </c>
      <c r="D135" s="9" t="s">
        <v>46</v>
      </c>
      <c r="E135" s="5">
        <v>9</v>
      </c>
      <c r="F135" s="7">
        <f>LOOKUP(E135,{0,1.5,2.3,3.1,3.9,4.7,5.5,6.8,8.1,9.4,10.7,12,13.3,14.6,15.9,17.2,18.5,20.2,21.9,23.6,25.3},{0,10,20,30,40,50,60,62,64,66,68,70,72,74,76,78,80,85,90,95,100})</f>
        <v>64</v>
      </c>
      <c r="G135" s="5">
        <v>160</v>
      </c>
      <c r="H135" s="7">
        <f>LOOKUP(G135,{0,125,130,135,140,145,150,153,156,159,162,165,168,171,174,177,180,187,194,200,206},{0,10,20,30,40,50,60,62,64,66,68,70,72,74,76,78,80,85,90,95,100})</f>
        <v>66</v>
      </c>
      <c r="I135" s="5">
        <v>41</v>
      </c>
      <c r="J135" s="7">
        <f>LOOKUP(I135,{0,15,17,19,21,23,25,27,29,31,33,35,37,39,41,43,45,48,51,53,55},{0,10,20,30,40,50,60,62,64,66,68,70,72,74,76,78,80,85,90,95,100})</f>
        <v>76</v>
      </c>
      <c r="K135" s="5"/>
      <c r="L135" s="5"/>
      <c r="M135" s="5">
        <f t="shared" si="70"/>
        <v>76</v>
      </c>
      <c r="N135" s="5">
        <v>8.2</v>
      </c>
      <c r="O135" s="10">
        <f t="shared" si="71"/>
        <v>9.8</v>
      </c>
      <c r="P135" s="7">
        <f>LOOKUP(O135,{0,6.6,6.8,7,7.2,7.4,7.6,7.8,8,8.2,8.4,8.6,8.8,9,9.2,9.4,9.6,9.9,10.2,10.3,10.4},{0,10,20,30,40,50,60,62,64,66,68,70,72,74,76,78,80,85,90,95,100})</f>
        <v>80</v>
      </c>
      <c r="Q135" s="5">
        <v>4.04</v>
      </c>
      <c r="R135" s="10">
        <f t="shared" si="72"/>
        <v>5.96</v>
      </c>
      <c r="S135" s="7">
        <f>LOOKUP(R135,{0,4.74,4.84,4.94,5.44,5.54,5.64,5.69,5.74,5.79,5.84,5.89,5.94,5.99,6.44,6.49,6.54,6.61,6.68,6.74,6.8},{0,10,20,30,40,50,60,62,64,66,68,70,72,74,76,78,80,85,90,95,100})</f>
        <v>72</v>
      </c>
      <c r="T135" s="5"/>
      <c r="U135" s="5"/>
      <c r="V135" s="5">
        <f t="shared" si="73"/>
        <v>72</v>
      </c>
      <c r="W135" s="5"/>
      <c r="X135" s="13">
        <f t="shared" si="74"/>
        <v>51</v>
      </c>
      <c r="Y135" s="13">
        <f t="shared" si="75"/>
        <v>72.8571428571429</v>
      </c>
    </row>
    <row r="136" ht="15.6" hidden="1" outlineLevel="2" spans="1:25">
      <c r="A136" s="5">
        <v>309</v>
      </c>
      <c r="B136" s="5">
        <v>45</v>
      </c>
      <c r="C136" s="9" t="s">
        <v>453</v>
      </c>
      <c r="D136" s="9" t="s">
        <v>46</v>
      </c>
      <c r="E136" s="5">
        <v>1</v>
      </c>
      <c r="F136" s="7">
        <f>LOOKUP(E136,{0,1.5,2.3,3.1,3.9,4.7,5.5,6.8,8.1,9.4,10.7,12,13.3,14.6,15.9,17.2,18.5,20.2,21.9,23.6,25.3},{0,10,20,30,40,50,60,62,64,66,68,70,72,74,76,78,80,85,90,95,100})</f>
        <v>0</v>
      </c>
      <c r="G136" s="5">
        <v>150</v>
      </c>
      <c r="H136" s="7">
        <f>LOOKUP(G136,{0,125,130,135,140,145,150,153,156,159,162,165,168,171,174,177,180,187,194,200,206},{0,10,20,30,40,50,60,62,64,66,68,70,72,74,76,78,80,85,90,95,100})</f>
        <v>60</v>
      </c>
      <c r="I136" s="5">
        <v>31</v>
      </c>
      <c r="J136" s="7">
        <f>LOOKUP(I136,{0,15,17,19,21,23,25,27,29,31,33,35,37,39,41,43,45,48,51,53,55},{0,10,20,30,40,50,60,62,64,66,68,70,72,74,76,78,80,85,90,95,100})</f>
        <v>66</v>
      </c>
      <c r="K136" s="5"/>
      <c r="L136" s="5"/>
      <c r="M136" s="5">
        <f t="shared" si="70"/>
        <v>66</v>
      </c>
      <c r="N136" s="5">
        <v>9.1</v>
      </c>
      <c r="O136" s="10">
        <f t="shared" si="71"/>
        <v>8.9</v>
      </c>
      <c r="P136" s="7">
        <f>LOOKUP(O136,{0,6.6,6.8,7,7.2,7.4,7.6,7.8,8,8.2,8.4,8.6,8.8,9,9.2,9.4,9.6,9.9,10.2,10.3,10.4},{0,10,20,30,40,50,60,62,64,66,68,70,72,74,76,78,80,85,90,95,100})</f>
        <v>72</v>
      </c>
      <c r="Q136" s="5">
        <v>3.15</v>
      </c>
      <c r="R136" s="10">
        <f t="shared" si="72"/>
        <v>6.85</v>
      </c>
      <c r="S136" s="7">
        <f>LOOKUP(R136,{0,4.74,4.84,4.94,5.44,5.54,5.64,5.69,5.74,5.79,5.84,5.89,5.94,5.99,6.44,6.49,6.54,6.61,6.68,6.74,6.8},{0,10,20,30,40,50,60,62,64,66,68,70,72,74,76,78,80,85,90,95,100})</f>
        <v>100</v>
      </c>
      <c r="T136" s="10">
        <f>3.2-Q136</f>
        <v>0.0500000000000003</v>
      </c>
      <c r="U136" s="7">
        <f>LOOKUP(T136,{0,0.05,0.1,0.15,0.2,0.25,0.3,0.35,0.4,0.45,0.5},{0,1,2,3,4,5,6,7,8,9,10})</f>
        <v>1</v>
      </c>
      <c r="V136" s="5">
        <f t="shared" si="73"/>
        <v>101</v>
      </c>
      <c r="W136" s="5"/>
      <c r="X136" s="13">
        <f t="shared" si="74"/>
        <v>47</v>
      </c>
      <c r="Y136" s="13">
        <f t="shared" si="75"/>
        <v>68.1428571428572</v>
      </c>
    </row>
    <row r="137" hidden="1" outlineLevel="2" spans="1:25">
      <c r="A137" s="5">
        <v>309</v>
      </c>
      <c r="B137" s="5">
        <v>46</v>
      </c>
      <c r="C137" s="9" t="s">
        <v>454</v>
      </c>
      <c r="D137" s="9" t="s">
        <v>46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>
        <v>50</v>
      </c>
      <c r="X137" s="13"/>
      <c r="Y137" s="13">
        <v>50</v>
      </c>
    </row>
    <row r="138" ht="15.6" hidden="1" outlineLevel="2" spans="1:25">
      <c r="A138" s="5">
        <v>309</v>
      </c>
      <c r="B138" s="5">
        <v>47</v>
      </c>
      <c r="C138" s="9" t="s">
        <v>335</v>
      </c>
      <c r="D138" s="9" t="s">
        <v>46</v>
      </c>
      <c r="E138" s="5">
        <v>17.5</v>
      </c>
      <c r="F138" s="7">
        <f>LOOKUP(E138,{0,1.5,2.3,3.1,3.9,4.7,5.5,6.8,8.1,9.4,10.7,12,13.3,14.6,15.9,17.2,18.5,20.2,21.9,23.6,25.3},{0,10,20,30,40,50,60,62,64,66,68,70,72,74,76,78,80,85,90,95,100})</f>
        <v>78</v>
      </c>
      <c r="G138" s="5">
        <v>185</v>
      </c>
      <c r="H138" s="7">
        <f>LOOKUP(G138,{0,125,130,135,140,145,150,153,156,159,162,165,168,171,174,177,180,187,194,200,206},{0,10,20,30,40,50,60,62,64,66,68,70,72,74,76,78,80,85,90,95,100})</f>
        <v>80</v>
      </c>
      <c r="I138" s="5">
        <v>47</v>
      </c>
      <c r="J138" s="7">
        <f>LOOKUP(I138,{0,15,17,19,21,23,25,27,29,31,33,35,37,39,41,43,45,48,51,53,55},{0,10,20,30,40,50,60,62,64,66,68,70,72,74,76,78,80,85,90,95,100})</f>
        <v>80</v>
      </c>
      <c r="K138" s="5"/>
      <c r="L138" s="5"/>
      <c r="M138" s="5">
        <f>J138+L138</f>
        <v>80</v>
      </c>
      <c r="N138" s="5">
        <v>8.7</v>
      </c>
      <c r="O138" s="10">
        <f>18-N138</f>
        <v>9.3</v>
      </c>
      <c r="P138" s="7">
        <f>LOOKUP(O138,{0,6.6,6.8,7,7.2,7.4,7.6,7.8,8,8.2,8.4,8.6,8.8,9,9.2,9.4,9.6,9.9,10.2,10.3,10.4},{0,10,20,30,40,50,60,62,64,66,68,70,72,74,76,78,80,85,90,95,100})</f>
        <v>76</v>
      </c>
      <c r="Q138" s="5">
        <v>3.33</v>
      </c>
      <c r="R138" s="10">
        <f>10-Q138</f>
        <v>6.67</v>
      </c>
      <c r="S138" s="7">
        <f>LOOKUP(R138,{0,4.74,4.84,4.94,5.44,5.54,5.64,5.69,5.74,5.79,5.84,5.89,5.94,5.99,6.44,6.49,6.54,6.61,6.68,6.74,6.8},{0,10,20,30,40,50,60,62,64,66,68,70,72,74,76,78,80,85,90,95,100})</f>
        <v>85</v>
      </c>
      <c r="T138" s="5"/>
      <c r="U138" s="5"/>
      <c r="V138" s="5">
        <f>S138+U138</f>
        <v>85</v>
      </c>
      <c r="W138" s="5"/>
      <c r="X138" s="13">
        <f>F138*0.1+H138*0.1+J138*0.1+P138*0.2+S138*0.2</f>
        <v>56</v>
      </c>
      <c r="Y138" s="13">
        <f>X138/0.7+L138+U138</f>
        <v>80</v>
      </c>
    </row>
    <row r="139" hidden="1" outlineLevel="2" spans="1:25">
      <c r="A139" s="5">
        <v>309</v>
      </c>
      <c r="B139" s="5">
        <v>48</v>
      </c>
      <c r="C139" s="9" t="s">
        <v>455</v>
      </c>
      <c r="D139" s="9" t="s">
        <v>46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>
        <v>50</v>
      </c>
      <c r="X139" s="17"/>
      <c r="Y139" s="13">
        <v>50</v>
      </c>
    </row>
    <row r="140" ht="15.6" hidden="1" outlineLevel="2" spans="1:25">
      <c r="A140" s="5">
        <v>309</v>
      </c>
      <c r="B140" s="5">
        <v>49</v>
      </c>
      <c r="C140" s="9" t="s">
        <v>456</v>
      </c>
      <c r="D140" s="9" t="s">
        <v>46</v>
      </c>
      <c r="E140" s="5">
        <v>19</v>
      </c>
      <c r="F140" s="7">
        <f>LOOKUP(E140,{0,1.5,2.3,3.1,3.9,4.7,5.5,6.8,8.1,9.4,10.7,12,13.3,14.6,15.9,17.2,18.5,20.2,21.9,23.6,25.3},{0,10,20,30,40,50,60,62,64,66,68,70,72,74,76,78,80,85,90,95,100})</f>
        <v>80</v>
      </c>
      <c r="G140" s="5">
        <v>190</v>
      </c>
      <c r="H140" s="7">
        <f>LOOKUP(G140,{0,125,130,135,140,145,150,153,156,159,162,165,168,171,174,177,180,187,194,200,206},{0,10,20,30,40,50,60,62,64,66,68,70,72,74,76,78,80,85,90,95,100})</f>
        <v>85</v>
      </c>
      <c r="I140" s="5">
        <v>48</v>
      </c>
      <c r="J140" s="7">
        <f>LOOKUP(I140,{0,15,17,19,21,23,25,27,29,31,33,35,37,39,41,43,45,48,51,53,55},{0,10,20,30,40,50,60,62,64,66,68,70,72,74,76,78,80,85,90,95,100})</f>
        <v>85</v>
      </c>
      <c r="K140" s="5"/>
      <c r="L140" s="5"/>
      <c r="M140" s="5">
        <f>J140+L140</f>
        <v>85</v>
      </c>
      <c r="N140" s="5">
        <v>8.5</v>
      </c>
      <c r="O140" s="10">
        <f>18-N140</f>
        <v>9.5</v>
      </c>
      <c r="P140" s="7">
        <f>LOOKUP(O140,{0,6.6,6.8,7,7.2,7.4,7.6,7.8,8,8.2,8.4,8.6,8.8,9,9.2,9.4,9.6,9.9,10.2,10.3,10.4},{0,10,20,30,40,50,60,62,64,66,68,70,72,74,76,78,80,85,90,95,100})</f>
        <v>78</v>
      </c>
      <c r="Q140" s="5">
        <v>3.28</v>
      </c>
      <c r="R140" s="10">
        <f>10-Q140</f>
        <v>6.72</v>
      </c>
      <c r="S140" s="7">
        <f>LOOKUP(R140,{0,4.74,4.84,4.94,5.44,5.54,5.64,5.69,5.74,5.79,5.84,5.89,5.94,5.99,6.44,6.49,6.54,6.61,6.68,6.74,6.8},{0,10,20,30,40,50,60,62,64,66,68,70,72,74,76,78,80,85,90,95,100})</f>
        <v>90</v>
      </c>
      <c r="T140" s="5"/>
      <c r="U140" s="5"/>
      <c r="V140" s="5">
        <f>S140+U140</f>
        <v>90</v>
      </c>
      <c r="W140" s="5"/>
      <c r="X140" s="13">
        <f>F140*0.1+H140*0.1+J140*0.1+P140*0.2+S140*0.2</f>
        <v>58.6</v>
      </c>
      <c r="Y140" s="13">
        <f>X140/0.7+L140+U140</f>
        <v>83.7142857142857</v>
      </c>
    </row>
    <row r="141" ht="15.6" outlineLevel="1" collapsed="1" spans="1:25">
      <c r="A141" s="6" t="s">
        <v>860</v>
      </c>
      <c r="B141" s="5"/>
      <c r="C141" s="9"/>
      <c r="D141" s="9"/>
      <c r="E141" s="5"/>
      <c r="F141" s="7">
        <f>SUBTOTAL(1,F130:F140)</f>
        <v>69</v>
      </c>
      <c r="G141" s="5"/>
      <c r="H141" s="7">
        <f>SUBTOTAL(1,H130:H140)</f>
        <v>75</v>
      </c>
      <c r="I141" s="5"/>
      <c r="J141" s="7">
        <f>SUBTOTAL(1,J130:J140)</f>
        <v>77.25</v>
      </c>
      <c r="K141" s="5"/>
      <c r="L141" s="5"/>
      <c r="M141" s="5">
        <f>SUBTOTAL(1,M130:M140)</f>
        <v>77.25</v>
      </c>
      <c r="N141" s="5"/>
      <c r="O141" s="10"/>
      <c r="P141" s="7">
        <f>SUBTOTAL(1,P130:P140)</f>
        <v>75</v>
      </c>
      <c r="Q141" s="5"/>
      <c r="R141" s="10"/>
      <c r="S141" s="7">
        <f>SUBTOTAL(1,S130:S140)</f>
        <v>80.375</v>
      </c>
      <c r="T141" s="5"/>
      <c r="U141" s="5"/>
      <c r="V141" s="5">
        <f>SUBTOTAL(1,V130:V140)</f>
        <v>80.5</v>
      </c>
      <c r="W141" s="5"/>
      <c r="X141" s="13">
        <f>SUBTOTAL(1,X130:X140)</f>
        <v>53.2</v>
      </c>
      <c r="Y141" s="13">
        <f>SUBTOTAL(1,Y130:Y140)</f>
        <v>69</v>
      </c>
    </row>
    <row r="142" hidden="1" outlineLevel="2" spans="1:26">
      <c r="A142" s="5">
        <v>310</v>
      </c>
      <c r="B142" s="5">
        <v>43</v>
      </c>
      <c r="C142" s="8" t="s">
        <v>504</v>
      </c>
      <c r="D142" s="9" t="s">
        <v>46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>
        <v>50</v>
      </c>
      <c r="X142" s="13"/>
      <c r="Y142" s="13">
        <v>50</v>
      </c>
      <c r="Z142" s="19"/>
    </row>
    <row r="143" hidden="1" outlineLevel="2" spans="1:26">
      <c r="A143" s="5">
        <v>310</v>
      </c>
      <c r="B143" s="5">
        <v>44</v>
      </c>
      <c r="C143" s="9" t="s">
        <v>505</v>
      </c>
      <c r="D143" s="9" t="s">
        <v>46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>
        <v>50</v>
      </c>
      <c r="X143" s="13"/>
      <c r="Y143" s="13">
        <v>50</v>
      </c>
      <c r="Z143" s="19"/>
    </row>
    <row r="144" ht="15.6" hidden="1" outlineLevel="2" spans="1:26">
      <c r="A144" s="5">
        <v>310</v>
      </c>
      <c r="B144" s="5">
        <v>45</v>
      </c>
      <c r="C144" s="9" t="s">
        <v>506</v>
      </c>
      <c r="D144" s="9" t="s">
        <v>46</v>
      </c>
      <c r="E144" s="5">
        <v>22.8</v>
      </c>
      <c r="F144" s="7">
        <f>LOOKUP(E144,{0,1.5,2.3,3.1,3.9,4.7,5.5,6.8,8.1,9.4,10.7,12,13.3,14.6,15.9,17.2,18.5,20.2,21.9,23.6,25.3},{0,10,20,30,40,50,60,62,64,66,68,70,72,74,76,78,80,85,90,95,100})</f>
        <v>90</v>
      </c>
      <c r="G144" s="5">
        <v>187</v>
      </c>
      <c r="H144" s="7">
        <f>LOOKUP(G144,{0,125,130,135,140,145,150,153,156,159,162,165,168,171,174,177,180,187,194,200,206},{0,10,20,30,40,50,60,62,64,66,68,70,72,74,76,78,80,85,90,95,100})</f>
        <v>85</v>
      </c>
      <c r="I144" s="5">
        <v>38</v>
      </c>
      <c r="J144" s="7">
        <f>LOOKUP(I144,{0,15,17,19,21,23,25,27,29,31,33,35,37,39,41,43,45,48,51,53,55},{0,10,20,30,40,50,60,62,64,66,68,70,72,74,76,78,80,85,90,95,100})</f>
        <v>72</v>
      </c>
      <c r="K144" s="5"/>
      <c r="L144" s="5"/>
      <c r="M144" s="5">
        <f t="shared" ref="M142:M149" si="76">J144+L144</f>
        <v>72</v>
      </c>
      <c r="N144" s="5">
        <v>8.8</v>
      </c>
      <c r="O144" s="10">
        <f t="shared" ref="O142:O149" si="77">18-N144</f>
        <v>9.2</v>
      </c>
      <c r="P144" s="7">
        <f>LOOKUP(O144,{0,6.6,6.8,7,7.2,7.4,7.6,7.8,8,8.2,8.4,8.6,8.8,9,9.2,9.4,9.6,9.9,10.2,10.3,10.4},{0,10,20,30,40,50,60,62,64,66,68,70,72,74,76,78,80,85,90,95,100})</f>
        <v>76</v>
      </c>
      <c r="Q144" s="5">
        <v>4.44</v>
      </c>
      <c r="R144" s="10">
        <f t="shared" ref="R142:R149" si="78">10-Q144</f>
        <v>5.56</v>
      </c>
      <c r="S144" s="7">
        <f>LOOKUP(R144,{0,4.74,4.84,4.94,5.44,5.54,5.64,5.69,5.74,5.79,5.84,5.89,5.94,5.99,6.44,6.49,6.54,6.61,6.68,6.74,6.8},{0,10,20,30,40,50,60,62,64,66,68,70,72,74,76,78,80,85,90,95,100})</f>
        <v>50</v>
      </c>
      <c r="T144" s="5"/>
      <c r="U144" s="5"/>
      <c r="V144" s="5">
        <f t="shared" ref="V142:V149" si="79">S144+U144</f>
        <v>50</v>
      </c>
      <c r="W144" s="5"/>
      <c r="X144" s="13">
        <f t="shared" ref="X142:X149" si="80">F144*0.1+H144*0.1+J144*0.1+P144*0.2+S144*0.2</f>
        <v>49.9</v>
      </c>
      <c r="Y144" s="13">
        <f t="shared" ref="Y142:Y149" si="81">X144/0.7+L144+U144</f>
        <v>71.2857142857143</v>
      </c>
      <c r="Z144" s="19"/>
    </row>
    <row r="145" ht="15.6" hidden="1" outlineLevel="2" spans="1:26">
      <c r="A145" s="5">
        <v>310</v>
      </c>
      <c r="B145" s="5">
        <v>46</v>
      </c>
      <c r="C145" s="9" t="s">
        <v>507</v>
      </c>
      <c r="D145" s="9" t="s">
        <v>46</v>
      </c>
      <c r="E145" s="5">
        <v>16</v>
      </c>
      <c r="F145" s="7">
        <f>LOOKUP(E145,{0,1.5,2.3,3.1,3.9,4.7,5.5,6.8,8.1,9.4,10.7,12,13.3,14.6,15.9,17.2,18.5,20.2,21.9,23.6,25.3},{0,10,20,30,40,50,60,62,64,66,68,70,72,74,76,78,80,85,90,95,100})</f>
        <v>76</v>
      </c>
      <c r="G145" s="5">
        <v>174</v>
      </c>
      <c r="H145" s="7">
        <f>LOOKUP(G145,{0,125,130,135,140,145,150,153,156,159,162,165,168,171,174,177,180,187,194,200,206},{0,10,20,30,40,50,60,62,64,66,68,70,72,74,76,78,80,85,90,95,100})</f>
        <v>76</v>
      </c>
      <c r="I145" s="5">
        <v>50</v>
      </c>
      <c r="J145" s="7">
        <f>LOOKUP(I145,{0,15,17,19,21,23,25,27,29,31,33,35,37,39,41,43,45,48,51,53,55},{0,10,20,30,40,50,60,62,64,66,68,70,72,74,76,78,80,85,90,95,100})</f>
        <v>85</v>
      </c>
      <c r="K145" s="5"/>
      <c r="L145" s="16"/>
      <c r="M145" s="5">
        <f t="shared" si="76"/>
        <v>85</v>
      </c>
      <c r="N145" s="5">
        <v>9.1</v>
      </c>
      <c r="O145" s="10">
        <f t="shared" si="77"/>
        <v>8.9</v>
      </c>
      <c r="P145" s="7">
        <f>LOOKUP(O145,{0,6.6,6.8,7,7.2,7.4,7.6,7.8,8,8.2,8.4,8.6,8.8,9,9.2,9.4,9.6,9.9,10.2,10.3,10.4},{0,10,20,30,40,50,60,62,64,66,68,70,72,74,76,78,80,85,90,95,100})</f>
        <v>72</v>
      </c>
      <c r="Q145" s="5">
        <v>4.42</v>
      </c>
      <c r="R145" s="10">
        <f t="shared" si="78"/>
        <v>5.58</v>
      </c>
      <c r="S145" s="7">
        <f>LOOKUP(R145,{0,4.74,4.84,4.94,5.44,5.54,5.64,5.69,5.74,5.79,5.84,5.89,5.94,5.99,6.44,6.49,6.54,6.61,6.68,6.74,6.8},{0,10,20,30,40,50,60,62,64,66,68,70,72,74,76,78,80,85,90,95,100})</f>
        <v>50</v>
      </c>
      <c r="T145" s="5"/>
      <c r="U145" s="5"/>
      <c r="V145" s="5">
        <f t="shared" si="79"/>
        <v>50</v>
      </c>
      <c r="W145" s="5"/>
      <c r="X145" s="13">
        <f t="shared" si="80"/>
        <v>48.1</v>
      </c>
      <c r="Y145" s="13">
        <f t="shared" si="81"/>
        <v>68.7142857142857</v>
      </c>
      <c r="Z145" s="19"/>
    </row>
    <row r="146" ht="15.6" hidden="1" outlineLevel="2" spans="1:26">
      <c r="A146" s="5">
        <v>310</v>
      </c>
      <c r="B146" s="5">
        <v>47</v>
      </c>
      <c r="C146" s="9" t="s">
        <v>508</v>
      </c>
      <c r="D146" s="9" t="s">
        <v>46</v>
      </c>
      <c r="E146" s="5">
        <v>24</v>
      </c>
      <c r="F146" s="7">
        <f>LOOKUP(E146,{0,1.5,2.3,3.1,3.9,4.7,5.5,6.8,8.1,9.4,10.7,12,13.3,14.6,15.9,17.2,18.5,20.2,21.9,23.6,25.3},{0,10,20,30,40,50,60,62,64,66,68,70,72,74,76,78,80,85,90,95,100})</f>
        <v>95</v>
      </c>
      <c r="G146" s="5">
        <v>168</v>
      </c>
      <c r="H146" s="7">
        <f>LOOKUP(G146,{0,125,130,135,140,145,150,153,156,159,162,165,168,171,174,177,180,187,194,200,206},{0,10,20,30,40,50,60,62,64,66,68,70,72,74,76,78,80,85,90,95,100})</f>
        <v>72</v>
      </c>
      <c r="I146" s="5">
        <v>55</v>
      </c>
      <c r="J146" s="7">
        <f>LOOKUP(I146,{0,15,17,19,21,23,25,27,29,31,33,35,37,39,41,43,45,48,51,53,55},{0,10,20,30,40,50,60,62,64,66,68,70,72,74,76,78,80,85,90,95,100})</f>
        <v>100</v>
      </c>
      <c r="K146" s="5"/>
      <c r="L146" s="5"/>
      <c r="M146" s="5">
        <f t="shared" si="76"/>
        <v>100</v>
      </c>
      <c r="N146" s="5">
        <v>8.6</v>
      </c>
      <c r="O146" s="10">
        <f t="shared" si="77"/>
        <v>9.4</v>
      </c>
      <c r="P146" s="7">
        <f>LOOKUP(O146,{0,6.6,6.8,7,7.2,7.4,7.6,7.8,8,8.2,8.4,8.6,8.8,9,9.2,9.4,9.6,9.9,10.2,10.3,10.4},{0,10,20,30,40,50,60,62,64,66,68,70,72,74,76,78,80,85,90,95,100})</f>
        <v>78</v>
      </c>
      <c r="Q146" s="5">
        <v>4.07</v>
      </c>
      <c r="R146" s="10">
        <f t="shared" si="78"/>
        <v>5.93</v>
      </c>
      <c r="S146" s="7">
        <f>LOOKUP(R146,{0,4.74,4.84,4.94,5.44,5.54,5.64,5.69,5.74,5.79,5.84,5.89,5.94,5.99,6.44,6.49,6.54,6.61,6.68,6.74,6.8},{0,10,20,30,40,50,60,62,64,66,68,70,72,74,76,78,80,85,90,95,100})</f>
        <v>70</v>
      </c>
      <c r="T146" s="5"/>
      <c r="U146" s="5"/>
      <c r="V146" s="5">
        <f t="shared" si="79"/>
        <v>70</v>
      </c>
      <c r="W146" s="5"/>
      <c r="X146" s="13">
        <f t="shared" si="80"/>
        <v>56.3</v>
      </c>
      <c r="Y146" s="13">
        <f t="shared" si="81"/>
        <v>80.4285714285714</v>
      </c>
      <c r="Z146" s="19"/>
    </row>
    <row r="147" ht="15.6" hidden="1" outlineLevel="2" spans="1:26">
      <c r="A147" s="5">
        <v>310</v>
      </c>
      <c r="B147" s="5">
        <v>48</v>
      </c>
      <c r="C147" s="9" t="s">
        <v>509</v>
      </c>
      <c r="D147" s="9" t="s">
        <v>46</v>
      </c>
      <c r="E147" s="5">
        <v>11</v>
      </c>
      <c r="F147" s="7">
        <f>LOOKUP(E147,{0,1.5,2.3,3.1,3.9,4.7,5.5,6.8,8.1,9.4,10.7,12,13.3,14.6,15.9,17.2,18.5,20.2,21.9,23.6,25.3},{0,10,20,30,40,50,60,62,64,66,68,70,72,74,76,78,80,85,90,95,100})</f>
        <v>68</v>
      </c>
      <c r="G147" s="5">
        <v>156</v>
      </c>
      <c r="H147" s="7">
        <f>LOOKUP(G147,{0,125,130,135,140,145,150,153,156,159,162,165,168,171,174,177,180,187,194,200,206},{0,10,20,30,40,50,60,62,64,66,68,70,72,74,76,78,80,85,90,95,100})</f>
        <v>64</v>
      </c>
      <c r="I147" s="5">
        <v>37</v>
      </c>
      <c r="J147" s="7">
        <f>LOOKUP(I147,{0,15,17,19,21,23,25,27,29,31,33,35,37,39,41,43,45,48,51,53,55},{0,10,20,30,40,50,60,62,64,66,68,70,72,74,76,78,80,85,90,95,100})</f>
        <v>72</v>
      </c>
      <c r="K147" s="5"/>
      <c r="L147" s="5"/>
      <c r="M147" s="5">
        <f t="shared" si="76"/>
        <v>72</v>
      </c>
      <c r="N147" s="5">
        <v>9.8</v>
      </c>
      <c r="O147" s="10">
        <f t="shared" si="77"/>
        <v>8.2</v>
      </c>
      <c r="P147" s="7">
        <f>LOOKUP(O147,{0,6.6,6.8,7,7.2,7.4,7.6,7.8,8,8.2,8.4,8.6,8.8,9,9.2,9.4,9.6,9.9,10.2,10.3,10.4},{0,10,20,30,40,50,60,62,64,66,68,70,72,74,76,78,80,85,90,95,100})</f>
        <v>66</v>
      </c>
      <c r="Q147" s="5">
        <v>4.43</v>
      </c>
      <c r="R147" s="10">
        <f t="shared" si="78"/>
        <v>5.57</v>
      </c>
      <c r="S147" s="7">
        <f>LOOKUP(R147,{0,4.74,4.84,4.94,5.44,5.54,5.64,5.69,5.74,5.79,5.84,5.89,5.94,5.99,6.44,6.49,6.54,6.61,6.68,6.74,6.8},{0,10,20,30,40,50,60,62,64,66,68,70,72,74,76,78,80,85,90,95,100})</f>
        <v>50</v>
      </c>
      <c r="T147" s="5"/>
      <c r="U147" s="5"/>
      <c r="V147" s="5">
        <f t="shared" si="79"/>
        <v>50</v>
      </c>
      <c r="W147" s="5"/>
      <c r="X147" s="13">
        <f t="shared" si="80"/>
        <v>43.6</v>
      </c>
      <c r="Y147" s="13">
        <f t="shared" si="81"/>
        <v>62.2857142857143</v>
      </c>
      <c r="Z147" s="19"/>
    </row>
    <row r="148" ht="15.6" hidden="1" outlineLevel="2" spans="1:26">
      <c r="A148" s="5">
        <v>310</v>
      </c>
      <c r="B148" s="5">
        <v>49</v>
      </c>
      <c r="C148" s="9" t="s">
        <v>510</v>
      </c>
      <c r="D148" s="9" t="s">
        <v>46</v>
      </c>
      <c r="E148" s="5">
        <v>14.5</v>
      </c>
      <c r="F148" s="7">
        <f>LOOKUP(E148,{0,1.5,2.3,3.1,3.9,4.7,5.5,6.8,8.1,9.4,10.7,12,13.3,14.6,15.9,17.2,18.5,20.2,21.9,23.6,25.3},{0,10,20,30,40,50,60,62,64,66,68,70,72,74,76,78,80,85,90,95,100})</f>
        <v>72</v>
      </c>
      <c r="G148" s="5">
        <v>202</v>
      </c>
      <c r="H148" s="7">
        <f>LOOKUP(G148,{0,125,130,135,140,145,150,153,156,159,162,165,168,171,174,177,180,187,194,200,206},{0,10,20,30,40,50,60,62,64,66,68,70,72,74,76,78,80,85,90,95,100})</f>
        <v>95</v>
      </c>
      <c r="I148" s="5">
        <v>46</v>
      </c>
      <c r="J148" s="7">
        <f>LOOKUP(I148,{0,15,17,19,21,23,25,27,29,31,33,35,37,39,41,43,45,48,51,53,55},{0,10,20,30,40,50,60,62,64,66,68,70,72,74,76,78,80,85,90,95,100})</f>
        <v>80</v>
      </c>
      <c r="K148" s="5"/>
      <c r="L148" s="5"/>
      <c r="M148" s="5">
        <f t="shared" si="76"/>
        <v>80</v>
      </c>
      <c r="N148" s="5">
        <v>8.6</v>
      </c>
      <c r="O148" s="10">
        <f t="shared" si="77"/>
        <v>9.4</v>
      </c>
      <c r="P148" s="7">
        <f>LOOKUP(O148,{0,6.6,6.8,7,7.2,7.4,7.6,7.8,8,8.2,8.4,8.6,8.8,9,9.2,9.4,9.6,9.9,10.2,10.3,10.4},{0,10,20,30,40,50,60,62,64,66,68,70,72,74,76,78,80,85,90,95,100})</f>
        <v>78</v>
      </c>
      <c r="Q148" s="5">
        <v>3.22</v>
      </c>
      <c r="R148" s="10">
        <f t="shared" si="78"/>
        <v>6.78</v>
      </c>
      <c r="S148" s="7">
        <f>LOOKUP(R148,{0,4.74,4.84,4.94,5.44,5.54,5.64,5.69,5.74,5.79,5.84,5.89,5.94,5.99,6.44,6.49,6.54,6.61,6.68,6.74,6.8},{0,10,20,30,40,50,60,62,64,66,68,70,72,74,76,78,80,85,90,95,100})</f>
        <v>95</v>
      </c>
      <c r="T148" s="5"/>
      <c r="U148" s="5"/>
      <c r="V148" s="5">
        <f t="shared" si="79"/>
        <v>95</v>
      </c>
      <c r="W148" s="5"/>
      <c r="X148" s="13">
        <f t="shared" si="80"/>
        <v>59.3</v>
      </c>
      <c r="Y148" s="13">
        <f t="shared" si="81"/>
        <v>84.7142857142857</v>
      </c>
      <c r="Z148" s="19"/>
    </row>
    <row r="149" ht="15.6" hidden="1" outlineLevel="2" spans="1:26">
      <c r="A149" s="5">
        <v>310</v>
      </c>
      <c r="B149" s="5">
        <v>50</v>
      </c>
      <c r="C149" s="9" t="s">
        <v>511</v>
      </c>
      <c r="D149" s="9" t="s">
        <v>46</v>
      </c>
      <c r="E149" s="5">
        <v>13.7</v>
      </c>
      <c r="F149" s="7">
        <f>LOOKUP(E149,{0,1.5,2.3,3.1,3.9,4.7,5.5,6.8,8.1,9.4,10.7,12,13.3,14.6,15.9,17.2,18.5,20.2,21.9,23.6,25.3},{0,10,20,30,40,50,60,62,64,66,68,70,72,74,76,78,80,85,90,95,100})</f>
        <v>72</v>
      </c>
      <c r="G149" s="5">
        <v>186</v>
      </c>
      <c r="H149" s="7">
        <f>LOOKUP(G149,{0,125,130,135,140,145,150,153,156,159,162,165,168,171,174,177,180,187,194,200,206},{0,10,20,30,40,50,60,62,64,66,68,70,72,74,76,78,80,85,90,95,100})</f>
        <v>80</v>
      </c>
      <c r="I149" s="5">
        <v>46</v>
      </c>
      <c r="J149" s="7">
        <f>LOOKUP(I149,{0,15,17,19,21,23,25,27,29,31,33,35,37,39,41,43,45,48,51,53,55},{0,10,20,30,40,50,60,62,64,66,68,70,72,74,76,78,80,85,90,95,100})</f>
        <v>80</v>
      </c>
      <c r="K149" s="5"/>
      <c r="L149" s="5"/>
      <c r="M149" s="5">
        <f t="shared" si="76"/>
        <v>80</v>
      </c>
      <c r="N149" s="5">
        <v>8.2</v>
      </c>
      <c r="O149" s="10">
        <f t="shared" si="77"/>
        <v>9.8</v>
      </c>
      <c r="P149" s="7">
        <f>LOOKUP(O149,{0,6.6,6.8,7,7.2,7.4,7.6,7.8,8,8.2,8.4,8.6,8.8,9,9.2,9.4,9.6,9.9,10.2,10.3,10.4},{0,10,20,30,40,50,60,62,64,66,68,70,72,74,76,78,80,85,90,95,100})</f>
        <v>80</v>
      </c>
      <c r="Q149" s="5">
        <v>3.57</v>
      </c>
      <c r="R149" s="10">
        <f t="shared" si="78"/>
        <v>6.43</v>
      </c>
      <c r="S149" s="7">
        <f>LOOKUP(R149,{0,4.74,4.84,4.94,5.44,5.54,5.64,5.69,5.74,5.79,5.84,5.89,5.94,5.99,6.44,6.49,6.54,6.61,6.68,6.74,6.8},{0,10,20,30,40,50,60,62,64,66,68,70,72,74,76,78,80,85,90,95,100})</f>
        <v>74</v>
      </c>
      <c r="T149" s="5"/>
      <c r="U149" s="5"/>
      <c r="V149" s="5">
        <f t="shared" si="79"/>
        <v>74</v>
      </c>
      <c r="W149" s="5"/>
      <c r="X149" s="13">
        <f t="shared" si="80"/>
        <v>54</v>
      </c>
      <c r="Y149" s="13">
        <f t="shared" si="81"/>
        <v>77.1428571428572</v>
      </c>
      <c r="Z149" s="19"/>
    </row>
    <row r="150" hidden="1" outlineLevel="2" spans="1:26">
      <c r="A150" s="5">
        <v>310</v>
      </c>
      <c r="B150" s="5">
        <v>51</v>
      </c>
      <c r="C150" s="9" t="s">
        <v>512</v>
      </c>
      <c r="D150" s="9" t="s">
        <v>46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>
        <v>50</v>
      </c>
      <c r="X150" s="13"/>
      <c r="Y150" s="13">
        <v>50</v>
      </c>
      <c r="Z150" s="19"/>
    </row>
    <row r="151" outlineLevel="1" collapsed="1" spans="1:26">
      <c r="A151" s="6" t="s">
        <v>861</v>
      </c>
      <c r="B151" s="5"/>
      <c r="C151" s="9"/>
      <c r="D151" s="9"/>
      <c r="E151" s="5"/>
      <c r="F151" s="5">
        <f>SUBTOTAL(1,F142:F150)</f>
        <v>78.8333333333333</v>
      </c>
      <c r="G151" s="5"/>
      <c r="H151" s="5">
        <f>SUBTOTAL(1,H142:H150)</f>
        <v>78.6666666666667</v>
      </c>
      <c r="I151" s="5"/>
      <c r="J151" s="5">
        <f>SUBTOTAL(1,J142:J150)</f>
        <v>81.5</v>
      </c>
      <c r="K151" s="5"/>
      <c r="L151" s="5"/>
      <c r="M151" s="5">
        <f>SUBTOTAL(1,M142:M150)</f>
        <v>81.5</v>
      </c>
      <c r="N151" s="5"/>
      <c r="O151" s="5"/>
      <c r="P151" s="5">
        <f>SUBTOTAL(1,P142:P150)</f>
        <v>75</v>
      </c>
      <c r="Q151" s="5"/>
      <c r="R151" s="5"/>
      <c r="S151" s="5">
        <f>SUBTOTAL(1,S142:S150)</f>
        <v>64.8333333333333</v>
      </c>
      <c r="T151" s="5"/>
      <c r="U151" s="5"/>
      <c r="V151" s="5">
        <f>SUBTOTAL(1,V142:V150)</f>
        <v>64.8333333333333</v>
      </c>
      <c r="W151" s="5"/>
      <c r="X151" s="13">
        <f>SUBTOTAL(1,X142:X150)</f>
        <v>51.8666666666667</v>
      </c>
      <c r="Y151" s="13">
        <f>SUBTOTAL(1,Y142:Y150)</f>
        <v>66.0634920634921</v>
      </c>
      <c r="Z151" s="19"/>
    </row>
    <row r="152" ht="15.6" hidden="1" outlineLevel="2" spans="1:26">
      <c r="A152" s="5">
        <v>311</v>
      </c>
      <c r="B152" s="5">
        <v>49</v>
      </c>
      <c r="C152" s="8" t="s">
        <v>566</v>
      </c>
      <c r="D152" s="9" t="s">
        <v>46</v>
      </c>
      <c r="E152" s="5">
        <v>23.5</v>
      </c>
      <c r="F152" s="7">
        <f>LOOKUP(E152,{0,1.5,2.3,3.1,3.9,4.7,5.5,6.8,8.1,9.4,10.7,12,13.3,14.6,15.9,17.2,18.5,20.2,21.9,23.6,25.3},{0,10,20,30,40,50,60,62,64,66,68,70,72,74,76,78,80,85,90,95,100})</f>
        <v>90</v>
      </c>
      <c r="G152" s="5">
        <v>182</v>
      </c>
      <c r="H152" s="7">
        <f>LOOKUP(G152,{0,125,130,135,140,145,150,153,156,159,162,165,168,171,174,177,180,187,194,200,206},{0,10,20,30,40,50,60,62,64,66,68,70,72,74,76,78,80,85,90,95,100})</f>
        <v>80</v>
      </c>
      <c r="I152" s="5">
        <v>49</v>
      </c>
      <c r="J152" s="7">
        <f>LOOKUP(I152,{0,15,17,19,21,23,25,27,29,31,33,35,37,39,41,43,45,48,51,53,55},{0,10,20,30,40,50,60,62,64,66,68,70,72,74,76,78,80,85,90,95,100})</f>
        <v>85</v>
      </c>
      <c r="K152" s="5"/>
      <c r="L152" s="5"/>
      <c r="M152" s="5">
        <f t="shared" ref="M152:M158" si="82">J152+L152</f>
        <v>85</v>
      </c>
      <c r="N152" s="5">
        <v>8.6</v>
      </c>
      <c r="O152" s="10">
        <f t="shared" ref="O152:O158" si="83">18-N152</f>
        <v>9.4</v>
      </c>
      <c r="P152" s="7">
        <f>LOOKUP(O152,{0,6.6,6.8,7,7.2,7.4,7.6,7.8,8,8.2,8.4,8.6,8.8,9,9.2,9.4,9.6,9.9,10.2,10.3,10.4},{0,10,20,30,40,50,60,62,64,66,68,70,72,74,76,78,80,85,90,95,100})</f>
        <v>78</v>
      </c>
      <c r="Q152" s="5">
        <v>3.28</v>
      </c>
      <c r="R152" s="10">
        <f t="shared" ref="R152:R158" si="84">10-Q152</f>
        <v>6.72</v>
      </c>
      <c r="S152" s="7">
        <f>LOOKUP(R152,{0,4.74,4.84,4.94,5.44,5.54,5.64,5.69,5.74,5.79,5.84,5.89,5.94,5.99,6.44,6.49,6.54,6.61,6.68,6.74,6.8},{0,10,20,30,40,50,60,62,64,66,68,70,72,74,76,78,80,85,90,95,100})</f>
        <v>90</v>
      </c>
      <c r="T152" s="5"/>
      <c r="U152" s="5"/>
      <c r="V152" s="5">
        <f t="shared" ref="V152:V158" si="85">S152+U152</f>
        <v>90</v>
      </c>
      <c r="W152" s="5"/>
      <c r="X152" s="13">
        <f t="shared" ref="X152:X158" si="86">F152*0.1+H152*0.1+J152*0.1+P152*0.2+S152*0.2</f>
        <v>59.1</v>
      </c>
      <c r="Y152" s="13">
        <f t="shared" ref="Y152:Y158" si="87">X152/0.7+L152+U152</f>
        <v>84.4285714285714</v>
      </c>
      <c r="Z152" s="19"/>
    </row>
    <row r="153" ht="15.6" hidden="1" outlineLevel="2" spans="1:26">
      <c r="A153" s="5">
        <v>311</v>
      </c>
      <c r="B153" s="5">
        <v>50</v>
      </c>
      <c r="C153" s="9" t="s">
        <v>567</v>
      </c>
      <c r="D153" s="9" t="s">
        <v>46</v>
      </c>
      <c r="E153" s="5">
        <v>19</v>
      </c>
      <c r="F153" s="7">
        <f>LOOKUP(E153,{0,1.5,2.3,3.1,3.9,4.7,5.5,6.8,8.1,9.4,10.7,12,13.3,14.6,15.9,17.2,18.5,20.2,21.9,23.6,25.3},{0,10,20,30,40,50,60,62,64,66,68,70,72,74,76,78,80,85,90,95,100})</f>
        <v>80</v>
      </c>
      <c r="G153" s="5">
        <v>180</v>
      </c>
      <c r="H153" s="7">
        <f>LOOKUP(G153,{0,125,130,135,140,145,150,153,156,159,162,165,168,171,174,177,180,187,194,200,206},{0,10,20,30,40,50,60,62,64,66,68,70,72,74,76,78,80,85,90,95,100})</f>
        <v>80</v>
      </c>
      <c r="I153" s="5">
        <v>50</v>
      </c>
      <c r="J153" s="7">
        <f>LOOKUP(I153,{0,15,17,19,21,23,25,27,29,31,33,35,37,39,41,43,45,48,51,53,55},{0,10,20,30,40,50,60,62,64,66,68,70,72,74,76,78,80,85,90,95,100})</f>
        <v>85</v>
      </c>
      <c r="K153" s="5"/>
      <c r="L153" s="5"/>
      <c r="M153" s="5">
        <f t="shared" si="82"/>
        <v>85</v>
      </c>
      <c r="N153" s="5">
        <v>9</v>
      </c>
      <c r="O153" s="10">
        <f t="shared" si="83"/>
        <v>9</v>
      </c>
      <c r="P153" s="7">
        <f>LOOKUP(O153,{0,6.6,6.8,7,7.2,7.4,7.6,7.8,8,8.2,8.4,8.6,8.8,9,9.2,9.4,9.6,9.9,10.2,10.3,10.4},{0,10,20,30,40,50,60,62,64,66,68,70,72,74,76,78,80,85,90,95,100})</f>
        <v>74</v>
      </c>
      <c r="Q153" s="5">
        <v>4.55</v>
      </c>
      <c r="R153" s="10">
        <f t="shared" si="84"/>
        <v>5.45</v>
      </c>
      <c r="S153" s="7">
        <f>LOOKUP(R153,{0,4.74,4.84,4.94,5.44,5.54,5.64,5.69,5.74,5.79,5.84,5.89,5.94,5.99,6.44,6.49,6.54,6.61,6.68,6.74,6.8},{0,10,20,30,40,50,60,62,64,66,68,70,72,74,76,78,80,85,90,95,100})</f>
        <v>40</v>
      </c>
      <c r="T153" s="5"/>
      <c r="U153" s="5"/>
      <c r="V153" s="5">
        <f t="shared" si="85"/>
        <v>40</v>
      </c>
      <c r="W153" s="5"/>
      <c r="X153" s="13">
        <f t="shared" si="86"/>
        <v>47.3</v>
      </c>
      <c r="Y153" s="13">
        <f t="shared" si="87"/>
        <v>67.5714285714286</v>
      </c>
      <c r="Z153" s="19"/>
    </row>
    <row r="154" ht="15.6" hidden="1" outlineLevel="2" spans="1:26">
      <c r="A154" s="5">
        <v>311</v>
      </c>
      <c r="B154" s="5">
        <v>51</v>
      </c>
      <c r="C154" s="5" t="s">
        <v>568</v>
      </c>
      <c r="D154" s="5" t="s">
        <v>46</v>
      </c>
      <c r="E154" s="5">
        <v>18</v>
      </c>
      <c r="F154" s="7">
        <f>LOOKUP(E154,{0,1.5,2.3,3.1,3.9,4.7,5.5,6.8,8.1,9.4,10.7,12,13.3,14.6,15.9,17.2,18.5,20.2,21.9,23.6,25.3},{0,10,20,30,40,50,60,62,64,66,68,70,72,74,76,78,80,85,90,95,100})</f>
        <v>78</v>
      </c>
      <c r="G154" s="5">
        <v>210</v>
      </c>
      <c r="H154" s="7">
        <f>LOOKUP(G154,{0,125,130,135,140,145,150,153,156,159,162,165,168,171,174,177,180,187,194,200,206},{0,10,20,30,40,50,60,62,64,66,68,70,72,74,76,78,80,85,90,95,100})</f>
        <v>100</v>
      </c>
      <c r="I154" s="5">
        <v>53</v>
      </c>
      <c r="J154" s="7">
        <f>LOOKUP(I154,{0,15,17,19,21,23,25,27,29,31,33,35,37,39,41,43,45,48,51,53,55},{0,10,20,30,40,50,60,62,64,66,68,70,72,74,76,78,80,85,90,95,100})</f>
        <v>95</v>
      </c>
      <c r="K154" s="5"/>
      <c r="L154" s="5"/>
      <c r="M154" s="5">
        <f t="shared" si="82"/>
        <v>95</v>
      </c>
      <c r="N154" s="5">
        <v>7.8</v>
      </c>
      <c r="O154" s="10">
        <f t="shared" si="83"/>
        <v>10.2</v>
      </c>
      <c r="P154" s="7">
        <f>LOOKUP(O154,{0,6.6,6.8,7,7.2,7.4,7.6,7.8,8,8.2,8.4,8.6,8.8,9,9.2,9.4,9.6,9.9,10.2,10.3,10.4},{0,10,20,30,40,50,60,62,64,66,68,70,72,74,76,78,80,85,90,95,100})</f>
        <v>90</v>
      </c>
      <c r="Q154" s="5">
        <v>3.38</v>
      </c>
      <c r="R154" s="10">
        <f t="shared" si="84"/>
        <v>6.62</v>
      </c>
      <c r="S154" s="7">
        <f>LOOKUP(R154,{0,4.74,4.84,4.94,5.44,5.54,5.64,5.69,5.74,5.79,5.84,5.89,5.94,5.99,6.44,6.49,6.54,6.61,6.68,6.74,6.8},{0,10,20,30,40,50,60,62,64,66,68,70,72,74,76,78,80,85,90,95,100})</f>
        <v>85</v>
      </c>
      <c r="T154" s="5"/>
      <c r="U154" s="5"/>
      <c r="V154" s="5">
        <f t="shared" si="85"/>
        <v>85</v>
      </c>
      <c r="W154" s="5"/>
      <c r="X154" s="13">
        <f t="shared" si="86"/>
        <v>62.3</v>
      </c>
      <c r="Y154" s="13">
        <f t="shared" si="87"/>
        <v>89</v>
      </c>
      <c r="Z154" s="19"/>
    </row>
    <row r="155" ht="15.6" hidden="1" outlineLevel="2" spans="1:26">
      <c r="A155" s="5">
        <v>311</v>
      </c>
      <c r="B155" s="5">
        <v>52</v>
      </c>
      <c r="C155" s="9" t="s">
        <v>569</v>
      </c>
      <c r="D155" s="9" t="s">
        <v>46</v>
      </c>
      <c r="E155" s="5">
        <v>17</v>
      </c>
      <c r="F155" s="7">
        <f>LOOKUP(E155,{0,1.5,2.3,3.1,3.9,4.7,5.5,6.8,8.1,9.4,10.7,12,13.3,14.6,15.9,17.2,18.5,20.2,21.9,23.6,25.3},{0,10,20,30,40,50,60,62,64,66,68,70,72,74,76,78,80,85,90,95,100})</f>
        <v>76</v>
      </c>
      <c r="G155" s="5">
        <v>155</v>
      </c>
      <c r="H155" s="7">
        <f>LOOKUP(G155,{0,125,130,135,140,145,150,153,156,159,162,165,168,171,174,177,180,187,194,200,206},{0,10,20,30,40,50,60,62,64,66,68,70,72,74,76,78,80,85,90,95,100})</f>
        <v>62</v>
      </c>
      <c r="I155" s="5">
        <v>33</v>
      </c>
      <c r="J155" s="7">
        <f>LOOKUP(I155,{0,15,17,19,21,23,25,27,29,31,33,35,37,39,41,43,45,48,51,53,55},{0,10,20,30,40,50,60,62,64,66,68,70,72,74,76,78,80,85,90,95,100})</f>
        <v>68</v>
      </c>
      <c r="K155" s="5"/>
      <c r="L155" s="5"/>
      <c r="M155" s="5">
        <f t="shared" si="82"/>
        <v>68</v>
      </c>
      <c r="N155" s="5">
        <v>9.5</v>
      </c>
      <c r="O155" s="10">
        <f t="shared" si="83"/>
        <v>8.5</v>
      </c>
      <c r="P155" s="7">
        <f>LOOKUP(O155,{0,6.6,6.8,7,7.2,7.4,7.6,7.8,8,8.2,8.4,8.6,8.8,9,9.2,9.4,9.6,9.9,10.2,10.3,10.4},{0,10,20,30,40,50,60,62,64,66,68,70,72,74,76,78,80,85,90,95,100})</f>
        <v>68</v>
      </c>
      <c r="Q155" s="5">
        <v>4.58</v>
      </c>
      <c r="R155" s="10">
        <f t="shared" si="84"/>
        <v>5.42</v>
      </c>
      <c r="S155" s="7">
        <f>LOOKUP(R155,{0,4.74,4.84,4.94,5.44,5.54,5.64,5.69,5.74,5.79,5.84,5.89,5.94,5.99,6.44,6.49,6.54,6.61,6.68,6.74,6.8},{0,10,20,30,40,50,60,62,64,66,68,70,72,74,76,78,80,85,90,95,100})</f>
        <v>30</v>
      </c>
      <c r="T155" s="5"/>
      <c r="U155" s="5"/>
      <c r="V155" s="5">
        <f t="shared" si="85"/>
        <v>30</v>
      </c>
      <c r="W155" s="5"/>
      <c r="X155" s="13">
        <f t="shared" si="86"/>
        <v>40.2</v>
      </c>
      <c r="Y155" s="13">
        <f t="shared" si="87"/>
        <v>57.4285714285714</v>
      </c>
      <c r="Z155" s="19"/>
    </row>
    <row r="156" ht="15.6" hidden="1" outlineLevel="2" spans="1:26">
      <c r="A156" s="5">
        <v>311</v>
      </c>
      <c r="B156" s="5">
        <v>53</v>
      </c>
      <c r="C156" s="5" t="s">
        <v>570</v>
      </c>
      <c r="D156" s="5" t="s">
        <v>46</v>
      </c>
      <c r="E156" s="5">
        <v>8.5</v>
      </c>
      <c r="F156" s="7">
        <f>LOOKUP(E156,{0,1.5,2.3,3.1,3.9,4.7,5.5,6.8,8.1,9.4,10.7,12,13.3,14.6,15.9,17.2,18.5,20.2,21.9,23.6,25.3},{0,10,20,30,40,50,60,62,64,66,68,70,72,74,76,78,80,85,90,95,100})</f>
        <v>64</v>
      </c>
      <c r="G156" s="5">
        <v>160</v>
      </c>
      <c r="H156" s="7">
        <f>LOOKUP(G156,{0,125,130,135,140,145,150,153,156,159,162,165,168,171,174,177,180,187,194,200,206},{0,10,20,30,40,50,60,62,64,66,68,70,72,74,76,78,80,85,90,95,100})</f>
        <v>66</v>
      </c>
      <c r="I156" s="5">
        <v>47</v>
      </c>
      <c r="J156" s="7">
        <f>LOOKUP(I156,{0,15,17,19,21,23,25,27,29,31,33,35,37,39,41,43,45,48,51,53,55},{0,10,20,30,40,50,60,62,64,66,68,70,72,74,76,78,80,85,90,95,100})</f>
        <v>80</v>
      </c>
      <c r="K156" s="5"/>
      <c r="L156" s="5"/>
      <c r="M156" s="5">
        <f t="shared" si="82"/>
        <v>80</v>
      </c>
      <c r="N156" s="5">
        <v>8.6</v>
      </c>
      <c r="O156" s="10">
        <f t="shared" si="83"/>
        <v>9.4</v>
      </c>
      <c r="P156" s="7">
        <f>LOOKUP(O156,{0,6.6,6.8,7,7.2,7.4,7.6,7.8,8,8.2,8.4,8.6,8.8,9,9.2,9.4,9.6,9.9,10.2,10.3,10.4},{0,10,20,30,40,50,60,62,64,66,68,70,72,74,76,78,80,85,90,95,100})</f>
        <v>78</v>
      </c>
      <c r="Q156" s="5">
        <v>4.55</v>
      </c>
      <c r="R156" s="10">
        <f t="shared" si="84"/>
        <v>5.45</v>
      </c>
      <c r="S156" s="7">
        <f>LOOKUP(R156,{0,4.74,4.84,4.94,5.44,5.54,5.64,5.69,5.74,5.79,5.84,5.89,5.94,5.99,6.44,6.49,6.54,6.61,6.68,6.74,6.8},{0,10,20,30,40,50,60,62,64,66,68,70,72,74,76,78,80,85,90,95,100})</f>
        <v>40</v>
      </c>
      <c r="T156" s="5"/>
      <c r="U156" s="5"/>
      <c r="V156" s="5">
        <f t="shared" si="85"/>
        <v>40</v>
      </c>
      <c r="W156" s="5"/>
      <c r="X156" s="13">
        <f t="shared" si="86"/>
        <v>44.6</v>
      </c>
      <c r="Y156" s="13">
        <f t="shared" si="87"/>
        <v>63.7142857142857</v>
      </c>
      <c r="Z156" s="19"/>
    </row>
    <row r="157" ht="15.6" hidden="1" outlineLevel="2" spans="1:26">
      <c r="A157" s="5">
        <v>311</v>
      </c>
      <c r="B157" s="5">
        <v>54</v>
      </c>
      <c r="C157" s="9" t="s">
        <v>571</v>
      </c>
      <c r="D157" s="9" t="s">
        <v>46</v>
      </c>
      <c r="E157" s="5">
        <v>15.5</v>
      </c>
      <c r="F157" s="7">
        <f>LOOKUP(E157,{0,1.5,2.3,3.1,3.9,4.7,5.5,6.8,8.1,9.4,10.7,12,13.3,14.6,15.9,17.2,18.5,20.2,21.9,23.6,25.3},{0,10,20,30,40,50,60,62,64,66,68,70,72,74,76,78,80,85,90,95,100})</f>
        <v>74</v>
      </c>
      <c r="G157" s="5">
        <v>175</v>
      </c>
      <c r="H157" s="7">
        <f>LOOKUP(G157,{0,125,130,135,140,145,150,153,156,159,162,165,168,171,174,177,180,187,194,200,206},{0,10,20,30,40,50,60,62,64,66,68,70,72,74,76,78,80,85,90,95,100})</f>
        <v>76</v>
      </c>
      <c r="I157" s="5">
        <v>45</v>
      </c>
      <c r="J157" s="7">
        <f>LOOKUP(I157,{0,15,17,19,21,23,25,27,29,31,33,35,37,39,41,43,45,48,51,53,55},{0,10,20,30,40,50,60,62,64,66,68,70,72,74,76,78,80,85,90,95,100})</f>
        <v>80</v>
      </c>
      <c r="K157" s="5"/>
      <c r="L157" s="5"/>
      <c r="M157" s="5">
        <f t="shared" si="82"/>
        <v>80</v>
      </c>
      <c r="N157" s="5">
        <v>10.6</v>
      </c>
      <c r="O157" s="10">
        <f t="shared" si="83"/>
        <v>7.4</v>
      </c>
      <c r="P157" s="7">
        <f>LOOKUP(O157,{0,6.6,6.8,7,7.2,7.4,7.6,7.8,8,8.2,8.4,8.6,8.8,9,9.2,9.4,9.6,9.9,10.2,10.3,10.4},{0,10,20,30,40,50,60,62,64,66,68,70,72,74,76,78,80,85,90,95,100})</f>
        <v>50</v>
      </c>
      <c r="Q157" s="5">
        <v>4.26</v>
      </c>
      <c r="R157" s="10">
        <f t="shared" si="84"/>
        <v>5.74</v>
      </c>
      <c r="S157" s="7">
        <f>LOOKUP(R157,{0,4.74,4.84,4.94,5.44,5.54,5.64,5.69,5.74,5.79,5.84,5.89,5.94,5.99,6.44,6.49,6.54,6.61,6.68,6.74,6.8},{0,10,20,30,40,50,60,62,64,66,68,70,72,74,76,78,80,85,90,95,100})</f>
        <v>64</v>
      </c>
      <c r="T157" s="5"/>
      <c r="U157" s="5"/>
      <c r="V157" s="5">
        <f t="shared" si="85"/>
        <v>64</v>
      </c>
      <c r="W157" s="5"/>
      <c r="X157" s="13">
        <f t="shared" si="86"/>
        <v>45.8</v>
      </c>
      <c r="Y157" s="13">
        <f t="shared" si="87"/>
        <v>65.4285714285714</v>
      </c>
      <c r="Z157" s="19"/>
    </row>
    <row r="158" ht="15.6" hidden="1" outlineLevel="2" spans="1:26">
      <c r="A158" s="5">
        <v>311</v>
      </c>
      <c r="B158" s="5">
        <v>55</v>
      </c>
      <c r="C158" s="9" t="s">
        <v>572</v>
      </c>
      <c r="D158" s="9" t="s">
        <v>46</v>
      </c>
      <c r="E158" s="5">
        <v>17</v>
      </c>
      <c r="F158" s="7">
        <f>LOOKUP(E158,{0,1.5,2.3,3.1,3.9,4.7,5.5,6.8,8.1,9.4,10.7,12,13.3,14.6,15.9,17.2,18.5,20.2,21.9,23.6,25.3},{0,10,20,30,40,50,60,62,64,66,68,70,72,74,76,78,80,85,90,95,100})</f>
        <v>76</v>
      </c>
      <c r="G158" s="5">
        <v>185</v>
      </c>
      <c r="H158" s="7">
        <f>LOOKUP(G158,{0,125,130,135,140,145,150,153,156,159,162,165,168,171,174,177,180,187,194,200,206},{0,10,20,30,40,50,60,62,64,66,68,70,72,74,76,78,80,85,90,95,100})</f>
        <v>80</v>
      </c>
      <c r="I158" s="5">
        <v>48</v>
      </c>
      <c r="J158" s="7">
        <f>LOOKUP(I158,{0,15,17,19,21,23,25,27,29,31,33,35,37,39,41,43,45,48,51,53,55},{0,10,20,30,40,50,60,62,64,66,68,70,72,74,76,78,80,85,90,95,100})</f>
        <v>85</v>
      </c>
      <c r="K158" s="5"/>
      <c r="L158" s="5"/>
      <c r="M158" s="5">
        <f t="shared" si="82"/>
        <v>85</v>
      </c>
      <c r="N158" s="5">
        <v>9.3</v>
      </c>
      <c r="O158" s="10">
        <f t="shared" si="83"/>
        <v>8.7</v>
      </c>
      <c r="P158" s="7">
        <f>LOOKUP(O158,{0,6.6,6.8,7,7.2,7.4,7.6,7.8,8,8.2,8.4,8.6,8.8,9,9.2,9.4,9.6,9.9,10.2,10.3,10.4},{0,10,20,30,40,50,60,62,64,66,68,70,72,74,76,78,80,85,90,95,100})</f>
        <v>70</v>
      </c>
      <c r="Q158" s="5">
        <v>4.26</v>
      </c>
      <c r="R158" s="10">
        <f t="shared" si="84"/>
        <v>5.74</v>
      </c>
      <c r="S158" s="7">
        <f>LOOKUP(R158,{0,4.74,4.84,4.94,5.44,5.54,5.64,5.69,5.74,5.79,5.84,5.89,5.94,5.99,6.44,6.49,6.54,6.61,6.68,6.74,6.8},{0,10,20,30,40,50,60,62,64,66,68,70,72,74,76,78,80,85,90,95,100})</f>
        <v>64</v>
      </c>
      <c r="T158" s="5"/>
      <c r="U158" s="5"/>
      <c r="V158" s="5">
        <f t="shared" si="85"/>
        <v>64</v>
      </c>
      <c r="W158" s="5"/>
      <c r="X158" s="13">
        <f t="shared" si="86"/>
        <v>50.9</v>
      </c>
      <c r="Y158" s="13">
        <f t="shared" si="87"/>
        <v>72.7142857142857</v>
      </c>
      <c r="Z158" s="19"/>
    </row>
    <row r="159" ht="15.6" outlineLevel="1" collapsed="1" spans="1:26">
      <c r="A159" s="6" t="s">
        <v>862</v>
      </c>
      <c r="B159" s="5"/>
      <c r="C159" s="9"/>
      <c r="D159" s="9"/>
      <c r="E159" s="5"/>
      <c r="F159" s="7">
        <f>SUBTOTAL(1,F152:F158)</f>
        <v>76.8571428571429</v>
      </c>
      <c r="G159" s="5"/>
      <c r="H159" s="7">
        <f>SUBTOTAL(1,H152:H158)</f>
        <v>77.7142857142857</v>
      </c>
      <c r="I159" s="5"/>
      <c r="J159" s="7">
        <f>SUBTOTAL(1,J152:J158)</f>
        <v>82.5714285714286</v>
      </c>
      <c r="K159" s="5"/>
      <c r="L159" s="5"/>
      <c r="M159" s="5">
        <f>SUBTOTAL(1,M152:M158)</f>
        <v>82.5714285714286</v>
      </c>
      <c r="N159" s="5"/>
      <c r="O159" s="10"/>
      <c r="P159" s="7">
        <f>SUBTOTAL(1,P152:P158)</f>
        <v>72.5714285714286</v>
      </c>
      <c r="Q159" s="5"/>
      <c r="R159" s="10"/>
      <c r="S159" s="7">
        <f>SUBTOTAL(1,S152:S158)</f>
        <v>59</v>
      </c>
      <c r="T159" s="5"/>
      <c r="U159" s="5"/>
      <c r="V159" s="5">
        <f>SUBTOTAL(1,V152:V158)</f>
        <v>59</v>
      </c>
      <c r="W159" s="5"/>
      <c r="X159" s="13">
        <f>SUBTOTAL(1,X152:X158)</f>
        <v>50.0285714285714</v>
      </c>
      <c r="Y159" s="13">
        <f>SUBTOTAL(1,Y152:Y158)</f>
        <v>71.469387755102</v>
      </c>
      <c r="Z159" s="19"/>
    </row>
    <row r="160" ht="15.6" hidden="1" outlineLevel="2" spans="1:26">
      <c r="A160" s="5">
        <v>312</v>
      </c>
      <c r="B160" s="5">
        <v>34</v>
      </c>
      <c r="C160" s="8" t="s">
        <v>609</v>
      </c>
      <c r="D160" s="9" t="s">
        <v>46</v>
      </c>
      <c r="E160" s="5">
        <v>7</v>
      </c>
      <c r="F160" s="7">
        <f>LOOKUP(E160,{0,1.5,2.3,3.1,3.9,4.7,5.5,6.8,8.1,9.4,10.7,12,13.3,14.6,15.9,17.2,18.5,20.2,21.9,23.6,25.3},{0,10,20,30,40,50,60,62,64,66,68,70,72,74,76,78,80,85,90,95,100})</f>
        <v>62</v>
      </c>
      <c r="G160" s="5">
        <v>160</v>
      </c>
      <c r="H160" s="7">
        <f>LOOKUP(G160,{0,125,130,135,140,145,150,153,156,159,162,165,168,171,174,177,180,187,194,200,206},{0,10,20,30,40,50,60,62,64,66,68,70,72,74,76,78,80,85,90,95,100})</f>
        <v>66</v>
      </c>
      <c r="I160" s="5">
        <v>34</v>
      </c>
      <c r="J160" s="7">
        <f>LOOKUP(I160,{0,15,17,19,21,23,25,27,29,31,33,35,37,39,41,43,45,48,51,53,55},{0,10,20,30,40,50,60,62,64,66,68,70,72,74,76,78,80,85,90,95,100})</f>
        <v>68</v>
      </c>
      <c r="K160" s="5"/>
      <c r="L160" s="5"/>
      <c r="M160" s="5">
        <f t="shared" ref="M160:M174" si="88">J160+L160</f>
        <v>68</v>
      </c>
      <c r="N160" s="5">
        <v>8.7</v>
      </c>
      <c r="O160" s="10">
        <f t="shared" ref="O160:O174" si="89">18-N160</f>
        <v>9.3</v>
      </c>
      <c r="P160" s="7">
        <f>LOOKUP(O160,{0,6.6,6.8,7,7.2,7.4,7.6,7.8,8,8.2,8.4,8.6,8.8,9,9.2,9.4,9.6,9.9,10.2,10.3,10.4},{0,10,20,30,40,50,60,62,64,66,68,70,72,74,76,78,80,85,90,95,100})</f>
        <v>76</v>
      </c>
      <c r="Q160" s="5">
        <v>3.17</v>
      </c>
      <c r="R160" s="10">
        <f t="shared" ref="R160:R172" si="90">10-Q160</f>
        <v>6.83</v>
      </c>
      <c r="S160" s="7">
        <f>LOOKUP(R160,{0,4.74,4.84,4.94,5.44,5.54,5.64,5.69,5.74,5.79,5.84,5.89,5.94,5.99,6.44,6.49,6.54,6.61,6.68,6.74,6.8},{0,10,20,30,40,50,60,62,64,66,68,70,72,74,76,78,80,85,90,95,100})</f>
        <v>100</v>
      </c>
      <c r="T160" s="10">
        <f>3.2-Q160</f>
        <v>0.0300000000000002</v>
      </c>
      <c r="U160" s="7">
        <f>LOOKUP(T160,{0,0.05,0.1,0.15,0.2,0.25,0.3,0.35,0.4,0.45,0.5},{0,1,2,3,4,5,6,7,8,9,10})</f>
        <v>0</v>
      </c>
      <c r="V160" s="5">
        <f t="shared" ref="V160:V172" si="91">S160+U160</f>
        <v>100</v>
      </c>
      <c r="W160" s="5"/>
      <c r="X160" s="13">
        <f t="shared" ref="X160:X172" si="92">F160*0.1+H160*0.1+J160*0.1+P160*0.2+S160*0.2</f>
        <v>54.8</v>
      </c>
      <c r="Y160" s="13">
        <f t="shared" ref="Y160:Y172" si="93">X160/0.7+L160+U160</f>
        <v>78.2857142857143</v>
      </c>
      <c r="Z160" s="19"/>
    </row>
    <row r="161" ht="15.6" hidden="1" outlineLevel="2" spans="1:26">
      <c r="A161" s="5">
        <v>312</v>
      </c>
      <c r="B161" s="5">
        <v>35</v>
      </c>
      <c r="C161" s="9" t="s">
        <v>610</v>
      </c>
      <c r="D161" s="9" t="s">
        <v>46</v>
      </c>
      <c r="E161" s="5">
        <v>18.5</v>
      </c>
      <c r="F161" s="7">
        <f>LOOKUP(E161,{0,1.5,2.3,3.1,3.9,4.7,5.5,6.8,8.1,9.4,10.7,12,13.3,14.6,15.9,17.2,18.5,20.2,21.9,23.6,25.3},{0,10,20,30,40,50,60,62,64,66,68,70,72,74,76,78,80,85,90,95,100})</f>
        <v>80</v>
      </c>
      <c r="G161" s="5">
        <v>170</v>
      </c>
      <c r="H161" s="7">
        <f>LOOKUP(G161,{0,125,130,135,140,145,150,153,156,159,162,165,168,171,174,177,180,187,194,200,206},{0,10,20,30,40,50,60,62,64,66,68,70,72,74,76,78,80,85,90,95,100})</f>
        <v>72</v>
      </c>
      <c r="I161" s="5">
        <v>46</v>
      </c>
      <c r="J161" s="7">
        <f>LOOKUP(I161,{0,15,17,19,21,23,25,27,29,31,33,35,37,39,41,43,45,48,51,53,55},{0,10,20,30,40,50,60,62,64,66,68,70,72,74,76,78,80,85,90,95,100})</f>
        <v>80</v>
      </c>
      <c r="K161" s="5"/>
      <c r="L161" s="5"/>
      <c r="M161" s="5">
        <f t="shared" si="88"/>
        <v>80</v>
      </c>
      <c r="N161" s="5">
        <v>9.7</v>
      </c>
      <c r="O161" s="10">
        <f t="shared" si="89"/>
        <v>8.3</v>
      </c>
      <c r="P161" s="7">
        <f>LOOKUP(O161,{0,6.6,6.8,7,7.2,7.4,7.6,7.8,8,8.2,8.4,8.6,8.8,9,9.2,9.4,9.6,9.9,10.2,10.3,10.4},{0,10,20,30,40,50,60,62,64,66,68,70,72,74,76,78,80,85,90,95,100})</f>
        <v>66</v>
      </c>
      <c r="Q161" s="5">
        <v>5.02</v>
      </c>
      <c r="R161" s="10">
        <f t="shared" si="90"/>
        <v>4.98</v>
      </c>
      <c r="S161" s="7">
        <f>LOOKUP(R161,{0,4.74,4.84,4.94,5.44,5.54,5.64,5.69,5.74,5.79,5.84,5.89,5.94,5.99,6.44,6.49,6.54,6.61,6.68,6.74,6.8},{0,10,20,30,40,50,60,62,64,66,68,70,72,74,76,78,80,85,90,95,100})</f>
        <v>30</v>
      </c>
      <c r="T161" s="5"/>
      <c r="U161" s="5"/>
      <c r="V161" s="5">
        <f t="shared" si="91"/>
        <v>30</v>
      </c>
      <c r="W161" s="5"/>
      <c r="X161" s="13">
        <f t="shared" si="92"/>
        <v>42.4</v>
      </c>
      <c r="Y161" s="13">
        <f t="shared" si="93"/>
        <v>60.5714285714286</v>
      </c>
      <c r="Z161" s="19"/>
    </row>
    <row r="162" ht="15.6" hidden="1" outlineLevel="2" spans="1:26">
      <c r="A162" s="5">
        <v>312</v>
      </c>
      <c r="B162" s="5">
        <v>36</v>
      </c>
      <c r="C162" s="9" t="s">
        <v>611</v>
      </c>
      <c r="D162" s="9" t="s">
        <v>46</v>
      </c>
      <c r="E162" s="5">
        <v>22</v>
      </c>
      <c r="F162" s="7">
        <f>LOOKUP(E162,{0,1.5,2.3,3.1,3.9,4.7,5.5,6.8,8.1,9.4,10.7,12,13.3,14.6,15.9,17.2,18.5,20.2,21.9,23.6,25.3},{0,10,20,30,40,50,60,62,64,66,68,70,72,74,76,78,80,85,90,95,100})</f>
        <v>90</v>
      </c>
      <c r="G162" s="5">
        <v>180</v>
      </c>
      <c r="H162" s="7">
        <f>LOOKUP(G162,{0,125,130,135,140,145,150,153,156,159,162,165,168,171,174,177,180,187,194,200,206},{0,10,20,30,40,50,60,62,64,66,68,70,72,74,76,78,80,85,90,95,100})</f>
        <v>80</v>
      </c>
      <c r="I162" s="5">
        <v>47</v>
      </c>
      <c r="J162" s="7">
        <f>LOOKUP(I162,{0,15,17,19,21,23,25,27,29,31,33,35,37,39,41,43,45,48,51,53,55},{0,10,20,30,40,50,60,62,64,66,68,70,72,74,76,78,80,85,90,95,100})</f>
        <v>80</v>
      </c>
      <c r="K162" s="5"/>
      <c r="L162" s="5"/>
      <c r="M162" s="5">
        <f t="shared" si="88"/>
        <v>80</v>
      </c>
      <c r="N162" s="5">
        <v>9.4</v>
      </c>
      <c r="O162" s="10">
        <f t="shared" si="89"/>
        <v>8.6</v>
      </c>
      <c r="P162" s="7">
        <f>LOOKUP(O162,{0,6.6,6.8,7,7.2,7.4,7.6,7.8,8,8.2,8.4,8.6,8.8,9,9.2,9.4,9.6,9.9,10.2,10.3,10.4},{0,10,20,30,40,50,60,62,64,66,68,70,72,74,76,78,80,85,90,95,100})</f>
        <v>70</v>
      </c>
      <c r="Q162" s="5">
        <v>4.25</v>
      </c>
      <c r="R162" s="10">
        <f t="shared" si="90"/>
        <v>5.75</v>
      </c>
      <c r="S162" s="7">
        <f>LOOKUP(R162,{0,4.74,4.84,4.94,5.44,5.54,5.64,5.69,5.74,5.79,5.84,5.89,5.94,5.99,6.44,6.49,6.54,6.61,6.68,6.74,6.8},{0,10,20,30,40,50,60,62,64,66,68,70,72,74,76,78,80,85,90,95,100})</f>
        <v>64</v>
      </c>
      <c r="T162" s="5"/>
      <c r="U162" s="5"/>
      <c r="V162" s="5">
        <f t="shared" si="91"/>
        <v>64</v>
      </c>
      <c r="W162" s="5"/>
      <c r="X162" s="13">
        <f t="shared" si="92"/>
        <v>51.8</v>
      </c>
      <c r="Y162" s="13">
        <f t="shared" si="93"/>
        <v>74</v>
      </c>
      <c r="Z162" s="19"/>
    </row>
    <row r="163" ht="15.6" hidden="1" outlineLevel="2" spans="1:26">
      <c r="A163" s="5">
        <v>312</v>
      </c>
      <c r="B163" s="5">
        <v>37</v>
      </c>
      <c r="C163" s="9" t="s">
        <v>612</v>
      </c>
      <c r="D163" s="9" t="s">
        <v>46</v>
      </c>
      <c r="E163" s="5">
        <v>15.5</v>
      </c>
      <c r="F163" s="7">
        <f>LOOKUP(E163,{0,1.5,2.3,3.1,3.9,4.7,5.5,6.8,8.1,9.4,10.7,12,13.3,14.6,15.9,17.2,18.5,20.2,21.9,23.6,25.3},{0,10,20,30,40,50,60,62,64,66,68,70,72,74,76,78,80,85,90,95,100})</f>
        <v>74</v>
      </c>
      <c r="G163" s="5">
        <v>178</v>
      </c>
      <c r="H163" s="7">
        <f>LOOKUP(G163,{0,125,130,135,140,145,150,153,156,159,162,165,168,171,174,177,180,187,194,200,206},{0,10,20,30,40,50,60,62,64,66,68,70,72,74,76,78,80,85,90,95,100})</f>
        <v>78</v>
      </c>
      <c r="I163" s="5">
        <v>40</v>
      </c>
      <c r="J163" s="7">
        <f>LOOKUP(I163,{0,15,17,19,21,23,25,27,29,31,33,35,37,39,41,43,45,48,51,53,55},{0,10,20,30,40,50,60,62,64,66,68,70,72,74,76,78,80,85,90,95,100})</f>
        <v>74</v>
      </c>
      <c r="K163" s="5"/>
      <c r="L163" s="5"/>
      <c r="M163" s="5">
        <f t="shared" si="88"/>
        <v>74</v>
      </c>
      <c r="N163" s="5">
        <v>9.9</v>
      </c>
      <c r="O163" s="10">
        <f t="shared" si="89"/>
        <v>8.1</v>
      </c>
      <c r="P163" s="7">
        <f>LOOKUP(O163,{0,6.6,6.8,7,7.2,7.4,7.6,7.8,8,8.2,8.4,8.6,8.8,9,9.2,9.4,9.6,9.9,10.2,10.3,10.4},{0,10,20,30,40,50,60,62,64,66,68,70,72,74,76,78,80,85,90,95,100})</f>
        <v>64</v>
      </c>
      <c r="Q163" s="5">
        <v>5.13</v>
      </c>
      <c r="R163" s="10">
        <f t="shared" si="90"/>
        <v>4.87</v>
      </c>
      <c r="S163" s="7">
        <f>LOOKUP(R163,{0,4.74,4.84,4.94,5.44,5.54,5.64,5.69,5.74,5.79,5.84,5.89,5.94,5.99,6.44,6.49,6.54,6.61,6.68,6.74,6.8},{0,10,20,30,40,50,60,62,64,66,68,70,72,74,76,78,80,85,90,95,100})</f>
        <v>20</v>
      </c>
      <c r="T163" s="5"/>
      <c r="U163" s="5"/>
      <c r="V163" s="5">
        <f t="shared" si="91"/>
        <v>20</v>
      </c>
      <c r="W163" s="5"/>
      <c r="X163" s="13">
        <f t="shared" si="92"/>
        <v>39.4</v>
      </c>
      <c r="Y163" s="13">
        <f t="shared" si="93"/>
        <v>56.2857142857143</v>
      </c>
      <c r="Z163" s="20"/>
    </row>
    <row r="164" ht="15.6" hidden="1" outlineLevel="2" spans="1:26">
      <c r="A164" s="5">
        <v>312</v>
      </c>
      <c r="B164" s="5">
        <v>38</v>
      </c>
      <c r="C164" s="9" t="s">
        <v>613</v>
      </c>
      <c r="D164" s="9" t="s">
        <v>46</v>
      </c>
      <c r="E164" s="5">
        <v>8.5</v>
      </c>
      <c r="F164" s="7">
        <f>LOOKUP(E164,{0,1.5,2.3,3.1,3.9,4.7,5.5,6.8,8.1,9.4,10.7,12,13.3,14.6,15.9,17.2,18.5,20.2,21.9,23.6,25.3},{0,10,20,30,40,50,60,62,64,66,68,70,72,74,76,78,80,85,90,95,100})</f>
        <v>64</v>
      </c>
      <c r="G164" s="5">
        <v>173</v>
      </c>
      <c r="H164" s="7">
        <f>LOOKUP(G164,{0,125,130,135,140,145,150,153,156,159,162,165,168,171,174,177,180,187,194,200,206},{0,10,20,30,40,50,60,62,64,66,68,70,72,74,76,78,80,85,90,95,100})</f>
        <v>74</v>
      </c>
      <c r="I164" s="5">
        <v>42</v>
      </c>
      <c r="J164" s="7">
        <f>LOOKUP(I164,{0,15,17,19,21,23,25,27,29,31,33,35,37,39,41,43,45,48,51,53,55},{0,10,20,30,40,50,60,62,64,66,68,70,72,74,76,78,80,85,90,95,100})</f>
        <v>76</v>
      </c>
      <c r="K164" s="5"/>
      <c r="L164" s="5"/>
      <c r="M164" s="5">
        <f t="shared" si="88"/>
        <v>76</v>
      </c>
      <c r="N164" s="5">
        <v>9.4</v>
      </c>
      <c r="O164" s="10">
        <f t="shared" si="89"/>
        <v>8.6</v>
      </c>
      <c r="P164" s="7">
        <f>LOOKUP(O164,{0,6.6,6.8,7,7.2,7.4,7.6,7.8,8,8.2,8.4,8.6,8.8,9,9.2,9.4,9.6,9.9,10.2,10.3,10.4},{0,10,20,30,40,50,60,62,64,66,68,70,72,74,76,78,80,85,90,95,100})</f>
        <v>70</v>
      </c>
      <c r="Q164" s="5">
        <v>4.23</v>
      </c>
      <c r="R164" s="10">
        <f t="shared" si="90"/>
        <v>5.77</v>
      </c>
      <c r="S164" s="7">
        <f>LOOKUP(R164,{0,4.74,4.84,4.94,5.44,5.54,5.64,5.69,5.74,5.79,5.84,5.89,5.94,5.99,6.44,6.49,6.54,6.61,6.68,6.74,6.8},{0,10,20,30,40,50,60,62,64,66,68,70,72,74,76,78,80,85,90,95,100})</f>
        <v>64</v>
      </c>
      <c r="T164" s="5"/>
      <c r="U164" s="5"/>
      <c r="V164" s="5">
        <f t="shared" si="91"/>
        <v>64</v>
      </c>
      <c r="W164" s="5"/>
      <c r="X164" s="13">
        <f t="shared" si="92"/>
        <v>48.2</v>
      </c>
      <c r="Y164" s="13">
        <f t="shared" si="93"/>
        <v>68.8571428571429</v>
      </c>
      <c r="Z164" s="19"/>
    </row>
    <row r="165" ht="15.6" hidden="1" outlineLevel="2" spans="1:26">
      <c r="A165" s="5">
        <v>312</v>
      </c>
      <c r="B165" s="5">
        <v>39</v>
      </c>
      <c r="C165" s="9" t="s">
        <v>614</v>
      </c>
      <c r="D165" s="9" t="s">
        <v>46</v>
      </c>
      <c r="E165" s="5">
        <v>9.7</v>
      </c>
      <c r="F165" s="7">
        <f>LOOKUP(E165,{0,1.5,2.3,3.1,3.9,4.7,5.5,6.8,8.1,9.4,10.7,12,13.3,14.6,15.9,17.2,18.5,20.2,21.9,23.6,25.3},{0,10,20,30,40,50,60,62,64,66,68,70,72,74,76,78,80,85,90,95,100})</f>
        <v>66</v>
      </c>
      <c r="G165" s="5">
        <v>182</v>
      </c>
      <c r="H165" s="7">
        <f>LOOKUP(G165,{0,125,130,135,140,145,150,153,156,159,162,165,168,171,174,177,180,187,194,200,206},{0,10,20,30,40,50,60,62,64,66,68,70,72,74,76,78,80,85,90,95,100})</f>
        <v>80</v>
      </c>
      <c r="I165" s="5">
        <v>45</v>
      </c>
      <c r="J165" s="7">
        <f>LOOKUP(I165,{0,15,17,19,21,23,25,27,29,31,33,35,37,39,41,43,45,48,51,53,55},{0,10,20,30,40,50,60,62,64,66,68,70,72,74,76,78,80,85,90,95,100})</f>
        <v>80</v>
      </c>
      <c r="K165" s="5"/>
      <c r="L165" s="5"/>
      <c r="M165" s="5">
        <f t="shared" si="88"/>
        <v>80</v>
      </c>
      <c r="N165" s="5">
        <v>9.2</v>
      </c>
      <c r="O165" s="10">
        <f t="shared" si="89"/>
        <v>8.8</v>
      </c>
      <c r="P165" s="7">
        <f>LOOKUP(O165,{0,6.6,6.8,7,7.2,7.4,7.6,7.8,8,8.2,8.4,8.6,8.8,9,9.2,9.4,9.6,9.9,10.2,10.3,10.4},{0,10,20,30,40,50,60,62,64,66,68,70,72,74,76,78,80,85,90,95,100})</f>
        <v>72</v>
      </c>
      <c r="Q165" s="5">
        <v>5.01</v>
      </c>
      <c r="R165" s="10">
        <f t="shared" si="90"/>
        <v>4.99</v>
      </c>
      <c r="S165" s="7">
        <f>LOOKUP(R165,{0,4.74,4.84,4.94,5.44,5.54,5.64,5.69,5.74,5.79,5.84,5.89,5.94,5.99,6.44,6.49,6.54,6.61,6.68,6.74,6.8},{0,10,20,30,40,50,60,62,64,66,68,70,72,74,76,78,80,85,90,95,100})</f>
        <v>30</v>
      </c>
      <c r="T165" s="5"/>
      <c r="U165" s="5"/>
      <c r="V165" s="5">
        <f t="shared" si="91"/>
        <v>30</v>
      </c>
      <c r="W165" s="5"/>
      <c r="X165" s="13">
        <f t="shared" si="92"/>
        <v>43</v>
      </c>
      <c r="Y165" s="13">
        <f t="shared" si="93"/>
        <v>61.4285714285714</v>
      </c>
      <c r="Z165" s="19"/>
    </row>
    <row r="166" ht="15.6" hidden="1" outlineLevel="2" spans="1:26">
      <c r="A166" s="5">
        <v>312</v>
      </c>
      <c r="B166" s="5">
        <v>40</v>
      </c>
      <c r="C166" s="9" t="s">
        <v>615</v>
      </c>
      <c r="D166" s="9" t="s">
        <v>46</v>
      </c>
      <c r="E166" s="5">
        <v>24</v>
      </c>
      <c r="F166" s="7">
        <f>LOOKUP(E166,{0,1.5,2.3,3.1,3.9,4.7,5.5,6.8,8.1,9.4,10.7,12,13.3,14.6,15.9,17.2,18.5,20.2,21.9,23.6,25.3},{0,10,20,30,40,50,60,62,64,66,68,70,72,74,76,78,80,85,90,95,100})</f>
        <v>95</v>
      </c>
      <c r="G166" s="5">
        <v>165</v>
      </c>
      <c r="H166" s="7">
        <f>LOOKUP(G166,{0,125,130,135,140,145,150,153,156,159,162,165,168,171,174,177,180,187,194,200,206},{0,10,20,30,40,50,60,62,64,66,68,70,72,74,76,78,80,85,90,95,100})</f>
        <v>70</v>
      </c>
      <c r="I166" s="5">
        <v>37</v>
      </c>
      <c r="J166" s="7">
        <f>LOOKUP(I166,{0,15,17,19,21,23,25,27,29,31,33,35,37,39,41,43,45,48,51,53,55},{0,10,20,30,40,50,60,62,64,66,68,70,72,74,76,78,80,85,90,95,100})</f>
        <v>72</v>
      </c>
      <c r="K166" s="5"/>
      <c r="L166" s="5"/>
      <c r="M166" s="5">
        <f t="shared" si="88"/>
        <v>72</v>
      </c>
      <c r="N166" s="5">
        <v>8.6</v>
      </c>
      <c r="O166" s="10">
        <f t="shared" si="89"/>
        <v>9.4</v>
      </c>
      <c r="P166" s="7">
        <f>LOOKUP(O166,{0,6.6,6.8,7,7.2,7.4,7.6,7.8,8,8.2,8.4,8.6,8.8,9,9.2,9.4,9.6,9.9,10.2,10.3,10.4},{0,10,20,30,40,50,60,62,64,66,68,70,72,74,76,78,80,85,90,95,100})</f>
        <v>78</v>
      </c>
      <c r="Q166" s="5">
        <v>4.35</v>
      </c>
      <c r="R166" s="10">
        <f t="shared" si="90"/>
        <v>5.65</v>
      </c>
      <c r="S166" s="7">
        <f>LOOKUP(R166,{0,4.74,4.84,4.94,5.44,5.54,5.64,5.69,5.74,5.79,5.84,5.89,5.94,5.99,6.44,6.49,6.54,6.61,6.68,6.74,6.8},{0,10,20,30,40,50,60,62,64,66,68,70,72,74,76,78,80,85,90,95,100})</f>
        <v>60</v>
      </c>
      <c r="T166" s="5"/>
      <c r="U166" s="5"/>
      <c r="V166" s="5">
        <f t="shared" si="91"/>
        <v>60</v>
      </c>
      <c r="W166" s="5"/>
      <c r="X166" s="13">
        <f t="shared" si="92"/>
        <v>51.3</v>
      </c>
      <c r="Y166" s="13">
        <f t="shared" si="93"/>
        <v>73.2857142857143</v>
      </c>
      <c r="Z166" s="19"/>
    </row>
    <row r="167" ht="15.6" hidden="1" outlineLevel="2" spans="1:26">
      <c r="A167" s="5">
        <v>312</v>
      </c>
      <c r="B167" s="5">
        <v>41</v>
      </c>
      <c r="C167" s="9" t="s">
        <v>616</v>
      </c>
      <c r="D167" s="9" t="s">
        <v>46</v>
      </c>
      <c r="E167" s="5">
        <v>8.5</v>
      </c>
      <c r="F167" s="7">
        <f>LOOKUP(E167,{0,1.5,2.3,3.1,3.9,4.7,5.5,6.8,8.1,9.4,10.7,12,13.3,14.6,15.9,17.2,18.5,20.2,21.9,23.6,25.3},{0,10,20,30,40,50,60,62,64,66,68,70,72,74,76,78,80,85,90,95,100})</f>
        <v>64</v>
      </c>
      <c r="G167" s="5">
        <v>180</v>
      </c>
      <c r="H167" s="7">
        <f>LOOKUP(G167,{0,125,130,135,140,145,150,153,156,159,162,165,168,171,174,177,180,187,194,200,206},{0,10,20,30,40,50,60,62,64,66,68,70,72,74,76,78,80,85,90,95,100})</f>
        <v>80</v>
      </c>
      <c r="I167" s="5">
        <v>30</v>
      </c>
      <c r="J167" s="7">
        <f>LOOKUP(I167,{0,15,17,19,21,23,25,27,29,31,33,35,37,39,41,43,45,48,51,53,55},{0,10,20,30,40,50,60,62,64,66,68,70,72,74,76,78,80,85,90,95,100})</f>
        <v>64</v>
      </c>
      <c r="K167" s="5"/>
      <c r="L167" s="5"/>
      <c r="M167" s="5">
        <f t="shared" si="88"/>
        <v>64</v>
      </c>
      <c r="N167" s="5">
        <v>8.4</v>
      </c>
      <c r="O167" s="10">
        <f t="shared" si="89"/>
        <v>9.6</v>
      </c>
      <c r="P167" s="7">
        <f>LOOKUP(O167,{0,6.6,6.8,7,7.2,7.4,7.6,7.8,8,8.2,8.4,8.6,8.8,9,9.2,9.4,9.6,9.9,10.2,10.3,10.4},{0,10,20,30,40,50,60,62,64,66,68,70,72,74,76,78,80,85,90,95,100})</f>
        <v>80</v>
      </c>
      <c r="Q167" s="5">
        <v>5</v>
      </c>
      <c r="R167" s="10">
        <f t="shared" si="90"/>
        <v>5</v>
      </c>
      <c r="S167" s="7">
        <f>LOOKUP(R167,{0,4.74,4.84,4.94,5.44,5.54,5.64,5.69,5.74,5.79,5.84,5.89,5.94,5.99,6.44,6.49,6.54,6.61,6.68,6.74,6.8},{0,10,20,30,40,50,60,62,64,66,68,70,72,74,76,78,80,85,90,95,100})</f>
        <v>30</v>
      </c>
      <c r="T167" s="5"/>
      <c r="U167" s="5"/>
      <c r="V167" s="5">
        <f t="shared" si="91"/>
        <v>30</v>
      </c>
      <c r="W167" s="5"/>
      <c r="X167" s="13">
        <f t="shared" si="92"/>
        <v>42.8</v>
      </c>
      <c r="Y167" s="13">
        <f t="shared" si="93"/>
        <v>61.1428571428571</v>
      </c>
      <c r="Z167" s="19"/>
    </row>
    <row r="168" ht="15.6" hidden="1" outlineLevel="2" spans="1:26">
      <c r="A168" s="5">
        <v>312</v>
      </c>
      <c r="B168" s="5">
        <v>42</v>
      </c>
      <c r="C168" s="8" t="s">
        <v>618</v>
      </c>
      <c r="D168" s="9" t="s">
        <v>46</v>
      </c>
      <c r="E168" s="5">
        <v>24</v>
      </c>
      <c r="F168" s="7">
        <f>LOOKUP(E168,{0,1.5,2.3,3.1,3.9,4.7,5.5,6.8,8.1,9.4,10.7,12,13.3,14.6,15.9,17.2,18.5,20.2,21.9,23.6,25.3},{0,10,20,30,40,50,60,62,64,66,68,70,72,74,76,78,80,85,90,95,100})</f>
        <v>95</v>
      </c>
      <c r="G168" s="5">
        <v>147</v>
      </c>
      <c r="H168" s="7">
        <f>LOOKUP(G168,{0,125,130,135,140,145,150,153,156,159,162,165,168,171,174,177,180,187,194,200,206},{0,10,20,30,40,50,60,62,64,66,68,70,72,74,76,78,80,85,90,95,100})</f>
        <v>50</v>
      </c>
      <c r="I168" s="5">
        <v>38</v>
      </c>
      <c r="J168" s="7">
        <f>LOOKUP(I168,{0,15,17,19,21,23,25,27,29,31,33,35,37,39,41,43,45,48,51,53,55},{0,10,20,30,40,50,60,62,64,66,68,70,72,74,76,78,80,85,90,95,100})</f>
        <v>72</v>
      </c>
      <c r="K168" s="5"/>
      <c r="L168" s="5"/>
      <c r="M168" s="5">
        <f t="shared" si="88"/>
        <v>72</v>
      </c>
      <c r="N168" s="5">
        <v>9.5</v>
      </c>
      <c r="O168" s="10">
        <f t="shared" si="89"/>
        <v>8.5</v>
      </c>
      <c r="P168" s="7">
        <f>LOOKUP(O168,{0,6.6,6.8,7,7.2,7.4,7.6,7.8,8,8.2,8.4,8.6,8.8,9,9.2,9.4,9.6,9.9,10.2,10.3,10.4},{0,10,20,30,40,50,60,62,64,66,68,70,72,74,76,78,80,85,90,95,100})</f>
        <v>68</v>
      </c>
      <c r="Q168" s="5">
        <v>5.05</v>
      </c>
      <c r="R168" s="10">
        <f t="shared" si="90"/>
        <v>4.95</v>
      </c>
      <c r="S168" s="7">
        <f>LOOKUP(R168,{0,4.74,4.84,4.94,5.44,5.54,5.64,5.69,5.74,5.79,5.84,5.89,5.94,5.99,6.44,6.49,6.54,6.61,6.68,6.74,6.8},{0,10,20,30,40,50,60,62,64,66,68,70,72,74,76,78,80,85,90,95,100})</f>
        <v>30</v>
      </c>
      <c r="T168" s="5"/>
      <c r="U168" s="5"/>
      <c r="V168" s="5">
        <f t="shared" si="91"/>
        <v>30</v>
      </c>
      <c r="W168" s="5"/>
      <c r="X168" s="13">
        <f t="shared" si="92"/>
        <v>41.3</v>
      </c>
      <c r="Y168" s="13">
        <f t="shared" si="93"/>
        <v>59</v>
      </c>
      <c r="Z168" s="19"/>
    </row>
    <row r="169" ht="15.6" hidden="1" outlineLevel="2" spans="1:26">
      <c r="A169" s="5">
        <v>312</v>
      </c>
      <c r="B169" s="5">
        <v>43</v>
      </c>
      <c r="C169" s="9" t="s">
        <v>619</v>
      </c>
      <c r="D169" s="9" t="s">
        <v>46</v>
      </c>
      <c r="E169" s="5">
        <v>17</v>
      </c>
      <c r="F169" s="7">
        <f>LOOKUP(E169,{0,1.5,2.3,3.1,3.9,4.7,5.5,6.8,8.1,9.4,10.7,12,13.3,14.6,15.9,17.2,18.5,20.2,21.9,23.6,25.3},{0,10,20,30,40,50,60,62,64,66,68,70,72,74,76,78,80,85,90,95,100})</f>
        <v>76</v>
      </c>
      <c r="G169" s="5">
        <v>170</v>
      </c>
      <c r="H169" s="7">
        <f>LOOKUP(G169,{0,125,130,135,140,145,150,153,156,159,162,165,168,171,174,177,180,187,194,200,206},{0,10,20,30,40,50,60,62,64,66,68,70,72,74,76,78,80,85,90,95,100})</f>
        <v>72</v>
      </c>
      <c r="I169" s="5">
        <v>42</v>
      </c>
      <c r="J169" s="7">
        <f>LOOKUP(I169,{0,15,17,19,21,23,25,27,29,31,33,35,37,39,41,43,45,48,51,53,55},{0,10,20,30,40,50,60,62,64,66,68,70,72,74,76,78,80,85,90,95,100})</f>
        <v>76</v>
      </c>
      <c r="K169" s="5"/>
      <c r="L169" s="5"/>
      <c r="M169" s="5">
        <f t="shared" si="88"/>
        <v>76</v>
      </c>
      <c r="N169" s="5">
        <v>9.1</v>
      </c>
      <c r="O169" s="10">
        <f t="shared" si="89"/>
        <v>8.9</v>
      </c>
      <c r="P169" s="7">
        <f>LOOKUP(O169,{0,6.6,6.8,7,7.2,7.4,7.6,7.8,8,8.2,8.4,8.6,8.8,9,9.2,9.4,9.6,9.9,10.2,10.3,10.4},{0,10,20,30,40,50,60,62,64,66,68,70,72,74,76,78,80,85,90,95,100})</f>
        <v>72</v>
      </c>
      <c r="Q169" s="5">
        <v>4.03</v>
      </c>
      <c r="R169" s="10">
        <f t="shared" si="90"/>
        <v>5.97</v>
      </c>
      <c r="S169" s="7">
        <f>LOOKUP(R169,{0,4.74,4.84,4.94,5.44,5.54,5.64,5.69,5.74,5.79,5.84,5.89,5.94,5.99,6.44,6.49,6.54,6.61,6.68,6.74,6.8},{0,10,20,30,40,50,60,62,64,66,68,70,72,74,76,78,80,85,90,95,100})</f>
        <v>72</v>
      </c>
      <c r="T169" s="5"/>
      <c r="U169" s="5"/>
      <c r="V169" s="5">
        <f t="shared" si="91"/>
        <v>72</v>
      </c>
      <c r="W169" s="5"/>
      <c r="X169" s="13">
        <f t="shared" si="92"/>
        <v>51.2</v>
      </c>
      <c r="Y169" s="13">
        <f t="shared" si="93"/>
        <v>73.1428571428572</v>
      </c>
      <c r="Z169" s="19"/>
    </row>
    <row r="170" ht="15.6" hidden="1" outlineLevel="2" spans="1:26">
      <c r="A170" s="5">
        <v>312</v>
      </c>
      <c r="B170" s="5">
        <v>44</v>
      </c>
      <c r="C170" s="9" t="s">
        <v>620</v>
      </c>
      <c r="D170" s="9" t="s">
        <v>46</v>
      </c>
      <c r="E170" s="5">
        <v>21</v>
      </c>
      <c r="F170" s="7">
        <f>LOOKUP(E170,{0,1.5,2.3,3.1,3.9,4.7,5.5,6.8,8.1,9.4,10.7,12,13.3,14.6,15.9,17.2,18.5,20.2,21.9,23.6,25.3},{0,10,20,30,40,50,60,62,64,66,68,70,72,74,76,78,80,85,90,95,100})</f>
        <v>85</v>
      </c>
      <c r="G170" s="5">
        <v>167</v>
      </c>
      <c r="H170" s="7">
        <f>LOOKUP(G170,{0,125,130,135,140,145,150,153,156,159,162,165,168,171,174,177,180,187,194,200,206},{0,10,20,30,40,50,60,62,64,66,68,70,72,74,76,78,80,85,90,95,100})</f>
        <v>70</v>
      </c>
      <c r="I170" s="5">
        <v>53</v>
      </c>
      <c r="J170" s="7">
        <f>LOOKUP(I170,{0,15,17,19,21,23,25,27,29,31,33,35,37,39,41,43,45,48,51,53,55},{0,10,20,30,40,50,60,62,64,66,68,70,72,74,76,78,80,85,90,95,100})</f>
        <v>95</v>
      </c>
      <c r="K170" s="5"/>
      <c r="L170" s="16"/>
      <c r="M170" s="5">
        <f t="shared" si="88"/>
        <v>95</v>
      </c>
      <c r="N170" s="5">
        <v>8.6</v>
      </c>
      <c r="O170" s="10">
        <f t="shared" si="89"/>
        <v>9.4</v>
      </c>
      <c r="P170" s="7">
        <f>LOOKUP(O170,{0,6.6,6.8,7,7.2,7.4,7.6,7.8,8,8.2,8.4,8.6,8.8,9,9.2,9.4,9.6,9.9,10.2,10.3,10.4},{0,10,20,30,40,50,60,62,64,66,68,70,72,74,76,78,80,85,90,95,100})</f>
        <v>78</v>
      </c>
      <c r="Q170" s="5">
        <v>4.12</v>
      </c>
      <c r="R170" s="10">
        <f t="shared" si="90"/>
        <v>5.88</v>
      </c>
      <c r="S170" s="7">
        <f>LOOKUP(R170,{0,4.74,4.84,4.94,5.44,5.54,5.64,5.69,5.74,5.79,5.84,5.89,5.94,5.99,6.44,6.49,6.54,6.61,6.68,6.74,6.8},{0,10,20,30,40,50,60,62,64,66,68,70,72,74,76,78,80,85,90,95,100})</f>
        <v>68</v>
      </c>
      <c r="T170" s="5"/>
      <c r="U170" s="5"/>
      <c r="V170" s="5">
        <f t="shared" si="91"/>
        <v>68</v>
      </c>
      <c r="W170" s="5"/>
      <c r="X170" s="13">
        <f t="shared" si="92"/>
        <v>54.2</v>
      </c>
      <c r="Y170" s="13">
        <f t="shared" si="93"/>
        <v>77.4285714285714</v>
      </c>
      <c r="Z170" s="19"/>
    </row>
    <row r="171" ht="15.6" hidden="1" outlineLevel="2" spans="1:26">
      <c r="A171" s="5">
        <v>312</v>
      </c>
      <c r="B171" s="5">
        <v>45</v>
      </c>
      <c r="C171" s="9" t="s">
        <v>621</v>
      </c>
      <c r="D171" s="9" t="s">
        <v>46</v>
      </c>
      <c r="E171" s="5">
        <v>22</v>
      </c>
      <c r="F171" s="7">
        <f>LOOKUP(E171,{0,1.5,2.3,3.1,3.9,4.7,5.5,6.8,8.1,9.4,10.7,12,13.3,14.6,15.9,17.2,18.5,20.2,21.9,23.6,25.3},{0,10,20,30,40,50,60,62,64,66,68,70,72,74,76,78,80,85,90,95,100})</f>
        <v>90</v>
      </c>
      <c r="G171" s="5">
        <v>125</v>
      </c>
      <c r="H171" s="7">
        <f>LOOKUP(G171,{0,125,130,135,140,145,150,153,156,159,162,165,168,171,174,177,180,187,194,200,206},{0,10,20,30,40,50,60,62,64,66,68,70,72,74,76,78,80,85,90,95,100})</f>
        <v>10</v>
      </c>
      <c r="I171" s="5">
        <v>32</v>
      </c>
      <c r="J171" s="7">
        <f>LOOKUP(I171,{0,15,17,19,21,23,25,27,29,31,33,35,37,39,41,43,45,48,51,53,55},{0,10,20,30,40,50,60,62,64,66,68,70,72,74,76,78,80,85,90,95,100})</f>
        <v>66</v>
      </c>
      <c r="K171" s="5"/>
      <c r="L171" s="5"/>
      <c r="M171" s="5">
        <f t="shared" si="88"/>
        <v>66</v>
      </c>
      <c r="N171" s="5">
        <v>11.1</v>
      </c>
      <c r="O171" s="10">
        <f t="shared" si="89"/>
        <v>6.9</v>
      </c>
      <c r="P171" s="7">
        <f>LOOKUP(O171,{0,6.6,6.8,7,7.2,7.4,7.6,7.8,8,8.2,8.4,8.6,8.8,9,9.2,9.4,9.6,9.9,10.2,10.3,10.4},{0,10,20,30,40,50,60,62,64,66,68,70,72,74,76,78,80,85,90,95,100})</f>
        <v>20</v>
      </c>
      <c r="Q171" s="5">
        <v>5.12</v>
      </c>
      <c r="R171" s="10">
        <f t="shared" si="90"/>
        <v>4.88</v>
      </c>
      <c r="S171" s="7">
        <f>LOOKUP(R171,{0,4.74,4.84,4.94,5.44,5.54,5.64,5.69,5.74,5.79,5.84,5.89,5.94,5.99,6.44,6.49,6.54,6.61,6.68,6.74,6.8},{0,10,20,30,40,50,60,62,64,66,68,70,72,74,76,78,80,85,90,95,100})</f>
        <v>20</v>
      </c>
      <c r="T171" s="5"/>
      <c r="U171" s="5"/>
      <c r="V171" s="5">
        <f t="shared" si="91"/>
        <v>20</v>
      </c>
      <c r="W171" s="5"/>
      <c r="X171" s="13">
        <f t="shared" si="92"/>
        <v>24.6</v>
      </c>
      <c r="Y171" s="13">
        <f t="shared" si="93"/>
        <v>35.1428571428571</v>
      </c>
      <c r="Z171" s="19"/>
    </row>
    <row r="172" ht="15.6" hidden="1" outlineLevel="2" spans="1:26">
      <c r="A172" s="5">
        <v>312</v>
      </c>
      <c r="B172" s="5">
        <v>46</v>
      </c>
      <c r="C172" s="9" t="s">
        <v>622</v>
      </c>
      <c r="D172" s="9" t="s">
        <v>46</v>
      </c>
      <c r="E172" s="5">
        <v>20</v>
      </c>
      <c r="F172" s="7">
        <f>LOOKUP(E172,{0,1.5,2.3,3.1,3.9,4.7,5.5,6.8,8.1,9.4,10.7,12,13.3,14.6,15.9,17.2,18.5,20.2,21.9,23.6,25.3},{0,10,20,30,40,50,60,62,64,66,68,70,72,74,76,78,80,85,90,95,100})</f>
        <v>80</v>
      </c>
      <c r="G172" s="5">
        <v>155</v>
      </c>
      <c r="H172" s="7">
        <f>LOOKUP(G172,{0,125,130,135,140,145,150,153,156,159,162,165,168,171,174,177,180,187,194,200,206},{0,10,20,30,40,50,60,62,64,66,68,70,72,74,76,78,80,85,90,95,100})</f>
        <v>62</v>
      </c>
      <c r="I172" s="5">
        <v>56</v>
      </c>
      <c r="J172" s="7">
        <f>LOOKUP(I172,{0,15,17,19,21,23,25,27,29,31,33,35,37,39,41,43,45,48,51,53,55},{0,10,20,30,40,50,60,62,64,66,68,70,72,74,76,78,80,85,90,95,100})</f>
        <v>100</v>
      </c>
      <c r="K172" s="11">
        <f>I172-55</f>
        <v>1</v>
      </c>
      <c r="L172" s="7">
        <f>LOOKUP(K172,{0,2,4,6,7,8,9,10,11,12,13},{0,1,2,3,4,5,6,7,8,9,10})</f>
        <v>0</v>
      </c>
      <c r="M172" s="5">
        <f t="shared" si="88"/>
        <v>100</v>
      </c>
      <c r="N172" s="5">
        <v>9.9</v>
      </c>
      <c r="O172" s="10">
        <f t="shared" si="89"/>
        <v>8.1</v>
      </c>
      <c r="P172" s="7">
        <f>LOOKUP(O172,{0,6.6,6.8,7,7.2,7.4,7.6,7.8,8,8.2,8.4,8.6,8.8,9,9.2,9.4,9.6,9.9,10.2,10.3,10.4},{0,10,20,30,40,50,60,62,64,66,68,70,72,74,76,78,80,85,90,95,100})</f>
        <v>64</v>
      </c>
      <c r="Q172" s="5">
        <v>4.02</v>
      </c>
      <c r="R172" s="10">
        <f t="shared" si="90"/>
        <v>5.98</v>
      </c>
      <c r="S172" s="7">
        <f>LOOKUP(R172,{0,4.74,4.84,4.94,5.44,5.54,5.64,5.69,5.74,5.79,5.84,5.89,5.94,5.99,6.44,6.49,6.54,6.61,6.68,6.74,6.8},{0,10,20,30,40,50,60,62,64,66,68,70,72,74,76,78,80,85,90,95,100})</f>
        <v>72</v>
      </c>
      <c r="T172" s="5"/>
      <c r="U172" s="5"/>
      <c r="V172" s="5">
        <f t="shared" si="91"/>
        <v>72</v>
      </c>
      <c r="W172" s="5"/>
      <c r="X172" s="13">
        <f t="shared" si="92"/>
        <v>51.4</v>
      </c>
      <c r="Y172" s="13">
        <f t="shared" si="93"/>
        <v>73.4285714285714</v>
      </c>
      <c r="Z172" s="19"/>
    </row>
    <row r="173" ht="15.6" hidden="1" outlineLevel="2" spans="1:26">
      <c r="A173" s="5">
        <v>312</v>
      </c>
      <c r="B173" s="5">
        <v>47</v>
      </c>
      <c r="C173" s="9" t="s">
        <v>623</v>
      </c>
      <c r="D173" s="9" t="s">
        <v>46</v>
      </c>
      <c r="E173" s="5">
        <v>5</v>
      </c>
      <c r="F173" s="7">
        <f>LOOKUP(E173,{0,1.5,2.3,3.1,3.9,4.7,5.5,6.8,8.1,9.4,10.7,12,13.3,14.6,15.9,17.2,18.5,20.2,21.9,23.6,25.3},{0,10,20,30,40,50,60,62,64,66,68,70,72,74,76,78,80,85,90,95,100})</f>
        <v>50</v>
      </c>
      <c r="G173" s="5">
        <v>146</v>
      </c>
      <c r="H173" s="7">
        <f>LOOKUP(G173,{0,125,130,135,140,145,150,153,156,159,162,165,168,171,174,177,180,187,194,200,206},{0,10,20,30,40,50,60,62,64,66,68,70,72,74,76,78,80,85,90,95,100})</f>
        <v>50</v>
      </c>
      <c r="I173" s="5">
        <v>31</v>
      </c>
      <c r="J173" s="7">
        <f>LOOKUP(I173,{0,15,17,19,21,23,25,27,29,31,33,35,37,39,41,43,45,48,51,53,55},{0,10,20,30,40,50,60,62,64,66,68,70,72,74,76,78,80,85,90,95,100})</f>
        <v>66</v>
      </c>
      <c r="K173" s="5"/>
      <c r="L173" s="5"/>
      <c r="M173" s="5">
        <f t="shared" si="88"/>
        <v>66</v>
      </c>
      <c r="N173" s="5">
        <v>10.6</v>
      </c>
      <c r="O173" s="10">
        <f t="shared" si="89"/>
        <v>7.4</v>
      </c>
      <c r="P173" s="7">
        <f>LOOKUP(O173,{0,6.6,6.8,7,7.2,7.4,7.6,7.8,8,8.2,8.4,8.6,8.8,9,9.2,9.4,9.6,9.9,10.2,10.3,10.4},{0,10,20,30,40,50,60,62,64,66,68,70,72,74,76,78,80,85,90,95,100})</f>
        <v>50</v>
      </c>
      <c r="Q173" s="5"/>
      <c r="R173" s="5"/>
      <c r="S173" s="5"/>
      <c r="T173" s="5"/>
      <c r="U173" s="5"/>
      <c r="V173" s="5"/>
      <c r="W173" s="5">
        <v>50</v>
      </c>
      <c r="X173" s="13"/>
      <c r="Y173" s="13">
        <v>50</v>
      </c>
      <c r="Z173" s="19"/>
    </row>
    <row r="174" ht="15.6" hidden="1" outlineLevel="2" spans="1:26">
      <c r="A174" s="5">
        <v>312</v>
      </c>
      <c r="B174" s="5">
        <v>48</v>
      </c>
      <c r="C174" s="9" t="s">
        <v>624</v>
      </c>
      <c r="D174" s="9" t="s">
        <v>46</v>
      </c>
      <c r="E174" s="5">
        <v>25</v>
      </c>
      <c r="F174" s="7">
        <f>LOOKUP(E174,{0,1.5,2.3,3.1,3.9,4.7,5.5,6.8,8.1,9.4,10.7,12,13.3,14.6,15.9,17.2,18.5,20.2,21.9,23.6,25.3},{0,10,20,30,40,50,60,62,64,66,68,70,72,74,76,78,80,85,90,95,100})</f>
        <v>95</v>
      </c>
      <c r="G174" s="5">
        <v>165</v>
      </c>
      <c r="H174" s="7">
        <f>LOOKUP(G174,{0,125,130,135,140,145,150,153,156,159,162,165,168,171,174,177,180,187,194,200,206},{0,10,20,30,40,50,60,62,64,66,68,70,72,74,76,78,80,85,90,95,100})</f>
        <v>70</v>
      </c>
      <c r="I174" s="5">
        <v>51</v>
      </c>
      <c r="J174" s="7">
        <f>LOOKUP(I174,{0,15,17,19,21,23,25,27,29,31,33,35,37,39,41,43,45,48,51,53,55},{0,10,20,30,40,50,60,62,64,66,68,70,72,74,76,78,80,85,90,95,100})</f>
        <v>90</v>
      </c>
      <c r="K174" s="5"/>
      <c r="L174" s="5"/>
      <c r="M174" s="5">
        <f t="shared" si="88"/>
        <v>90</v>
      </c>
      <c r="N174" s="5">
        <v>10.6</v>
      </c>
      <c r="O174" s="10">
        <f t="shared" si="89"/>
        <v>7.4</v>
      </c>
      <c r="P174" s="7">
        <f>LOOKUP(O174,{0,6.6,6.8,7,7.2,7.4,7.6,7.8,8,8.2,8.4,8.6,8.8,9,9.2,9.4,9.6,9.9,10.2,10.3,10.4},{0,10,20,30,40,50,60,62,64,66,68,70,72,74,76,78,80,85,90,95,100})</f>
        <v>50</v>
      </c>
      <c r="Q174" s="5">
        <v>5.11</v>
      </c>
      <c r="R174" s="10">
        <f>10-Q174</f>
        <v>4.89</v>
      </c>
      <c r="S174" s="7">
        <f>LOOKUP(R174,{0,4.74,4.84,4.94,5.44,5.54,5.64,5.69,5.74,5.79,5.84,5.89,5.94,5.99,6.44,6.49,6.54,6.61,6.68,6.74,6.8},{0,10,20,30,40,50,60,62,64,66,68,70,72,74,76,78,80,85,90,95,100})</f>
        <v>20</v>
      </c>
      <c r="T174" s="5"/>
      <c r="U174" s="5"/>
      <c r="V174" s="5">
        <f>S174+U174</f>
        <v>20</v>
      </c>
      <c r="W174" s="5"/>
      <c r="X174" s="13">
        <f>F174*0.1+H174*0.1+J174*0.1+P174*0.2+S174*0.2</f>
        <v>39.5</v>
      </c>
      <c r="Y174" s="13">
        <f>X174/0.7+L174+U174</f>
        <v>56.4285714285714</v>
      </c>
      <c r="Z174" s="19"/>
    </row>
    <row r="175" hidden="1" outlineLevel="2" spans="1:26">
      <c r="A175" s="5">
        <v>312</v>
      </c>
      <c r="B175" s="5">
        <v>49</v>
      </c>
      <c r="C175" s="9" t="s">
        <v>625</v>
      </c>
      <c r="D175" s="9" t="s">
        <v>46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>
        <v>50</v>
      </c>
      <c r="X175" s="13"/>
      <c r="Y175" s="13">
        <v>50</v>
      </c>
      <c r="Z175" s="19"/>
    </row>
    <row r="176" outlineLevel="1" collapsed="1" spans="1:26">
      <c r="A176" s="6" t="s">
        <v>863</v>
      </c>
      <c r="B176" s="5"/>
      <c r="C176" s="9"/>
      <c r="D176" s="9"/>
      <c r="E176" s="5"/>
      <c r="F176" s="5">
        <f>SUBTOTAL(1,F160:F175)</f>
        <v>77.7333333333333</v>
      </c>
      <c r="G176" s="5"/>
      <c r="H176" s="5">
        <f>SUBTOTAL(1,H160:H175)</f>
        <v>65.6</v>
      </c>
      <c r="I176" s="5"/>
      <c r="J176" s="5">
        <f>SUBTOTAL(1,J160:J175)</f>
        <v>77.2666666666667</v>
      </c>
      <c r="K176" s="5"/>
      <c r="L176" s="5"/>
      <c r="M176" s="5">
        <f>SUBTOTAL(1,M160:M175)</f>
        <v>77.2666666666667</v>
      </c>
      <c r="N176" s="5"/>
      <c r="O176" s="5"/>
      <c r="P176" s="5">
        <f>SUBTOTAL(1,P160:P175)</f>
        <v>65.2</v>
      </c>
      <c r="Q176" s="5"/>
      <c r="R176" s="5"/>
      <c r="S176" s="5">
        <f>SUBTOTAL(1,S160:S175)</f>
        <v>48.5714285714286</v>
      </c>
      <c r="T176" s="5"/>
      <c r="U176" s="5"/>
      <c r="V176" s="5">
        <f>SUBTOTAL(1,V160:V175)</f>
        <v>48.5714285714286</v>
      </c>
      <c r="W176" s="5"/>
      <c r="X176" s="13">
        <f>SUBTOTAL(1,X160:X175)</f>
        <v>45.4214285714286</v>
      </c>
      <c r="Y176" s="13">
        <f>SUBTOTAL(1,Y160:Y175)</f>
        <v>63.0267857142857</v>
      </c>
      <c r="Z176" s="19"/>
    </row>
    <row r="177" ht="15.6" hidden="1" outlineLevel="2" spans="1:26">
      <c r="A177" s="5">
        <v>313</v>
      </c>
      <c r="B177" s="5">
        <v>17</v>
      </c>
      <c r="C177" s="8" t="s">
        <v>645</v>
      </c>
      <c r="D177" s="9" t="s">
        <v>46</v>
      </c>
      <c r="E177" s="5">
        <v>21.7</v>
      </c>
      <c r="F177" s="7">
        <f>LOOKUP(E177,{0,1.5,2.3,3.1,3.9,4.7,5.5,6.8,8.1,9.4,10.7,12,13.3,14.6,15.9,17.2,18.5,20.2,21.9,23.6,25.3},{0,10,20,30,40,50,60,62,64,66,68,70,72,74,76,78,80,85,90,95,100})</f>
        <v>85</v>
      </c>
      <c r="G177" s="5">
        <v>185</v>
      </c>
      <c r="H177" s="7">
        <f>LOOKUP(G177,{0,125,130,135,140,145,150,153,156,159,162,165,168,171,174,177,180,187,194,200,206},{0,10,20,30,40,50,60,62,64,66,68,70,72,74,76,78,80,85,90,95,100})</f>
        <v>80</v>
      </c>
      <c r="I177" s="5">
        <v>47</v>
      </c>
      <c r="J177" s="7">
        <f>LOOKUP(I177,{0,15,17,19,21,23,25,27,29,31,33,35,37,39,41,43,45,48,51,53,55},{0,10,20,30,40,50,60,62,64,66,68,70,72,74,76,78,80,85,90,95,100})</f>
        <v>80</v>
      </c>
      <c r="K177" s="5"/>
      <c r="L177" s="5"/>
      <c r="M177" s="5">
        <f t="shared" ref="M177:M189" si="94">J177+L177</f>
        <v>80</v>
      </c>
      <c r="N177" s="5">
        <v>8.3</v>
      </c>
      <c r="O177" s="10">
        <f t="shared" ref="O177:O189" si="95">18-N177</f>
        <v>9.7</v>
      </c>
      <c r="P177" s="7">
        <f>LOOKUP(O177,{0,6.6,6.8,7,7.2,7.4,7.6,7.8,8,8.2,8.4,8.6,8.8,9,9.2,9.4,9.6,9.9,10.2,10.3,10.4},{0,10,20,30,40,50,60,62,64,66,68,70,72,74,76,78,80,85,90,95,100})</f>
        <v>80</v>
      </c>
      <c r="Q177" s="5">
        <v>3.18</v>
      </c>
      <c r="R177" s="10">
        <f>10-Q177</f>
        <v>6.82</v>
      </c>
      <c r="S177" s="7">
        <f>LOOKUP(R177,{0,4.74,4.84,4.94,5.44,5.54,5.64,5.69,5.74,5.79,5.84,5.89,5.94,5.99,6.44,6.49,6.54,6.61,6.68,6.74,6.8},{0,10,20,30,40,50,60,62,64,66,68,70,72,74,76,78,80,85,90,95,100})</f>
        <v>100</v>
      </c>
      <c r="T177" s="10">
        <f>3.2-Q177</f>
        <v>0.02</v>
      </c>
      <c r="U177" s="7">
        <f>LOOKUP(T177,{0,0.05,0.1,0.15,0.2,0.25,0.3,0.35,0.4,0.45,0.5},{0,1,2,3,4,5,6,7,8,9,10})</f>
        <v>0</v>
      </c>
      <c r="V177" s="5">
        <f>S177+U177</f>
        <v>100</v>
      </c>
      <c r="W177" s="5"/>
      <c r="X177" s="13">
        <f>F177*0.1+H177*0.1+J177*0.1+P177*0.2+S177*0.2</f>
        <v>60.5</v>
      </c>
      <c r="Y177" s="13">
        <f>X177/0.7+L177+U177</f>
        <v>86.4285714285714</v>
      </c>
      <c r="Z177" s="19"/>
    </row>
    <row r="178" ht="15.6" hidden="1" outlineLevel="2" spans="1:26">
      <c r="A178" s="5">
        <v>313</v>
      </c>
      <c r="B178" s="5">
        <v>18</v>
      </c>
      <c r="C178" s="9" t="s">
        <v>646</v>
      </c>
      <c r="D178" s="9" t="s">
        <v>46</v>
      </c>
      <c r="E178" s="5">
        <v>27</v>
      </c>
      <c r="F178" s="7">
        <f>LOOKUP(E178,{0,1.5,2.3,3.1,3.9,4.7,5.5,6.8,8.1,9.4,10.7,12,13.3,14.6,15.9,17.2,18.5,20.2,21.9,23.6,25.3},{0,10,20,30,40,50,60,62,64,66,68,70,72,74,76,78,80,85,90,95,100})</f>
        <v>100</v>
      </c>
      <c r="G178" s="5">
        <v>188</v>
      </c>
      <c r="H178" s="7">
        <f>LOOKUP(G178,{0,125,130,135,140,145,150,153,156,159,162,165,168,171,174,177,180,187,194,200,206},{0,10,20,30,40,50,60,62,64,66,68,70,72,74,76,78,80,85,90,95,100})</f>
        <v>85</v>
      </c>
      <c r="I178" s="5">
        <v>50</v>
      </c>
      <c r="J178" s="7">
        <f>LOOKUP(I178,{0,15,17,19,21,23,25,27,29,31,33,35,37,39,41,43,45,48,51,53,55},{0,10,20,30,40,50,60,62,64,66,68,70,72,74,76,78,80,85,90,95,100})</f>
        <v>85</v>
      </c>
      <c r="K178" s="5"/>
      <c r="L178" s="5"/>
      <c r="M178" s="5">
        <f t="shared" si="94"/>
        <v>85</v>
      </c>
      <c r="N178" s="5">
        <v>9.1</v>
      </c>
      <c r="O178" s="10">
        <f t="shared" si="95"/>
        <v>8.9</v>
      </c>
      <c r="P178" s="7">
        <f>LOOKUP(O178,{0,6.6,6.8,7,7.2,7.4,7.6,7.8,8,8.2,8.4,8.6,8.8,9,9.2,9.4,9.6,9.9,10.2,10.3,10.4},{0,10,20,30,40,50,60,62,64,66,68,70,72,74,76,78,80,85,90,95,100})</f>
        <v>72</v>
      </c>
      <c r="Q178" s="5">
        <v>4.18</v>
      </c>
      <c r="R178" s="10">
        <f>10-Q178</f>
        <v>5.82</v>
      </c>
      <c r="S178" s="7">
        <f>LOOKUP(R178,{0,4.74,4.84,4.94,5.44,5.54,5.64,5.69,5.74,5.79,5.84,5.89,5.94,5.99,6.44,6.49,6.54,6.61,6.68,6.74,6.8},{0,10,20,30,40,50,60,62,64,66,68,70,72,74,76,78,80,85,90,95,100})</f>
        <v>66</v>
      </c>
      <c r="T178" s="5"/>
      <c r="U178" s="5"/>
      <c r="V178" s="5">
        <f>S178+U178</f>
        <v>66</v>
      </c>
      <c r="W178" s="5"/>
      <c r="X178" s="13">
        <f>F178*0.1+H178*0.1+J178*0.1+P178*0.2+S178*0.2</f>
        <v>54.6</v>
      </c>
      <c r="Y178" s="13">
        <f>X178/0.7+L178+U178</f>
        <v>78</v>
      </c>
      <c r="Z178" s="19"/>
    </row>
    <row r="179" hidden="1" outlineLevel="2" spans="1:26">
      <c r="A179" s="5">
        <v>313</v>
      </c>
      <c r="B179" s="5">
        <v>19</v>
      </c>
      <c r="C179" s="9" t="s">
        <v>647</v>
      </c>
      <c r="D179" s="9" t="s">
        <v>46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>
        <v>50</v>
      </c>
      <c r="X179" s="18"/>
      <c r="Y179" s="13">
        <v>50</v>
      </c>
      <c r="Z179" s="19"/>
    </row>
    <row r="180" hidden="1" outlineLevel="2" spans="1:26">
      <c r="A180" s="5">
        <v>313</v>
      </c>
      <c r="B180" s="5">
        <v>20</v>
      </c>
      <c r="C180" s="9" t="s">
        <v>648</v>
      </c>
      <c r="D180" s="9" t="s">
        <v>46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>
        <v>50</v>
      </c>
      <c r="X180" s="13"/>
      <c r="Y180" s="13">
        <v>50</v>
      </c>
      <c r="Z180" s="19"/>
    </row>
    <row r="181" ht="15.6" hidden="1" outlineLevel="2" spans="1:26">
      <c r="A181" s="5">
        <v>313</v>
      </c>
      <c r="B181" s="5">
        <v>21</v>
      </c>
      <c r="C181" s="9" t="s">
        <v>649</v>
      </c>
      <c r="D181" s="9" t="s">
        <v>46</v>
      </c>
      <c r="E181" s="5">
        <v>18.5</v>
      </c>
      <c r="F181" s="7">
        <f>LOOKUP(E181,{0,1.5,2.3,3.1,3.9,4.7,5.5,6.8,8.1,9.4,10.7,12,13.3,14.6,15.9,17.2,18.5,20.2,21.9,23.6,25.3},{0,10,20,30,40,50,60,62,64,66,68,70,72,74,76,78,80,85,90,95,100})</f>
        <v>80</v>
      </c>
      <c r="G181" s="5">
        <v>175</v>
      </c>
      <c r="H181" s="7">
        <f>LOOKUP(G181,{0,125,130,135,140,145,150,153,156,159,162,165,168,171,174,177,180,187,194,200,206},{0,10,20,30,40,50,60,62,64,66,68,70,72,74,76,78,80,85,90,95,100})</f>
        <v>76</v>
      </c>
      <c r="I181" s="5">
        <v>44</v>
      </c>
      <c r="J181" s="7">
        <f>LOOKUP(I181,{0,15,17,19,21,23,25,27,29,31,33,35,37,39,41,43,45,48,51,53,55},{0,10,20,30,40,50,60,62,64,66,68,70,72,74,76,78,80,85,90,95,100})</f>
        <v>78</v>
      </c>
      <c r="K181" s="5"/>
      <c r="L181" s="5"/>
      <c r="M181" s="5">
        <f t="shared" si="94"/>
        <v>78</v>
      </c>
      <c r="N181" s="5">
        <v>8.7</v>
      </c>
      <c r="O181" s="10">
        <f t="shared" si="95"/>
        <v>9.3</v>
      </c>
      <c r="P181" s="7">
        <f>LOOKUP(O181,{0,6.6,6.8,7,7.2,7.4,7.6,7.8,8,8.2,8.4,8.6,8.8,9,9.2,9.4,9.6,9.9,10.2,10.3,10.4},{0,10,20,30,40,50,60,62,64,66,68,70,72,74,76,78,80,85,90,95,100})</f>
        <v>76</v>
      </c>
      <c r="Q181" s="5">
        <v>3.47</v>
      </c>
      <c r="R181" s="10">
        <f t="shared" ref="R181:R189" si="96">10-Q181</f>
        <v>6.53</v>
      </c>
      <c r="S181" s="7">
        <f>LOOKUP(R181,{0,4.74,4.84,4.94,5.44,5.54,5.64,5.69,5.74,5.79,5.84,5.89,5.94,5.99,6.44,6.49,6.54,6.61,6.68,6.74,6.8},{0,10,20,30,40,50,60,62,64,66,68,70,72,74,76,78,80,85,90,95,100})</f>
        <v>78</v>
      </c>
      <c r="T181" s="5"/>
      <c r="U181" s="5"/>
      <c r="V181" s="5">
        <f t="shared" ref="V181:V189" si="97">S181+U181</f>
        <v>78</v>
      </c>
      <c r="W181" s="5"/>
      <c r="X181" s="13">
        <f t="shared" ref="X181:X189" si="98">F181*0.1+H181*0.1+J181*0.1+P181*0.2+S181*0.2</f>
        <v>54.2</v>
      </c>
      <c r="Y181" s="13">
        <f t="shared" ref="Y181:Y189" si="99">X181/0.7+L181+U181</f>
        <v>77.4285714285714</v>
      </c>
      <c r="Z181" s="19"/>
    </row>
    <row r="182" ht="15.6" hidden="1" outlineLevel="2" spans="1:26">
      <c r="A182" s="5">
        <v>313</v>
      </c>
      <c r="B182" s="5">
        <v>22</v>
      </c>
      <c r="C182" s="9" t="s">
        <v>650</v>
      </c>
      <c r="D182" s="9" t="s">
        <v>46</v>
      </c>
      <c r="E182" s="5">
        <v>15.1</v>
      </c>
      <c r="F182" s="7">
        <f>LOOKUP(E182,{0,1.5,2.3,3.1,3.9,4.7,5.5,6.8,8.1,9.4,10.7,12,13.3,14.6,15.9,17.2,18.5,20.2,21.9,23.6,25.3},{0,10,20,30,40,50,60,62,64,66,68,70,72,74,76,78,80,85,90,95,100})</f>
        <v>74</v>
      </c>
      <c r="G182" s="5">
        <v>169</v>
      </c>
      <c r="H182" s="7">
        <f>LOOKUP(G182,{0,125,130,135,140,145,150,153,156,159,162,165,168,171,174,177,180,187,194,200,206},{0,10,20,30,40,50,60,62,64,66,68,70,72,74,76,78,80,85,90,95,100})</f>
        <v>72</v>
      </c>
      <c r="I182" s="5">
        <v>48</v>
      </c>
      <c r="J182" s="7">
        <f>LOOKUP(I182,{0,15,17,19,21,23,25,27,29,31,33,35,37,39,41,43,45,48,51,53,55},{0,10,20,30,40,50,60,62,64,66,68,70,72,74,76,78,80,85,90,95,100})</f>
        <v>85</v>
      </c>
      <c r="K182" s="5"/>
      <c r="L182" s="5"/>
      <c r="M182" s="5">
        <f t="shared" si="94"/>
        <v>85</v>
      </c>
      <c r="N182" s="5">
        <v>8.7</v>
      </c>
      <c r="O182" s="10">
        <f t="shared" si="95"/>
        <v>9.3</v>
      </c>
      <c r="P182" s="7">
        <f>LOOKUP(O182,{0,6.6,6.8,7,7.2,7.4,7.6,7.8,8,8.2,8.4,8.6,8.8,9,9.2,9.4,9.6,9.9,10.2,10.3,10.4},{0,10,20,30,40,50,60,62,64,66,68,70,72,74,76,78,80,85,90,95,100})</f>
        <v>76</v>
      </c>
      <c r="Q182" s="5">
        <v>3.51</v>
      </c>
      <c r="R182" s="10">
        <f t="shared" si="96"/>
        <v>6.49</v>
      </c>
      <c r="S182" s="7">
        <f>LOOKUP(R182,{0,4.74,4.84,4.94,5.44,5.54,5.64,5.69,5.74,5.79,5.84,5.89,5.94,5.99,6.44,6.49,6.54,6.61,6.68,6.74,6.8},{0,10,20,30,40,50,60,62,64,66,68,70,72,74,76,78,80,85,90,95,100})</f>
        <v>78</v>
      </c>
      <c r="T182" s="5"/>
      <c r="U182" s="5"/>
      <c r="V182" s="5">
        <f t="shared" si="97"/>
        <v>78</v>
      </c>
      <c r="W182" s="5"/>
      <c r="X182" s="13">
        <f t="shared" si="98"/>
        <v>53.9</v>
      </c>
      <c r="Y182" s="13">
        <f t="shared" si="99"/>
        <v>77</v>
      </c>
      <c r="Z182" s="19"/>
    </row>
    <row r="183" ht="15.6" hidden="1" outlineLevel="2" spans="1:26">
      <c r="A183" s="5">
        <v>313</v>
      </c>
      <c r="B183" s="5">
        <v>23</v>
      </c>
      <c r="C183" s="9" t="s">
        <v>651</v>
      </c>
      <c r="D183" s="9" t="s">
        <v>46</v>
      </c>
      <c r="E183" s="5">
        <v>13.4</v>
      </c>
      <c r="F183" s="7">
        <f>LOOKUP(E183,{0,1.5,2.3,3.1,3.9,4.7,5.5,6.8,8.1,9.4,10.7,12,13.3,14.6,15.9,17.2,18.5,20.2,21.9,23.6,25.3},{0,10,20,30,40,50,60,62,64,66,68,70,72,74,76,78,80,85,90,95,100})</f>
        <v>72</v>
      </c>
      <c r="G183" s="5">
        <v>175</v>
      </c>
      <c r="H183" s="7">
        <f>LOOKUP(G183,{0,125,130,135,140,145,150,153,156,159,162,165,168,171,174,177,180,187,194,200,206},{0,10,20,30,40,50,60,62,64,66,68,70,72,74,76,78,80,85,90,95,100})</f>
        <v>76</v>
      </c>
      <c r="I183" s="5">
        <v>57</v>
      </c>
      <c r="J183" s="7">
        <f>LOOKUP(I183,{0,15,17,19,21,23,25,27,29,31,33,35,37,39,41,43,45,48,51,53,55},{0,10,20,30,40,50,60,62,64,66,68,70,72,74,76,78,80,85,90,95,100})</f>
        <v>100</v>
      </c>
      <c r="K183" s="11">
        <f>I183-55</f>
        <v>2</v>
      </c>
      <c r="L183" s="7">
        <f>LOOKUP(K183,{0,2,4,6,7,8,9,10,11,12,13},{0,1,2,3,4,5,6,7,8,9,10})</f>
        <v>1</v>
      </c>
      <c r="M183" s="5">
        <f t="shared" si="94"/>
        <v>101</v>
      </c>
      <c r="N183" s="5">
        <v>8.9</v>
      </c>
      <c r="O183" s="10">
        <f t="shared" si="95"/>
        <v>9.1</v>
      </c>
      <c r="P183" s="7">
        <f>LOOKUP(O183,{0,6.6,6.8,7,7.2,7.4,7.6,7.8,8,8.2,8.4,8.6,8.8,9,9.2,9.4,9.6,9.9,10.2,10.3,10.4},{0,10,20,30,40,50,60,62,64,66,68,70,72,74,76,78,80,85,90,95,100})</f>
        <v>74</v>
      </c>
      <c r="Q183" s="5">
        <v>4.17</v>
      </c>
      <c r="R183" s="10">
        <f t="shared" si="96"/>
        <v>5.83</v>
      </c>
      <c r="S183" s="7">
        <f>LOOKUP(R183,{0,4.74,4.84,4.94,5.44,5.54,5.64,5.69,5.74,5.79,5.84,5.89,5.94,5.99,6.44,6.49,6.54,6.61,6.68,6.74,6.8},{0,10,20,30,40,50,60,62,64,66,68,70,72,74,76,78,80,85,90,95,100})</f>
        <v>66</v>
      </c>
      <c r="T183" s="5"/>
      <c r="U183" s="5"/>
      <c r="V183" s="5">
        <f t="shared" si="97"/>
        <v>66</v>
      </c>
      <c r="W183" s="5"/>
      <c r="X183" s="13">
        <f t="shared" si="98"/>
        <v>52.8</v>
      </c>
      <c r="Y183" s="13">
        <f t="shared" si="99"/>
        <v>76.4285714285714</v>
      </c>
      <c r="Z183" s="19"/>
    </row>
    <row r="184" ht="15.6" hidden="1" outlineLevel="2" spans="1:26">
      <c r="A184" s="5">
        <v>313</v>
      </c>
      <c r="B184" s="5">
        <v>24</v>
      </c>
      <c r="C184" s="9" t="s">
        <v>652</v>
      </c>
      <c r="D184" s="9" t="s">
        <v>46</v>
      </c>
      <c r="E184" s="5">
        <v>24</v>
      </c>
      <c r="F184" s="7">
        <f>LOOKUP(E184,{0,1.5,2.3,3.1,3.9,4.7,5.5,6.8,8.1,9.4,10.7,12,13.3,14.6,15.9,17.2,18.5,20.2,21.9,23.6,25.3},{0,10,20,30,40,50,60,62,64,66,68,70,72,74,76,78,80,85,90,95,100})</f>
        <v>95</v>
      </c>
      <c r="G184" s="5">
        <v>180</v>
      </c>
      <c r="H184" s="7">
        <f>LOOKUP(G184,{0,125,130,135,140,145,150,153,156,159,162,165,168,171,174,177,180,187,194,200,206},{0,10,20,30,40,50,60,62,64,66,68,70,72,74,76,78,80,85,90,95,100})</f>
        <v>80</v>
      </c>
      <c r="I184" s="5">
        <v>42</v>
      </c>
      <c r="J184" s="7">
        <f>LOOKUP(I184,{0,15,17,19,21,23,25,27,29,31,33,35,37,39,41,43,45,48,51,53,55},{0,10,20,30,40,50,60,62,64,66,68,70,72,74,76,78,80,85,90,95,100})</f>
        <v>76</v>
      </c>
      <c r="K184" s="5"/>
      <c r="L184" s="5"/>
      <c r="M184" s="5">
        <f t="shared" si="94"/>
        <v>76</v>
      </c>
      <c r="N184" s="5">
        <v>9.2</v>
      </c>
      <c r="O184" s="10">
        <f t="shared" si="95"/>
        <v>8.8</v>
      </c>
      <c r="P184" s="7">
        <f>LOOKUP(O184,{0,6.6,6.8,7,7.2,7.4,7.6,7.8,8,8.2,8.4,8.6,8.8,9,9.2,9.4,9.6,9.9,10.2,10.3,10.4},{0,10,20,30,40,50,60,62,64,66,68,70,72,74,76,78,80,85,90,95,100})</f>
        <v>72</v>
      </c>
      <c r="Q184" s="5">
        <v>4.3</v>
      </c>
      <c r="R184" s="10">
        <f t="shared" si="96"/>
        <v>5.7</v>
      </c>
      <c r="S184" s="7">
        <f>LOOKUP(R184,{0,4.74,4.84,4.94,5.44,5.54,5.64,5.69,5.74,5.79,5.84,5.89,5.94,5.99,6.44,6.49,6.54,6.61,6.68,6.74,6.8},{0,10,20,30,40,50,60,62,64,66,68,70,72,74,76,78,80,85,90,95,100})</f>
        <v>62</v>
      </c>
      <c r="T184" s="5"/>
      <c r="U184" s="5"/>
      <c r="V184" s="5">
        <f t="shared" si="97"/>
        <v>62</v>
      </c>
      <c r="W184" s="5"/>
      <c r="X184" s="13">
        <f t="shared" si="98"/>
        <v>51.9</v>
      </c>
      <c r="Y184" s="13">
        <f t="shared" si="99"/>
        <v>74.1428571428571</v>
      </c>
      <c r="Z184" s="19"/>
    </row>
    <row r="185" ht="15.6" hidden="1" outlineLevel="2" spans="1:26">
      <c r="A185" s="5">
        <v>313</v>
      </c>
      <c r="B185" s="5">
        <v>25</v>
      </c>
      <c r="C185" s="9" t="s">
        <v>653</v>
      </c>
      <c r="D185" s="9" t="s">
        <v>46</v>
      </c>
      <c r="E185" s="5">
        <v>10</v>
      </c>
      <c r="F185" s="7">
        <f>LOOKUP(E185,{0,1.5,2.3,3.1,3.9,4.7,5.5,6.8,8.1,9.4,10.7,12,13.3,14.6,15.9,17.2,18.5,20.2,21.9,23.6,25.3},{0,10,20,30,40,50,60,62,64,66,68,70,72,74,76,78,80,85,90,95,100})</f>
        <v>66</v>
      </c>
      <c r="G185" s="5">
        <v>150</v>
      </c>
      <c r="H185" s="7">
        <f>LOOKUP(G185,{0,125,130,135,140,145,150,153,156,159,162,165,168,171,174,177,180,187,194,200,206},{0,10,20,30,40,50,60,62,64,66,68,70,72,74,76,78,80,85,90,95,100})</f>
        <v>60</v>
      </c>
      <c r="I185" s="5">
        <v>30</v>
      </c>
      <c r="J185" s="7">
        <f>LOOKUP(I185,{0,15,17,19,21,23,25,27,29,31,33,35,37,39,41,43,45,48,51,53,55},{0,10,20,30,40,50,60,62,64,66,68,70,72,74,76,78,80,85,90,95,100})</f>
        <v>64</v>
      </c>
      <c r="K185" s="5"/>
      <c r="L185" s="5"/>
      <c r="M185" s="5">
        <f t="shared" si="94"/>
        <v>64</v>
      </c>
      <c r="N185" s="5">
        <v>9.3</v>
      </c>
      <c r="O185" s="10">
        <f t="shared" si="95"/>
        <v>8.7</v>
      </c>
      <c r="P185" s="7">
        <f>LOOKUP(O185,{0,6.6,6.8,7,7.2,7.4,7.6,7.8,8,8.2,8.4,8.6,8.8,9,9.2,9.4,9.6,9.9,10.2,10.3,10.4},{0,10,20,30,40,50,60,62,64,66,68,70,72,74,76,78,80,85,90,95,100})</f>
        <v>70</v>
      </c>
      <c r="Q185" s="5">
        <v>4.38</v>
      </c>
      <c r="R185" s="10">
        <f t="shared" si="96"/>
        <v>5.62</v>
      </c>
      <c r="S185" s="7">
        <f>LOOKUP(R185,{0,4.74,4.84,4.94,5.44,5.54,5.64,5.69,5.74,5.79,5.84,5.89,5.94,5.99,6.44,6.49,6.54,6.61,6.68,6.74,6.8},{0,10,20,30,40,50,60,62,64,66,68,70,72,74,76,78,80,85,90,95,100})</f>
        <v>50</v>
      </c>
      <c r="T185" s="5"/>
      <c r="U185" s="5"/>
      <c r="V185" s="5">
        <f t="shared" si="97"/>
        <v>50</v>
      </c>
      <c r="W185" s="5"/>
      <c r="X185" s="13">
        <f t="shared" si="98"/>
        <v>43</v>
      </c>
      <c r="Y185" s="13">
        <f t="shared" si="99"/>
        <v>61.4285714285714</v>
      </c>
      <c r="Z185" s="20"/>
    </row>
    <row r="186" ht="15.6" hidden="1" outlineLevel="2" spans="1:26">
      <c r="A186" s="5">
        <v>313</v>
      </c>
      <c r="B186" s="5">
        <v>26</v>
      </c>
      <c r="C186" s="9" t="s">
        <v>654</v>
      </c>
      <c r="D186" s="9" t="s">
        <v>46</v>
      </c>
      <c r="E186" s="5">
        <v>4.2</v>
      </c>
      <c r="F186" s="7">
        <f>LOOKUP(E186,{0,1.5,2.3,3.1,3.9,4.7,5.5,6.8,8.1,9.4,10.7,12,13.3,14.6,15.9,17.2,18.5,20.2,21.9,23.6,25.3},{0,10,20,30,40,50,60,62,64,66,68,70,72,74,76,78,80,85,90,95,100})</f>
        <v>40</v>
      </c>
      <c r="G186" s="5">
        <v>148</v>
      </c>
      <c r="H186" s="7">
        <f>LOOKUP(G186,{0,125,130,135,140,145,150,153,156,159,162,165,168,171,174,177,180,187,194,200,206},{0,10,20,30,40,50,60,62,64,66,68,70,72,74,76,78,80,85,90,95,100})</f>
        <v>50</v>
      </c>
      <c r="I186" s="5">
        <v>35</v>
      </c>
      <c r="J186" s="7">
        <f>LOOKUP(I186,{0,15,17,19,21,23,25,27,29,31,33,35,37,39,41,43,45,48,51,53,55},{0,10,20,30,40,50,60,62,64,66,68,70,72,74,76,78,80,85,90,95,100})</f>
        <v>70</v>
      </c>
      <c r="K186" s="5"/>
      <c r="L186" s="5"/>
      <c r="M186" s="5">
        <f t="shared" si="94"/>
        <v>70</v>
      </c>
      <c r="N186" s="5">
        <v>9.1</v>
      </c>
      <c r="O186" s="10">
        <f t="shared" si="95"/>
        <v>8.9</v>
      </c>
      <c r="P186" s="7">
        <f>LOOKUP(O186,{0,6.6,6.8,7,7.2,7.4,7.6,7.8,8,8.2,8.4,8.6,8.8,9,9.2,9.4,9.6,9.9,10.2,10.3,10.4},{0,10,20,30,40,50,60,62,64,66,68,70,72,74,76,78,80,85,90,95,100})</f>
        <v>72</v>
      </c>
      <c r="Q186" s="5">
        <v>4.29</v>
      </c>
      <c r="R186" s="10">
        <f t="shared" si="96"/>
        <v>5.71</v>
      </c>
      <c r="S186" s="7">
        <f>LOOKUP(R186,{0,4.74,4.84,4.94,5.44,5.54,5.64,5.69,5.74,5.79,5.84,5.89,5.94,5.99,6.44,6.49,6.54,6.61,6.68,6.74,6.8},{0,10,20,30,40,50,60,62,64,66,68,70,72,74,76,78,80,85,90,95,100})</f>
        <v>62</v>
      </c>
      <c r="T186" s="5"/>
      <c r="U186" s="5"/>
      <c r="V186" s="5">
        <f t="shared" si="97"/>
        <v>62</v>
      </c>
      <c r="W186" s="5"/>
      <c r="X186" s="13">
        <f t="shared" si="98"/>
        <v>42.8</v>
      </c>
      <c r="Y186" s="13">
        <f t="shared" si="99"/>
        <v>61.1428571428571</v>
      </c>
      <c r="Z186" s="19"/>
    </row>
    <row r="187" ht="15.6" hidden="1" outlineLevel="2" spans="1:26">
      <c r="A187" s="5">
        <v>313</v>
      </c>
      <c r="B187" s="5">
        <v>27</v>
      </c>
      <c r="C187" s="9" t="s">
        <v>655</v>
      </c>
      <c r="D187" s="9" t="s">
        <v>46</v>
      </c>
      <c r="E187" s="5">
        <v>21.4</v>
      </c>
      <c r="F187" s="7">
        <f>LOOKUP(E187,{0,1.5,2.3,3.1,3.9,4.7,5.5,6.8,8.1,9.4,10.7,12,13.3,14.6,15.9,17.2,18.5,20.2,21.9,23.6,25.3},{0,10,20,30,40,50,60,62,64,66,68,70,72,74,76,78,80,85,90,95,100})</f>
        <v>85</v>
      </c>
      <c r="G187" s="5">
        <v>235</v>
      </c>
      <c r="H187" s="7">
        <f>LOOKUP(G187,{0,125,130,135,140,145,150,153,156,159,162,165,168,171,174,177,180,187,194,200,206},{0,10,20,30,40,50,60,62,64,66,68,70,72,74,76,78,80,85,90,95,100})</f>
        <v>100</v>
      </c>
      <c r="I187" s="5">
        <v>57</v>
      </c>
      <c r="J187" s="7">
        <f>LOOKUP(I187,{0,15,17,19,21,23,25,27,29,31,33,35,37,39,41,43,45,48,51,53,55},{0,10,20,30,40,50,60,62,64,66,68,70,72,74,76,78,80,85,90,95,100})</f>
        <v>100</v>
      </c>
      <c r="K187" s="11">
        <f>I187-55</f>
        <v>2</v>
      </c>
      <c r="L187" s="7">
        <f>LOOKUP(K187,{0,2,4,6,7,8,9,10,11,12,13},{0,1,2,3,4,5,6,7,8,9,10})</f>
        <v>1</v>
      </c>
      <c r="M187" s="5">
        <f t="shared" si="94"/>
        <v>101</v>
      </c>
      <c r="N187" s="5">
        <v>7.7</v>
      </c>
      <c r="O187" s="10">
        <f t="shared" si="95"/>
        <v>10.3</v>
      </c>
      <c r="P187" s="7">
        <f>LOOKUP(O187,{0,6.6,6.8,7,7.2,7.4,7.6,7.8,8,8.2,8.4,8.6,8.8,9,9.2,9.4,9.6,9.9,10.2,10.3,10.4},{0,10,20,30,40,50,60,62,64,66,68,70,72,74,76,78,80,85,90,95,100})</f>
        <v>95</v>
      </c>
      <c r="Q187" s="5">
        <v>3.07</v>
      </c>
      <c r="R187" s="10">
        <f t="shared" si="96"/>
        <v>6.93</v>
      </c>
      <c r="S187" s="7">
        <f>LOOKUP(R187,{0,4.74,4.84,4.94,5.44,5.54,5.64,5.69,5.74,5.79,5.84,5.89,5.94,5.99,6.44,6.49,6.54,6.61,6.68,6.74,6.8},{0,10,20,30,40,50,60,62,64,66,68,70,72,74,76,78,80,85,90,95,100})</f>
        <v>100</v>
      </c>
      <c r="T187" s="10">
        <f>3.2-Q187</f>
        <v>0.13</v>
      </c>
      <c r="U187" s="7">
        <f>LOOKUP(T187,{0,0.05,0.1,0.15,0.2,0.25,0.3,0.35,0.4,0.45,0.5},{0,1,2,3,4,5,6,7,8,9,10})</f>
        <v>2</v>
      </c>
      <c r="V187" s="5">
        <f t="shared" si="97"/>
        <v>102</v>
      </c>
      <c r="W187" s="5"/>
      <c r="X187" s="13">
        <f t="shared" si="98"/>
        <v>67.5</v>
      </c>
      <c r="Y187" s="13">
        <f t="shared" si="99"/>
        <v>99.4285714285714</v>
      </c>
      <c r="Z187" s="20"/>
    </row>
    <row r="188" ht="15.6" hidden="1" outlineLevel="2" spans="1:26">
      <c r="A188" s="5">
        <v>313</v>
      </c>
      <c r="B188" s="5">
        <v>28</v>
      </c>
      <c r="C188" s="8" t="s">
        <v>657</v>
      </c>
      <c r="D188" s="9" t="s">
        <v>46</v>
      </c>
      <c r="E188" s="5">
        <v>14.1</v>
      </c>
      <c r="F188" s="7">
        <f>LOOKUP(E188,{0,1.5,2.3,3.1,3.9,4.7,5.5,6.8,8.1,9.4,10.7,12,13.3,14.6,15.9,17.2,18.5,20.2,21.9,23.6,25.3},{0,10,20,30,40,50,60,62,64,66,68,70,72,74,76,78,80,85,90,95,100})</f>
        <v>72</v>
      </c>
      <c r="G188" s="5">
        <v>175</v>
      </c>
      <c r="H188" s="7">
        <f>LOOKUP(G188,{0,125,130,135,140,145,150,153,156,159,162,165,168,171,174,177,180,187,194,200,206},{0,10,20,30,40,50,60,62,64,66,68,70,72,74,76,78,80,85,90,95,100})</f>
        <v>76</v>
      </c>
      <c r="I188" s="5">
        <v>45</v>
      </c>
      <c r="J188" s="7">
        <f>LOOKUP(I188,{0,15,17,19,21,23,25,27,29,31,33,35,37,39,41,43,45,48,51,53,55},{0,10,20,30,40,50,60,62,64,66,68,70,72,74,76,78,80,85,90,95,100})</f>
        <v>80</v>
      </c>
      <c r="K188" s="5"/>
      <c r="L188" s="5"/>
      <c r="M188" s="5">
        <f t="shared" si="94"/>
        <v>80</v>
      </c>
      <c r="N188" s="5">
        <v>9.4</v>
      </c>
      <c r="O188" s="10">
        <f t="shared" si="95"/>
        <v>8.6</v>
      </c>
      <c r="P188" s="7">
        <f>LOOKUP(O188,{0,6.6,6.8,7,7.2,7.4,7.6,7.8,8,8.2,8.4,8.6,8.8,9,9.2,9.4,9.6,9.9,10.2,10.3,10.4},{0,10,20,30,40,50,60,62,64,66,68,70,72,74,76,78,80,85,90,95,100})</f>
        <v>70</v>
      </c>
      <c r="Q188" s="5">
        <v>4.4</v>
      </c>
      <c r="R188" s="10">
        <f t="shared" si="96"/>
        <v>5.6</v>
      </c>
      <c r="S188" s="7">
        <f>LOOKUP(R188,{0,4.74,4.84,4.94,5.44,5.54,5.64,5.69,5.74,5.79,5.84,5.89,5.94,5.99,6.44,6.49,6.54,6.61,6.68,6.74,6.8},{0,10,20,30,40,50,60,62,64,66,68,70,72,74,76,78,80,85,90,95,100})</f>
        <v>50</v>
      </c>
      <c r="T188" s="5"/>
      <c r="U188" s="5"/>
      <c r="V188" s="5">
        <f t="shared" si="97"/>
        <v>50</v>
      </c>
      <c r="W188" s="5"/>
      <c r="X188" s="13">
        <f t="shared" si="98"/>
        <v>46.8</v>
      </c>
      <c r="Y188" s="13">
        <f t="shared" si="99"/>
        <v>66.8571428571429</v>
      </c>
      <c r="Z188" s="19"/>
    </row>
    <row r="189" ht="15.6" hidden="1" outlineLevel="2" spans="1:26">
      <c r="A189" s="5">
        <v>313</v>
      </c>
      <c r="B189" s="5">
        <v>29</v>
      </c>
      <c r="C189" s="9" t="s">
        <v>658</v>
      </c>
      <c r="D189" s="9" t="s">
        <v>46</v>
      </c>
      <c r="E189" s="5">
        <v>15</v>
      </c>
      <c r="F189" s="7">
        <f>LOOKUP(E189,{0,1.5,2.3,3.1,3.9,4.7,5.5,6.8,8.1,9.4,10.7,12,13.3,14.6,15.9,17.2,18.5,20.2,21.9,23.6,25.3},{0,10,20,30,40,50,60,62,64,66,68,70,72,74,76,78,80,85,90,95,100})</f>
        <v>74</v>
      </c>
      <c r="G189" s="5">
        <v>165</v>
      </c>
      <c r="H189" s="7">
        <f>LOOKUP(G189,{0,125,130,135,140,145,150,153,156,159,162,165,168,171,174,177,180,187,194,200,206},{0,10,20,30,40,50,60,62,64,66,68,70,72,74,76,78,80,85,90,95,100})</f>
        <v>70</v>
      </c>
      <c r="I189" s="5">
        <v>40</v>
      </c>
      <c r="J189" s="7">
        <f>LOOKUP(I189,{0,15,17,19,21,23,25,27,29,31,33,35,37,39,41,43,45,48,51,53,55},{0,10,20,30,40,50,60,62,64,66,68,70,72,74,76,78,80,85,90,95,100})</f>
        <v>74</v>
      </c>
      <c r="K189" s="5"/>
      <c r="L189" s="5"/>
      <c r="M189" s="5">
        <f t="shared" si="94"/>
        <v>74</v>
      </c>
      <c r="N189" s="5">
        <v>9.7</v>
      </c>
      <c r="O189" s="10">
        <f t="shared" si="95"/>
        <v>8.3</v>
      </c>
      <c r="P189" s="7">
        <f>LOOKUP(O189,{0,6.6,6.8,7,7.2,7.4,7.6,7.8,8,8.2,8.4,8.6,8.8,9,9.2,9.4,9.6,9.9,10.2,10.3,10.4},{0,10,20,30,40,50,60,62,64,66,68,70,72,74,76,78,80,85,90,95,100})</f>
        <v>66</v>
      </c>
      <c r="Q189" s="5">
        <v>4</v>
      </c>
      <c r="R189" s="10">
        <f t="shared" si="96"/>
        <v>6</v>
      </c>
      <c r="S189" s="7">
        <f>LOOKUP(R189,{0,4.74,4.84,4.94,5.44,5.54,5.64,5.69,5.74,5.79,5.84,5.89,5.94,5.99,6.44,6.49,6.54,6.61,6.68,6.74,6.8},{0,10,20,30,40,50,60,62,64,66,68,70,72,74,76,78,80,85,90,95,100})</f>
        <v>74</v>
      </c>
      <c r="T189" s="5"/>
      <c r="U189" s="5"/>
      <c r="V189" s="5">
        <f t="shared" si="97"/>
        <v>74</v>
      </c>
      <c r="W189" s="5"/>
      <c r="X189" s="13">
        <f t="shared" si="98"/>
        <v>49.8</v>
      </c>
      <c r="Y189" s="13">
        <f t="shared" si="99"/>
        <v>71.1428571428571</v>
      </c>
      <c r="Z189" s="19"/>
    </row>
    <row r="190" hidden="1" outlineLevel="2" spans="1:26">
      <c r="A190" s="5">
        <v>313</v>
      </c>
      <c r="B190" s="5">
        <v>30</v>
      </c>
      <c r="C190" s="9" t="s">
        <v>659</v>
      </c>
      <c r="D190" s="9" t="s">
        <v>46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>
        <v>50</v>
      </c>
      <c r="X190" s="13"/>
      <c r="Y190" s="13">
        <v>50</v>
      </c>
      <c r="Z190" s="19"/>
    </row>
    <row r="191" ht="15.6" hidden="1" outlineLevel="2" spans="1:26">
      <c r="A191" s="5">
        <v>313</v>
      </c>
      <c r="B191" s="5">
        <v>31</v>
      </c>
      <c r="C191" s="9" t="s">
        <v>660</v>
      </c>
      <c r="D191" s="9" t="s">
        <v>46</v>
      </c>
      <c r="E191" s="5">
        <v>12</v>
      </c>
      <c r="F191" s="7">
        <f>LOOKUP(E191,{0,1.5,2.3,3.1,3.9,4.7,5.5,6.8,8.1,9.4,10.7,12,13.3,14.6,15.9,17.2,18.5,20.2,21.9,23.6,25.3},{0,10,20,30,40,50,60,62,64,66,68,70,72,74,76,78,80,85,90,95,100})</f>
        <v>70</v>
      </c>
      <c r="G191" s="5">
        <v>165</v>
      </c>
      <c r="H191" s="7">
        <f>LOOKUP(G191,{0,125,130,135,140,145,150,153,156,159,162,165,168,171,174,177,180,187,194,200,206},{0,10,20,30,40,50,60,62,64,66,68,70,72,74,76,78,80,85,90,95,100})</f>
        <v>70</v>
      </c>
      <c r="I191" s="5">
        <v>47</v>
      </c>
      <c r="J191" s="7">
        <f>LOOKUP(I191,{0,15,17,19,21,23,25,27,29,31,33,35,37,39,41,43,45,48,51,53,55},{0,10,20,30,40,50,60,62,64,66,68,70,72,74,76,78,80,85,90,95,100})</f>
        <v>80</v>
      </c>
      <c r="K191" s="5"/>
      <c r="L191" s="5"/>
      <c r="M191" s="5">
        <f t="shared" ref="M191:M193" si="100">J191+L191</f>
        <v>80</v>
      </c>
      <c r="N191" s="5">
        <v>9.7</v>
      </c>
      <c r="O191" s="10">
        <f t="shared" ref="O191:O193" si="101">18-N191</f>
        <v>8.3</v>
      </c>
      <c r="P191" s="7">
        <f>LOOKUP(O191,{0,6.6,6.8,7,7.2,7.4,7.6,7.8,8,8.2,8.4,8.6,8.8,9,9.2,9.4,9.6,9.9,10.2,10.3,10.4},{0,10,20,30,40,50,60,62,64,66,68,70,72,74,76,78,80,85,90,95,100})</f>
        <v>66</v>
      </c>
      <c r="Q191" s="5">
        <v>4.39</v>
      </c>
      <c r="R191" s="10">
        <f t="shared" ref="R191:R193" si="102">10-Q191</f>
        <v>5.61</v>
      </c>
      <c r="S191" s="7">
        <f>LOOKUP(R191,{0,4.74,4.84,4.94,5.44,5.54,5.64,5.69,5.74,5.79,5.84,5.89,5.94,5.99,6.44,6.49,6.54,6.61,6.68,6.74,6.8},{0,10,20,30,40,50,60,62,64,66,68,70,72,74,76,78,80,85,90,95,100})</f>
        <v>50</v>
      </c>
      <c r="T191" s="5"/>
      <c r="U191" s="5"/>
      <c r="V191" s="5">
        <f t="shared" ref="V191:V193" si="103">S191+U191</f>
        <v>50</v>
      </c>
      <c r="W191" s="5"/>
      <c r="X191" s="13">
        <f t="shared" ref="X191:X193" si="104">F191*0.1+H191*0.1+J191*0.1+P191*0.2+S191*0.2</f>
        <v>45.2</v>
      </c>
      <c r="Y191" s="13">
        <f t="shared" ref="Y191:Y193" si="105">X191/0.7+L191+U191</f>
        <v>64.5714285714286</v>
      </c>
      <c r="Z191" s="19"/>
    </row>
    <row r="192" ht="15.6" hidden="1" outlineLevel="2" spans="1:26">
      <c r="A192" s="5">
        <v>313</v>
      </c>
      <c r="B192" s="5">
        <v>32</v>
      </c>
      <c r="C192" s="9" t="s">
        <v>661</v>
      </c>
      <c r="D192" s="9" t="s">
        <v>46</v>
      </c>
      <c r="E192" s="5">
        <v>13</v>
      </c>
      <c r="F192" s="7">
        <f>LOOKUP(E192,{0,1.5,2.3,3.1,3.9,4.7,5.5,6.8,8.1,9.4,10.7,12,13.3,14.6,15.9,17.2,18.5,20.2,21.9,23.6,25.3},{0,10,20,30,40,50,60,62,64,66,68,70,72,74,76,78,80,85,90,95,100})</f>
        <v>70</v>
      </c>
      <c r="G192" s="5">
        <v>185</v>
      </c>
      <c r="H192" s="7">
        <f>LOOKUP(G192,{0,125,130,135,140,145,150,153,156,159,162,165,168,171,174,177,180,187,194,200,206},{0,10,20,30,40,50,60,62,64,66,68,70,72,74,76,78,80,85,90,95,100})</f>
        <v>80</v>
      </c>
      <c r="I192" s="5">
        <v>35</v>
      </c>
      <c r="J192" s="7">
        <f>LOOKUP(I192,{0,15,17,19,21,23,25,27,29,31,33,35,37,39,41,43,45,48,51,53,55},{0,10,20,30,40,50,60,62,64,66,68,70,72,74,76,78,80,85,90,95,100})</f>
        <v>70</v>
      </c>
      <c r="K192" s="5"/>
      <c r="L192" s="5"/>
      <c r="M192" s="5">
        <f t="shared" si="100"/>
        <v>70</v>
      </c>
      <c r="N192" s="5">
        <v>9.1</v>
      </c>
      <c r="O192" s="10">
        <f t="shared" si="101"/>
        <v>8.9</v>
      </c>
      <c r="P192" s="7">
        <f>LOOKUP(O192,{0,6.6,6.8,7,7.2,7.4,7.6,7.8,8,8.2,8.4,8.6,8.8,9,9.2,9.4,9.6,9.9,10.2,10.3,10.4},{0,10,20,30,40,50,60,62,64,66,68,70,72,74,76,78,80,85,90,95,100})</f>
        <v>72</v>
      </c>
      <c r="Q192" s="5">
        <v>3.57</v>
      </c>
      <c r="R192" s="10">
        <f t="shared" si="102"/>
        <v>6.43</v>
      </c>
      <c r="S192" s="7">
        <f>LOOKUP(R192,{0,4.74,4.84,4.94,5.44,5.54,5.64,5.69,5.74,5.79,5.84,5.89,5.94,5.99,6.44,6.49,6.54,6.61,6.68,6.74,6.8},{0,10,20,30,40,50,60,62,64,66,68,70,72,74,76,78,80,85,90,95,100})</f>
        <v>74</v>
      </c>
      <c r="T192" s="5"/>
      <c r="U192" s="5"/>
      <c r="V192" s="5">
        <f t="shared" si="103"/>
        <v>74</v>
      </c>
      <c r="W192" s="5"/>
      <c r="X192" s="13">
        <f t="shared" si="104"/>
        <v>51.2</v>
      </c>
      <c r="Y192" s="13">
        <f t="shared" si="105"/>
        <v>73.1428571428572</v>
      </c>
      <c r="Z192" s="19"/>
    </row>
    <row r="193" ht="15.6" hidden="1" outlineLevel="2" spans="1:26">
      <c r="A193" s="5">
        <v>313</v>
      </c>
      <c r="B193" s="5">
        <v>33</v>
      </c>
      <c r="C193" s="9" t="s">
        <v>662</v>
      </c>
      <c r="D193" s="9" t="s">
        <v>46</v>
      </c>
      <c r="E193" s="5">
        <v>15</v>
      </c>
      <c r="F193" s="7">
        <f>LOOKUP(E193,{0,1.5,2.3,3.1,3.9,4.7,5.5,6.8,8.1,9.4,10.7,12,13.3,14.6,15.9,17.2,18.5,20.2,21.9,23.6,25.3},{0,10,20,30,40,50,60,62,64,66,68,70,72,74,76,78,80,85,90,95,100})</f>
        <v>74</v>
      </c>
      <c r="G193" s="5">
        <v>150</v>
      </c>
      <c r="H193" s="7">
        <f>LOOKUP(G193,{0,125,130,135,140,145,150,153,156,159,162,165,168,171,174,177,180,187,194,200,206},{0,10,20,30,40,50,60,62,64,66,68,70,72,74,76,78,80,85,90,95,100})</f>
        <v>60</v>
      </c>
      <c r="I193" s="5">
        <v>30</v>
      </c>
      <c r="J193" s="7">
        <f>LOOKUP(I193,{0,15,17,19,21,23,25,27,29,31,33,35,37,39,41,43,45,48,51,53,55},{0,10,20,30,40,50,60,62,64,66,68,70,72,74,76,78,80,85,90,95,100})</f>
        <v>64</v>
      </c>
      <c r="K193" s="5"/>
      <c r="L193" s="5"/>
      <c r="M193" s="5">
        <f t="shared" si="100"/>
        <v>64</v>
      </c>
      <c r="N193" s="5">
        <v>11.3</v>
      </c>
      <c r="O193" s="10">
        <f t="shared" si="101"/>
        <v>6.7</v>
      </c>
      <c r="P193" s="7">
        <f>LOOKUP(O193,{0,6.6,6.8,7,7.2,7.4,7.6,7.8,8,8.2,8.4,8.6,8.8,9,9.2,9.4,9.6,9.9,10.2,10.3,10.4},{0,10,20,30,40,50,60,62,64,66,68,70,72,74,76,78,80,85,90,95,100})</f>
        <v>10</v>
      </c>
      <c r="Q193" s="5">
        <v>5.12</v>
      </c>
      <c r="R193" s="10">
        <f t="shared" si="102"/>
        <v>4.88</v>
      </c>
      <c r="S193" s="7">
        <f>LOOKUP(R193,{0,4.74,4.84,4.94,5.44,5.54,5.64,5.69,5.74,5.79,5.84,5.89,5.94,5.99,6.44,6.49,6.54,6.61,6.68,6.74,6.8},{0,10,20,30,40,50,60,62,64,66,68,70,72,74,76,78,80,85,90,95,100})</f>
        <v>20</v>
      </c>
      <c r="T193" s="5"/>
      <c r="U193" s="5"/>
      <c r="V193" s="5">
        <f t="shared" si="103"/>
        <v>20</v>
      </c>
      <c r="W193" s="5"/>
      <c r="X193" s="13">
        <f t="shared" si="104"/>
        <v>25.8</v>
      </c>
      <c r="Y193" s="13">
        <f t="shared" si="105"/>
        <v>36.8571428571429</v>
      </c>
      <c r="Z193" s="19"/>
    </row>
    <row r="194" hidden="1" outlineLevel="2" spans="1:26">
      <c r="A194" s="5">
        <v>313</v>
      </c>
      <c r="B194" s="5">
        <v>34</v>
      </c>
      <c r="C194" s="9" t="s">
        <v>663</v>
      </c>
      <c r="D194" s="9" t="s">
        <v>46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>
        <v>50</v>
      </c>
      <c r="X194" s="13"/>
      <c r="Y194" s="13">
        <v>50</v>
      </c>
      <c r="Z194" s="19"/>
    </row>
    <row r="195" ht="15.6" hidden="1" outlineLevel="2" spans="1:26">
      <c r="A195" s="5">
        <v>313</v>
      </c>
      <c r="B195" s="5">
        <v>35</v>
      </c>
      <c r="C195" s="9" t="s">
        <v>664</v>
      </c>
      <c r="D195" s="9" t="s">
        <v>46</v>
      </c>
      <c r="E195" s="5">
        <v>13.3</v>
      </c>
      <c r="F195" s="7">
        <f>LOOKUP(E195,{0,1.5,2.3,3.1,3.9,4.7,5.5,6.8,8.1,9.4,10.7,12,13.3,14.6,15.9,17.2,18.5,20.2,21.9,23.6,25.3},{0,10,20,30,40,50,60,62,64,66,68,70,72,74,76,78,80,85,90,95,100})</f>
        <v>72</v>
      </c>
      <c r="G195" s="5">
        <v>160</v>
      </c>
      <c r="H195" s="7">
        <f>LOOKUP(G195,{0,125,130,135,140,145,150,153,156,159,162,165,168,171,174,177,180,187,194,200,206},{0,10,20,30,40,50,60,62,64,66,68,70,72,74,76,78,80,85,90,95,100})</f>
        <v>66</v>
      </c>
      <c r="I195" s="5">
        <v>44</v>
      </c>
      <c r="J195" s="7">
        <f>LOOKUP(I195,{0,15,17,19,21,23,25,27,29,31,33,35,37,39,41,43,45,48,51,53,55},{0,10,20,30,40,50,60,62,64,66,68,70,72,74,76,78,80,85,90,95,100})</f>
        <v>78</v>
      </c>
      <c r="K195" s="5"/>
      <c r="L195" s="5"/>
      <c r="M195" s="5">
        <f t="shared" ref="M195:M197" si="106">J195+L195</f>
        <v>78</v>
      </c>
      <c r="N195" s="5">
        <v>9.6</v>
      </c>
      <c r="O195" s="10">
        <f t="shared" ref="O195:O197" si="107">18-N195</f>
        <v>8.4</v>
      </c>
      <c r="P195" s="7">
        <f>LOOKUP(O195,{0,6.6,6.8,7,7.2,7.4,7.6,7.8,8,8.2,8.4,8.6,8.8,9,9.2,9.4,9.6,9.9,10.2,10.3,10.4},{0,10,20,30,40,50,60,62,64,66,68,70,72,74,76,78,80,85,90,95,100})</f>
        <v>68</v>
      </c>
      <c r="Q195" s="5">
        <v>4.27</v>
      </c>
      <c r="R195" s="10">
        <f t="shared" ref="R195:R197" si="108">10-Q195</f>
        <v>5.73</v>
      </c>
      <c r="S195" s="7">
        <f>LOOKUP(R195,{0,4.74,4.84,4.94,5.44,5.54,5.64,5.69,5.74,5.79,5.84,5.89,5.94,5.99,6.44,6.49,6.54,6.61,6.68,6.74,6.8},{0,10,20,30,40,50,60,62,64,66,68,70,72,74,76,78,80,85,90,95,100})</f>
        <v>62</v>
      </c>
      <c r="T195" s="5"/>
      <c r="U195" s="5"/>
      <c r="V195" s="5">
        <f t="shared" ref="V195:V197" si="109">S195+U195</f>
        <v>62</v>
      </c>
      <c r="W195" s="5"/>
      <c r="X195" s="13">
        <f t="shared" ref="X195:X197" si="110">F195*0.1+H195*0.1+J195*0.1+P195*0.2+S195*0.2</f>
        <v>47.6</v>
      </c>
      <c r="Y195" s="13">
        <f t="shared" ref="Y195:Y197" si="111">X195/0.7+L195+U195</f>
        <v>68</v>
      </c>
      <c r="Z195" s="19"/>
    </row>
    <row r="196" ht="15.6" hidden="1" outlineLevel="2" spans="1:26">
      <c r="A196" s="5">
        <v>313</v>
      </c>
      <c r="B196" s="5">
        <v>36</v>
      </c>
      <c r="C196" s="9" t="s">
        <v>665</v>
      </c>
      <c r="D196" s="9" t="s">
        <v>46</v>
      </c>
      <c r="E196" s="5">
        <v>19.1</v>
      </c>
      <c r="F196" s="7">
        <f>LOOKUP(E196,{0,1.5,2.3,3.1,3.9,4.7,5.5,6.8,8.1,9.4,10.7,12,13.3,14.6,15.9,17.2,18.5,20.2,21.9,23.6,25.3},{0,10,20,30,40,50,60,62,64,66,68,70,72,74,76,78,80,85,90,95,100})</f>
        <v>80</v>
      </c>
      <c r="G196" s="5">
        <v>175</v>
      </c>
      <c r="H196" s="7">
        <f>LOOKUP(G196,{0,125,130,135,140,145,150,153,156,159,162,165,168,171,174,177,180,187,194,200,206},{0,10,20,30,40,50,60,62,64,66,68,70,72,74,76,78,80,85,90,95,100})</f>
        <v>76</v>
      </c>
      <c r="I196" s="5">
        <v>50</v>
      </c>
      <c r="J196" s="7">
        <f>LOOKUP(I196,{0,15,17,19,21,23,25,27,29,31,33,35,37,39,41,43,45,48,51,53,55},{0,10,20,30,40,50,60,62,64,66,68,70,72,74,76,78,80,85,90,95,100})</f>
        <v>85</v>
      </c>
      <c r="K196" s="5"/>
      <c r="L196" s="5"/>
      <c r="M196" s="5">
        <f t="shared" si="106"/>
        <v>85</v>
      </c>
      <c r="N196" s="5">
        <v>8.7</v>
      </c>
      <c r="O196" s="10">
        <f t="shared" si="107"/>
        <v>9.3</v>
      </c>
      <c r="P196" s="7">
        <f>LOOKUP(O196,{0,6.6,6.8,7,7.2,7.4,7.6,7.8,8,8.2,8.4,8.6,8.8,9,9.2,9.4,9.6,9.9,10.2,10.3,10.4},{0,10,20,30,40,50,60,62,64,66,68,70,72,74,76,78,80,85,90,95,100})</f>
        <v>76</v>
      </c>
      <c r="Q196" s="5">
        <v>3.44</v>
      </c>
      <c r="R196" s="10">
        <f t="shared" si="108"/>
        <v>6.56</v>
      </c>
      <c r="S196" s="7">
        <f>LOOKUP(R196,{0,4.74,4.84,4.94,5.44,5.54,5.64,5.69,5.74,5.79,5.84,5.89,5.94,5.99,6.44,6.49,6.54,6.61,6.68,6.74,6.8},{0,10,20,30,40,50,60,62,64,66,68,70,72,74,76,78,80,85,90,95,100})</f>
        <v>80</v>
      </c>
      <c r="T196" s="5"/>
      <c r="U196" s="5"/>
      <c r="V196" s="5">
        <f t="shared" si="109"/>
        <v>80</v>
      </c>
      <c r="W196" s="5"/>
      <c r="X196" s="13">
        <f t="shared" si="110"/>
        <v>55.3</v>
      </c>
      <c r="Y196" s="13">
        <f t="shared" si="111"/>
        <v>79</v>
      </c>
      <c r="Z196" s="19"/>
    </row>
    <row r="197" ht="15.6" hidden="1" outlineLevel="2" spans="1:26">
      <c r="A197" s="5">
        <v>313</v>
      </c>
      <c r="B197" s="5">
        <v>37</v>
      </c>
      <c r="C197" s="9" t="s">
        <v>666</v>
      </c>
      <c r="D197" s="9" t="s">
        <v>46</v>
      </c>
      <c r="E197" s="5">
        <v>13</v>
      </c>
      <c r="F197" s="7">
        <f>LOOKUP(E197,{0,1.5,2.3,3.1,3.9,4.7,5.5,6.8,8.1,9.4,10.7,12,13.3,14.6,15.9,17.2,18.5,20.2,21.9,23.6,25.3},{0,10,20,30,40,50,60,62,64,66,68,70,72,74,76,78,80,85,90,95,100})</f>
        <v>70</v>
      </c>
      <c r="G197" s="5">
        <v>170</v>
      </c>
      <c r="H197" s="7">
        <f>LOOKUP(G197,{0,125,130,135,140,145,150,153,156,159,162,165,168,171,174,177,180,187,194,200,206},{0,10,20,30,40,50,60,62,64,66,68,70,72,74,76,78,80,85,90,95,100})</f>
        <v>72</v>
      </c>
      <c r="I197" s="5">
        <v>47</v>
      </c>
      <c r="J197" s="7">
        <f>LOOKUP(I197,{0,15,17,19,21,23,25,27,29,31,33,35,37,39,41,43,45,48,51,53,55},{0,10,20,30,40,50,60,62,64,66,68,70,72,74,76,78,80,85,90,95,100})</f>
        <v>80</v>
      </c>
      <c r="K197" s="5"/>
      <c r="L197" s="5"/>
      <c r="M197" s="5">
        <f t="shared" si="106"/>
        <v>80</v>
      </c>
      <c r="N197" s="5">
        <v>8.7</v>
      </c>
      <c r="O197" s="10">
        <f t="shared" si="107"/>
        <v>9.3</v>
      </c>
      <c r="P197" s="7">
        <f>LOOKUP(O197,{0,6.6,6.8,7,7.2,7.4,7.6,7.8,8,8.2,8.4,8.6,8.8,9,9.2,9.4,9.6,9.9,10.2,10.3,10.4},{0,10,20,30,40,50,60,62,64,66,68,70,72,74,76,78,80,85,90,95,100})</f>
        <v>76</v>
      </c>
      <c r="Q197" s="5">
        <v>4.39</v>
      </c>
      <c r="R197" s="10">
        <f t="shared" si="108"/>
        <v>5.61</v>
      </c>
      <c r="S197" s="7">
        <f>LOOKUP(R197,{0,4.74,4.84,4.94,5.44,5.54,5.64,5.69,5.74,5.79,5.84,5.89,5.94,5.99,6.44,6.49,6.54,6.61,6.68,6.74,6.8},{0,10,20,30,40,50,60,62,64,66,68,70,72,74,76,78,80,85,90,95,100})</f>
        <v>50</v>
      </c>
      <c r="T197" s="5"/>
      <c r="U197" s="5"/>
      <c r="V197" s="5">
        <f t="shared" si="109"/>
        <v>50</v>
      </c>
      <c r="W197" s="5"/>
      <c r="X197" s="13">
        <f t="shared" si="110"/>
        <v>47.4</v>
      </c>
      <c r="Y197" s="13">
        <f t="shared" si="111"/>
        <v>67.7142857142857</v>
      </c>
      <c r="Z197" s="19"/>
    </row>
    <row r="198" hidden="1" outlineLevel="2" spans="1:26">
      <c r="A198" s="5">
        <v>313</v>
      </c>
      <c r="B198" s="5">
        <v>38</v>
      </c>
      <c r="C198" s="9" t="s">
        <v>667</v>
      </c>
      <c r="D198" s="9" t="s">
        <v>46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>
        <v>50</v>
      </c>
      <c r="X198" s="13"/>
      <c r="Y198" s="13">
        <v>50</v>
      </c>
      <c r="Z198" s="20"/>
    </row>
    <row r="199" ht="15.6" hidden="1" outlineLevel="2" spans="1:26">
      <c r="A199" s="5">
        <v>313</v>
      </c>
      <c r="B199" s="5">
        <v>39</v>
      </c>
      <c r="C199" s="8" t="s">
        <v>669</v>
      </c>
      <c r="D199" s="9" t="s">
        <v>46</v>
      </c>
      <c r="E199" s="5">
        <v>22.5</v>
      </c>
      <c r="F199" s="7">
        <f>LOOKUP(E199,{0,1.5,2.3,3.1,3.9,4.7,5.5,6.8,8.1,9.4,10.7,12,13.3,14.6,15.9,17.2,18.5,20.2,21.9,23.6,25.3},{0,10,20,30,40,50,60,62,64,66,68,70,72,74,76,78,80,85,90,95,100})</f>
        <v>90</v>
      </c>
      <c r="G199" s="5">
        <v>180</v>
      </c>
      <c r="H199" s="7">
        <f>LOOKUP(G199,{0,125,130,135,140,145,150,153,156,159,162,165,168,171,174,177,180,187,194,200,206},{0,10,20,30,40,50,60,62,64,66,68,70,72,74,76,78,80,85,90,95,100})</f>
        <v>80</v>
      </c>
      <c r="I199" s="5">
        <v>46</v>
      </c>
      <c r="J199" s="7">
        <f>LOOKUP(I199,{0,15,17,19,21,23,25,27,29,31,33,35,37,39,41,43,45,48,51,53,55},{0,10,20,30,40,50,60,62,64,66,68,70,72,74,76,78,80,85,90,95,100})</f>
        <v>80</v>
      </c>
      <c r="K199" s="5"/>
      <c r="L199" s="16"/>
      <c r="M199" s="5">
        <f t="shared" ref="M199:M201" si="112">J199+L199</f>
        <v>80</v>
      </c>
      <c r="N199" s="5">
        <v>8.9</v>
      </c>
      <c r="O199" s="10">
        <f t="shared" ref="O199:O201" si="113">18-N199</f>
        <v>9.1</v>
      </c>
      <c r="P199" s="7">
        <f>LOOKUP(O199,{0,6.6,6.8,7,7.2,7.4,7.6,7.8,8,8.2,8.4,8.6,8.8,9,9.2,9.4,9.6,9.9,10.2,10.3,10.4},{0,10,20,30,40,50,60,62,64,66,68,70,72,74,76,78,80,85,90,95,100})</f>
        <v>74</v>
      </c>
      <c r="Q199" s="5">
        <v>3.56</v>
      </c>
      <c r="R199" s="10">
        <f t="shared" ref="R199:R201" si="114">10-Q199</f>
        <v>6.44</v>
      </c>
      <c r="S199" s="7">
        <f>LOOKUP(R199,{0,4.74,4.84,4.94,5.44,5.54,5.64,5.69,5.74,5.79,5.84,5.89,5.94,5.99,6.44,6.49,6.54,6.61,6.68,6.74,6.8},{0,10,20,30,40,50,60,62,64,66,68,70,72,74,76,78,80,85,90,95,100})</f>
        <v>76</v>
      </c>
      <c r="T199" s="5"/>
      <c r="U199" s="5"/>
      <c r="V199" s="5">
        <f t="shared" ref="V199:V201" si="115">S199+U199</f>
        <v>76</v>
      </c>
      <c r="W199" s="5"/>
      <c r="X199" s="13">
        <f t="shared" ref="X199:X201" si="116">F199*0.1+H199*0.1+J199*0.1+P199*0.2+S199*0.2</f>
        <v>55</v>
      </c>
      <c r="Y199" s="13">
        <f t="shared" ref="Y199:Y201" si="117">X199/0.7+L199+U199</f>
        <v>78.5714285714286</v>
      </c>
      <c r="Z199" s="19"/>
    </row>
    <row r="200" ht="15.6" hidden="1" outlineLevel="2" spans="1:26">
      <c r="A200" s="5">
        <v>313</v>
      </c>
      <c r="B200" s="5">
        <v>40</v>
      </c>
      <c r="C200" s="9" t="s">
        <v>670</v>
      </c>
      <c r="D200" s="9" t="s">
        <v>46</v>
      </c>
      <c r="E200" s="5">
        <v>14.5</v>
      </c>
      <c r="F200" s="7">
        <f>LOOKUP(E200,{0,1.5,2.3,3.1,3.9,4.7,5.5,6.8,8.1,9.4,10.7,12,13.3,14.6,15.9,17.2,18.5,20.2,21.9,23.6,25.3},{0,10,20,30,40,50,60,62,64,66,68,70,72,74,76,78,80,85,90,95,100})</f>
        <v>72</v>
      </c>
      <c r="G200" s="5">
        <v>145</v>
      </c>
      <c r="H200" s="7">
        <f>LOOKUP(G200,{0,125,130,135,140,145,150,153,156,159,162,165,168,171,174,177,180,187,194,200,206},{0,10,20,30,40,50,60,62,64,66,68,70,72,74,76,78,80,85,90,95,100})</f>
        <v>50</v>
      </c>
      <c r="I200" s="5">
        <v>38</v>
      </c>
      <c r="J200" s="7">
        <f>LOOKUP(I200,{0,15,17,19,21,23,25,27,29,31,33,35,37,39,41,43,45,48,51,53,55},{0,10,20,30,40,50,60,62,64,66,68,70,72,74,76,78,80,85,90,95,100})</f>
        <v>72</v>
      </c>
      <c r="K200" s="5"/>
      <c r="L200" s="5"/>
      <c r="M200" s="5">
        <f t="shared" si="112"/>
        <v>72</v>
      </c>
      <c r="N200" s="5">
        <v>10.3</v>
      </c>
      <c r="O200" s="10">
        <f t="shared" si="113"/>
        <v>7.7</v>
      </c>
      <c r="P200" s="7">
        <f>LOOKUP(O200,{0,6.6,6.8,7,7.2,7.4,7.6,7.8,8,8.2,8.4,8.6,8.8,9,9.2,9.4,9.6,9.9,10.2,10.3,10.4},{0,10,20,30,40,50,60,62,64,66,68,70,72,74,76,78,80,85,90,95,100})</f>
        <v>60</v>
      </c>
      <c r="Q200" s="5">
        <v>4.09</v>
      </c>
      <c r="R200" s="10">
        <f t="shared" si="114"/>
        <v>5.91</v>
      </c>
      <c r="S200" s="7">
        <f>LOOKUP(R200,{0,4.74,4.84,4.94,5.44,5.54,5.64,5.69,5.74,5.79,5.84,5.89,5.94,5.99,6.44,6.49,6.54,6.61,6.68,6.74,6.8},{0,10,20,30,40,50,60,62,64,66,68,70,72,74,76,78,80,85,90,95,100})</f>
        <v>70</v>
      </c>
      <c r="T200" s="5"/>
      <c r="U200" s="5"/>
      <c r="V200" s="5">
        <f t="shared" si="115"/>
        <v>70</v>
      </c>
      <c r="W200" s="5"/>
      <c r="X200" s="13">
        <f t="shared" si="116"/>
        <v>45.4</v>
      </c>
      <c r="Y200" s="13">
        <f t="shared" si="117"/>
        <v>64.8571428571429</v>
      </c>
      <c r="Z200" s="19"/>
    </row>
    <row r="201" ht="15.6" hidden="1" outlineLevel="2" spans="1:26">
      <c r="A201" s="5">
        <v>313</v>
      </c>
      <c r="B201" s="5">
        <v>41</v>
      </c>
      <c r="C201" s="9" t="s">
        <v>671</v>
      </c>
      <c r="D201" s="9" t="s">
        <v>46</v>
      </c>
      <c r="E201" s="5">
        <v>18</v>
      </c>
      <c r="F201" s="7">
        <f>LOOKUP(E201,{0,1.5,2.3,3.1,3.9,4.7,5.5,6.8,8.1,9.4,10.7,12,13.3,14.6,15.9,17.2,18.5,20.2,21.9,23.6,25.3},{0,10,20,30,40,50,60,62,64,66,68,70,72,74,76,78,80,85,90,95,100})</f>
        <v>78</v>
      </c>
      <c r="G201" s="5">
        <v>155</v>
      </c>
      <c r="H201" s="7">
        <f>LOOKUP(G201,{0,125,130,135,140,145,150,153,156,159,162,165,168,171,174,177,180,187,194,200,206},{0,10,20,30,40,50,60,62,64,66,68,70,72,74,76,78,80,85,90,95,100})</f>
        <v>62</v>
      </c>
      <c r="I201" s="5">
        <v>38</v>
      </c>
      <c r="J201" s="7">
        <f>LOOKUP(I201,{0,15,17,19,21,23,25,27,29,31,33,35,37,39,41,43,45,48,51,53,55},{0,10,20,30,40,50,60,62,64,66,68,70,72,74,76,78,80,85,90,95,100})</f>
        <v>72</v>
      </c>
      <c r="K201" s="5"/>
      <c r="L201" s="5"/>
      <c r="M201" s="5">
        <f t="shared" si="112"/>
        <v>72</v>
      </c>
      <c r="N201" s="5">
        <v>9.6</v>
      </c>
      <c r="O201" s="10">
        <f t="shared" si="113"/>
        <v>8.4</v>
      </c>
      <c r="P201" s="7">
        <f>LOOKUP(O201,{0,6.6,6.8,7,7.2,7.4,7.6,7.8,8,8.2,8.4,8.6,8.8,9,9.2,9.4,9.6,9.9,10.2,10.3,10.4},{0,10,20,30,40,50,60,62,64,66,68,70,72,74,76,78,80,85,90,95,100})</f>
        <v>68</v>
      </c>
      <c r="Q201" s="5">
        <v>4.29</v>
      </c>
      <c r="R201" s="10">
        <f t="shared" si="114"/>
        <v>5.71</v>
      </c>
      <c r="S201" s="7">
        <f>LOOKUP(R201,{0,4.74,4.84,4.94,5.44,5.54,5.64,5.69,5.74,5.79,5.84,5.89,5.94,5.99,6.44,6.49,6.54,6.61,6.68,6.74,6.8},{0,10,20,30,40,50,60,62,64,66,68,70,72,74,76,78,80,85,90,95,100})</f>
        <v>62</v>
      </c>
      <c r="T201" s="5"/>
      <c r="U201" s="5"/>
      <c r="V201" s="5">
        <f t="shared" si="115"/>
        <v>62</v>
      </c>
      <c r="W201" s="5"/>
      <c r="X201" s="13">
        <f t="shared" si="116"/>
        <v>47.2</v>
      </c>
      <c r="Y201" s="13">
        <f t="shared" si="117"/>
        <v>67.4285714285714</v>
      </c>
      <c r="Z201" s="19"/>
    </row>
    <row r="202" hidden="1" outlineLevel="2" spans="1:26">
      <c r="A202" s="5">
        <v>313</v>
      </c>
      <c r="B202" s="5">
        <v>42</v>
      </c>
      <c r="C202" s="9" t="s">
        <v>672</v>
      </c>
      <c r="D202" s="9" t="s">
        <v>46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>
        <v>50</v>
      </c>
      <c r="X202" s="13"/>
      <c r="Y202" s="13">
        <v>50</v>
      </c>
      <c r="Z202" s="19"/>
    </row>
    <row r="203" ht="15.6" hidden="1" outlineLevel="2" spans="1:26">
      <c r="A203" s="5">
        <v>313</v>
      </c>
      <c r="B203" s="5">
        <v>43</v>
      </c>
      <c r="C203" s="9" t="s">
        <v>673</v>
      </c>
      <c r="D203" s="9" t="s">
        <v>46</v>
      </c>
      <c r="E203" s="5">
        <v>16</v>
      </c>
      <c r="F203" s="7">
        <f>LOOKUP(E203,{0,1.5,2.3,3.1,3.9,4.7,5.5,6.8,8.1,9.4,10.7,12,13.3,14.6,15.9,17.2,18.5,20.2,21.9,23.6,25.3},{0,10,20,30,40,50,60,62,64,66,68,70,72,74,76,78,80,85,90,95,100})</f>
        <v>76</v>
      </c>
      <c r="G203" s="5">
        <v>164</v>
      </c>
      <c r="H203" s="7">
        <f>LOOKUP(G203,{0,125,130,135,140,145,150,153,156,159,162,165,168,171,174,177,180,187,194,200,206},{0,10,20,30,40,50,60,62,64,66,68,70,72,74,76,78,80,85,90,95,100})</f>
        <v>68</v>
      </c>
      <c r="I203" s="5">
        <v>21</v>
      </c>
      <c r="J203" s="7">
        <f>LOOKUP(I203,{0,15,17,19,21,23,25,27,29,31,33,35,37,39,41,43,45,48,51,53,55},{0,10,20,30,40,50,60,62,64,66,68,70,72,74,76,78,80,85,90,95,100})</f>
        <v>40</v>
      </c>
      <c r="K203" s="5"/>
      <c r="L203" s="5"/>
      <c r="M203" s="5">
        <f t="shared" ref="M203:M207" si="118">J203+L203</f>
        <v>40</v>
      </c>
      <c r="N203" s="5">
        <v>9.3</v>
      </c>
      <c r="O203" s="10">
        <f t="shared" ref="O203:O207" si="119">18-N203</f>
        <v>8.7</v>
      </c>
      <c r="P203" s="7">
        <f>LOOKUP(O203,{0,6.6,6.8,7,7.2,7.4,7.6,7.8,8,8.2,8.4,8.6,8.8,9,9.2,9.4,9.6,9.9,10.2,10.3,10.4},{0,10,20,30,40,50,60,62,64,66,68,70,72,74,76,78,80,85,90,95,100})</f>
        <v>70</v>
      </c>
      <c r="Q203" s="5">
        <v>4.12</v>
      </c>
      <c r="R203" s="10">
        <f t="shared" ref="R203:R207" si="120">10-Q203</f>
        <v>5.88</v>
      </c>
      <c r="S203" s="7">
        <f>LOOKUP(R203,{0,4.74,4.84,4.94,5.44,5.54,5.64,5.69,5.74,5.79,5.84,5.89,5.94,5.99,6.44,6.49,6.54,6.61,6.68,6.74,6.8},{0,10,20,30,40,50,60,62,64,66,68,70,72,74,76,78,80,85,90,95,100})</f>
        <v>68</v>
      </c>
      <c r="T203" s="5"/>
      <c r="U203" s="5"/>
      <c r="V203" s="5">
        <f t="shared" ref="V203:V207" si="121">S203+U203</f>
        <v>68</v>
      </c>
      <c r="W203" s="5"/>
      <c r="X203" s="13">
        <f t="shared" ref="X203:X207" si="122">F203*0.1+H203*0.1+J203*0.1+P203*0.2+S203*0.2</f>
        <v>46</v>
      </c>
      <c r="Y203" s="13">
        <f t="shared" ref="Y203:Y207" si="123">X203/0.7+L203+U203</f>
        <v>65.7142857142857</v>
      </c>
      <c r="Z203" s="19"/>
    </row>
    <row r="204" ht="15.6" hidden="1" outlineLevel="2" spans="1:26">
      <c r="A204" s="5">
        <v>313</v>
      </c>
      <c r="B204" s="5">
        <v>44</v>
      </c>
      <c r="C204" s="9" t="s">
        <v>674</v>
      </c>
      <c r="D204" s="9" t="s">
        <v>46</v>
      </c>
      <c r="E204" s="5">
        <v>14.7</v>
      </c>
      <c r="F204" s="7">
        <f>LOOKUP(E204,{0,1.5,2.3,3.1,3.9,4.7,5.5,6.8,8.1,9.4,10.7,12,13.3,14.6,15.9,17.2,18.5,20.2,21.9,23.6,25.3},{0,10,20,30,40,50,60,62,64,66,68,70,72,74,76,78,80,85,90,95,100})</f>
        <v>74</v>
      </c>
      <c r="G204" s="5">
        <v>165</v>
      </c>
      <c r="H204" s="7">
        <f>LOOKUP(G204,{0,125,130,135,140,145,150,153,156,159,162,165,168,171,174,177,180,187,194,200,206},{0,10,20,30,40,50,60,62,64,66,68,70,72,74,76,78,80,85,90,95,100})</f>
        <v>70</v>
      </c>
      <c r="I204" s="5">
        <v>45</v>
      </c>
      <c r="J204" s="7">
        <f>LOOKUP(I204,{0,15,17,19,21,23,25,27,29,31,33,35,37,39,41,43,45,48,51,53,55},{0,10,20,30,40,50,60,62,64,66,68,70,72,74,76,78,80,85,90,95,100})</f>
        <v>80</v>
      </c>
      <c r="K204" s="5"/>
      <c r="L204" s="5"/>
      <c r="M204" s="5">
        <f t="shared" si="118"/>
        <v>80</v>
      </c>
      <c r="N204" s="5"/>
      <c r="O204" s="5"/>
      <c r="P204" s="5"/>
      <c r="Q204" s="5"/>
      <c r="R204" s="5"/>
      <c r="S204" s="5"/>
      <c r="T204" s="5"/>
      <c r="U204" s="5"/>
      <c r="V204" s="5"/>
      <c r="W204" s="5">
        <v>50</v>
      </c>
      <c r="X204" s="13"/>
      <c r="Y204" s="13">
        <v>50</v>
      </c>
      <c r="Z204" s="19"/>
    </row>
    <row r="205" ht="15.6" hidden="1" outlineLevel="2" spans="1:26">
      <c r="A205" s="5">
        <v>313</v>
      </c>
      <c r="B205" s="5">
        <v>45</v>
      </c>
      <c r="C205" s="9" t="s">
        <v>675</v>
      </c>
      <c r="D205" s="9" t="s">
        <v>46</v>
      </c>
      <c r="E205" s="5">
        <v>12</v>
      </c>
      <c r="F205" s="7">
        <f>LOOKUP(E205,{0,1.5,2.3,3.1,3.9,4.7,5.5,6.8,8.1,9.4,10.7,12,13.3,14.6,15.9,17.2,18.5,20.2,21.9,23.6,25.3},{0,10,20,30,40,50,60,62,64,66,68,70,72,74,76,78,80,85,90,95,100})</f>
        <v>70</v>
      </c>
      <c r="G205" s="5">
        <v>165</v>
      </c>
      <c r="H205" s="7">
        <f>LOOKUP(G205,{0,125,130,135,140,145,150,153,156,159,162,165,168,171,174,177,180,187,194,200,206},{0,10,20,30,40,50,60,62,64,66,68,70,72,74,76,78,80,85,90,95,100})</f>
        <v>70</v>
      </c>
      <c r="I205" s="5">
        <v>43</v>
      </c>
      <c r="J205" s="7">
        <f>LOOKUP(I205,{0,15,17,19,21,23,25,27,29,31,33,35,37,39,41,43,45,48,51,53,55},{0,10,20,30,40,50,60,62,64,66,68,70,72,74,76,78,80,85,90,95,100})</f>
        <v>78</v>
      </c>
      <c r="K205" s="5"/>
      <c r="L205" s="5"/>
      <c r="M205" s="5">
        <f t="shared" si="118"/>
        <v>78</v>
      </c>
      <c r="N205" s="5">
        <v>8.8</v>
      </c>
      <c r="O205" s="10">
        <f t="shared" si="119"/>
        <v>9.2</v>
      </c>
      <c r="P205" s="7">
        <f>LOOKUP(O205,{0,6.6,6.8,7,7.2,7.4,7.6,7.8,8,8.2,8.4,8.6,8.8,9,9.2,9.4,9.6,9.9,10.2,10.3,10.4},{0,10,20,30,40,50,60,62,64,66,68,70,72,74,76,78,80,85,90,95,100})</f>
        <v>76</v>
      </c>
      <c r="Q205" s="5">
        <v>3.57</v>
      </c>
      <c r="R205" s="10">
        <f t="shared" si="120"/>
        <v>6.43</v>
      </c>
      <c r="S205" s="7">
        <f>LOOKUP(R205,{0,4.74,4.84,4.94,5.44,5.54,5.64,5.69,5.74,5.79,5.84,5.89,5.94,5.99,6.44,6.49,6.54,6.61,6.68,6.74,6.8},{0,10,20,30,40,50,60,62,64,66,68,70,72,74,76,78,80,85,90,95,100})</f>
        <v>74</v>
      </c>
      <c r="T205" s="5"/>
      <c r="U205" s="5"/>
      <c r="V205" s="5">
        <f t="shared" si="121"/>
        <v>74</v>
      </c>
      <c r="W205" s="5"/>
      <c r="X205" s="13">
        <f t="shared" si="122"/>
        <v>51.8</v>
      </c>
      <c r="Y205" s="13">
        <f t="shared" si="123"/>
        <v>74</v>
      </c>
      <c r="Z205" s="20"/>
    </row>
    <row r="206" ht="15.6" hidden="1" outlineLevel="2" spans="1:26">
      <c r="A206" s="5">
        <v>313</v>
      </c>
      <c r="B206" s="5">
        <v>46</v>
      </c>
      <c r="C206" s="9" t="s">
        <v>676</v>
      </c>
      <c r="D206" s="9" t="s">
        <v>46</v>
      </c>
      <c r="E206" s="5">
        <v>16.5</v>
      </c>
      <c r="F206" s="7">
        <f>LOOKUP(E206,{0,1.5,2.3,3.1,3.9,4.7,5.5,6.8,8.1,9.4,10.7,12,13.3,14.6,15.9,17.2,18.5,20.2,21.9,23.6,25.3},{0,10,20,30,40,50,60,62,64,66,68,70,72,74,76,78,80,85,90,95,100})</f>
        <v>76</v>
      </c>
      <c r="G206" s="5"/>
      <c r="H206" s="5"/>
      <c r="I206" s="5">
        <v>49</v>
      </c>
      <c r="J206" s="7">
        <f>LOOKUP(I206,{0,15,17,19,21,23,25,27,29,31,33,35,37,39,41,43,45,48,51,53,55},{0,10,20,30,40,50,60,62,64,66,68,70,72,74,76,78,80,85,90,95,100})</f>
        <v>85</v>
      </c>
      <c r="K206" s="5"/>
      <c r="L206" s="5"/>
      <c r="M206" s="5">
        <f t="shared" si="118"/>
        <v>85</v>
      </c>
      <c r="N206" s="5"/>
      <c r="O206" s="5"/>
      <c r="P206" s="5"/>
      <c r="Q206" s="5"/>
      <c r="R206" s="5"/>
      <c r="S206" s="5"/>
      <c r="T206" s="5"/>
      <c r="U206" s="5"/>
      <c r="V206" s="5"/>
      <c r="W206" s="5">
        <v>50</v>
      </c>
      <c r="X206" s="13"/>
      <c r="Y206" s="13">
        <v>50</v>
      </c>
      <c r="Z206" s="19"/>
    </row>
    <row r="207" ht="15.6" hidden="1" outlineLevel="2" spans="1:26">
      <c r="A207" s="5">
        <v>313</v>
      </c>
      <c r="B207" s="5">
        <v>47</v>
      </c>
      <c r="C207" s="9" t="s">
        <v>677</v>
      </c>
      <c r="D207" s="9" t="s">
        <v>46</v>
      </c>
      <c r="E207" s="5">
        <v>3</v>
      </c>
      <c r="F207" s="7">
        <f>LOOKUP(E207,{0,1.5,2.3,3.1,3.9,4.7,5.5,6.8,8.1,9.4,10.7,12,13.3,14.6,15.9,17.2,18.5,20.2,21.9,23.6,25.3},{0,10,20,30,40,50,60,62,64,66,68,70,72,74,76,78,80,85,90,95,100})</f>
        <v>20</v>
      </c>
      <c r="G207" s="5">
        <v>161</v>
      </c>
      <c r="H207" s="7">
        <f>LOOKUP(G207,{0,125,130,135,140,145,150,153,156,159,162,165,168,171,174,177,180,187,194,200,206},{0,10,20,30,40,50,60,62,64,66,68,70,72,74,76,78,80,85,90,95,100})</f>
        <v>66</v>
      </c>
      <c r="I207" s="5">
        <v>35</v>
      </c>
      <c r="J207" s="7">
        <f>LOOKUP(I207,{0,15,17,19,21,23,25,27,29,31,33,35,37,39,41,43,45,48,51,53,55},{0,10,20,30,40,50,60,62,64,66,68,70,72,74,76,78,80,85,90,95,100})</f>
        <v>70</v>
      </c>
      <c r="K207" s="5"/>
      <c r="L207" s="5"/>
      <c r="M207" s="5">
        <f t="shared" si="118"/>
        <v>70</v>
      </c>
      <c r="N207" s="5">
        <v>8.6</v>
      </c>
      <c r="O207" s="10">
        <f t="shared" si="119"/>
        <v>9.4</v>
      </c>
      <c r="P207" s="7">
        <f>LOOKUP(O207,{0,6.6,6.8,7,7.2,7.4,7.6,7.8,8,8.2,8.4,8.6,8.8,9,9.2,9.4,9.6,9.9,10.2,10.3,10.4},{0,10,20,30,40,50,60,62,64,66,68,70,72,74,76,78,80,85,90,95,100})</f>
        <v>78</v>
      </c>
      <c r="Q207" s="5">
        <v>4.55</v>
      </c>
      <c r="R207" s="10">
        <f t="shared" si="120"/>
        <v>5.45</v>
      </c>
      <c r="S207" s="7">
        <f>LOOKUP(R207,{0,4.74,4.84,4.94,5.44,5.54,5.64,5.69,5.74,5.79,5.84,5.89,5.94,5.99,6.44,6.49,6.54,6.61,6.68,6.74,6.8},{0,10,20,30,40,50,60,62,64,66,68,70,72,74,76,78,80,85,90,95,100})</f>
        <v>40</v>
      </c>
      <c r="T207" s="5"/>
      <c r="U207" s="5"/>
      <c r="V207" s="5">
        <f t="shared" si="121"/>
        <v>40</v>
      </c>
      <c r="W207" s="5"/>
      <c r="X207" s="13">
        <f t="shared" si="122"/>
        <v>39.2</v>
      </c>
      <c r="Y207" s="13">
        <f t="shared" si="123"/>
        <v>56</v>
      </c>
      <c r="Z207" s="19"/>
    </row>
    <row r="208" hidden="1" outlineLevel="2" spans="1:26">
      <c r="A208" s="5">
        <v>313</v>
      </c>
      <c r="B208" s="5">
        <v>48</v>
      </c>
      <c r="C208" s="9" t="s">
        <v>678</v>
      </c>
      <c r="D208" s="9" t="s">
        <v>46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>
        <v>50</v>
      </c>
      <c r="X208" s="13"/>
      <c r="Y208" s="13">
        <v>50</v>
      </c>
      <c r="Z208" s="19"/>
    </row>
    <row r="209" ht="15.6" hidden="1" outlineLevel="2" spans="1:26">
      <c r="A209" s="5">
        <v>313</v>
      </c>
      <c r="B209" s="5">
        <v>49</v>
      </c>
      <c r="C209" s="9" t="s">
        <v>679</v>
      </c>
      <c r="D209" s="9" t="s">
        <v>46</v>
      </c>
      <c r="E209" s="5">
        <v>9.7</v>
      </c>
      <c r="F209" s="7">
        <f>LOOKUP(E209,{0,1.5,2.3,3.1,3.9,4.7,5.5,6.8,8.1,9.4,10.7,12,13.3,14.6,15.9,17.2,18.5,20.2,21.9,23.6,25.3},{0,10,20,30,40,50,60,62,64,66,68,70,72,74,76,78,80,85,90,95,100})</f>
        <v>66</v>
      </c>
      <c r="G209" s="5">
        <v>154</v>
      </c>
      <c r="H209" s="7">
        <f>LOOKUP(G209,{0,125,130,135,140,145,150,153,156,159,162,165,168,171,174,177,180,187,194,200,206},{0,10,20,30,40,50,60,62,64,66,68,70,72,74,76,78,80,85,90,95,100})</f>
        <v>62</v>
      </c>
      <c r="I209" s="5">
        <v>42</v>
      </c>
      <c r="J209" s="7">
        <f>LOOKUP(I209,{0,15,17,19,21,23,25,27,29,31,33,35,37,39,41,43,45,48,51,53,55},{0,10,20,30,40,50,60,62,64,66,68,70,72,74,76,78,80,85,90,95,100})</f>
        <v>76</v>
      </c>
      <c r="K209" s="5"/>
      <c r="L209" s="16"/>
      <c r="M209" s="5">
        <f>J209+L209</f>
        <v>76</v>
      </c>
      <c r="N209" s="5">
        <v>8.8</v>
      </c>
      <c r="O209" s="10">
        <f>18-N209</f>
        <v>9.2</v>
      </c>
      <c r="P209" s="7">
        <f>LOOKUP(O209,{0,6.6,6.8,7,7.2,7.4,7.6,7.8,8,8.2,8.4,8.6,8.8,9,9.2,9.4,9.6,9.9,10.2,10.3,10.4},{0,10,20,30,40,50,60,62,64,66,68,70,72,74,76,78,80,85,90,95,100})</f>
        <v>76</v>
      </c>
      <c r="Q209" s="5">
        <v>4.26</v>
      </c>
      <c r="R209" s="10">
        <f>10-Q209</f>
        <v>5.74</v>
      </c>
      <c r="S209" s="7">
        <f>LOOKUP(R209,{0,4.74,4.84,4.94,5.44,5.54,5.64,5.69,5.74,5.79,5.84,5.89,5.94,5.99,6.44,6.49,6.54,6.61,6.68,6.74,6.8},{0,10,20,30,40,50,60,62,64,66,68,70,72,74,76,78,80,85,90,95,100})</f>
        <v>64</v>
      </c>
      <c r="T209" s="5"/>
      <c r="U209" s="5"/>
      <c r="V209" s="5">
        <f>S209+U209</f>
        <v>64</v>
      </c>
      <c r="W209" s="5"/>
      <c r="X209" s="13">
        <f>F209*0.1+H209*0.1+J209*0.1+P209*0.2+S209*0.2</f>
        <v>48.4</v>
      </c>
      <c r="Y209" s="13">
        <f>X209/0.7+L209+U209</f>
        <v>69.1428571428572</v>
      </c>
      <c r="Z209" s="19"/>
    </row>
    <row r="210" ht="15.6" hidden="1" outlineLevel="2" spans="1:26">
      <c r="A210" s="5">
        <v>313</v>
      </c>
      <c r="B210" s="5">
        <v>50</v>
      </c>
      <c r="C210" s="9" t="s">
        <v>680</v>
      </c>
      <c r="D210" s="9" t="s">
        <v>46</v>
      </c>
      <c r="E210" s="5">
        <v>23</v>
      </c>
      <c r="F210" s="7">
        <f>LOOKUP(E210,{0,1.5,2.3,3.1,3.9,4.7,5.5,6.8,8.1,9.4,10.7,12,13.3,14.6,15.9,17.2,18.5,20.2,21.9,23.6,25.3},{0,10,20,30,40,50,60,62,64,66,68,70,72,74,76,78,80,85,90,95,100})</f>
        <v>90</v>
      </c>
      <c r="G210" s="5">
        <v>180</v>
      </c>
      <c r="H210" s="7">
        <f>LOOKUP(G210,{0,125,130,135,140,145,150,153,156,159,162,165,168,171,174,177,180,187,194,200,206},{0,10,20,30,40,50,60,62,64,66,68,70,72,74,76,78,80,85,90,95,100})</f>
        <v>80</v>
      </c>
      <c r="I210" s="5">
        <v>42</v>
      </c>
      <c r="J210" s="7">
        <f>LOOKUP(I210,{0,15,17,19,21,23,25,27,29,31,33,35,37,39,41,43,45,48,51,53,55},{0,10,20,30,40,50,60,62,64,66,68,70,72,74,76,78,80,85,90,95,100})</f>
        <v>76</v>
      </c>
      <c r="K210" s="5"/>
      <c r="L210" s="5"/>
      <c r="M210" s="5">
        <f>J210+L210</f>
        <v>76</v>
      </c>
      <c r="N210" s="5">
        <v>9.4</v>
      </c>
      <c r="O210" s="10">
        <f>18-N210</f>
        <v>8.6</v>
      </c>
      <c r="P210" s="7">
        <f>LOOKUP(O210,{0,6.6,6.8,7,7.2,7.4,7.6,7.8,8,8.2,8.4,8.6,8.8,9,9.2,9.4,9.6,9.9,10.2,10.3,10.4},{0,10,20,30,40,50,60,62,64,66,68,70,72,74,76,78,80,85,90,95,100})</f>
        <v>70</v>
      </c>
      <c r="Q210" s="5">
        <v>4.18</v>
      </c>
      <c r="R210" s="10">
        <f>10-Q210</f>
        <v>5.82</v>
      </c>
      <c r="S210" s="7">
        <f>LOOKUP(R210,{0,4.74,4.84,4.94,5.44,5.54,5.64,5.69,5.74,5.79,5.84,5.89,5.94,5.99,6.44,6.49,6.54,6.61,6.68,6.74,6.8},{0,10,20,30,40,50,60,62,64,66,68,70,72,74,76,78,80,85,90,95,100})</f>
        <v>66</v>
      </c>
      <c r="T210" s="5"/>
      <c r="U210" s="5"/>
      <c r="V210" s="5">
        <f>S210+U210</f>
        <v>66</v>
      </c>
      <c r="W210" s="5"/>
      <c r="X210" s="13">
        <f>F210*0.1+H210*0.1+J210*0.1+P210*0.2+S210*0.2</f>
        <v>51.8</v>
      </c>
      <c r="Y210" s="13">
        <f>X210/0.7+L210+U210</f>
        <v>74</v>
      </c>
      <c r="Z210" s="19"/>
    </row>
    <row r="211" ht="15.6" outlineLevel="1" collapsed="1" spans="1:26">
      <c r="A211" s="6" t="s">
        <v>864</v>
      </c>
      <c r="B211" s="5"/>
      <c r="C211" s="9"/>
      <c r="D211" s="9"/>
      <c r="E211" s="5"/>
      <c r="F211" s="7">
        <f>SUBTOTAL(1,F177:F210)</f>
        <v>73.7407407407407</v>
      </c>
      <c r="G211" s="5"/>
      <c r="H211" s="7">
        <f>SUBTOTAL(1,H177:H210)</f>
        <v>71.4230769230769</v>
      </c>
      <c r="I211" s="5"/>
      <c r="J211" s="7">
        <f>SUBTOTAL(1,J177:J210)</f>
        <v>76.962962962963</v>
      </c>
      <c r="K211" s="5"/>
      <c r="L211" s="5"/>
      <c r="M211" s="5">
        <f>SUBTOTAL(1,M177:M210)</f>
        <v>77.037037037037</v>
      </c>
      <c r="N211" s="5"/>
      <c r="O211" s="10"/>
      <c r="P211" s="7">
        <f>SUBTOTAL(1,P177:P210)</f>
        <v>70.52</v>
      </c>
      <c r="Q211" s="5"/>
      <c r="R211" s="10"/>
      <c r="S211" s="7">
        <f>SUBTOTAL(1,S177:S210)</f>
        <v>65.68</v>
      </c>
      <c r="T211" s="5"/>
      <c r="U211" s="5"/>
      <c r="V211" s="5">
        <f>SUBTOTAL(1,V177:V210)</f>
        <v>65.76</v>
      </c>
      <c r="W211" s="5"/>
      <c r="X211" s="13">
        <f>SUBTOTAL(1,X177:X210)</f>
        <v>49.404</v>
      </c>
      <c r="Y211" s="13">
        <f>SUBTOTAL(1,Y177:Y210)</f>
        <v>65.2478991596639</v>
      </c>
      <c r="Z211" s="19"/>
    </row>
    <row r="212" ht="15.6" hidden="1" outlineLevel="2" spans="1:26">
      <c r="A212" s="5">
        <v>314</v>
      </c>
      <c r="B212" s="5">
        <v>7</v>
      </c>
      <c r="C212" s="8" t="s">
        <v>688</v>
      </c>
      <c r="D212" s="9" t="s">
        <v>46</v>
      </c>
      <c r="E212" s="5">
        <v>20</v>
      </c>
      <c r="F212" s="7">
        <f>LOOKUP(E212,{0,1.5,2.3,3.1,3.9,4.7,5.5,6.8,8.1,9.4,10.7,12,13.3,14.6,15.9,17.2,18.5,20.2,21.9,23.6,25.3},{0,10,20,30,40,50,60,62,64,66,68,70,72,74,76,78,80,85,90,95,100})</f>
        <v>80</v>
      </c>
      <c r="G212" s="5">
        <v>145</v>
      </c>
      <c r="H212" s="7">
        <f>LOOKUP(G212,{0,125,130,135,140,145,150,153,156,159,162,165,168,171,174,177,180,187,194,200,206},{0,10,20,30,40,50,60,62,64,66,68,70,72,74,76,78,80,85,90,95,100})</f>
        <v>50</v>
      </c>
      <c r="I212" s="5">
        <v>30</v>
      </c>
      <c r="J212" s="7">
        <f>LOOKUP(I212,{0,15,17,19,21,23,25,27,29,31,33,35,37,39,41,43,45,48,51,53,55},{0,10,20,30,40,50,60,62,64,66,68,70,72,74,76,78,80,85,90,95,100})</f>
        <v>64</v>
      </c>
      <c r="K212" s="5"/>
      <c r="L212" s="5"/>
      <c r="M212" s="5">
        <f t="shared" ref="M212:M219" si="124">J212+L212</f>
        <v>64</v>
      </c>
      <c r="N212" s="5">
        <v>9.7</v>
      </c>
      <c r="O212" s="10">
        <f t="shared" ref="O212:O218" si="125">18-N212</f>
        <v>8.3</v>
      </c>
      <c r="P212" s="7">
        <f>LOOKUP(O212,{0,6.6,6.8,7,7.2,7.4,7.6,7.8,8,8.2,8.4,8.6,8.8,9,9.2,9.4,9.6,9.9,10.2,10.3,10.4},{0,10,20,30,40,50,60,62,64,66,68,70,72,74,76,78,80,85,90,95,100})</f>
        <v>66</v>
      </c>
      <c r="Q212" s="5">
        <v>4.34</v>
      </c>
      <c r="R212" s="10">
        <f t="shared" ref="R212:R218" si="126">10-Q212</f>
        <v>5.66</v>
      </c>
      <c r="S212" s="7">
        <f>LOOKUP(R212,{0,4.74,4.84,4.94,5.44,5.54,5.64,5.69,5.74,5.79,5.84,5.89,5.94,5.99,6.44,6.49,6.54,6.61,6.68,6.74,6.8},{0,10,20,30,40,50,60,62,64,66,68,70,72,74,76,78,80,85,90,95,100})</f>
        <v>60</v>
      </c>
      <c r="T212" s="5"/>
      <c r="U212" s="5"/>
      <c r="V212" s="5">
        <f t="shared" ref="V212:V218" si="127">S212+U212</f>
        <v>60</v>
      </c>
      <c r="W212" s="5"/>
      <c r="X212" s="13">
        <f t="shared" ref="X212:X218" si="128">F212*0.1+H212*0.1+J212*0.1+P212*0.2+S212*0.2</f>
        <v>44.6</v>
      </c>
      <c r="Y212" s="13">
        <f t="shared" ref="Y212:Y218" si="129">X212/0.7+L212+U212</f>
        <v>63.7142857142857</v>
      </c>
      <c r="Z212" s="19"/>
    </row>
    <row r="213" ht="15.6" hidden="1" outlineLevel="2" spans="1:26">
      <c r="A213" s="5">
        <v>314</v>
      </c>
      <c r="B213" s="5">
        <v>8</v>
      </c>
      <c r="C213" s="9" t="s">
        <v>689</v>
      </c>
      <c r="D213" s="9" t="s">
        <v>46</v>
      </c>
      <c r="E213" s="5">
        <v>28.5</v>
      </c>
      <c r="F213" s="7">
        <f>LOOKUP(E213,{0,1.5,2.3,3.1,3.9,4.7,5.5,6.8,8.1,9.4,10.7,12,13.3,14.6,15.9,17.2,18.5,20.2,21.9,23.6,25.3},{0,10,20,30,40,50,60,62,64,66,68,70,72,74,76,78,80,85,90,95,100})</f>
        <v>100</v>
      </c>
      <c r="G213" s="5">
        <v>175</v>
      </c>
      <c r="H213" s="7">
        <f>LOOKUP(G213,{0,125,130,135,140,145,150,153,156,159,162,165,168,171,174,177,180,187,194,200,206},{0,10,20,30,40,50,60,62,64,66,68,70,72,74,76,78,80,85,90,95,100})</f>
        <v>76</v>
      </c>
      <c r="I213" s="5">
        <v>39</v>
      </c>
      <c r="J213" s="7">
        <f>LOOKUP(I213,{0,15,17,19,21,23,25,27,29,31,33,35,37,39,41,43,45,48,51,53,55},{0,10,20,30,40,50,60,62,64,66,68,70,72,74,76,78,80,85,90,95,100})</f>
        <v>74</v>
      </c>
      <c r="K213" s="5"/>
      <c r="L213" s="5"/>
      <c r="M213" s="5">
        <f t="shared" si="124"/>
        <v>74</v>
      </c>
      <c r="N213" s="5">
        <v>9.8</v>
      </c>
      <c r="O213" s="10">
        <f t="shared" si="125"/>
        <v>8.2</v>
      </c>
      <c r="P213" s="7">
        <f>LOOKUP(O213,{0,6.6,6.8,7,7.2,7.4,7.6,7.8,8,8.2,8.4,8.6,8.8,9,9.2,9.4,9.6,9.9,10.2,10.3,10.4},{0,10,20,30,40,50,60,62,64,66,68,70,72,74,76,78,80,85,90,95,100})</f>
        <v>66</v>
      </c>
      <c r="Q213" s="5">
        <v>4.3</v>
      </c>
      <c r="R213" s="10">
        <f t="shared" si="126"/>
        <v>5.7</v>
      </c>
      <c r="S213" s="7">
        <f>LOOKUP(R213,{0,4.74,4.84,4.94,5.44,5.54,5.64,5.69,5.74,5.79,5.84,5.89,5.94,5.99,6.44,6.49,6.54,6.61,6.68,6.74,6.8},{0,10,20,30,40,50,60,62,64,66,68,70,72,74,76,78,80,85,90,95,100})</f>
        <v>62</v>
      </c>
      <c r="T213" s="5"/>
      <c r="U213" s="5"/>
      <c r="V213" s="5">
        <f t="shared" si="127"/>
        <v>62</v>
      </c>
      <c r="W213" s="5"/>
      <c r="X213" s="13">
        <f t="shared" si="128"/>
        <v>50.6</v>
      </c>
      <c r="Y213" s="13">
        <f t="shared" si="129"/>
        <v>72.2857142857143</v>
      </c>
      <c r="Z213" s="19"/>
    </row>
    <row r="214" ht="15.6" hidden="1" outlineLevel="2" spans="1:26">
      <c r="A214" s="5">
        <v>314</v>
      </c>
      <c r="B214" s="5">
        <v>9</v>
      </c>
      <c r="C214" s="9" t="s">
        <v>690</v>
      </c>
      <c r="D214" s="9" t="s">
        <v>46</v>
      </c>
      <c r="E214" s="5">
        <v>10</v>
      </c>
      <c r="F214" s="7">
        <f>LOOKUP(E214,{0,1.5,2.3,3.1,3.9,4.7,5.5,6.8,8.1,9.4,10.7,12,13.3,14.6,15.9,17.2,18.5,20.2,21.9,23.6,25.3},{0,10,20,30,40,50,60,62,64,66,68,70,72,74,76,78,80,85,90,95,100})</f>
        <v>66</v>
      </c>
      <c r="G214" s="5">
        <v>155</v>
      </c>
      <c r="H214" s="7">
        <f>LOOKUP(G214,{0,125,130,135,140,145,150,153,156,159,162,165,168,171,174,177,180,187,194,200,206},{0,10,20,30,40,50,60,62,64,66,68,70,72,74,76,78,80,85,90,95,100})</f>
        <v>62</v>
      </c>
      <c r="I214" s="5">
        <v>52</v>
      </c>
      <c r="J214" s="7">
        <f>LOOKUP(I214,{0,15,17,19,21,23,25,27,29,31,33,35,37,39,41,43,45,48,51,53,55},{0,10,20,30,40,50,60,62,64,66,68,70,72,74,76,78,80,85,90,95,100})</f>
        <v>90</v>
      </c>
      <c r="K214" s="5"/>
      <c r="L214" s="5"/>
      <c r="M214" s="5">
        <f t="shared" si="124"/>
        <v>90</v>
      </c>
      <c r="N214" s="5">
        <v>8.9</v>
      </c>
      <c r="O214" s="10">
        <f t="shared" si="125"/>
        <v>9.1</v>
      </c>
      <c r="P214" s="7">
        <f>LOOKUP(O214,{0,6.6,6.8,7,7.2,7.4,7.6,7.8,8,8.2,8.4,8.6,8.8,9,9.2,9.4,9.6,9.9,10.2,10.3,10.4},{0,10,20,30,40,50,60,62,64,66,68,70,72,74,76,78,80,85,90,95,100})</f>
        <v>74</v>
      </c>
      <c r="Q214" s="5">
        <v>4.58</v>
      </c>
      <c r="R214" s="10">
        <f t="shared" si="126"/>
        <v>5.42</v>
      </c>
      <c r="S214" s="7">
        <f>LOOKUP(R214,{0,4.74,4.84,4.94,5.44,5.54,5.64,5.69,5.74,5.79,5.84,5.89,5.94,5.99,6.44,6.49,6.54,6.61,6.68,6.74,6.8},{0,10,20,30,40,50,60,62,64,66,68,70,72,74,76,78,80,85,90,95,100})</f>
        <v>30</v>
      </c>
      <c r="T214" s="5"/>
      <c r="U214" s="5"/>
      <c r="V214" s="5">
        <f t="shared" si="127"/>
        <v>30</v>
      </c>
      <c r="W214" s="5"/>
      <c r="X214" s="13">
        <f t="shared" si="128"/>
        <v>42.6</v>
      </c>
      <c r="Y214" s="13">
        <f t="shared" si="129"/>
        <v>60.8571428571429</v>
      </c>
      <c r="Z214" s="20"/>
    </row>
    <row r="215" ht="15.6" hidden="1" outlineLevel="2" spans="1:26">
      <c r="A215" s="5">
        <v>314</v>
      </c>
      <c r="B215" s="5">
        <v>10</v>
      </c>
      <c r="C215" s="9" t="s">
        <v>691</v>
      </c>
      <c r="D215" s="9" t="s">
        <v>46</v>
      </c>
      <c r="E215" s="5">
        <v>11</v>
      </c>
      <c r="F215" s="7">
        <f>LOOKUP(E215,{0,1.5,2.3,3.1,3.9,4.7,5.5,6.8,8.1,9.4,10.7,12,13.3,14.6,15.9,17.2,18.5,20.2,21.9,23.6,25.3},{0,10,20,30,40,50,60,62,64,66,68,70,72,74,76,78,80,85,90,95,100})</f>
        <v>68</v>
      </c>
      <c r="G215" s="5">
        <v>160</v>
      </c>
      <c r="H215" s="7">
        <f>LOOKUP(G215,{0,125,130,135,140,145,150,153,156,159,162,165,168,171,174,177,180,187,194,200,206},{0,10,20,30,40,50,60,62,64,66,68,70,72,74,76,78,80,85,90,95,100})</f>
        <v>66</v>
      </c>
      <c r="I215" s="5">
        <v>35</v>
      </c>
      <c r="J215" s="7">
        <f>LOOKUP(I215,{0,15,17,19,21,23,25,27,29,31,33,35,37,39,41,43,45,48,51,53,55},{0,10,20,30,40,50,60,62,64,66,68,70,72,74,76,78,80,85,90,95,100})</f>
        <v>70</v>
      </c>
      <c r="K215" s="5"/>
      <c r="L215" s="5"/>
      <c r="M215" s="5">
        <f t="shared" si="124"/>
        <v>70</v>
      </c>
      <c r="N215" s="5">
        <v>9.1</v>
      </c>
      <c r="O215" s="10">
        <f t="shared" si="125"/>
        <v>8.9</v>
      </c>
      <c r="P215" s="7">
        <f>LOOKUP(O215,{0,6.6,6.8,7,7.2,7.4,7.6,7.8,8,8.2,8.4,8.6,8.8,9,9.2,9.4,9.6,9.9,10.2,10.3,10.4},{0,10,20,30,40,50,60,62,64,66,68,70,72,74,76,78,80,85,90,95,100})</f>
        <v>72</v>
      </c>
      <c r="Q215" s="5">
        <v>3.5</v>
      </c>
      <c r="R215" s="10">
        <f t="shared" si="126"/>
        <v>6.5</v>
      </c>
      <c r="S215" s="7">
        <f>LOOKUP(R215,{0,4.74,4.84,4.94,5.44,5.54,5.64,5.69,5.74,5.79,5.84,5.89,5.94,5.99,6.44,6.49,6.54,6.61,6.68,6.74,6.8},{0,10,20,30,40,50,60,62,64,66,68,70,72,74,76,78,80,85,90,95,100})</f>
        <v>78</v>
      </c>
      <c r="T215" s="5"/>
      <c r="U215" s="5"/>
      <c r="V215" s="5">
        <f t="shared" si="127"/>
        <v>78</v>
      </c>
      <c r="W215" s="5"/>
      <c r="X215" s="13">
        <f t="shared" si="128"/>
        <v>50.4</v>
      </c>
      <c r="Y215" s="13">
        <f t="shared" si="129"/>
        <v>72</v>
      </c>
      <c r="Z215" s="19"/>
    </row>
    <row r="216" ht="15.6" hidden="1" outlineLevel="2" spans="1:26">
      <c r="A216" s="5">
        <v>314</v>
      </c>
      <c r="B216" s="5">
        <v>11</v>
      </c>
      <c r="C216" s="9" t="s">
        <v>692</v>
      </c>
      <c r="D216" s="9" t="s">
        <v>46</v>
      </c>
      <c r="E216" s="5">
        <v>11</v>
      </c>
      <c r="F216" s="7">
        <f>LOOKUP(E216,{0,1.5,2.3,3.1,3.9,4.7,5.5,6.8,8.1,9.4,10.7,12,13.3,14.6,15.9,17.2,18.5,20.2,21.9,23.6,25.3},{0,10,20,30,40,50,60,62,64,66,68,70,72,74,76,78,80,85,90,95,100})</f>
        <v>68</v>
      </c>
      <c r="G216" s="5">
        <v>160</v>
      </c>
      <c r="H216" s="7">
        <f>LOOKUP(G216,{0,125,130,135,140,145,150,153,156,159,162,165,168,171,174,177,180,187,194,200,206},{0,10,20,30,40,50,60,62,64,66,68,70,72,74,76,78,80,85,90,95,100})</f>
        <v>66</v>
      </c>
      <c r="I216" s="5">
        <v>41</v>
      </c>
      <c r="J216" s="7">
        <f>LOOKUP(I216,{0,15,17,19,21,23,25,27,29,31,33,35,37,39,41,43,45,48,51,53,55},{0,10,20,30,40,50,60,62,64,66,68,70,72,74,76,78,80,85,90,95,100})</f>
        <v>76</v>
      </c>
      <c r="K216" s="5"/>
      <c r="L216" s="5"/>
      <c r="M216" s="5">
        <f t="shared" si="124"/>
        <v>76</v>
      </c>
      <c r="N216" s="5">
        <v>9.8</v>
      </c>
      <c r="O216" s="10">
        <f t="shared" si="125"/>
        <v>8.2</v>
      </c>
      <c r="P216" s="7">
        <f>LOOKUP(O216,{0,6.6,6.8,7,7.2,7.4,7.6,7.8,8,8.2,8.4,8.6,8.8,9,9.2,9.4,9.6,9.9,10.2,10.3,10.4},{0,10,20,30,40,50,60,62,64,66,68,70,72,74,76,78,80,85,90,95,100})</f>
        <v>66</v>
      </c>
      <c r="Q216" s="5">
        <v>4.22</v>
      </c>
      <c r="R216" s="10">
        <f t="shared" si="126"/>
        <v>5.78</v>
      </c>
      <c r="S216" s="7">
        <f>LOOKUP(R216,{0,4.74,4.84,4.94,5.44,5.54,5.64,5.69,5.74,5.79,5.84,5.89,5.94,5.99,6.44,6.49,6.54,6.61,6.68,6.74,6.8},{0,10,20,30,40,50,60,62,64,66,68,70,72,74,76,78,80,85,90,95,100})</f>
        <v>64</v>
      </c>
      <c r="T216" s="5"/>
      <c r="U216" s="5"/>
      <c r="V216" s="5">
        <f t="shared" si="127"/>
        <v>64</v>
      </c>
      <c r="W216" s="5"/>
      <c r="X216" s="13">
        <f t="shared" si="128"/>
        <v>47</v>
      </c>
      <c r="Y216" s="13">
        <f t="shared" si="129"/>
        <v>67.1428571428572</v>
      </c>
      <c r="Z216" s="19"/>
    </row>
    <row r="217" ht="15.6" hidden="1" outlineLevel="2" spans="1:26">
      <c r="A217" s="5">
        <v>314</v>
      </c>
      <c r="B217" s="5">
        <v>12</v>
      </c>
      <c r="C217" s="9" t="s">
        <v>693</v>
      </c>
      <c r="D217" s="9" t="s">
        <v>46</v>
      </c>
      <c r="E217" s="5">
        <v>13.5</v>
      </c>
      <c r="F217" s="7">
        <f>LOOKUP(E217,{0,1.5,2.3,3.1,3.9,4.7,5.5,6.8,8.1,9.4,10.7,12,13.3,14.6,15.9,17.2,18.5,20.2,21.9,23.6,25.3},{0,10,20,30,40,50,60,62,64,66,68,70,72,74,76,78,80,85,90,95,100})</f>
        <v>72</v>
      </c>
      <c r="G217" s="5">
        <v>162</v>
      </c>
      <c r="H217" s="7">
        <f>LOOKUP(G217,{0,125,130,135,140,145,150,153,156,159,162,165,168,171,174,177,180,187,194,200,206},{0,10,20,30,40,50,60,62,64,66,68,70,72,74,76,78,80,85,90,95,100})</f>
        <v>68</v>
      </c>
      <c r="I217" s="5">
        <v>37</v>
      </c>
      <c r="J217" s="7">
        <f>LOOKUP(I217,{0,15,17,19,21,23,25,27,29,31,33,35,37,39,41,43,45,48,51,53,55},{0,10,20,30,40,50,60,62,64,66,68,70,72,74,76,78,80,85,90,95,100})</f>
        <v>72</v>
      </c>
      <c r="K217" s="5"/>
      <c r="L217" s="5"/>
      <c r="M217" s="5">
        <f t="shared" si="124"/>
        <v>72</v>
      </c>
      <c r="N217" s="5">
        <v>9.5</v>
      </c>
      <c r="O217" s="10">
        <f t="shared" si="125"/>
        <v>8.5</v>
      </c>
      <c r="P217" s="7">
        <f>LOOKUP(O217,{0,6.6,6.8,7,7.2,7.4,7.6,7.8,8,8.2,8.4,8.6,8.8,9,9.2,9.4,9.6,9.9,10.2,10.3,10.4},{0,10,20,30,40,50,60,62,64,66,68,70,72,74,76,78,80,85,90,95,100})</f>
        <v>68</v>
      </c>
      <c r="Q217" s="5">
        <v>4.29</v>
      </c>
      <c r="R217" s="10">
        <f t="shared" si="126"/>
        <v>5.71</v>
      </c>
      <c r="S217" s="7">
        <f>LOOKUP(R217,{0,4.74,4.84,4.94,5.44,5.54,5.64,5.69,5.74,5.79,5.84,5.89,5.94,5.99,6.44,6.49,6.54,6.61,6.68,6.74,6.8},{0,10,20,30,40,50,60,62,64,66,68,70,72,74,76,78,80,85,90,95,100})</f>
        <v>62</v>
      </c>
      <c r="T217" s="5"/>
      <c r="U217" s="5"/>
      <c r="V217" s="5">
        <f t="shared" si="127"/>
        <v>62</v>
      </c>
      <c r="W217" s="5"/>
      <c r="X217" s="13">
        <f t="shared" si="128"/>
        <v>47.2</v>
      </c>
      <c r="Y217" s="13">
        <f t="shared" si="129"/>
        <v>67.4285714285714</v>
      </c>
      <c r="Z217" s="19"/>
    </row>
    <row r="218" ht="15.6" hidden="1" outlineLevel="2" spans="1:26">
      <c r="A218" s="5">
        <v>314</v>
      </c>
      <c r="B218" s="5">
        <v>13</v>
      </c>
      <c r="C218" s="9" t="s">
        <v>694</v>
      </c>
      <c r="D218" s="9" t="s">
        <v>46</v>
      </c>
      <c r="E218" s="5">
        <v>11.5</v>
      </c>
      <c r="F218" s="7">
        <f>LOOKUP(E218,{0,1.5,2.3,3.1,3.9,4.7,5.5,6.8,8.1,9.4,10.7,12,13.3,14.6,15.9,17.2,18.5,20.2,21.9,23.6,25.3},{0,10,20,30,40,50,60,62,64,66,68,70,72,74,76,78,80,85,90,95,100})</f>
        <v>68</v>
      </c>
      <c r="G218" s="5">
        <v>165</v>
      </c>
      <c r="H218" s="7">
        <f>LOOKUP(G218,{0,125,130,135,140,145,150,153,156,159,162,165,168,171,174,177,180,187,194,200,206},{0,10,20,30,40,50,60,62,64,66,68,70,72,74,76,78,80,85,90,95,100})</f>
        <v>70</v>
      </c>
      <c r="I218" s="5">
        <v>45</v>
      </c>
      <c r="J218" s="7">
        <f>LOOKUP(I218,{0,15,17,19,21,23,25,27,29,31,33,35,37,39,41,43,45,48,51,53,55},{0,10,20,30,40,50,60,62,64,66,68,70,72,74,76,78,80,85,90,95,100})</f>
        <v>80</v>
      </c>
      <c r="K218" s="5"/>
      <c r="L218" s="5"/>
      <c r="M218" s="5">
        <f t="shared" si="124"/>
        <v>80</v>
      </c>
      <c r="N218" s="5">
        <v>10.9</v>
      </c>
      <c r="O218" s="10">
        <f t="shared" si="125"/>
        <v>7.1</v>
      </c>
      <c r="P218" s="7">
        <f>LOOKUP(O218,{0,6.6,6.8,7,7.2,7.4,7.6,7.8,8,8.2,8.4,8.6,8.8,9,9.2,9.4,9.6,9.9,10.2,10.3,10.4},{0,10,20,30,40,50,60,62,64,66,68,70,72,74,76,78,80,85,90,95,100})</f>
        <v>30</v>
      </c>
      <c r="Q218" s="5">
        <v>4.4</v>
      </c>
      <c r="R218" s="10">
        <f t="shared" si="126"/>
        <v>5.6</v>
      </c>
      <c r="S218" s="7">
        <f>LOOKUP(R218,{0,4.74,4.84,4.94,5.44,5.54,5.64,5.69,5.74,5.79,5.84,5.89,5.94,5.99,6.44,6.49,6.54,6.61,6.68,6.74,6.8},{0,10,20,30,40,50,60,62,64,66,68,70,72,74,76,78,80,85,90,95,100})</f>
        <v>50</v>
      </c>
      <c r="T218" s="5"/>
      <c r="U218" s="5"/>
      <c r="V218" s="5">
        <f t="shared" si="127"/>
        <v>50</v>
      </c>
      <c r="W218" s="5"/>
      <c r="X218" s="13">
        <f t="shared" si="128"/>
        <v>37.8</v>
      </c>
      <c r="Y218" s="13">
        <f t="shared" si="129"/>
        <v>54</v>
      </c>
      <c r="Z218" s="19"/>
    </row>
    <row r="219" ht="15.6" hidden="1" outlineLevel="2" spans="1:26">
      <c r="A219" s="5">
        <v>314</v>
      </c>
      <c r="B219" s="5">
        <v>14</v>
      </c>
      <c r="C219" s="9" t="s">
        <v>695</v>
      </c>
      <c r="D219" s="9" t="s">
        <v>46</v>
      </c>
      <c r="E219" s="5">
        <v>5</v>
      </c>
      <c r="F219" s="7">
        <f>LOOKUP(E219,{0,1.5,2.3,3.1,3.9,4.7,5.5,6.8,8.1,9.4,10.7,12,13.3,14.6,15.9,17.2,18.5,20.2,21.9,23.6,25.3},{0,10,20,30,40,50,60,62,64,66,68,70,72,74,76,78,80,85,90,95,100})</f>
        <v>50</v>
      </c>
      <c r="G219" s="5">
        <v>150</v>
      </c>
      <c r="H219" s="7">
        <f>LOOKUP(G219,{0,125,130,135,140,145,150,153,156,159,162,165,168,171,174,177,180,187,194,200,206},{0,10,20,30,40,50,60,62,64,66,68,70,72,74,76,78,80,85,90,95,100})</f>
        <v>60</v>
      </c>
      <c r="I219" s="5">
        <v>34</v>
      </c>
      <c r="J219" s="7">
        <f>LOOKUP(I219,{0,15,17,19,21,23,25,27,29,31,33,35,37,39,41,43,45,48,51,53,55},{0,10,20,30,40,50,60,62,64,66,68,70,72,74,76,78,80,85,90,95,100})</f>
        <v>68</v>
      </c>
      <c r="K219" s="5"/>
      <c r="L219" s="5"/>
      <c r="M219" s="5">
        <f t="shared" si="124"/>
        <v>68</v>
      </c>
      <c r="N219" s="5"/>
      <c r="O219" s="5"/>
      <c r="P219" s="5"/>
      <c r="Q219" s="5"/>
      <c r="R219" s="5"/>
      <c r="S219" s="5"/>
      <c r="T219" s="5"/>
      <c r="U219" s="5"/>
      <c r="V219" s="5"/>
      <c r="W219" s="5">
        <v>50</v>
      </c>
      <c r="X219" s="13"/>
      <c r="Y219" s="13">
        <v>50</v>
      </c>
      <c r="Z219" s="19"/>
    </row>
    <row r="220" ht="15.6" hidden="1" outlineLevel="2" spans="1:26">
      <c r="A220" s="5">
        <v>314</v>
      </c>
      <c r="B220" s="5">
        <v>15</v>
      </c>
      <c r="C220" s="9" t="s">
        <v>696</v>
      </c>
      <c r="D220" s="9" t="s">
        <v>46</v>
      </c>
      <c r="E220" s="5">
        <v>12</v>
      </c>
      <c r="F220" s="7">
        <f>LOOKUP(E220,{0,1.5,2.3,3.1,3.9,4.7,5.5,6.8,8.1,9.4,10.7,12,13.3,14.6,15.9,17.2,18.5,20.2,21.9,23.6,25.3},{0,10,20,30,40,50,60,62,64,66,68,70,72,74,76,78,80,85,90,95,100})</f>
        <v>70</v>
      </c>
      <c r="G220" s="5">
        <v>145</v>
      </c>
      <c r="H220" s="7">
        <f>LOOKUP(G220,{0,125,130,135,140,145,150,153,156,159,162,165,168,171,174,177,180,187,194,200,206},{0,10,20,30,40,50,60,62,64,66,68,70,72,74,76,78,80,85,90,95,100})</f>
        <v>50</v>
      </c>
      <c r="I220" s="5"/>
      <c r="J220" s="5"/>
      <c r="K220" s="5"/>
      <c r="L220" s="5"/>
      <c r="M220" s="5"/>
      <c r="N220" s="5">
        <v>9.9</v>
      </c>
      <c r="O220" s="10">
        <f t="shared" ref="O220:O227" si="130">18-N220</f>
        <v>8.1</v>
      </c>
      <c r="P220" s="7">
        <f>LOOKUP(O220,{0,6.6,6.8,7,7.2,7.4,7.6,7.8,8,8.2,8.4,8.6,8.8,9,9.2,9.4,9.6,9.9,10.2,10.3,10.4},{0,10,20,30,40,50,60,62,64,66,68,70,72,74,76,78,80,85,90,95,100})</f>
        <v>64</v>
      </c>
      <c r="Q220" s="5">
        <v>5.16</v>
      </c>
      <c r="R220" s="10">
        <f t="shared" ref="R220:R225" si="131">10-Q220</f>
        <v>4.84</v>
      </c>
      <c r="S220" s="7">
        <f>LOOKUP(R220,{0,4.74,4.84,4.94,5.44,5.54,5.64,5.69,5.74,5.79,5.84,5.89,5.94,5.99,6.44,6.49,6.54,6.61,6.68,6.74,6.8},{0,10,20,30,40,50,60,62,64,66,68,70,72,74,76,78,80,85,90,95,100})</f>
        <v>20</v>
      </c>
      <c r="T220" s="5"/>
      <c r="U220" s="5"/>
      <c r="V220" s="5">
        <f t="shared" ref="V220:V225" si="132">S220+U220</f>
        <v>20</v>
      </c>
      <c r="W220" s="14">
        <v>50</v>
      </c>
      <c r="X220" s="13">
        <f t="shared" ref="X220:X227" si="133">F220*0.1+H220*0.1+J220*0.1+P220*0.2+S220*0.2</f>
        <v>28.8</v>
      </c>
      <c r="Y220" s="13">
        <v>50</v>
      </c>
      <c r="Z220" s="19"/>
    </row>
    <row r="221" ht="15.6" hidden="1" outlineLevel="2" spans="1:26">
      <c r="A221" s="5">
        <v>314</v>
      </c>
      <c r="B221" s="5">
        <v>16</v>
      </c>
      <c r="C221" s="9" t="s">
        <v>697</v>
      </c>
      <c r="D221" s="9" t="s">
        <v>46</v>
      </c>
      <c r="E221" s="5">
        <v>17</v>
      </c>
      <c r="F221" s="7">
        <f>LOOKUP(E221,{0,1.5,2.3,3.1,3.9,4.7,5.5,6.8,8.1,9.4,10.7,12,13.3,14.6,15.9,17.2,18.5,20.2,21.9,23.6,25.3},{0,10,20,30,40,50,60,62,64,66,68,70,72,74,76,78,80,85,90,95,100})</f>
        <v>76</v>
      </c>
      <c r="G221" s="5">
        <v>160</v>
      </c>
      <c r="H221" s="7">
        <f>LOOKUP(G221,{0,125,130,135,140,145,150,153,156,159,162,165,168,171,174,177,180,187,194,200,206},{0,10,20,30,40,50,60,62,64,66,68,70,72,74,76,78,80,85,90,95,100})</f>
        <v>66</v>
      </c>
      <c r="I221" s="5">
        <v>48</v>
      </c>
      <c r="J221" s="7">
        <f>LOOKUP(I221,{0,15,17,19,21,23,25,27,29,31,33,35,37,39,41,43,45,48,51,53,55},{0,10,20,30,40,50,60,62,64,66,68,70,72,74,76,78,80,85,90,95,100})</f>
        <v>85</v>
      </c>
      <c r="K221" s="5"/>
      <c r="L221" s="5"/>
      <c r="M221" s="5">
        <f t="shared" ref="M221:M227" si="134">J221+L221</f>
        <v>85</v>
      </c>
      <c r="N221" s="5">
        <v>8.4</v>
      </c>
      <c r="O221" s="10">
        <f t="shared" si="130"/>
        <v>9.6</v>
      </c>
      <c r="P221" s="7">
        <f>LOOKUP(O221,{0,6.6,6.8,7,7.2,7.4,7.6,7.8,8,8.2,8.4,8.6,8.8,9,9.2,9.4,9.6,9.9,10.2,10.3,10.4},{0,10,20,30,40,50,60,62,64,66,68,70,72,74,76,78,80,85,90,95,100})</f>
        <v>80</v>
      </c>
      <c r="Q221" s="5">
        <v>4.35</v>
      </c>
      <c r="R221" s="10">
        <f t="shared" si="131"/>
        <v>5.65</v>
      </c>
      <c r="S221" s="7">
        <f>LOOKUP(R221,{0,4.74,4.84,4.94,5.44,5.54,5.64,5.69,5.74,5.79,5.84,5.89,5.94,5.99,6.44,6.49,6.54,6.61,6.68,6.74,6.8},{0,10,20,30,40,50,60,62,64,66,68,70,72,74,76,78,80,85,90,95,100})</f>
        <v>60</v>
      </c>
      <c r="T221" s="5"/>
      <c r="U221" s="5"/>
      <c r="V221" s="5">
        <f t="shared" si="132"/>
        <v>60</v>
      </c>
      <c r="W221" s="5"/>
      <c r="X221" s="13">
        <f t="shared" si="133"/>
        <v>50.7</v>
      </c>
      <c r="Y221" s="13">
        <f t="shared" ref="Y221:Y225" si="135">X221/0.7+L221+U221</f>
        <v>72.4285714285714</v>
      </c>
      <c r="Z221" s="19"/>
    </row>
    <row r="222" ht="15.6" hidden="1" outlineLevel="2" spans="1:26">
      <c r="A222" s="5">
        <v>314</v>
      </c>
      <c r="B222" s="5">
        <v>17</v>
      </c>
      <c r="C222" s="8" t="s">
        <v>699</v>
      </c>
      <c r="D222" s="9" t="s">
        <v>46</v>
      </c>
      <c r="E222" s="5">
        <v>16.5</v>
      </c>
      <c r="F222" s="7">
        <f>LOOKUP(E222,{0,1.5,2.3,3.1,3.9,4.7,5.5,6.8,8.1,9.4,10.7,12,13.3,14.6,15.9,17.2,18.5,20.2,21.9,23.6,25.3},{0,10,20,30,40,50,60,62,64,66,68,70,72,74,76,78,80,85,90,95,100})</f>
        <v>76</v>
      </c>
      <c r="G222" s="5">
        <v>176</v>
      </c>
      <c r="H222" s="7">
        <f>LOOKUP(G222,{0,125,130,135,140,145,150,153,156,159,162,165,168,171,174,177,180,187,194,200,206},{0,10,20,30,40,50,60,62,64,66,68,70,72,74,76,78,80,85,90,95,100})</f>
        <v>76</v>
      </c>
      <c r="I222" s="5">
        <v>53</v>
      </c>
      <c r="J222" s="7">
        <f>LOOKUP(I222,{0,15,17,19,21,23,25,27,29,31,33,35,37,39,41,43,45,48,51,53,55},{0,10,20,30,40,50,60,62,64,66,68,70,72,74,76,78,80,85,90,95,100})</f>
        <v>95</v>
      </c>
      <c r="K222" s="5"/>
      <c r="L222" s="5"/>
      <c r="M222" s="5">
        <f t="shared" si="134"/>
        <v>95</v>
      </c>
      <c r="N222" s="5">
        <v>8.9</v>
      </c>
      <c r="O222" s="10">
        <f t="shared" si="130"/>
        <v>9.1</v>
      </c>
      <c r="P222" s="7">
        <f>LOOKUP(O222,{0,6.6,6.8,7,7.2,7.4,7.6,7.8,8,8.2,8.4,8.6,8.8,9,9.2,9.4,9.6,9.9,10.2,10.3,10.4},{0,10,20,30,40,50,60,62,64,66,68,70,72,74,76,78,80,85,90,95,100})</f>
        <v>74</v>
      </c>
      <c r="Q222" s="5">
        <v>3.42</v>
      </c>
      <c r="R222" s="10">
        <f t="shared" si="131"/>
        <v>6.58</v>
      </c>
      <c r="S222" s="7">
        <f>LOOKUP(R222,{0,4.74,4.84,4.94,5.44,5.54,5.64,5.69,5.74,5.79,5.84,5.89,5.94,5.99,6.44,6.49,6.54,6.61,6.68,6.74,6.8},{0,10,20,30,40,50,60,62,64,66,68,70,72,74,76,78,80,85,90,95,100})</f>
        <v>80</v>
      </c>
      <c r="T222" s="5"/>
      <c r="U222" s="5"/>
      <c r="V222" s="5">
        <f t="shared" si="132"/>
        <v>80</v>
      </c>
      <c r="W222" s="5"/>
      <c r="X222" s="13">
        <f t="shared" si="133"/>
        <v>55.5</v>
      </c>
      <c r="Y222" s="13">
        <f t="shared" si="135"/>
        <v>79.2857142857143</v>
      </c>
      <c r="Z222" s="19"/>
    </row>
    <row r="223" ht="15.6" hidden="1" outlineLevel="2" spans="1:26">
      <c r="A223" s="5">
        <v>314</v>
      </c>
      <c r="B223" s="5">
        <v>18</v>
      </c>
      <c r="C223" s="9" t="s">
        <v>700</v>
      </c>
      <c r="D223" s="9" t="s">
        <v>46</v>
      </c>
      <c r="E223" s="5">
        <v>28</v>
      </c>
      <c r="F223" s="7">
        <f>LOOKUP(E223,{0,1.5,2.3,3.1,3.9,4.7,5.5,6.8,8.1,9.4,10.7,12,13.3,14.6,15.9,17.2,18.5,20.2,21.9,23.6,25.3},{0,10,20,30,40,50,60,62,64,66,68,70,72,74,76,78,80,85,90,95,100})</f>
        <v>100</v>
      </c>
      <c r="G223" s="5">
        <v>155</v>
      </c>
      <c r="H223" s="7">
        <f>LOOKUP(G223,{0,125,130,135,140,145,150,153,156,159,162,165,168,171,174,177,180,187,194,200,206},{0,10,20,30,40,50,60,62,64,66,68,70,72,74,76,78,80,85,90,95,100})</f>
        <v>62</v>
      </c>
      <c r="I223" s="5">
        <v>42</v>
      </c>
      <c r="J223" s="7">
        <f>LOOKUP(I223,{0,15,17,19,21,23,25,27,29,31,33,35,37,39,41,43,45,48,51,53,55},{0,10,20,30,40,50,60,62,64,66,68,70,72,74,76,78,80,85,90,95,100})</f>
        <v>76</v>
      </c>
      <c r="K223" s="5"/>
      <c r="L223" s="5"/>
      <c r="M223" s="5">
        <f t="shared" si="134"/>
        <v>76</v>
      </c>
      <c r="N223" s="5">
        <v>9.4</v>
      </c>
      <c r="O223" s="10">
        <f t="shared" si="130"/>
        <v>8.6</v>
      </c>
      <c r="P223" s="7">
        <f>LOOKUP(O223,{0,6.6,6.8,7,7.2,7.4,7.6,7.8,8,8.2,8.4,8.6,8.8,9,9.2,9.4,9.6,9.9,10.2,10.3,10.4},{0,10,20,30,40,50,60,62,64,66,68,70,72,74,76,78,80,85,90,95,100})</f>
        <v>70</v>
      </c>
      <c r="Q223" s="5">
        <v>4.35</v>
      </c>
      <c r="R223" s="10">
        <f t="shared" si="131"/>
        <v>5.65</v>
      </c>
      <c r="S223" s="7">
        <f>LOOKUP(R223,{0,4.74,4.84,4.94,5.44,5.54,5.64,5.69,5.74,5.79,5.84,5.89,5.94,5.99,6.44,6.49,6.54,6.61,6.68,6.74,6.8},{0,10,20,30,40,50,60,62,64,66,68,70,72,74,76,78,80,85,90,95,100})</f>
        <v>60</v>
      </c>
      <c r="T223" s="5"/>
      <c r="U223" s="5"/>
      <c r="V223" s="5">
        <f t="shared" si="132"/>
        <v>60</v>
      </c>
      <c r="W223" s="5"/>
      <c r="X223" s="13">
        <f t="shared" si="133"/>
        <v>49.8</v>
      </c>
      <c r="Y223" s="13">
        <f t="shared" si="135"/>
        <v>71.1428571428571</v>
      </c>
      <c r="Z223" s="19"/>
    </row>
    <row r="224" ht="15.6" hidden="1" outlineLevel="2" spans="1:26">
      <c r="A224" s="5">
        <v>314</v>
      </c>
      <c r="B224" s="5">
        <v>19</v>
      </c>
      <c r="C224" s="9" t="s">
        <v>701</v>
      </c>
      <c r="D224" s="9" t="s">
        <v>46</v>
      </c>
      <c r="E224" s="5">
        <v>22.5</v>
      </c>
      <c r="F224" s="7">
        <f>LOOKUP(E224,{0,1.5,2.3,3.1,3.9,4.7,5.5,6.8,8.1,9.4,10.7,12,13.3,14.6,15.9,17.2,18.5,20.2,21.9,23.6,25.3},{0,10,20,30,40,50,60,62,64,66,68,70,72,74,76,78,80,85,90,95,100})</f>
        <v>90</v>
      </c>
      <c r="G224" s="5">
        <v>154</v>
      </c>
      <c r="H224" s="7">
        <f>LOOKUP(G224,{0,125,130,135,140,145,150,153,156,159,162,165,168,171,174,177,180,187,194,200,206},{0,10,20,30,40,50,60,62,64,66,68,70,72,74,76,78,80,85,90,95,100})</f>
        <v>62</v>
      </c>
      <c r="I224" s="5">
        <v>41</v>
      </c>
      <c r="J224" s="7">
        <f>LOOKUP(I224,{0,15,17,19,21,23,25,27,29,31,33,35,37,39,41,43,45,48,51,53,55},{0,10,20,30,40,50,60,62,64,66,68,70,72,74,76,78,80,85,90,95,100})</f>
        <v>76</v>
      </c>
      <c r="K224" s="5"/>
      <c r="L224" s="5"/>
      <c r="M224" s="5">
        <f t="shared" si="134"/>
        <v>76</v>
      </c>
      <c r="N224" s="5">
        <v>9.2</v>
      </c>
      <c r="O224" s="10">
        <f t="shared" si="130"/>
        <v>8.8</v>
      </c>
      <c r="P224" s="7">
        <f>LOOKUP(O224,{0,6.6,6.8,7,7.2,7.4,7.6,7.8,8,8.2,8.4,8.6,8.8,9,9.2,9.4,9.6,9.9,10.2,10.3,10.4},{0,10,20,30,40,50,60,62,64,66,68,70,72,74,76,78,80,85,90,95,100})</f>
        <v>72</v>
      </c>
      <c r="Q224" s="5">
        <v>4.4</v>
      </c>
      <c r="R224" s="10">
        <f t="shared" si="131"/>
        <v>5.6</v>
      </c>
      <c r="S224" s="7">
        <f>LOOKUP(R224,{0,4.74,4.84,4.94,5.44,5.54,5.64,5.69,5.74,5.79,5.84,5.89,5.94,5.99,6.44,6.49,6.54,6.61,6.68,6.74,6.8},{0,10,20,30,40,50,60,62,64,66,68,70,72,74,76,78,80,85,90,95,100})</f>
        <v>50</v>
      </c>
      <c r="T224" s="5"/>
      <c r="U224" s="5"/>
      <c r="V224" s="5">
        <f t="shared" si="132"/>
        <v>50</v>
      </c>
      <c r="W224" s="5"/>
      <c r="X224" s="13">
        <f t="shared" si="133"/>
        <v>47.2</v>
      </c>
      <c r="Y224" s="13">
        <f t="shared" si="135"/>
        <v>67.4285714285714</v>
      </c>
      <c r="Z224" s="19"/>
    </row>
    <row r="225" ht="15.6" hidden="1" outlineLevel="2" spans="1:26">
      <c r="A225" s="5">
        <v>314</v>
      </c>
      <c r="B225" s="5">
        <v>20</v>
      </c>
      <c r="C225" s="9" t="s">
        <v>702</v>
      </c>
      <c r="D225" s="9" t="s">
        <v>46</v>
      </c>
      <c r="E225" s="5">
        <v>8.5</v>
      </c>
      <c r="F225" s="7">
        <f>LOOKUP(E225,{0,1.5,2.3,3.1,3.9,4.7,5.5,6.8,8.1,9.4,10.7,12,13.3,14.6,15.9,17.2,18.5,20.2,21.9,23.6,25.3},{0,10,20,30,40,50,60,62,64,66,68,70,72,74,76,78,80,85,90,95,100})</f>
        <v>64</v>
      </c>
      <c r="G225" s="5">
        <v>153</v>
      </c>
      <c r="H225" s="7">
        <f>LOOKUP(G225,{0,125,130,135,140,145,150,153,156,159,162,165,168,171,174,177,180,187,194,200,206},{0,10,20,30,40,50,60,62,64,66,68,70,72,74,76,78,80,85,90,95,100})</f>
        <v>62</v>
      </c>
      <c r="I225" s="5">
        <v>52</v>
      </c>
      <c r="J225" s="7">
        <f>LOOKUP(I225,{0,15,17,19,21,23,25,27,29,31,33,35,37,39,41,43,45,48,51,53,55},{0,10,20,30,40,50,60,62,64,66,68,70,72,74,76,78,80,85,90,95,100})</f>
        <v>90</v>
      </c>
      <c r="K225" s="5"/>
      <c r="L225" s="5"/>
      <c r="M225" s="5">
        <f t="shared" si="134"/>
        <v>90</v>
      </c>
      <c r="N225" s="5">
        <v>9.2</v>
      </c>
      <c r="O225" s="10">
        <f t="shared" si="130"/>
        <v>8.8</v>
      </c>
      <c r="P225" s="7">
        <f>LOOKUP(O225,{0,6.6,6.8,7,7.2,7.4,7.6,7.8,8,8.2,8.4,8.6,8.8,9,9.2,9.4,9.6,9.9,10.2,10.3,10.4},{0,10,20,30,40,50,60,62,64,66,68,70,72,74,76,78,80,85,90,95,100})</f>
        <v>72</v>
      </c>
      <c r="Q225" s="5">
        <v>4.34</v>
      </c>
      <c r="R225" s="10">
        <f t="shared" si="131"/>
        <v>5.66</v>
      </c>
      <c r="S225" s="7">
        <f>LOOKUP(R225,{0,4.74,4.84,4.94,5.44,5.54,5.64,5.69,5.74,5.79,5.84,5.89,5.94,5.99,6.44,6.49,6.54,6.61,6.68,6.74,6.8},{0,10,20,30,40,50,60,62,64,66,68,70,72,74,76,78,80,85,90,95,100})</f>
        <v>60</v>
      </c>
      <c r="T225" s="5"/>
      <c r="U225" s="5"/>
      <c r="V225" s="5">
        <f t="shared" si="132"/>
        <v>60</v>
      </c>
      <c r="W225" s="5"/>
      <c r="X225" s="13">
        <f t="shared" si="133"/>
        <v>48</v>
      </c>
      <c r="Y225" s="13">
        <f t="shared" si="135"/>
        <v>68.5714285714286</v>
      </c>
      <c r="Z225" s="19"/>
    </row>
    <row r="226" ht="15.6" hidden="1" outlineLevel="2" spans="1:26">
      <c r="A226" s="5">
        <v>314</v>
      </c>
      <c r="B226" s="5">
        <v>21</v>
      </c>
      <c r="C226" s="9" t="s">
        <v>703</v>
      </c>
      <c r="D226" s="9" t="s">
        <v>46</v>
      </c>
      <c r="E226" s="5">
        <v>24</v>
      </c>
      <c r="F226" s="7">
        <f>LOOKUP(E226,{0,1.5,2.3,3.1,3.9,4.7,5.5,6.8,8.1,9.4,10.7,12,13.3,14.6,15.9,17.2,18.5,20.2,21.9,23.6,25.3},{0,10,20,30,40,50,60,62,64,66,68,70,72,74,76,78,80,85,90,95,100})</f>
        <v>95</v>
      </c>
      <c r="G226" s="5">
        <v>154</v>
      </c>
      <c r="H226" s="7">
        <f>LOOKUP(G226,{0,125,130,135,140,145,150,153,156,159,162,165,168,171,174,177,180,187,194,200,206},{0,10,20,30,40,50,60,62,64,66,68,70,72,74,76,78,80,85,90,95,100})</f>
        <v>62</v>
      </c>
      <c r="I226" s="5">
        <v>36</v>
      </c>
      <c r="J226" s="7">
        <f>LOOKUP(I226,{0,15,17,19,21,23,25,27,29,31,33,35,37,39,41,43,45,48,51,53,55},{0,10,20,30,40,50,60,62,64,66,68,70,72,74,76,78,80,85,90,95,100})</f>
        <v>70</v>
      </c>
      <c r="K226" s="5"/>
      <c r="L226" s="5"/>
      <c r="M226" s="5">
        <f t="shared" si="134"/>
        <v>70</v>
      </c>
      <c r="N226" s="5">
        <v>10.8</v>
      </c>
      <c r="O226" s="10">
        <f t="shared" si="130"/>
        <v>7.2</v>
      </c>
      <c r="P226" s="7">
        <f>LOOKUP(O226,{0,6.6,6.8,7,7.2,7.4,7.6,7.8,8,8.2,8.4,8.6,8.8,9,9.2,9.4,9.6,9.9,10.2,10.3,10.4},{0,10,20,30,40,50,60,62,64,66,68,70,72,74,76,78,80,85,90,95,100})</f>
        <v>40</v>
      </c>
      <c r="Q226" s="5" t="s">
        <v>77</v>
      </c>
      <c r="R226" s="5"/>
      <c r="S226" s="5"/>
      <c r="T226" s="5"/>
      <c r="U226" s="5"/>
      <c r="V226" s="5"/>
      <c r="W226" s="14">
        <v>50</v>
      </c>
      <c r="X226" s="13">
        <f t="shared" si="133"/>
        <v>30.7</v>
      </c>
      <c r="Y226" s="13">
        <v>50</v>
      </c>
      <c r="Z226" s="19"/>
    </row>
    <row r="227" ht="15.6" hidden="1" outlineLevel="2" spans="1:26">
      <c r="A227" s="5">
        <v>314</v>
      </c>
      <c r="B227" s="5">
        <v>22</v>
      </c>
      <c r="C227" s="9" t="s">
        <v>704</v>
      </c>
      <c r="D227" s="9" t="s">
        <v>46</v>
      </c>
      <c r="E227" s="5">
        <v>24</v>
      </c>
      <c r="F227" s="7">
        <f>LOOKUP(E227,{0,1.5,2.3,3.1,3.9,4.7,5.5,6.8,8.1,9.4,10.7,12,13.3,14.6,15.9,17.2,18.5,20.2,21.9,23.6,25.3},{0,10,20,30,40,50,60,62,64,66,68,70,72,74,76,78,80,85,90,95,100})</f>
        <v>95</v>
      </c>
      <c r="G227" s="5">
        <v>190</v>
      </c>
      <c r="H227" s="7">
        <f>LOOKUP(G227,{0,125,130,135,140,145,150,153,156,159,162,165,168,171,174,177,180,187,194,200,206},{0,10,20,30,40,50,60,62,64,66,68,70,72,74,76,78,80,85,90,95,100})</f>
        <v>85</v>
      </c>
      <c r="I227" s="5">
        <v>51</v>
      </c>
      <c r="J227" s="7">
        <f>LOOKUP(I227,{0,15,17,19,21,23,25,27,29,31,33,35,37,39,41,43,45,48,51,53,55},{0,10,20,30,40,50,60,62,64,66,68,70,72,74,76,78,80,85,90,95,100})</f>
        <v>90</v>
      </c>
      <c r="K227" s="5"/>
      <c r="L227" s="5"/>
      <c r="M227" s="5">
        <f t="shared" si="134"/>
        <v>90</v>
      </c>
      <c r="N227" s="5">
        <v>8.6</v>
      </c>
      <c r="O227" s="10">
        <f t="shared" si="130"/>
        <v>9.4</v>
      </c>
      <c r="P227" s="7">
        <f>LOOKUP(O227,{0,6.6,6.8,7,7.2,7.4,7.6,7.8,8,8.2,8.4,8.6,8.8,9,9.2,9.4,9.6,9.9,10.2,10.3,10.4},{0,10,20,30,40,50,60,62,64,66,68,70,72,74,76,78,80,85,90,95,100})</f>
        <v>78</v>
      </c>
      <c r="Q227" s="5">
        <v>4.32</v>
      </c>
      <c r="R227" s="10">
        <f t="shared" ref="R227:R231" si="136">10-Q227</f>
        <v>5.68</v>
      </c>
      <c r="S227" s="7">
        <f>LOOKUP(R227,{0,4.74,4.84,4.94,5.44,5.54,5.64,5.69,5.74,5.79,5.84,5.89,5.94,5.99,6.44,6.49,6.54,6.61,6.68,6.74,6.8},{0,10,20,30,40,50,60,62,64,66,68,70,72,74,76,78,80,85,90,95,100})</f>
        <v>60</v>
      </c>
      <c r="T227" s="5"/>
      <c r="U227" s="5"/>
      <c r="V227" s="5">
        <f t="shared" ref="V227:V231" si="137">S227+U227</f>
        <v>60</v>
      </c>
      <c r="W227" s="5"/>
      <c r="X227" s="13">
        <f t="shared" si="133"/>
        <v>54.6</v>
      </c>
      <c r="Y227" s="13">
        <f t="shared" ref="Y227:Y231" si="138">X227/0.7+L227+U227</f>
        <v>78</v>
      </c>
      <c r="Z227" s="19"/>
    </row>
    <row r="228" hidden="1" outlineLevel="2" spans="1:26">
      <c r="A228" s="5">
        <v>314</v>
      </c>
      <c r="B228" s="5">
        <v>23</v>
      </c>
      <c r="C228" s="9" t="s">
        <v>705</v>
      </c>
      <c r="D228" s="9" t="s">
        <v>46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>
        <v>50</v>
      </c>
      <c r="X228" s="13"/>
      <c r="Y228" s="13">
        <v>50</v>
      </c>
      <c r="Z228" s="19"/>
    </row>
    <row r="229" ht="15.6" hidden="1" outlineLevel="2" spans="1:26">
      <c r="A229" s="5">
        <v>314</v>
      </c>
      <c r="B229" s="5">
        <v>24</v>
      </c>
      <c r="C229" s="9" t="s">
        <v>706</v>
      </c>
      <c r="D229" s="9" t="s">
        <v>46</v>
      </c>
      <c r="E229" s="5">
        <v>17.5</v>
      </c>
      <c r="F229" s="7">
        <f>LOOKUP(E229,{0,1.5,2.3,3.1,3.9,4.7,5.5,6.8,8.1,9.4,10.7,12,13.3,14.6,15.9,17.2,18.5,20.2,21.9,23.6,25.3},{0,10,20,30,40,50,60,62,64,66,68,70,72,74,76,78,80,85,90,95,100})</f>
        <v>78</v>
      </c>
      <c r="G229" s="5">
        <v>189</v>
      </c>
      <c r="H229" s="7">
        <f>LOOKUP(G229,{0,125,130,135,140,145,150,153,156,159,162,165,168,171,174,177,180,187,194,200,206},{0,10,20,30,40,50,60,62,64,66,68,70,72,74,76,78,80,85,90,95,100})</f>
        <v>85</v>
      </c>
      <c r="I229" s="5">
        <v>40</v>
      </c>
      <c r="J229" s="7">
        <f>LOOKUP(I229,{0,15,17,19,21,23,25,27,29,31,33,35,37,39,41,43,45,48,51,53,55},{0,10,20,30,40,50,60,62,64,66,68,70,72,74,76,78,80,85,90,95,100})</f>
        <v>74</v>
      </c>
      <c r="K229" s="5"/>
      <c r="L229" s="5"/>
      <c r="M229" s="5">
        <f t="shared" ref="M229:M231" si="139">J229+L229</f>
        <v>74</v>
      </c>
      <c r="N229" s="5">
        <v>8.6</v>
      </c>
      <c r="O229" s="10">
        <f t="shared" ref="O229:O234" si="140">18-N229</f>
        <v>9.4</v>
      </c>
      <c r="P229" s="7">
        <f>LOOKUP(O229,{0,6.6,6.8,7,7.2,7.4,7.6,7.8,8,8.2,8.4,8.6,8.8,9,9.2,9.4,9.6,9.9,10.2,10.3,10.4},{0,10,20,30,40,50,60,62,64,66,68,70,72,74,76,78,80,85,90,95,100})</f>
        <v>78</v>
      </c>
      <c r="Q229" s="5">
        <v>4.34</v>
      </c>
      <c r="R229" s="10">
        <f t="shared" si="136"/>
        <v>5.66</v>
      </c>
      <c r="S229" s="7">
        <f>LOOKUP(R229,{0,4.74,4.84,4.94,5.44,5.54,5.64,5.69,5.74,5.79,5.84,5.89,5.94,5.99,6.44,6.49,6.54,6.61,6.68,6.74,6.8},{0,10,20,30,40,50,60,62,64,66,68,70,72,74,76,78,80,85,90,95,100})</f>
        <v>60</v>
      </c>
      <c r="T229" s="5"/>
      <c r="U229" s="5"/>
      <c r="V229" s="5">
        <f t="shared" si="137"/>
        <v>60</v>
      </c>
      <c r="W229" s="5"/>
      <c r="X229" s="13">
        <f t="shared" ref="X229:X231" si="141">F229*0.1+H229*0.1+J229*0.1+P229*0.2+S229*0.2</f>
        <v>51.3</v>
      </c>
      <c r="Y229" s="13">
        <f t="shared" si="138"/>
        <v>73.2857142857143</v>
      </c>
      <c r="Z229" s="19"/>
    </row>
    <row r="230" ht="15.6" hidden="1" outlineLevel="2" spans="1:26">
      <c r="A230" s="5">
        <v>314</v>
      </c>
      <c r="B230" s="5">
        <v>25</v>
      </c>
      <c r="C230" s="9" t="s">
        <v>707</v>
      </c>
      <c r="D230" s="9" t="s">
        <v>46</v>
      </c>
      <c r="E230" s="5">
        <v>19</v>
      </c>
      <c r="F230" s="7">
        <f>LOOKUP(E230,{0,1.5,2.3,3.1,3.9,4.7,5.5,6.8,8.1,9.4,10.7,12,13.3,14.6,15.9,17.2,18.5,20.2,21.9,23.6,25.3},{0,10,20,30,40,50,60,62,64,66,68,70,72,74,76,78,80,85,90,95,100})</f>
        <v>80</v>
      </c>
      <c r="G230" s="5">
        <v>169</v>
      </c>
      <c r="H230" s="7">
        <f>LOOKUP(G230,{0,125,130,135,140,145,150,153,156,159,162,165,168,171,174,177,180,187,194,200,206},{0,10,20,30,40,50,60,62,64,66,68,70,72,74,76,78,80,85,90,95,100})</f>
        <v>72</v>
      </c>
      <c r="I230" s="5">
        <v>36</v>
      </c>
      <c r="J230" s="7">
        <f>LOOKUP(I230,{0,15,17,19,21,23,25,27,29,31,33,35,37,39,41,43,45,48,51,53,55},{0,10,20,30,40,50,60,62,64,66,68,70,72,74,76,78,80,85,90,95,100})</f>
        <v>70</v>
      </c>
      <c r="K230" s="5"/>
      <c r="L230" s="5"/>
      <c r="M230" s="5">
        <f t="shared" si="139"/>
        <v>70</v>
      </c>
      <c r="N230" s="5" t="s">
        <v>77</v>
      </c>
      <c r="O230" s="5"/>
      <c r="P230" s="5"/>
      <c r="Q230" s="5" t="s">
        <v>77</v>
      </c>
      <c r="R230" s="5"/>
      <c r="S230" s="5"/>
      <c r="T230" s="5"/>
      <c r="U230" s="5"/>
      <c r="V230" s="5"/>
      <c r="W230" s="14">
        <v>50</v>
      </c>
      <c r="X230" s="13">
        <f t="shared" si="141"/>
        <v>22.2</v>
      </c>
      <c r="Y230" s="13">
        <v>50</v>
      </c>
      <c r="Z230" s="19"/>
    </row>
    <row r="231" ht="15.6" hidden="1" outlineLevel="2" spans="1:26">
      <c r="A231" s="5">
        <v>314</v>
      </c>
      <c r="B231" s="5">
        <v>26</v>
      </c>
      <c r="C231" s="9" t="s">
        <v>708</v>
      </c>
      <c r="D231" s="9" t="s">
        <v>46</v>
      </c>
      <c r="E231" s="5">
        <v>30.5</v>
      </c>
      <c r="F231" s="7">
        <f>LOOKUP(E231,{0,1.5,2.3,3.1,3.9,4.7,5.5,6.8,8.1,9.4,10.7,12,13.3,14.6,15.9,17.2,18.5,20.2,21.9,23.6,25.3},{0,10,20,30,40,50,60,62,64,66,68,70,72,74,76,78,80,85,90,95,100})</f>
        <v>100</v>
      </c>
      <c r="G231" s="5">
        <v>204</v>
      </c>
      <c r="H231" s="7">
        <f>LOOKUP(G231,{0,125,130,135,140,145,150,153,156,159,162,165,168,171,174,177,180,187,194,200,206},{0,10,20,30,40,50,60,62,64,66,68,70,72,74,76,78,80,85,90,95,100})</f>
        <v>95</v>
      </c>
      <c r="I231" s="5">
        <v>22</v>
      </c>
      <c r="J231" s="7">
        <f>LOOKUP(I231,{0,15,17,19,21,23,25,27,29,31,33,35,37,39,41,43,45,48,51,53,55},{0,10,20,30,40,50,60,62,64,66,68,70,72,74,76,78,80,85,90,95,100})</f>
        <v>40</v>
      </c>
      <c r="K231" s="5"/>
      <c r="L231" s="5"/>
      <c r="M231" s="5">
        <f t="shared" si="139"/>
        <v>40</v>
      </c>
      <c r="N231" s="5">
        <v>7.9</v>
      </c>
      <c r="O231" s="10">
        <f t="shared" si="140"/>
        <v>10.1</v>
      </c>
      <c r="P231" s="7">
        <f>LOOKUP(O231,{0,6.6,6.8,7,7.2,7.4,7.6,7.8,8,8.2,8.4,8.6,8.8,9,9.2,9.4,9.6,9.9,10.2,10.3,10.4},{0,10,20,30,40,50,60,62,64,66,68,70,72,74,76,78,80,85,90,95,100})</f>
        <v>85</v>
      </c>
      <c r="Q231" s="5">
        <v>3.31</v>
      </c>
      <c r="R231" s="10">
        <f t="shared" si="136"/>
        <v>6.69</v>
      </c>
      <c r="S231" s="7">
        <f>LOOKUP(R231,{0,4.74,4.84,4.94,5.44,5.54,5.64,5.69,5.74,5.79,5.84,5.89,5.94,5.99,6.44,6.49,6.54,6.61,6.68,6.74,6.8},{0,10,20,30,40,50,60,62,64,66,68,70,72,74,76,78,80,85,90,95,100})</f>
        <v>90</v>
      </c>
      <c r="T231" s="5"/>
      <c r="U231" s="5"/>
      <c r="V231" s="5">
        <f t="shared" si="137"/>
        <v>90</v>
      </c>
      <c r="W231" s="5"/>
      <c r="X231" s="13">
        <f t="shared" si="141"/>
        <v>58.5</v>
      </c>
      <c r="Y231" s="13">
        <f t="shared" si="138"/>
        <v>83.5714285714286</v>
      </c>
      <c r="Z231" s="19"/>
    </row>
    <row r="232" hidden="1" outlineLevel="2" spans="1:26">
      <c r="A232" s="5">
        <v>314</v>
      </c>
      <c r="B232" s="5">
        <v>27</v>
      </c>
      <c r="C232" s="8" t="s">
        <v>710</v>
      </c>
      <c r="D232" s="9" t="s">
        <v>46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>
        <v>50</v>
      </c>
      <c r="X232" s="13"/>
      <c r="Y232" s="13">
        <v>50</v>
      </c>
      <c r="Z232" s="19"/>
    </row>
    <row r="233" ht="15.6" hidden="1" outlineLevel="2" spans="1:26">
      <c r="A233" s="5">
        <v>314</v>
      </c>
      <c r="B233" s="5">
        <v>28</v>
      </c>
      <c r="C233" s="9" t="s">
        <v>711</v>
      </c>
      <c r="D233" s="9" t="s">
        <v>46</v>
      </c>
      <c r="E233" s="5">
        <v>19.5</v>
      </c>
      <c r="F233" s="7">
        <f>LOOKUP(E233,{0,1.5,2.3,3.1,3.9,4.7,5.5,6.8,8.1,9.4,10.7,12,13.3,14.6,15.9,17.2,18.5,20.2,21.9,23.6,25.3},{0,10,20,30,40,50,60,62,64,66,68,70,72,74,76,78,80,85,90,95,100})</f>
        <v>80</v>
      </c>
      <c r="G233" s="5">
        <v>160</v>
      </c>
      <c r="H233" s="7">
        <f>LOOKUP(G233,{0,125,130,135,140,145,150,153,156,159,162,165,168,171,174,177,180,187,194,200,206},{0,10,20,30,40,50,60,62,64,66,68,70,72,74,76,78,80,85,90,95,100})</f>
        <v>66</v>
      </c>
      <c r="I233" s="5">
        <v>47</v>
      </c>
      <c r="J233" s="7">
        <f>LOOKUP(I233,{0,15,17,19,21,23,25,27,29,31,33,35,37,39,41,43,45,48,51,53,55},{0,10,20,30,40,50,60,62,64,66,68,70,72,74,76,78,80,85,90,95,100})</f>
        <v>80</v>
      </c>
      <c r="K233" s="5"/>
      <c r="L233" s="5"/>
      <c r="M233" s="5">
        <f t="shared" ref="M233:M247" si="142">J233+L233</f>
        <v>80</v>
      </c>
      <c r="N233" s="5">
        <v>8.5</v>
      </c>
      <c r="O233" s="10">
        <f t="shared" si="140"/>
        <v>9.5</v>
      </c>
      <c r="P233" s="7">
        <f>LOOKUP(O233,{0,6.6,6.8,7,7.2,7.4,7.6,7.8,8,8.2,8.4,8.6,8.8,9,9.2,9.4,9.6,9.9,10.2,10.3,10.4},{0,10,20,30,40,50,60,62,64,66,68,70,72,74,76,78,80,85,90,95,100})</f>
        <v>78</v>
      </c>
      <c r="Q233" s="5">
        <v>4.35</v>
      </c>
      <c r="R233" s="10">
        <f t="shared" ref="R233:R247" si="143">10-Q233</f>
        <v>5.65</v>
      </c>
      <c r="S233" s="7">
        <f>LOOKUP(R233,{0,4.74,4.84,4.94,5.44,5.54,5.64,5.69,5.74,5.79,5.84,5.89,5.94,5.99,6.44,6.49,6.54,6.61,6.68,6.74,6.8},{0,10,20,30,40,50,60,62,64,66,68,70,72,74,76,78,80,85,90,95,100})</f>
        <v>60</v>
      </c>
      <c r="T233" s="5"/>
      <c r="U233" s="5"/>
      <c r="V233" s="5">
        <f t="shared" ref="V233:V247" si="144">S233+U233</f>
        <v>60</v>
      </c>
      <c r="W233" s="5"/>
      <c r="X233" s="13">
        <f t="shared" ref="X233:X247" si="145">F233*0.1+H233*0.1+J233*0.1+P233*0.2+S233*0.2</f>
        <v>50.2</v>
      </c>
      <c r="Y233" s="13">
        <f t="shared" ref="Y233:Y236" si="146">X233/0.7+L233+U233</f>
        <v>71.7142857142857</v>
      </c>
      <c r="Z233" s="19"/>
    </row>
    <row r="234" ht="15.6" hidden="1" outlineLevel="2" spans="1:26">
      <c r="A234" s="5">
        <v>314</v>
      </c>
      <c r="B234" s="5">
        <v>29</v>
      </c>
      <c r="C234" s="9" t="s">
        <v>712</v>
      </c>
      <c r="D234" s="9" t="s">
        <v>46</v>
      </c>
      <c r="E234" s="5">
        <v>20.5</v>
      </c>
      <c r="F234" s="7">
        <f>LOOKUP(E234,{0,1.5,2.3,3.1,3.9,4.7,5.5,6.8,8.1,9.4,10.7,12,13.3,14.6,15.9,17.2,18.5,20.2,21.9,23.6,25.3},{0,10,20,30,40,50,60,62,64,66,68,70,72,74,76,78,80,85,90,95,100})</f>
        <v>85</v>
      </c>
      <c r="G234" s="5">
        <v>207</v>
      </c>
      <c r="H234" s="7">
        <f>LOOKUP(G234,{0,125,130,135,140,145,150,153,156,159,162,165,168,171,174,177,180,187,194,200,206},{0,10,20,30,40,50,60,62,64,66,68,70,72,74,76,78,80,85,90,95,100})</f>
        <v>100</v>
      </c>
      <c r="I234" s="5">
        <v>0</v>
      </c>
      <c r="J234" s="7">
        <f>LOOKUP(I234,{0,15,17,19,21,23,25,27,29,31,33,35,37,39,41,43,45,48,51,53,55},{0,10,20,30,40,50,60,62,64,66,68,70,72,74,76,78,80,85,90,95,100})</f>
        <v>0</v>
      </c>
      <c r="K234" s="5"/>
      <c r="L234" s="5"/>
      <c r="M234" s="5">
        <f t="shared" si="142"/>
        <v>0</v>
      </c>
      <c r="N234" s="5">
        <v>7.6</v>
      </c>
      <c r="O234" s="10">
        <f t="shared" si="140"/>
        <v>10.4</v>
      </c>
      <c r="P234" s="7">
        <f>LOOKUP(O234,{0,6.6,6.8,7,7.2,7.4,7.6,7.8,8,8.2,8.4,8.6,8.8,9,9.2,9.4,9.6,9.9,10.2,10.3,10.4},{0,10,20,30,40,50,60,62,64,66,68,70,72,74,76,78,80,85,90,95,100})</f>
        <v>100</v>
      </c>
      <c r="Q234" s="5">
        <v>3.31</v>
      </c>
      <c r="R234" s="10">
        <f t="shared" si="143"/>
        <v>6.69</v>
      </c>
      <c r="S234" s="7">
        <f>LOOKUP(R234,{0,4.74,4.84,4.94,5.44,5.54,5.64,5.69,5.74,5.79,5.84,5.89,5.94,5.99,6.44,6.49,6.54,6.61,6.68,6.74,6.8},{0,10,20,30,40,50,60,62,64,66,68,70,72,74,76,78,80,85,90,95,100})</f>
        <v>90</v>
      </c>
      <c r="T234" s="5"/>
      <c r="U234" s="5"/>
      <c r="V234" s="5">
        <f t="shared" si="144"/>
        <v>90</v>
      </c>
      <c r="W234" s="5"/>
      <c r="X234" s="13">
        <f t="shared" si="145"/>
        <v>56.5</v>
      </c>
      <c r="Y234" s="13">
        <f t="shared" si="146"/>
        <v>80.7142857142857</v>
      </c>
      <c r="Z234" s="19"/>
    </row>
    <row r="235" ht="15.6" hidden="1" outlineLevel="2" spans="1:26">
      <c r="A235" s="5">
        <v>314</v>
      </c>
      <c r="B235" s="5">
        <v>30</v>
      </c>
      <c r="C235" s="9" t="s">
        <v>713</v>
      </c>
      <c r="D235" s="9" t="s">
        <v>46</v>
      </c>
      <c r="E235" s="5">
        <v>25.5</v>
      </c>
      <c r="F235" s="7">
        <f>LOOKUP(E235,{0,1.5,2.3,3.1,3.9,4.7,5.5,6.8,8.1,9.4,10.7,12,13.3,14.6,15.9,17.2,18.5,20.2,21.9,23.6,25.3},{0,10,20,30,40,50,60,62,64,66,68,70,72,74,76,78,80,85,90,95,100})</f>
        <v>100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>
        <v>50</v>
      </c>
      <c r="X235" s="13"/>
      <c r="Y235" s="13">
        <v>50</v>
      </c>
      <c r="Z235" s="19"/>
    </row>
    <row r="236" ht="15.6" hidden="1" outlineLevel="2" spans="1:26">
      <c r="A236" s="5">
        <v>314</v>
      </c>
      <c r="B236" s="5">
        <v>31</v>
      </c>
      <c r="C236" s="9" t="s">
        <v>714</v>
      </c>
      <c r="D236" s="9" t="s">
        <v>46</v>
      </c>
      <c r="E236" s="5">
        <v>11</v>
      </c>
      <c r="F236" s="7">
        <f>LOOKUP(E236,{0,1.5,2.3,3.1,3.9,4.7,5.5,6.8,8.1,9.4,10.7,12,13.3,14.6,15.9,17.2,18.5,20.2,21.9,23.6,25.3},{0,10,20,30,40,50,60,62,64,66,68,70,72,74,76,78,80,85,90,95,100})</f>
        <v>68</v>
      </c>
      <c r="G236" s="5">
        <v>220</v>
      </c>
      <c r="H236" s="7">
        <f>LOOKUP(G236,{0,125,130,135,140,145,150,153,156,159,162,165,168,171,174,177,180,187,194,200,206},{0,10,20,30,40,50,60,62,64,66,68,70,72,74,76,78,80,85,90,95,100})</f>
        <v>100</v>
      </c>
      <c r="I236" s="5">
        <v>38</v>
      </c>
      <c r="J236" s="7">
        <f>LOOKUP(I236,{0,15,17,19,21,23,25,27,29,31,33,35,37,39,41,43,45,48,51,53,55},{0,10,20,30,40,50,60,62,64,66,68,70,72,74,76,78,80,85,90,95,100})</f>
        <v>72</v>
      </c>
      <c r="K236" s="5"/>
      <c r="L236" s="5"/>
      <c r="M236" s="5">
        <f t="shared" si="142"/>
        <v>72</v>
      </c>
      <c r="N236" s="5">
        <v>7.9</v>
      </c>
      <c r="O236" s="10">
        <f>18-N236</f>
        <v>10.1</v>
      </c>
      <c r="P236" s="7">
        <f>LOOKUP(O236,{0,6.6,6.8,7,7.2,7.4,7.6,7.8,8,8.2,8.4,8.6,8.8,9,9.2,9.4,9.6,9.9,10.2,10.3,10.4},{0,10,20,30,40,50,60,62,64,66,68,70,72,74,76,78,80,85,90,95,100})</f>
        <v>85</v>
      </c>
      <c r="Q236" s="5">
        <v>3.56</v>
      </c>
      <c r="R236" s="10">
        <f t="shared" si="143"/>
        <v>6.44</v>
      </c>
      <c r="S236" s="7">
        <f>LOOKUP(R236,{0,4.74,4.84,4.94,5.44,5.54,5.64,5.69,5.74,5.79,5.84,5.89,5.94,5.99,6.44,6.49,6.54,6.61,6.68,6.74,6.8},{0,10,20,30,40,50,60,62,64,66,68,70,72,74,76,78,80,85,90,95,100})</f>
        <v>76</v>
      </c>
      <c r="T236" s="5"/>
      <c r="U236" s="5"/>
      <c r="V236" s="5">
        <f t="shared" si="144"/>
        <v>76</v>
      </c>
      <c r="W236" s="5"/>
      <c r="X236" s="13">
        <f t="shared" si="145"/>
        <v>56.2</v>
      </c>
      <c r="Y236" s="13">
        <f t="shared" si="146"/>
        <v>80.2857142857143</v>
      </c>
      <c r="Z236" s="19"/>
    </row>
    <row r="237" ht="15.6" hidden="1" outlineLevel="2" spans="1:26">
      <c r="A237" s="5">
        <v>314</v>
      </c>
      <c r="B237" s="5">
        <v>32</v>
      </c>
      <c r="C237" s="9" t="s">
        <v>715</v>
      </c>
      <c r="D237" s="9" t="s">
        <v>46</v>
      </c>
      <c r="E237" s="5">
        <v>26.5</v>
      </c>
      <c r="F237" s="7">
        <f>LOOKUP(E237,{0,1.5,2.3,3.1,3.9,4.7,5.5,6.8,8.1,9.4,10.7,12,13.3,14.6,15.9,17.2,18.5,20.2,21.9,23.6,25.3},{0,10,20,30,40,50,60,62,64,66,68,70,72,74,76,78,80,85,90,95,100})</f>
        <v>100</v>
      </c>
      <c r="G237" s="5">
        <v>185</v>
      </c>
      <c r="H237" s="7">
        <f>LOOKUP(G237,{0,125,130,135,140,145,150,153,156,159,162,165,168,171,174,177,180,187,194,200,206},{0,10,20,30,40,50,60,62,64,66,68,70,72,74,76,78,80,85,90,95,100})</f>
        <v>80</v>
      </c>
      <c r="I237" s="5">
        <v>0</v>
      </c>
      <c r="J237" s="7">
        <f>LOOKUP(I237,{0,15,17,19,21,23,25,27,29,31,33,35,37,39,41,43,45,48,51,53,55},{0,10,20,30,40,50,60,62,64,66,68,70,72,74,76,78,80,85,90,95,100})</f>
        <v>0</v>
      </c>
      <c r="K237" s="5"/>
      <c r="L237" s="5"/>
      <c r="M237" s="5">
        <f t="shared" si="142"/>
        <v>0</v>
      </c>
      <c r="N237" s="5"/>
      <c r="O237" s="5"/>
      <c r="P237" s="5"/>
      <c r="Q237" s="5">
        <v>4.47</v>
      </c>
      <c r="R237" s="10">
        <f t="shared" si="143"/>
        <v>5.53</v>
      </c>
      <c r="S237" s="7">
        <f>LOOKUP(R237,{0,4.74,4.84,4.94,5.44,5.54,5.64,5.69,5.74,5.79,5.84,5.89,5.94,5.99,6.44,6.49,6.54,6.61,6.68,6.74,6.8},{0,10,20,30,40,50,60,62,64,66,68,70,72,74,76,78,80,85,90,95,100})</f>
        <v>40</v>
      </c>
      <c r="T237" s="5"/>
      <c r="U237" s="5"/>
      <c r="V237" s="5">
        <f t="shared" si="144"/>
        <v>40</v>
      </c>
      <c r="W237" s="14">
        <v>50</v>
      </c>
      <c r="X237" s="13">
        <f t="shared" si="145"/>
        <v>26</v>
      </c>
      <c r="Y237" s="13">
        <v>50</v>
      </c>
      <c r="Z237" s="19"/>
    </row>
    <row r="238" ht="15.6" hidden="1" outlineLevel="2" spans="1:26">
      <c r="A238" s="5">
        <v>314</v>
      </c>
      <c r="B238" s="5">
        <v>33</v>
      </c>
      <c r="C238" s="9" t="s">
        <v>716</v>
      </c>
      <c r="D238" s="9" t="s">
        <v>46</v>
      </c>
      <c r="E238" s="5">
        <v>9</v>
      </c>
      <c r="F238" s="7">
        <f>LOOKUP(E238,{0,1.5,2.3,3.1,3.9,4.7,5.5,6.8,8.1,9.4,10.7,12,13.3,14.6,15.9,17.2,18.5,20.2,21.9,23.6,25.3},{0,10,20,30,40,50,60,62,64,66,68,70,72,74,76,78,80,85,90,95,100})</f>
        <v>64</v>
      </c>
      <c r="G238" s="5">
        <v>175</v>
      </c>
      <c r="H238" s="7">
        <f>LOOKUP(G238,{0,125,130,135,140,145,150,153,156,159,162,165,168,171,174,177,180,187,194,200,206},{0,10,20,30,40,50,60,62,64,66,68,70,72,74,76,78,80,85,90,95,100})</f>
        <v>76</v>
      </c>
      <c r="I238" s="5">
        <v>47</v>
      </c>
      <c r="J238" s="7">
        <f>LOOKUP(I238,{0,15,17,19,21,23,25,27,29,31,33,35,37,39,41,43,45,48,51,53,55},{0,10,20,30,40,50,60,62,64,66,68,70,72,74,76,78,80,85,90,95,100})</f>
        <v>80</v>
      </c>
      <c r="K238" s="5"/>
      <c r="L238" s="5"/>
      <c r="M238" s="5">
        <f t="shared" si="142"/>
        <v>80</v>
      </c>
      <c r="N238" s="5">
        <v>8.8</v>
      </c>
      <c r="O238" s="10">
        <f t="shared" ref="O238:O247" si="147">18-N238</f>
        <v>9.2</v>
      </c>
      <c r="P238" s="7">
        <f>LOOKUP(O238,{0,6.6,6.8,7,7.2,7.4,7.6,7.8,8,8.2,8.4,8.6,8.8,9,9.2,9.4,9.6,9.9,10.2,10.3,10.4},{0,10,20,30,40,50,60,62,64,66,68,70,72,74,76,78,80,85,90,95,100})</f>
        <v>76</v>
      </c>
      <c r="Q238" s="5">
        <v>4.33</v>
      </c>
      <c r="R238" s="10">
        <f t="shared" si="143"/>
        <v>5.67</v>
      </c>
      <c r="S238" s="7">
        <f>LOOKUP(R238,{0,4.74,4.84,4.94,5.44,5.54,5.64,5.69,5.74,5.79,5.84,5.89,5.94,5.99,6.44,6.49,6.54,6.61,6.68,6.74,6.8},{0,10,20,30,40,50,60,62,64,66,68,70,72,74,76,78,80,85,90,95,100})</f>
        <v>60</v>
      </c>
      <c r="T238" s="5"/>
      <c r="U238" s="5"/>
      <c r="V238" s="5">
        <f t="shared" si="144"/>
        <v>60</v>
      </c>
      <c r="W238" s="5"/>
      <c r="X238" s="13">
        <f t="shared" si="145"/>
        <v>49.2</v>
      </c>
      <c r="Y238" s="13">
        <f t="shared" ref="Y238:Y247" si="148">X238/0.7+L238+U238</f>
        <v>70.2857142857143</v>
      </c>
      <c r="Z238" s="19"/>
    </row>
    <row r="239" ht="15.6" hidden="1" outlineLevel="2" spans="1:26">
      <c r="A239" s="5">
        <v>314</v>
      </c>
      <c r="B239" s="5">
        <v>34</v>
      </c>
      <c r="C239" s="9" t="s">
        <v>717</v>
      </c>
      <c r="D239" s="9" t="s">
        <v>46</v>
      </c>
      <c r="E239" s="5">
        <v>18.5</v>
      </c>
      <c r="F239" s="7">
        <f>LOOKUP(E239,{0,1.5,2.3,3.1,3.9,4.7,5.5,6.8,8.1,9.4,10.7,12,13.3,14.6,15.9,17.2,18.5,20.2,21.9,23.6,25.3},{0,10,20,30,40,50,60,62,64,66,68,70,72,74,76,78,80,85,90,95,100})</f>
        <v>80</v>
      </c>
      <c r="G239" s="5">
        <v>190</v>
      </c>
      <c r="H239" s="7">
        <f>LOOKUP(G239,{0,125,130,135,140,145,150,153,156,159,162,165,168,171,174,177,180,187,194,200,206},{0,10,20,30,40,50,60,62,64,66,68,70,72,74,76,78,80,85,90,95,100})</f>
        <v>85</v>
      </c>
      <c r="I239" s="5">
        <v>0</v>
      </c>
      <c r="J239" s="7">
        <f>LOOKUP(I239,{0,15,17,19,21,23,25,27,29,31,33,35,37,39,41,43,45,48,51,53,55},{0,10,20,30,40,50,60,62,64,66,68,70,72,74,76,78,80,85,90,95,100})</f>
        <v>0</v>
      </c>
      <c r="K239" s="5"/>
      <c r="L239" s="5"/>
      <c r="M239" s="5">
        <f t="shared" si="142"/>
        <v>0</v>
      </c>
      <c r="N239" s="5"/>
      <c r="O239" s="5"/>
      <c r="P239" s="5"/>
      <c r="Q239" s="5">
        <v>3.55</v>
      </c>
      <c r="R239" s="10">
        <f t="shared" si="143"/>
        <v>6.45</v>
      </c>
      <c r="S239" s="7">
        <f>LOOKUP(R239,{0,4.74,4.84,4.94,5.44,5.54,5.64,5.69,5.74,5.79,5.84,5.89,5.94,5.99,6.44,6.49,6.54,6.61,6.68,6.74,6.8},{0,10,20,30,40,50,60,62,64,66,68,70,72,74,76,78,80,85,90,95,100})</f>
        <v>76</v>
      </c>
      <c r="T239" s="5"/>
      <c r="U239" s="5"/>
      <c r="V239" s="5">
        <f t="shared" si="144"/>
        <v>76</v>
      </c>
      <c r="W239" s="14">
        <v>50</v>
      </c>
      <c r="X239" s="13">
        <f t="shared" si="145"/>
        <v>31.7</v>
      </c>
      <c r="Y239" s="13">
        <v>50</v>
      </c>
      <c r="Z239" s="19"/>
    </row>
    <row r="240" ht="15.6" hidden="1" outlineLevel="2" spans="1:26">
      <c r="A240" s="5">
        <v>314</v>
      </c>
      <c r="B240" s="5">
        <v>35</v>
      </c>
      <c r="C240" s="9" t="s">
        <v>718</v>
      </c>
      <c r="D240" s="9" t="s">
        <v>46</v>
      </c>
      <c r="E240" s="5">
        <v>11.4</v>
      </c>
      <c r="F240" s="7">
        <f>LOOKUP(E240,{0,1.5,2.3,3.1,3.9,4.7,5.5,6.8,8.1,9.4,10.7,12,13.3,14.6,15.9,17.2,18.5,20.2,21.9,23.6,25.3},{0,10,20,30,40,50,60,62,64,66,68,70,72,74,76,78,80,85,90,95,100})</f>
        <v>68</v>
      </c>
      <c r="G240" s="5">
        <v>210</v>
      </c>
      <c r="H240" s="7">
        <f>LOOKUP(G240,{0,125,130,135,140,145,150,153,156,159,162,165,168,171,174,177,180,187,194,200,206},{0,10,20,30,40,50,60,62,64,66,68,70,72,74,76,78,80,85,90,95,100})</f>
        <v>100</v>
      </c>
      <c r="I240" s="5">
        <v>57</v>
      </c>
      <c r="J240" s="7">
        <f>LOOKUP(I240,{0,15,17,19,21,23,25,27,29,31,33,35,37,39,41,43,45,48,51,53,55},{0,10,20,30,40,50,60,62,64,66,68,70,72,74,76,78,80,85,90,95,100})</f>
        <v>100</v>
      </c>
      <c r="K240" s="11">
        <f>I240-55</f>
        <v>2</v>
      </c>
      <c r="L240" s="7">
        <f>LOOKUP(K240,{0,2,4,6,7,8,9,10,11,12,13},{0,1,2,3,4,5,6,7,8,9,10})</f>
        <v>1</v>
      </c>
      <c r="M240" s="5">
        <f t="shared" si="142"/>
        <v>101</v>
      </c>
      <c r="N240" s="5"/>
      <c r="O240" s="5"/>
      <c r="P240" s="5"/>
      <c r="Q240" s="5">
        <v>4.44</v>
      </c>
      <c r="R240" s="10">
        <f t="shared" si="143"/>
        <v>5.56</v>
      </c>
      <c r="S240" s="7">
        <f>LOOKUP(R240,{0,4.74,4.84,4.94,5.44,5.54,5.64,5.69,5.74,5.79,5.84,5.89,5.94,5.99,6.44,6.49,6.54,6.61,6.68,6.74,6.8},{0,10,20,30,40,50,60,62,64,66,68,70,72,74,76,78,80,85,90,95,100})</f>
        <v>50</v>
      </c>
      <c r="T240" s="5"/>
      <c r="U240" s="5"/>
      <c r="V240" s="5">
        <f t="shared" si="144"/>
        <v>50</v>
      </c>
      <c r="W240" s="5"/>
      <c r="X240" s="13">
        <f t="shared" si="145"/>
        <v>36.8</v>
      </c>
      <c r="Y240" s="13">
        <f t="shared" si="148"/>
        <v>53.5714285714286</v>
      </c>
      <c r="Z240" s="19"/>
    </row>
    <row r="241" ht="15.6" hidden="1" outlineLevel="2" spans="1:26">
      <c r="A241" s="5">
        <v>314</v>
      </c>
      <c r="B241" s="5">
        <v>36</v>
      </c>
      <c r="C241" s="9" t="s">
        <v>719</v>
      </c>
      <c r="D241" s="9" t="s">
        <v>46</v>
      </c>
      <c r="E241" s="5">
        <v>20.4</v>
      </c>
      <c r="F241" s="7">
        <f>LOOKUP(E241,{0,1.5,2.3,3.1,3.9,4.7,5.5,6.8,8.1,9.4,10.7,12,13.3,14.6,15.9,17.2,18.5,20.2,21.9,23.6,25.3},{0,10,20,30,40,50,60,62,64,66,68,70,72,74,76,78,80,85,90,95,100})</f>
        <v>85</v>
      </c>
      <c r="G241" s="5">
        <v>185</v>
      </c>
      <c r="H241" s="7">
        <f>LOOKUP(G241,{0,125,130,135,140,145,150,153,156,159,162,165,168,171,174,177,180,187,194,200,206},{0,10,20,30,40,50,60,62,64,66,68,70,72,74,76,78,80,85,90,95,100})</f>
        <v>80</v>
      </c>
      <c r="I241" s="5">
        <v>0</v>
      </c>
      <c r="J241" s="7">
        <f>LOOKUP(I241,{0,15,17,19,21,23,25,27,29,31,33,35,37,39,41,43,45,48,51,53,55},{0,10,20,30,40,50,60,62,64,66,68,70,72,74,76,78,80,85,90,95,100})</f>
        <v>0</v>
      </c>
      <c r="K241" s="5"/>
      <c r="L241" s="5"/>
      <c r="M241" s="5">
        <f t="shared" si="142"/>
        <v>0</v>
      </c>
      <c r="N241" s="5"/>
      <c r="O241" s="5"/>
      <c r="P241" s="5"/>
      <c r="Q241" s="5">
        <v>3.54</v>
      </c>
      <c r="R241" s="10">
        <f t="shared" si="143"/>
        <v>6.46</v>
      </c>
      <c r="S241" s="7">
        <f>LOOKUP(R241,{0,4.74,4.84,4.94,5.44,5.54,5.64,5.69,5.74,5.79,5.84,5.89,5.94,5.99,6.44,6.49,6.54,6.61,6.68,6.74,6.8},{0,10,20,30,40,50,60,62,64,66,68,70,72,74,76,78,80,85,90,95,100})</f>
        <v>76</v>
      </c>
      <c r="T241" s="5"/>
      <c r="U241" s="5"/>
      <c r="V241" s="5">
        <f t="shared" si="144"/>
        <v>76</v>
      </c>
      <c r="W241" s="14">
        <v>50</v>
      </c>
      <c r="X241" s="13">
        <f t="shared" si="145"/>
        <v>31.7</v>
      </c>
      <c r="Y241" s="13">
        <v>50</v>
      </c>
      <c r="Z241" s="19"/>
    </row>
    <row r="242" ht="15.6" hidden="1" outlineLevel="2" spans="1:26">
      <c r="A242" s="5">
        <v>314</v>
      </c>
      <c r="B242" s="5">
        <v>37</v>
      </c>
      <c r="C242" s="9" t="s">
        <v>720</v>
      </c>
      <c r="D242" s="9" t="s">
        <v>46</v>
      </c>
      <c r="E242" s="5">
        <v>20</v>
      </c>
      <c r="F242" s="7">
        <f>LOOKUP(E242,{0,1.5,2.3,3.1,3.9,4.7,5.5,6.8,8.1,9.4,10.7,12,13.3,14.6,15.9,17.2,18.5,20.2,21.9,23.6,25.3},{0,10,20,30,40,50,60,62,64,66,68,70,72,74,76,78,80,85,90,95,100})</f>
        <v>80</v>
      </c>
      <c r="G242" s="5">
        <v>175</v>
      </c>
      <c r="H242" s="7">
        <f>LOOKUP(G242,{0,125,130,135,140,145,150,153,156,159,162,165,168,171,174,177,180,187,194,200,206},{0,10,20,30,40,50,60,62,64,66,68,70,72,74,76,78,80,85,90,95,100})</f>
        <v>76</v>
      </c>
      <c r="I242" s="5">
        <v>0</v>
      </c>
      <c r="J242" s="7">
        <f>LOOKUP(I242,{0,15,17,19,21,23,25,27,29,31,33,35,37,39,41,43,45,48,51,53,55},{0,10,20,30,40,50,60,62,64,66,68,70,72,74,76,78,80,85,90,95,100})</f>
        <v>0</v>
      </c>
      <c r="K242" s="5"/>
      <c r="L242" s="5"/>
      <c r="M242" s="5">
        <f t="shared" si="142"/>
        <v>0</v>
      </c>
      <c r="N242" s="5">
        <v>8.4</v>
      </c>
      <c r="O242" s="10">
        <f t="shared" si="147"/>
        <v>9.6</v>
      </c>
      <c r="P242" s="7">
        <f>LOOKUP(O242,{0,6.6,6.8,7,7.2,7.4,7.6,7.8,8,8.2,8.4,8.6,8.8,9,9.2,9.4,9.6,9.9,10.2,10.3,10.4},{0,10,20,30,40,50,60,62,64,66,68,70,72,74,76,78,80,85,90,95,100})</f>
        <v>80</v>
      </c>
      <c r="Q242" s="5">
        <v>4.2</v>
      </c>
      <c r="R242" s="10">
        <f t="shared" si="143"/>
        <v>5.8</v>
      </c>
      <c r="S242" s="7">
        <f>LOOKUP(R242,{0,4.74,4.84,4.94,5.44,5.54,5.64,5.69,5.74,5.79,5.84,5.89,5.94,5.99,6.44,6.49,6.54,6.61,6.68,6.74,6.8},{0,10,20,30,40,50,60,62,64,66,68,70,72,74,76,78,80,85,90,95,100})</f>
        <v>66</v>
      </c>
      <c r="T242" s="5"/>
      <c r="U242" s="5"/>
      <c r="V242" s="5">
        <f t="shared" si="144"/>
        <v>66</v>
      </c>
      <c r="W242" s="5"/>
      <c r="X242" s="13">
        <f t="shared" si="145"/>
        <v>44.8</v>
      </c>
      <c r="Y242" s="13">
        <f t="shared" si="148"/>
        <v>64</v>
      </c>
      <c r="Z242" s="19"/>
    </row>
    <row r="243" ht="15.6" hidden="1" outlineLevel="2" spans="1:26">
      <c r="A243" s="5">
        <v>314</v>
      </c>
      <c r="B243" s="5">
        <v>38</v>
      </c>
      <c r="C243" s="8" t="s">
        <v>722</v>
      </c>
      <c r="D243" s="9" t="s">
        <v>46</v>
      </c>
      <c r="E243" s="5">
        <v>24.5</v>
      </c>
      <c r="F243" s="7">
        <f>LOOKUP(E243,{0,1.5,2.3,3.1,3.9,4.7,5.5,6.8,8.1,9.4,10.7,12,13.3,14.6,15.9,17.2,18.5,20.2,21.9,23.6,25.3},{0,10,20,30,40,50,60,62,64,66,68,70,72,74,76,78,80,85,90,95,100})</f>
        <v>95</v>
      </c>
      <c r="G243" s="5">
        <v>175</v>
      </c>
      <c r="H243" s="7">
        <f>LOOKUP(G243,{0,125,130,135,140,145,150,153,156,159,162,165,168,171,174,177,180,187,194,200,206},{0,10,20,30,40,50,60,62,64,66,68,70,72,74,76,78,80,85,90,95,100})</f>
        <v>76</v>
      </c>
      <c r="I243" s="5">
        <v>33</v>
      </c>
      <c r="J243" s="7">
        <f>LOOKUP(I243,{0,15,17,19,21,23,25,27,29,31,33,35,37,39,41,43,45,48,51,53,55},{0,10,20,30,40,50,60,62,64,66,68,70,72,74,76,78,80,85,90,95,100})</f>
        <v>68</v>
      </c>
      <c r="K243" s="5"/>
      <c r="L243" s="5"/>
      <c r="M243" s="5">
        <f t="shared" si="142"/>
        <v>68</v>
      </c>
      <c r="N243" s="5">
        <v>9.4</v>
      </c>
      <c r="O243" s="10">
        <f t="shared" si="147"/>
        <v>8.6</v>
      </c>
      <c r="P243" s="7">
        <f>LOOKUP(O243,{0,6.6,6.8,7,7.2,7.4,7.6,7.8,8,8.2,8.4,8.6,8.8,9,9.2,9.4,9.6,9.9,10.2,10.3,10.4},{0,10,20,30,40,50,60,62,64,66,68,70,72,74,76,78,80,85,90,95,100})</f>
        <v>70</v>
      </c>
      <c r="Q243" s="5">
        <v>5.01</v>
      </c>
      <c r="R243" s="10">
        <f t="shared" si="143"/>
        <v>4.99</v>
      </c>
      <c r="S243" s="7">
        <f>LOOKUP(R243,{0,4.74,4.84,4.94,5.44,5.54,5.64,5.69,5.74,5.79,5.84,5.89,5.94,5.99,6.44,6.49,6.54,6.61,6.68,6.74,6.8},{0,10,20,30,40,50,60,62,64,66,68,70,72,74,76,78,80,85,90,95,100})</f>
        <v>30</v>
      </c>
      <c r="T243" s="5"/>
      <c r="U243" s="5"/>
      <c r="V243" s="5">
        <f t="shared" si="144"/>
        <v>30</v>
      </c>
      <c r="W243" s="5"/>
      <c r="X243" s="13">
        <f t="shared" si="145"/>
        <v>43.9</v>
      </c>
      <c r="Y243" s="13">
        <f t="shared" si="148"/>
        <v>62.7142857142857</v>
      </c>
      <c r="Z243" s="20"/>
    </row>
    <row r="244" ht="15.6" hidden="1" outlineLevel="2" spans="1:26">
      <c r="A244" s="5">
        <v>314</v>
      </c>
      <c r="B244" s="5">
        <v>39</v>
      </c>
      <c r="C244" s="9" t="s">
        <v>723</v>
      </c>
      <c r="D244" s="9" t="s">
        <v>46</v>
      </c>
      <c r="E244" s="5">
        <v>11</v>
      </c>
      <c r="F244" s="7">
        <f>LOOKUP(E244,{0,1.5,2.3,3.1,3.9,4.7,5.5,6.8,8.1,9.4,10.7,12,13.3,14.6,15.9,17.2,18.5,20.2,21.9,23.6,25.3},{0,10,20,30,40,50,60,62,64,66,68,70,72,74,76,78,80,85,90,95,100})</f>
        <v>68</v>
      </c>
      <c r="G244" s="5">
        <v>169</v>
      </c>
      <c r="H244" s="7">
        <f>LOOKUP(G244,{0,125,130,135,140,145,150,153,156,159,162,165,168,171,174,177,180,187,194,200,206},{0,10,20,30,40,50,60,62,64,66,68,70,72,74,76,78,80,85,90,95,100})</f>
        <v>72</v>
      </c>
      <c r="I244" s="5">
        <v>35</v>
      </c>
      <c r="J244" s="7">
        <f>LOOKUP(I244,{0,15,17,19,21,23,25,27,29,31,33,35,37,39,41,43,45,48,51,53,55},{0,10,20,30,40,50,60,62,64,66,68,70,72,74,76,78,80,85,90,95,100})</f>
        <v>70</v>
      </c>
      <c r="K244" s="5"/>
      <c r="L244" s="5"/>
      <c r="M244" s="5">
        <f t="shared" si="142"/>
        <v>70</v>
      </c>
      <c r="N244" s="5">
        <v>9.8</v>
      </c>
      <c r="O244" s="10">
        <f t="shared" si="147"/>
        <v>8.2</v>
      </c>
      <c r="P244" s="7">
        <f>LOOKUP(O244,{0,6.6,6.8,7,7.2,7.4,7.6,7.8,8,8.2,8.4,8.6,8.8,9,9.2,9.4,9.6,9.9,10.2,10.3,10.4},{0,10,20,30,40,50,60,62,64,66,68,70,72,74,76,78,80,85,90,95,100})</f>
        <v>66</v>
      </c>
      <c r="Q244" s="5">
        <v>4.42</v>
      </c>
      <c r="R244" s="10">
        <f t="shared" si="143"/>
        <v>5.58</v>
      </c>
      <c r="S244" s="7">
        <f>LOOKUP(R244,{0,4.74,4.84,4.94,5.44,5.54,5.64,5.69,5.74,5.79,5.84,5.89,5.94,5.99,6.44,6.49,6.54,6.61,6.68,6.74,6.8},{0,10,20,30,40,50,60,62,64,66,68,70,72,74,76,78,80,85,90,95,100})</f>
        <v>50</v>
      </c>
      <c r="T244" s="5"/>
      <c r="U244" s="5"/>
      <c r="V244" s="5">
        <f t="shared" si="144"/>
        <v>50</v>
      </c>
      <c r="W244" s="5"/>
      <c r="X244" s="13">
        <f t="shared" si="145"/>
        <v>44.2</v>
      </c>
      <c r="Y244" s="13">
        <f t="shared" si="148"/>
        <v>63.1428571428572</v>
      </c>
      <c r="Z244" s="19"/>
    </row>
    <row r="245" ht="15.6" hidden="1" outlineLevel="2" spans="1:26">
      <c r="A245" s="5">
        <v>314</v>
      </c>
      <c r="B245" s="5">
        <v>40</v>
      </c>
      <c r="C245" s="9" t="s">
        <v>724</v>
      </c>
      <c r="D245" s="9" t="s">
        <v>46</v>
      </c>
      <c r="E245" s="5">
        <v>7</v>
      </c>
      <c r="F245" s="7">
        <f>LOOKUP(E245,{0,1.5,2.3,3.1,3.9,4.7,5.5,6.8,8.1,9.4,10.7,12,13.3,14.6,15.9,17.2,18.5,20.2,21.9,23.6,25.3},{0,10,20,30,40,50,60,62,64,66,68,70,72,74,76,78,80,85,90,95,100})</f>
        <v>62</v>
      </c>
      <c r="G245" s="5">
        <v>183</v>
      </c>
      <c r="H245" s="7">
        <f>LOOKUP(G245,{0,125,130,135,140,145,150,153,156,159,162,165,168,171,174,177,180,187,194,200,206},{0,10,20,30,40,50,60,62,64,66,68,70,72,74,76,78,80,85,90,95,100})</f>
        <v>80</v>
      </c>
      <c r="I245" s="5">
        <v>36</v>
      </c>
      <c r="J245" s="7">
        <f>LOOKUP(I245,{0,15,17,19,21,23,25,27,29,31,33,35,37,39,41,43,45,48,51,53,55},{0,10,20,30,40,50,60,62,64,66,68,70,72,74,76,78,80,85,90,95,100})</f>
        <v>70</v>
      </c>
      <c r="K245" s="5"/>
      <c r="L245" s="5"/>
      <c r="M245" s="5">
        <f t="shared" si="142"/>
        <v>70</v>
      </c>
      <c r="N245" s="5">
        <v>8.8</v>
      </c>
      <c r="O245" s="10">
        <f t="shared" si="147"/>
        <v>9.2</v>
      </c>
      <c r="P245" s="7">
        <f>LOOKUP(O245,{0,6.6,6.8,7,7.2,7.4,7.6,7.8,8,8.2,8.4,8.6,8.8,9,9.2,9.4,9.6,9.9,10.2,10.3,10.4},{0,10,20,30,40,50,60,62,64,66,68,70,72,74,76,78,80,85,90,95,100})</f>
        <v>76</v>
      </c>
      <c r="Q245" s="5">
        <v>4.14</v>
      </c>
      <c r="R245" s="10">
        <f t="shared" si="143"/>
        <v>5.86</v>
      </c>
      <c r="S245" s="7">
        <f>LOOKUP(R245,{0,4.74,4.84,4.94,5.44,5.54,5.64,5.69,5.74,5.79,5.84,5.89,5.94,5.99,6.44,6.49,6.54,6.61,6.68,6.74,6.8},{0,10,20,30,40,50,60,62,64,66,68,70,72,74,76,78,80,85,90,95,100})</f>
        <v>68</v>
      </c>
      <c r="T245" s="5"/>
      <c r="U245" s="5"/>
      <c r="V245" s="5">
        <f t="shared" si="144"/>
        <v>68</v>
      </c>
      <c r="W245" s="5"/>
      <c r="X245" s="13">
        <f t="shared" si="145"/>
        <v>50</v>
      </c>
      <c r="Y245" s="13">
        <f t="shared" si="148"/>
        <v>71.4285714285714</v>
      </c>
      <c r="Z245" s="19"/>
    </row>
    <row r="246" ht="15.6" hidden="1" outlineLevel="2" spans="1:26">
      <c r="A246" s="5">
        <v>314</v>
      </c>
      <c r="B246" s="5">
        <v>41</v>
      </c>
      <c r="C246" s="9" t="s">
        <v>725</v>
      </c>
      <c r="D246" s="9" t="s">
        <v>46</v>
      </c>
      <c r="E246" s="5">
        <v>22</v>
      </c>
      <c r="F246" s="7">
        <f>LOOKUP(E246,{0,1.5,2.3,3.1,3.9,4.7,5.5,6.8,8.1,9.4,10.7,12,13.3,14.6,15.9,17.2,18.5,20.2,21.9,23.6,25.3},{0,10,20,30,40,50,60,62,64,66,68,70,72,74,76,78,80,85,90,95,100})</f>
        <v>90</v>
      </c>
      <c r="G246" s="5">
        <v>170</v>
      </c>
      <c r="H246" s="7">
        <f>LOOKUP(G246,{0,125,130,135,140,145,150,153,156,159,162,165,168,171,174,177,180,187,194,200,206},{0,10,20,30,40,50,60,62,64,66,68,70,72,74,76,78,80,85,90,95,100})</f>
        <v>72</v>
      </c>
      <c r="I246" s="5">
        <v>27</v>
      </c>
      <c r="J246" s="7">
        <f>LOOKUP(I246,{0,15,17,19,21,23,25,27,29,31,33,35,37,39,41,43,45,48,51,53,55},{0,10,20,30,40,50,60,62,64,66,68,70,72,74,76,78,80,85,90,95,100})</f>
        <v>62</v>
      </c>
      <c r="K246" s="5"/>
      <c r="L246" s="5"/>
      <c r="M246" s="5">
        <f t="shared" si="142"/>
        <v>62</v>
      </c>
      <c r="N246" s="5">
        <v>10</v>
      </c>
      <c r="O246" s="10">
        <f t="shared" si="147"/>
        <v>8</v>
      </c>
      <c r="P246" s="7">
        <f>LOOKUP(O246,{0,6.6,6.8,7,7.2,7.4,7.6,7.8,8,8.2,8.4,8.6,8.8,9,9.2,9.4,9.6,9.9,10.2,10.3,10.4},{0,10,20,30,40,50,60,62,64,66,68,70,72,74,76,78,80,85,90,95,100})</f>
        <v>64</v>
      </c>
      <c r="Q246" s="5">
        <v>5.18</v>
      </c>
      <c r="R246" s="10">
        <f t="shared" si="143"/>
        <v>4.82</v>
      </c>
      <c r="S246" s="7">
        <f>LOOKUP(R246,{0,4.74,4.84,4.94,5.44,5.54,5.64,5.69,5.74,5.79,5.84,5.89,5.94,5.99,6.44,6.49,6.54,6.61,6.68,6.74,6.8},{0,10,20,30,40,50,60,62,64,66,68,70,72,74,76,78,80,85,90,95,100})</f>
        <v>10</v>
      </c>
      <c r="T246" s="5"/>
      <c r="U246" s="5"/>
      <c r="V246" s="5">
        <f t="shared" si="144"/>
        <v>10</v>
      </c>
      <c r="W246" s="5"/>
      <c r="X246" s="13">
        <f t="shared" si="145"/>
        <v>37.2</v>
      </c>
      <c r="Y246" s="13">
        <f t="shared" si="148"/>
        <v>53.1428571428572</v>
      </c>
      <c r="Z246" s="19"/>
    </row>
    <row r="247" ht="15.6" hidden="1" outlineLevel="2" spans="1:26">
      <c r="A247" s="5">
        <v>314</v>
      </c>
      <c r="B247" s="5">
        <v>42</v>
      </c>
      <c r="C247" s="9" t="s">
        <v>726</v>
      </c>
      <c r="D247" s="9" t="s">
        <v>46</v>
      </c>
      <c r="E247" s="5">
        <v>14</v>
      </c>
      <c r="F247" s="7">
        <f>LOOKUP(E247,{0,1.5,2.3,3.1,3.9,4.7,5.5,6.8,8.1,9.4,10.7,12,13.3,14.6,15.9,17.2,18.5,20.2,21.9,23.6,25.3},{0,10,20,30,40,50,60,62,64,66,68,70,72,74,76,78,80,85,90,95,100})</f>
        <v>72</v>
      </c>
      <c r="G247" s="5">
        <v>160</v>
      </c>
      <c r="H247" s="7">
        <f>LOOKUP(G247,{0,125,130,135,140,145,150,153,156,159,162,165,168,171,174,177,180,187,194,200,206},{0,10,20,30,40,50,60,62,64,66,68,70,72,74,76,78,80,85,90,95,100})</f>
        <v>66</v>
      </c>
      <c r="I247" s="5">
        <v>38</v>
      </c>
      <c r="J247" s="7">
        <f>LOOKUP(I247,{0,15,17,19,21,23,25,27,29,31,33,35,37,39,41,43,45,48,51,53,55},{0,10,20,30,40,50,60,62,64,66,68,70,72,74,76,78,80,85,90,95,100})</f>
        <v>72</v>
      </c>
      <c r="K247" s="5"/>
      <c r="L247" s="5"/>
      <c r="M247" s="5">
        <f t="shared" si="142"/>
        <v>72</v>
      </c>
      <c r="N247" s="5">
        <v>9.7</v>
      </c>
      <c r="O247" s="10">
        <f t="shared" si="147"/>
        <v>8.3</v>
      </c>
      <c r="P247" s="7">
        <f>LOOKUP(O247,{0,6.6,6.8,7,7.2,7.4,7.6,7.8,8,8.2,8.4,8.6,8.8,9,9.2,9.4,9.6,9.9,10.2,10.3,10.4},{0,10,20,30,40,50,60,62,64,66,68,70,72,74,76,78,80,85,90,95,100})</f>
        <v>66</v>
      </c>
      <c r="Q247" s="5">
        <v>4.23</v>
      </c>
      <c r="R247" s="10">
        <f t="shared" si="143"/>
        <v>5.77</v>
      </c>
      <c r="S247" s="7">
        <f>LOOKUP(R247,{0,4.74,4.84,4.94,5.44,5.54,5.64,5.69,5.74,5.79,5.84,5.89,5.94,5.99,6.44,6.49,6.54,6.61,6.68,6.74,6.8},{0,10,20,30,40,50,60,62,64,66,68,70,72,74,76,78,80,85,90,95,100})</f>
        <v>64</v>
      </c>
      <c r="T247" s="5"/>
      <c r="U247" s="5"/>
      <c r="V247" s="5">
        <f t="shared" si="144"/>
        <v>64</v>
      </c>
      <c r="W247" s="5"/>
      <c r="X247" s="13">
        <f t="shared" si="145"/>
        <v>47</v>
      </c>
      <c r="Y247" s="13">
        <f t="shared" si="148"/>
        <v>67.1428571428572</v>
      </c>
      <c r="Z247" s="19"/>
    </row>
    <row r="248" hidden="1" outlineLevel="2" spans="1:26">
      <c r="A248" s="5">
        <v>314</v>
      </c>
      <c r="B248" s="5">
        <v>43</v>
      </c>
      <c r="C248" s="9" t="s">
        <v>727</v>
      </c>
      <c r="D248" s="9" t="s">
        <v>46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>
        <v>50</v>
      </c>
      <c r="X248" s="13"/>
      <c r="Y248" s="13">
        <v>50</v>
      </c>
      <c r="Z248" s="19"/>
    </row>
    <row r="249" ht="15.6" hidden="1" outlineLevel="2" spans="1:26">
      <c r="A249" s="5">
        <v>314</v>
      </c>
      <c r="B249" s="5">
        <v>44</v>
      </c>
      <c r="C249" s="9" t="s">
        <v>728</v>
      </c>
      <c r="D249" s="9" t="s">
        <v>46</v>
      </c>
      <c r="E249" s="5">
        <v>16.5</v>
      </c>
      <c r="F249" s="7">
        <f>LOOKUP(E249,{0,1.5,2.3,3.1,3.9,4.7,5.5,6.8,8.1,9.4,10.7,12,13.3,14.6,15.9,17.2,18.5,20.2,21.9,23.6,25.3},{0,10,20,30,40,50,60,62,64,66,68,70,72,74,76,78,80,85,90,95,100})</f>
        <v>76</v>
      </c>
      <c r="G249" s="5">
        <v>182</v>
      </c>
      <c r="H249" s="7">
        <f>LOOKUP(G249,{0,125,130,135,140,145,150,153,156,159,162,165,168,171,174,177,180,187,194,200,206},{0,10,20,30,40,50,60,62,64,66,68,70,72,74,76,78,80,85,90,95,100})</f>
        <v>80</v>
      </c>
      <c r="I249" s="5">
        <v>45</v>
      </c>
      <c r="J249" s="7">
        <f>LOOKUP(I249,{0,15,17,19,21,23,25,27,29,31,33,35,37,39,41,43,45,48,51,53,55},{0,10,20,30,40,50,60,62,64,66,68,70,72,74,76,78,80,85,90,95,100})</f>
        <v>80</v>
      </c>
      <c r="K249" s="5"/>
      <c r="L249" s="5"/>
      <c r="M249" s="5">
        <f t="shared" ref="M249:M252" si="149">J249+L249</f>
        <v>80</v>
      </c>
      <c r="N249" s="5">
        <v>9.4</v>
      </c>
      <c r="O249" s="10">
        <f t="shared" ref="O249:O252" si="150">18-N249</f>
        <v>8.6</v>
      </c>
      <c r="P249" s="7">
        <f>LOOKUP(O249,{0,6.6,6.8,7,7.2,7.4,7.6,7.8,8,8.2,8.4,8.6,8.8,9,9.2,9.4,9.6,9.9,10.2,10.3,10.4},{0,10,20,30,40,50,60,62,64,66,68,70,72,74,76,78,80,85,90,95,100})</f>
        <v>70</v>
      </c>
      <c r="Q249" s="5">
        <v>4.22</v>
      </c>
      <c r="R249" s="10">
        <f t="shared" ref="R249:R252" si="151">10-Q249</f>
        <v>5.78</v>
      </c>
      <c r="S249" s="7">
        <f>LOOKUP(R249,{0,4.74,4.84,4.94,5.44,5.54,5.64,5.69,5.74,5.79,5.84,5.89,5.94,5.99,6.44,6.49,6.54,6.61,6.68,6.74,6.8},{0,10,20,30,40,50,60,62,64,66,68,70,72,74,76,78,80,85,90,95,100})</f>
        <v>64</v>
      </c>
      <c r="T249" s="5"/>
      <c r="U249" s="5"/>
      <c r="V249" s="5">
        <f t="shared" ref="V249:V252" si="152">S249+U249</f>
        <v>64</v>
      </c>
      <c r="W249" s="5"/>
      <c r="X249" s="13">
        <f t="shared" ref="X249:X252" si="153">F249*0.1+H249*0.1+J249*0.1+P249*0.2+S249*0.2</f>
        <v>50.4</v>
      </c>
      <c r="Y249" s="13">
        <f t="shared" ref="Y249:Y252" si="154">X249/0.7+L249+U249</f>
        <v>72</v>
      </c>
      <c r="Z249" s="19"/>
    </row>
    <row r="250" ht="15.6" hidden="1" outlineLevel="2" spans="1:26">
      <c r="A250" s="5">
        <v>314</v>
      </c>
      <c r="B250" s="5">
        <v>45</v>
      </c>
      <c r="C250" s="9" t="s">
        <v>729</v>
      </c>
      <c r="D250" s="9" t="s">
        <v>46</v>
      </c>
      <c r="E250" s="5">
        <v>17</v>
      </c>
      <c r="F250" s="7">
        <f>LOOKUP(E250,{0,1.5,2.3,3.1,3.9,4.7,5.5,6.8,8.1,9.4,10.7,12,13.3,14.6,15.9,17.2,18.5,20.2,21.9,23.6,25.3},{0,10,20,30,40,50,60,62,64,66,68,70,72,74,76,78,80,85,90,95,100})</f>
        <v>76</v>
      </c>
      <c r="G250" s="5">
        <v>174</v>
      </c>
      <c r="H250" s="7">
        <f>LOOKUP(G250,{0,125,130,135,140,145,150,153,156,159,162,165,168,171,174,177,180,187,194,200,206},{0,10,20,30,40,50,60,62,64,66,68,70,72,74,76,78,80,85,90,95,100})</f>
        <v>76</v>
      </c>
      <c r="I250" s="5">
        <v>16</v>
      </c>
      <c r="J250" s="7">
        <f>LOOKUP(I250,{0,15,17,19,21,23,25,27,29,31,33,35,37,39,41,43,45,48,51,53,55},{0,10,20,30,40,50,60,62,64,66,68,70,72,74,76,78,80,85,90,95,100})</f>
        <v>10</v>
      </c>
      <c r="K250" s="5"/>
      <c r="L250" s="5"/>
      <c r="M250" s="5">
        <f t="shared" si="149"/>
        <v>10</v>
      </c>
      <c r="N250" s="5">
        <v>12.1</v>
      </c>
      <c r="O250" s="10">
        <f t="shared" si="150"/>
        <v>5.9</v>
      </c>
      <c r="P250" s="7">
        <f>LOOKUP(O250,{0,6.6,6.8,7,7.2,7.4,7.6,7.8,8,8.2,8.4,8.6,8.8,9,9.2,9.4,9.6,9.9,10.2,10.3,10.4},{0,10,20,30,40,50,60,62,64,66,68,70,72,74,76,78,80,85,90,95,100})</f>
        <v>0</v>
      </c>
      <c r="Q250" s="5">
        <v>5.19</v>
      </c>
      <c r="R250" s="10">
        <f t="shared" si="151"/>
        <v>4.81</v>
      </c>
      <c r="S250" s="7">
        <f>LOOKUP(R250,{0,4.74,4.84,4.94,5.44,5.54,5.64,5.69,5.74,5.79,5.84,5.89,5.94,5.99,6.44,6.49,6.54,6.61,6.68,6.74,6.8},{0,10,20,30,40,50,60,62,64,66,68,70,72,74,76,78,80,85,90,95,100})</f>
        <v>10</v>
      </c>
      <c r="T250" s="5"/>
      <c r="U250" s="5"/>
      <c r="V250" s="5">
        <f t="shared" si="152"/>
        <v>10</v>
      </c>
      <c r="W250" s="5"/>
      <c r="X250" s="13">
        <f t="shared" si="153"/>
        <v>18.2</v>
      </c>
      <c r="Y250" s="13">
        <f t="shared" si="154"/>
        <v>26</v>
      </c>
      <c r="Z250" s="19"/>
    </row>
    <row r="251" ht="15.6" hidden="1" outlineLevel="2" spans="1:26">
      <c r="A251" s="5">
        <v>314</v>
      </c>
      <c r="B251" s="5">
        <v>46</v>
      </c>
      <c r="C251" s="9" t="s">
        <v>730</v>
      </c>
      <c r="D251" s="9" t="s">
        <v>46</v>
      </c>
      <c r="E251" s="5">
        <v>8.5</v>
      </c>
      <c r="F251" s="7">
        <f>LOOKUP(E251,{0,1.5,2.3,3.1,3.9,4.7,5.5,6.8,8.1,9.4,10.7,12,13.3,14.6,15.9,17.2,18.5,20.2,21.9,23.6,25.3},{0,10,20,30,40,50,60,62,64,66,68,70,72,74,76,78,80,85,90,95,100})</f>
        <v>64</v>
      </c>
      <c r="G251" s="5">
        <v>160</v>
      </c>
      <c r="H251" s="7">
        <f>LOOKUP(G251,{0,125,130,135,140,145,150,153,156,159,162,165,168,171,174,177,180,187,194,200,206},{0,10,20,30,40,50,60,62,64,66,68,70,72,74,76,78,80,85,90,95,100})</f>
        <v>66</v>
      </c>
      <c r="I251" s="5">
        <v>60</v>
      </c>
      <c r="J251" s="7">
        <f>LOOKUP(I251,{0,15,17,19,21,23,25,27,29,31,33,35,37,39,41,43,45,48,51,53,55},{0,10,20,30,40,50,60,62,64,66,68,70,72,74,76,78,80,85,90,95,100})</f>
        <v>100</v>
      </c>
      <c r="K251" s="11">
        <f>I251-55</f>
        <v>5</v>
      </c>
      <c r="L251" s="7">
        <f>LOOKUP(K251,{0,2,4,6,7,8,9,10,11,12,13},{0,1,2,3,4,5,6,7,8,9,10})</f>
        <v>2</v>
      </c>
      <c r="M251" s="5">
        <f t="shared" si="149"/>
        <v>102</v>
      </c>
      <c r="N251" s="5">
        <v>8.7</v>
      </c>
      <c r="O251" s="10">
        <f t="shared" si="150"/>
        <v>9.3</v>
      </c>
      <c r="P251" s="7">
        <f>LOOKUP(O251,{0,6.6,6.8,7,7.2,7.4,7.6,7.8,8,8.2,8.4,8.6,8.8,9,9.2,9.4,9.6,9.9,10.2,10.3,10.4},{0,10,20,30,40,50,60,62,64,66,68,70,72,74,76,78,80,85,90,95,100})</f>
        <v>76</v>
      </c>
      <c r="Q251" s="5" t="s">
        <v>77</v>
      </c>
      <c r="R251" s="5"/>
      <c r="S251" s="5"/>
      <c r="T251" s="5"/>
      <c r="U251" s="5"/>
      <c r="V251" s="5"/>
      <c r="W251" s="5"/>
      <c r="X251" s="13">
        <f t="shared" si="153"/>
        <v>38.2</v>
      </c>
      <c r="Y251" s="13">
        <f t="shared" si="154"/>
        <v>56.5714285714286</v>
      </c>
      <c r="Z251" s="19"/>
    </row>
    <row r="252" ht="15.6" hidden="1" outlineLevel="2" spans="1:26">
      <c r="A252" s="5">
        <v>314</v>
      </c>
      <c r="B252" s="5">
        <v>47</v>
      </c>
      <c r="C252" s="9" t="s">
        <v>731</v>
      </c>
      <c r="D252" s="9" t="s">
        <v>46</v>
      </c>
      <c r="E252" s="5">
        <v>19</v>
      </c>
      <c r="F252" s="7">
        <f>LOOKUP(E252,{0,1.5,2.3,3.1,3.9,4.7,5.5,6.8,8.1,9.4,10.7,12,13.3,14.6,15.9,17.2,18.5,20.2,21.9,23.6,25.3},{0,10,20,30,40,50,60,62,64,66,68,70,72,74,76,78,80,85,90,95,100})</f>
        <v>80</v>
      </c>
      <c r="G252" s="5">
        <v>166</v>
      </c>
      <c r="H252" s="7">
        <f>LOOKUP(G252,{0,125,130,135,140,145,150,153,156,159,162,165,168,171,174,177,180,187,194,200,206},{0,10,20,30,40,50,60,62,64,66,68,70,72,74,76,78,80,85,90,95,100})</f>
        <v>70</v>
      </c>
      <c r="I252" s="5">
        <v>50</v>
      </c>
      <c r="J252" s="7">
        <f>LOOKUP(I252,{0,15,17,19,21,23,25,27,29,31,33,35,37,39,41,43,45,48,51,53,55},{0,10,20,30,40,50,60,62,64,66,68,70,72,74,76,78,80,85,90,95,100})</f>
        <v>85</v>
      </c>
      <c r="K252" s="5"/>
      <c r="L252" s="5"/>
      <c r="M252" s="5">
        <f t="shared" si="149"/>
        <v>85</v>
      </c>
      <c r="N252" s="5">
        <v>9.4</v>
      </c>
      <c r="O252" s="10">
        <f t="shared" si="150"/>
        <v>8.6</v>
      </c>
      <c r="P252" s="7">
        <f>LOOKUP(O252,{0,6.6,6.8,7,7.2,7.4,7.6,7.8,8,8.2,8.4,8.6,8.8,9,9.2,9.4,9.6,9.9,10.2,10.3,10.4},{0,10,20,30,40,50,60,62,64,66,68,70,72,74,76,78,80,85,90,95,100})</f>
        <v>70</v>
      </c>
      <c r="Q252" s="5">
        <v>4.38</v>
      </c>
      <c r="R252" s="10">
        <f t="shared" si="151"/>
        <v>5.62</v>
      </c>
      <c r="S252" s="7">
        <f>LOOKUP(R252,{0,4.74,4.84,4.94,5.44,5.54,5.64,5.69,5.74,5.79,5.84,5.89,5.94,5.99,6.44,6.49,6.54,6.61,6.68,6.74,6.8},{0,10,20,30,40,50,60,62,64,66,68,70,72,74,76,78,80,85,90,95,100})</f>
        <v>50</v>
      </c>
      <c r="T252" s="5"/>
      <c r="U252" s="5"/>
      <c r="V252" s="5">
        <f t="shared" si="152"/>
        <v>50</v>
      </c>
      <c r="W252" s="5"/>
      <c r="X252" s="13">
        <f t="shared" si="153"/>
        <v>47.5</v>
      </c>
      <c r="Y252" s="13">
        <f t="shared" si="154"/>
        <v>67.8571428571429</v>
      </c>
      <c r="Z252" s="19"/>
    </row>
    <row r="253" hidden="1" outlineLevel="2" spans="1:26">
      <c r="A253" s="5">
        <v>314</v>
      </c>
      <c r="B253" s="5">
        <v>48</v>
      </c>
      <c r="C253" s="9" t="s">
        <v>732</v>
      </c>
      <c r="D253" s="9" t="s">
        <v>46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>
        <v>50</v>
      </c>
      <c r="X253" s="13"/>
      <c r="Y253" s="13">
        <v>50</v>
      </c>
      <c r="Z253" s="19"/>
    </row>
    <row r="254" outlineLevel="1" collapsed="1" spans="1:26">
      <c r="A254" s="6" t="s">
        <v>865</v>
      </c>
      <c r="B254" s="5"/>
      <c r="C254" s="9"/>
      <c r="D254" s="9"/>
      <c r="E254" s="5"/>
      <c r="F254" s="5">
        <f>SUBTOTAL(1,F212:F253)</f>
        <v>78.6578947368421</v>
      </c>
      <c r="G254" s="5"/>
      <c r="H254" s="5">
        <f>SUBTOTAL(1,H212:H253)</f>
        <v>73.4054054054054</v>
      </c>
      <c r="I254" s="5"/>
      <c r="J254" s="5">
        <f>SUBTOTAL(1,J212:J253)</f>
        <v>64.1388888888889</v>
      </c>
      <c r="K254" s="5"/>
      <c r="L254" s="5"/>
      <c r="M254" s="5">
        <f>SUBTOTAL(1,M212:M253)</f>
        <v>64.2222222222222</v>
      </c>
      <c r="N254" s="5"/>
      <c r="O254" s="5"/>
      <c r="P254" s="5">
        <f>SUBTOTAL(1,P212:P253)</f>
        <v>68.7741935483871</v>
      </c>
      <c r="Q254" s="5"/>
      <c r="R254" s="5"/>
      <c r="S254" s="5">
        <f>SUBTOTAL(1,S212:S253)</f>
        <v>57.1515151515151</v>
      </c>
      <c r="T254" s="5"/>
      <c r="U254" s="5"/>
      <c r="V254" s="5">
        <f>SUBTOTAL(1,V212:V253)</f>
        <v>57.1515151515151</v>
      </c>
      <c r="W254" s="5"/>
      <c r="X254" s="13">
        <f>SUBTOTAL(1,X212:X253)</f>
        <v>43.8111111111111</v>
      </c>
      <c r="Y254" s="13">
        <f>SUBTOTAL(1,Y212:Y253)</f>
        <v>62.1836734693878</v>
      </c>
      <c r="Z254" s="19"/>
    </row>
    <row r="255" ht="15.6" hidden="1" outlineLevel="2" spans="1:26">
      <c r="A255" s="5">
        <v>315</v>
      </c>
      <c r="B255" s="5">
        <v>10</v>
      </c>
      <c r="C255" s="8" t="s">
        <v>278</v>
      </c>
      <c r="D255" s="9" t="s">
        <v>46</v>
      </c>
      <c r="E255" s="5">
        <v>16</v>
      </c>
      <c r="F255" s="7">
        <f>LOOKUP(E255,{0,1.5,2.3,3.1,3.9,4.7,5.5,6.8,8.1,9.4,10.7,12,13.3,14.6,15.9,17.2,18.5,20.2,21.9,23.6,25.3},{0,10,20,30,40,50,60,62,64,66,68,70,72,74,76,78,80,85,90,95,100})</f>
        <v>76</v>
      </c>
      <c r="G255" s="5">
        <v>147</v>
      </c>
      <c r="H255" s="7">
        <f>LOOKUP(G255,{0,125,130,135,140,145,150,153,156,159,162,165,168,171,174,177,180,187,194,200,206},{0,10,20,30,40,50,60,62,64,66,68,70,72,74,76,78,80,85,90,95,100})</f>
        <v>50</v>
      </c>
      <c r="I255" s="5">
        <v>40</v>
      </c>
      <c r="J255" s="7">
        <f>LOOKUP(I255,{0,15,17,19,21,23,25,27,29,31,33,35,37,39,41,43,45,48,51,53,55},{0,10,20,30,40,50,60,62,64,66,68,70,72,74,76,78,80,85,90,95,100})</f>
        <v>74</v>
      </c>
      <c r="K255" s="5"/>
      <c r="L255" s="5"/>
      <c r="M255" s="5">
        <f t="shared" ref="M255:M292" si="155">J255+L255</f>
        <v>74</v>
      </c>
      <c r="N255" s="5">
        <v>10.5</v>
      </c>
      <c r="O255" s="10">
        <f t="shared" ref="O255:O297" si="156">18-N255</f>
        <v>7.5</v>
      </c>
      <c r="P255" s="7">
        <f>LOOKUP(O255,{0,6.6,6.8,7,7.2,7.4,7.6,7.8,8,8.2,8.4,8.6,8.8,9,9.2,9.4,9.6,9.9,10.2,10.3,10.4},{0,10,20,30,40,50,60,62,64,66,68,70,72,74,76,78,80,85,90,95,100})</f>
        <v>50</v>
      </c>
      <c r="Q255" s="5">
        <v>4.49</v>
      </c>
      <c r="R255" s="10">
        <f t="shared" ref="R255:R287" si="157">10-Q255</f>
        <v>5.51</v>
      </c>
      <c r="S255" s="7">
        <f>LOOKUP(R255,{0,4.74,4.84,4.94,5.44,5.54,5.64,5.69,5.74,5.79,5.84,5.89,5.94,5.99,6.44,6.49,6.54,6.61,6.68,6.74,6.8},{0,10,20,30,40,50,60,62,64,66,68,70,72,74,76,78,80,85,90,95,100})</f>
        <v>40</v>
      </c>
      <c r="T255" s="5"/>
      <c r="U255" s="5"/>
      <c r="V255" s="5">
        <f t="shared" ref="V255:V287" si="158">S255+U255</f>
        <v>40</v>
      </c>
      <c r="W255" s="5"/>
      <c r="X255" s="13">
        <f t="shared" ref="X255:X297" si="159">F255*0.1+H255*0.1+J255*0.1+P255*0.2+S255*0.2</f>
        <v>38</v>
      </c>
      <c r="Y255" s="13">
        <f t="shared" ref="Y255:Y287" si="160">X255/0.7+L255+U255</f>
        <v>54.2857142857143</v>
      </c>
      <c r="Z255" s="19"/>
    </row>
    <row r="256" ht="15.6" hidden="1" outlineLevel="2" spans="1:26">
      <c r="A256" s="5">
        <v>315</v>
      </c>
      <c r="B256" s="5">
        <v>11</v>
      </c>
      <c r="C256" s="9" t="s">
        <v>744</v>
      </c>
      <c r="D256" s="9" t="s">
        <v>46</v>
      </c>
      <c r="E256" s="5">
        <v>19</v>
      </c>
      <c r="F256" s="7">
        <f>LOOKUP(E256,{0,1.5,2.3,3.1,3.9,4.7,5.5,6.8,8.1,9.4,10.7,12,13.3,14.6,15.9,17.2,18.5,20.2,21.9,23.6,25.3},{0,10,20,30,40,50,60,62,64,66,68,70,72,74,76,78,80,85,90,95,100})</f>
        <v>80</v>
      </c>
      <c r="G256" s="5">
        <v>165</v>
      </c>
      <c r="H256" s="7">
        <f>LOOKUP(G256,{0,125,130,135,140,145,150,153,156,159,162,165,168,171,174,177,180,187,194,200,206},{0,10,20,30,40,50,60,62,64,66,68,70,72,74,76,78,80,85,90,95,100})</f>
        <v>70</v>
      </c>
      <c r="I256" s="5">
        <v>35</v>
      </c>
      <c r="J256" s="7">
        <f>LOOKUP(I256,{0,15,17,19,21,23,25,27,29,31,33,35,37,39,41,43,45,48,51,53,55},{0,10,20,30,40,50,60,62,64,66,68,70,72,74,76,78,80,85,90,95,100})</f>
        <v>70</v>
      </c>
      <c r="K256" s="5"/>
      <c r="L256" s="5"/>
      <c r="M256" s="5">
        <f t="shared" si="155"/>
        <v>70</v>
      </c>
      <c r="N256" s="5">
        <v>9.2</v>
      </c>
      <c r="O256" s="10">
        <f t="shared" si="156"/>
        <v>8.8</v>
      </c>
      <c r="P256" s="7">
        <f>LOOKUP(O256,{0,6.6,6.8,7,7.2,7.4,7.6,7.8,8,8.2,8.4,8.6,8.8,9,9.2,9.4,9.6,9.9,10.2,10.3,10.4},{0,10,20,30,40,50,60,62,64,66,68,70,72,74,76,78,80,85,90,95,100})</f>
        <v>72</v>
      </c>
      <c r="Q256" s="5">
        <v>4.15</v>
      </c>
      <c r="R256" s="10">
        <f t="shared" si="157"/>
        <v>5.85</v>
      </c>
      <c r="S256" s="7">
        <f>LOOKUP(R256,{0,4.74,4.84,4.94,5.44,5.54,5.64,5.69,5.74,5.79,5.84,5.89,5.94,5.99,6.44,6.49,6.54,6.61,6.68,6.74,6.8},{0,10,20,30,40,50,60,62,64,66,68,70,72,74,76,78,80,85,90,95,100})</f>
        <v>68</v>
      </c>
      <c r="T256" s="5"/>
      <c r="U256" s="5"/>
      <c r="V256" s="5">
        <f t="shared" si="158"/>
        <v>68</v>
      </c>
      <c r="W256" s="5"/>
      <c r="X256" s="13">
        <f t="shared" si="159"/>
        <v>50</v>
      </c>
      <c r="Y256" s="13">
        <f t="shared" si="160"/>
        <v>71.4285714285714</v>
      </c>
      <c r="Z256" s="20"/>
    </row>
    <row r="257" ht="15.6" hidden="1" outlineLevel="2" spans="1:26">
      <c r="A257" s="5">
        <v>315</v>
      </c>
      <c r="B257" s="5">
        <v>12</v>
      </c>
      <c r="C257" s="9" t="s">
        <v>745</v>
      </c>
      <c r="D257" s="9" t="s">
        <v>46</v>
      </c>
      <c r="E257" s="5">
        <v>16.1</v>
      </c>
      <c r="F257" s="7">
        <f>LOOKUP(E257,{0,1.5,2.3,3.1,3.9,4.7,5.5,6.8,8.1,9.4,10.7,12,13.3,14.6,15.9,17.2,18.5,20.2,21.9,23.6,25.3},{0,10,20,30,40,50,60,62,64,66,68,70,72,74,76,78,80,85,90,95,100})</f>
        <v>76</v>
      </c>
      <c r="G257" s="5">
        <v>157</v>
      </c>
      <c r="H257" s="7">
        <f>LOOKUP(G257,{0,125,130,135,140,145,150,153,156,159,162,165,168,171,174,177,180,187,194,200,206},{0,10,20,30,40,50,60,62,64,66,68,70,72,74,76,78,80,85,90,95,100})</f>
        <v>64</v>
      </c>
      <c r="I257" s="5">
        <v>57</v>
      </c>
      <c r="J257" s="7">
        <f>LOOKUP(I257,{0,15,17,19,21,23,25,27,29,31,33,35,37,39,41,43,45,48,51,53,55},{0,10,20,30,40,50,60,62,64,66,68,70,72,74,76,78,80,85,90,95,100})</f>
        <v>100</v>
      </c>
      <c r="K257" s="11">
        <f>I257-55</f>
        <v>2</v>
      </c>
      <c r="L257" s="7">
        <f>LOOKUP(K257,{0,2,4,6,7,8,9,10,11,12,13},{0,1,2,3,4,5,6,7,8,9,10})</f>
        <v>1</v>
      </c>
      <c r="M257" s="5">
        <f t="shared" si="155"/>
        <v>101</v>
      </c>
      <c r="N257" s="5">
        <v>8.8</v>
      </c>
      <c r="O257" s="10">
        <f t="shared" si="156"/>
        <v>9.2</v>
      </c>
      <c r="P257" s="7">
        <f>LOOKUP(O257,{0,6.6,6.8,7,7.2,7.4,7.6,7.8,8,8.2,8.4,8.6,8.8,9,9.2,9.4,9.6,9.9,10.2,10.3,10.4},{0,10,20,30,40,50,60,62,64,66,68,70,72,74,76,78,80,85,90,95,100})</f>
        <v>76</v>
      </c>
      <c r="Q257" s="5">
        <v>4.02</v>
      </c>
      <c r="R257" s="10">
        <f t="shared" si="157"/>
        <v>5.98</v>
      </c>
      <c r="S257" s="7">
        <f>LOOKUP(R257,{0,4.74,4.84,4.94,5.44,5.54,5.64,5.69,5.74,5.79,5.84,5.89,5.94,5.99,6.44,6.49,6.54,6.61,6.68,6.74,6.8},{0,10,20,30,40,50,60,62,64,66,68,70,72,74,76,78,80,85,90,95,100})</f>
        <v>72</v>
      </c>
      <c r="T257" s="5"/>
      <c r="U257" s="5"/>
      <c r="V257" s="5">
        <f t="shared" si="158"/>
        <v>72</v>
      </c>
      <c r="W257" s="5"/>
      <c r="X257" s="13">
        <f t="shared" si="159"/>
        <v>53.6</v>
      </c>
      <c r="Y257" s="13">
        <f t="shared" si="160"/>
        <v>77.5714285714286</v>
      </c>
      <c r="Z257" s="19"/>
    </row>
    <row r="258" ht="15.6" hidden="1" outlineLevel="2" spans="1:26">
      <c r="A258" s="5">
        <v>315</v>
      </c>
      <c r="B258" s="5">
        <v>13</v>
      </c>
      <c r="C258" s="9" t="s">
        <v>746</v>
      </c>
      <c r="D258" s="9" t="s">
        <v>46</v>
      </c>
      <c r="E258" s="5">
        <v>27</v>
      </c>
      <c r="F258" s="7">
        <f>LOOKUP(E258,{0,1.5,2.3,3.1,3.9,4.7,5.5,6.8,8.1,9.4,10.7,12,13.3,14.6,15.9,17.2,18.5,20.2,21.9,23.6,25.3},{0,10,20,30,40,50,60,62,64,66,68,70,72,74,76,78,80,85,90,95,100})</f>
        <v>100</v>
      </c>
      <c r="G258" s="5">
        <v>178</v>
      </c>
      <c r="H258" s="7">
        <f>LOOKUP(G258,{0,125,130,135,140,145,150,153,156,159,162,165,168,171,174,177,180,187,194,200,206},{0,10,20,30,40,50,60,62,64,66,68,70,72,74,76,78,80,85,90,95,100})</f>
        <v>78</v>
      </c>
      <c r="I258" s="5">
        <v>50</v>
      </c>
      <c r="J258" s="7">
        <f>LOOKUP(I258,{0,15,17,19,21,23,25,27,29,31,33,35,37,39,41,43,45,48,51,53,55},{0,10,20,30,40,50,60,62,64,66,68,70,72,74,76,78,80,85,90,95,100})</f>
        <v>85</v>
      </c>
      <c r="K258" s="5"/>
      <c r="L258" s="5"/>
      <c r="M258" s="5">
        <f t="shared" si="155"/>
        <v>85</v>
      </c>
      <c r="N258" s="5">
        <v>8.5</v>
      </c>
      <c r="O258" s="10">
        <f t="shared" si="156"/>
        <v>9.5</v>
      </c>
      <c r="P258" s="7">
        <f>LOOKUP(O258,{0,6.6,6.8,7,7.2,7.4,7.6,7.8,8,8.2,8.4,8.6,8.8,9,9.2,9.4,9.6,9.9,10.2,10.3,10.4},{0,10,20,30,40,50,60,62,64,66,68,70,72,74,76,78,80,85,90,95,100})</f>
        <v>78</v>
      </c>
      <c r="Q258" s="5">
        <v>3.49</v>
      </c>
      <c r="R258" s="10">
        <f t="shared" si="157"/>
        <v>6.51</v>
      </c>
      <c r="S258" s="7">
        <f>LOOKUP(R258,{0,4.74,4.84,4.94,5.44,5.54,5.64,5.69,5.74,5.79,5.84,5.89,5.94,5.99,6.44,6.49,6.54,6.61,6.68,6.74,6.8},{0,10,20,30,40,50,60,62,64,66,68,70,72,74,76,78,80,85,90,95,100})</f>
        <v>78</v>
      </c>
      <c r="T258" s="5"/>
      <c r="U258" s="5"/>
      <c r="V258" s="5">
        <f t="shared" si="158"/>
        <v>78</v>
      </c>
      <c r="W258" s="5"/>
      <c r="X258" s="13">
        <f t="shared" si="159"/>
        <v>57.5</v>
      </c>
      <c r="Y258" s="13">
        <f t="shared" si="160"/>
        <v>82.1428571428572</v>
      </c>
      <c r="Z258" s="19"/>
    </row>
    <row r="259" ht="15.6" hidden="1" outlineLevel="2" spans="1:26">
      <c r="A259" s="5">
        <v>315</v>
      </c>
      <c r="B259" s="5">
        <v>14</v>
      </c>
      <c r="C259" s="9" t="s">
        <v>747</v>
      </c>
      <c r="D259" s="9" t="s">
        <v>46</v>
      </c>
      <c r="E259" s="5">
        <v>16.5</v>
      </c>
      <c r="F259" s="7">
        <f>LOOKUP(E259,{0,1.5,2.3,3.1,3.9,4.7,5.5,6.8,8.1,9.4,10.7,12,13.3,14.6,15.9,17.2,18.5,20.2,21.9,23.6,25.3},{0,10,20,30,40,50,60,62,64,66,68,70,72,74,76,78,80,85,90,95,100})</f>
        <v>76</v>
      </c>
      <c r="G259" s="5">
        <v>160</v>
      </c>
      <c r="H259" s="7">
        <f>LOOKUP(G259,{0,125,130,135,140,145,150,153,156,159,162,165,168,171,174,177,180,187,194,200,206},{0,10,20,30,40,50,60,62,64,66,68,70,72,74,76,78,80,85,90,95,100})</f>
        <v>66</v>
      </c>
      <c r="I259" s="5">
        <v>43</v>
      </c>
      <c r="J259" s="7">
        <f>LOOKUP(I259,{0,15,17,19,21,23,25,27,29,31,33,35,37,39,41,43,45,48,51,53,55},{0,10,20,30,40,50,60,62,64,66,68,70,72,74,76,78,80,85,90,95,100})</f>
        <v>78</v>
      </c>
      <c r="K259" s="5"/>
      <c r="L259" s="5"/>
      <c r="M259" s="5">
        <f t="shared" si="155"/>
        <v>78</v>
      </c>
      <c r="N259" s="5">
        <v>10.6</v>
      </c>
      <c r="O259" s="10">
        <f t="shared" si="156"/>
        <v>7.4</v>
      </c>
      <c r="P259" s="7">
        <f>LOOKUP(O259,{0,6.6,6.8,7,7.2,7.4,7.6,7.8,8,8.2,8.4,8.6,8.8,9,9.2,9.4,9.6,9.9,10.2,10.3,10.4},{0,10,20,30,40,50,60,62,64,66,68,70,72,74,76,78,80,85,90,95,100})</f>
        <v>50</v>
      </c>
      <c r="Q259" s="5">
        <v>4.5</v>
      </c>
      <c r="R259" s="10">
        <f t="shared" si="157"/>
        <v>5.5</v>
      </c>
      <c r="S259" s="7">
        <f>LOOKUP(R259,{0,4.74,4.84,4.94,5.44,5.54,5.64,5.69,5.74,5.79,5.84,5.89,5.94,5.99,6.44,6.49,6.54,6.61,6.68,6.74,6.8},{0,10,20,30,40,50,60,62,64,66,68,70,72,74,76,78,80,85,90,95,100})</f>
        <v>40</v>
      </c>
      <c r="T259" s="5"/>
      <c r="U259" s="5"/>
      <c r="V259" s="5">
        <f t="shared" si="158"/>
        <v>40</v>
      </c>
      <c r="W259" s="5"/>
      <c r="X259" s="13">
        <f t="shared" si="159"/>
        <v>40</v>
      </c>
      <c r="Y259" s="13">
        <f t="shared" si="160"/>
        <v>57.1428571428571</v>
      </c>
      <c r="Z259" s="19"/>
    </row>
    <row r="260" ht="15.6" hidden="1" outlineLevel="2" spans="1:26">
      <c r="A260" s="5">
        <v>315</v>
      </c>
      <c r="B260" s="5">
        <v>15</v>
      </c>
      <c r="C260" s="9" t="s">
        <v>748</v>
      </c>
      <c r="D260" s="9" t="s">
        <v>46</v>
      </c>
      <c r="E260" s="5">
        <v>24.5</v>
      </c>
      <c r="F260" s="7">
        <f>LOOKUP(E260,{0,1.5,2.3,3.1,3.9,4.7,5.5,6.8,8.1,9.4,10.7,12,13.3,14.6,15.9,17.2,18.5,20.2,21.9,23.6,25.3},{0,10,20,30,40,50,60,62,64,66,68,70,72,74,76,78,80,85,90,95,100})</f>
        <v>95</v>
      </c>
      <c r="G260" s="5">
        <v>198</v>
      </c>
      <c r="H260" s="7">
        <f>LOOKUP(G260,{0,125,130,135,140,145,150,153,156,159,162,165,168,171,174,177,180,187,194,200,206},{0,10,20,30,40,50,60,62,64,66,68,70,72,74,76,78,80,85,90,95,100})</f>
        <v>90</v>
      </c>
      <c r="I260" s="5">
        <v>42</v>
      </c>
      <c r="J260" s="7">
        <f>LOOKUP(I260,{0,15,17,19,21,23,25,27,29,31,33,35,37,39,41,43,45,48,51,53,55},{0,10,20,30,40,50,60,62,64,66,68,70,72,74,76,78,80,85,90,95,100})</f>
        <v>76</v>
      </c>
      <c r="K260" s="5"/>
      <c r="L260" s="5"/>
      <c r="M260" s="5">
        <f t="shared" si="155"/>
        <v>76</v>
      </c>
      <c r="N260" s="5">
        <v>8.4</v>
      </c>
      <c r="O260" s="10">
        <f t="shared" si="156"/>
        <v>9.6</v>
      </c>
      <c r="P260" s="7">
        <f>LOOKUP(O260,{0,6.6,6.8,7,7.2,7.4,7.6,7.8,8,8.2,8.4,8.6,8.8,9,9.2,9.4,9.6,9.9,10.2,10.3,10.4},{0,10,20,30,40,50,60,62,64,66,68,70,72,74,76,78,80,85,90,95,100})</f>
        <v>80</v>
      </c>
      <c r="Q260" s="5">
        <v>4.34</v>
      </c>
      <c r="R260" s="10">
        <f t="shared" si="157"/>
        <v>5.66</v>
      </c>
      <c r="S260" s="7">
        <f>LOOKUP(R260,{0,4.74,4.84,4.94,5.44,5.54,5.64,5.69,5.74,5.79,5.84,5.89,5.94,5.99,6.44,6.49,6.54,6.61,6.68,6.74,6.8},{0,10,20,30,40,50,60,62,64,66,68,70,72,74,76,78,80,85,90,95,100})</f>
        <v>60</v>
      </c>
      <c r="T260" s="5"/>
      <c r="U260" s="5"/>
      <c r="V260" s="5">
        <f t="shared" si="158"/>
        <v>60</v>
      </c>
      <c r="W260" s="5"/>
      <c r="X260" s="13">
        <f t="shared" si="159"/>
        <v>54.1</v>
      </c>
      <c r="Y260" s="13">
        <f t="shared" si="160"/>
        <v>77.2857142857143</v>
      </c>
      <c r="Z260" s="19"/>
    </row>
    <row r="261" ht="15.6" hidden="1" outlineLevel="2" spans="1:26">
      <c r="A261" s="5">
        <v>315</v>
      </c>
      <c r="B261" s="5">
        <v>16</v>
      </c>
      <c r="C261" s="9" t="s">
        <v>749</v>
      </c>
      <c r="D261" s="9" t="s">
        <v>46</v>
      </c>
      <c r="E261" s="5">
        <v>20</v>
      </c>
      <c r="F261" s="7">
        <f>LOOKUP(E261,{0,1.5,2.3,3.1,3.9,4.7,5.5,6.8,8.1,9.4,10.7,12,13.3,14.6,15.9,17.2,18.5,20.2,21.9,23.6,25.3},{0,10,20,30,40,50,60,62,64,66,68,70,72,74,76,78,80,85,90,95,100})</f>
        <v>80</v>
      </c>
      <c r="G261" s="5">
        <v>168</v>
      </c>
      <c r="H261" s="7">
        <f>LOOKUP(G261,{0,125,130,135,140,145,150,153,156,159,162,165,168,171,174,177,180,187,194,200,206},{0,10,20,30,40,50,60,62,64,66,68,70,72,74,76,78,80,85,90,95,100})</f>
        <v>72</v>
      </c>
      <c r="I261" s="5">
        <v>25</v>
      </c>
      <c r="J261" s="7">
        <f>LOOKUP(I261,{0,15,17,19,21,23,25,27,29,31,33,35,37,39,41,43,45,48,51,53,55},{0,10,20,30,40,50,60,62,64,66,68,70,72,74,76,78,80,85,90,95,100})</f>
        <v>60</v>
      </c>
      <c r="K261" s="5"/>
      <c r="L261" s="5"/>
      <c r="M261" s="5">
        <f t="shared" si="155"/>
        <v>60</v>
      </c>
      <c r="N261" s="5">
        <v>9.1</v>
      </c>
      <c r="O261" s="10">
        <f t="shared" si="156"/>
        <v>8.9</v>
      </c>
      <c r="P261" s="7">
        <f>LOOKUP(O261,{0,6.6,6.8,7,7.2,7.4,7.6,7.8,8,8.2,8.4,8.6,8.8,9,9.2,9.4,9.6,9.9,10.2,10.3,10.4},{0,10,20,30,40,50,60,62,64,66,68,70,72,74,76,78,80,85,90,95,100})</f>
        <v>72</v>
      </c>
      <c r="Q261" s="5">
        <v>5.1</v>
      </c>
      <c r="R261" s="10">
        <f t="shared" si="157"/>
        <v>4.9</v>
      </c>
      <c r="S261" s="7">
        <f>LOOKUP(R261,{0,4.74,4.84,4.94,5.44,5.54,5.64,5.69,5.74,5.79,5.84,5.89,5.94,5.99,6.44,6.49,6.54,6.61,6.68,6.74,6.8},{0,10,20,30,40,50,60,62,64,66,68,70,72,74,76,78,80,85,90,95,100})</f>
        <v>20</v>
      </c>
      <c r="T261" s="5"/>
      <c r="U261" s="5"/>
      <c r="V261" s="5">
        <f t="shared" si="158"/>
        <v>20</v>
      </c>
      <c r="W261" s="5"/>
      <c r="X261" s="13">
        <f t="shared" si="159"/>
        <v>39.6</v>
      </c>
      <c r="Y261" s="13">
        <f t="shared" si="160"/>
        <v>56.5714285714286</v>
      </c>
      <c r="Z261" s="19"/>
    </row>
    <row r="262" ht="15.6" hidden="1" outlineLevel="2" spans="1:26">
      <c r="A262" s="5">
        <v>315</v>
      </c>
      <c r="B262" s="5">
        <v>17</v>
      </c>
      <c r="C262" s="9" t="s">
        <v>750</v>
      </c>
      <c r="D262" s="9" t="s">
        <v>46</v>
      </c>
      <c r="E262" s="5">
        <v>9</v>
      </c>
      <c r="F262" s="7">
        <f>LOOKUP(E262,{0,1.5,2.3,3.1,3.9,4.7,5.5,6.8,8.1,9.4,10.7,12,13.3,14.6,15.9,17.2,18.5,20.2,21.9,23.6,25.3},{0,10,20,30,40,50,60,62,64,66,68,70,72,74,76,78,80,85,90,95,100})</f>
        <v>64</v>
      </c>
      <c r="G262" s="5">
        <v>150</v>
      </c>
      <c r="H262" s="7">
        <f>LOOKUP(G262,{0,125,130,135,140,145,150,153,156,159,162,165,168,171,174,177,180,187,194,200,206},{0,10,20,30,40,50,60,62,64,66,68,70,72,74,76,78,80,85,90,95,100})</f>
        <v>60</v>
      </c>
      <c r="I262" s="5">
        <v>41</v>
      </c>
      <c r="J262" s="7">
        <f>LOOKUP(I262,{0,15,17,19,21,23,25,27,29,31,33,35,37,39,41,43,45,48,51,53,55},{0,10,20,30,40,50,60,62,64,66,68,70,72,74,76,78,80,85,90,95,100})</f>
        <v>76</v>
      </c>
      <c r="K262" s="5"/>
      <c r="L262" s="5"/>
      <c r="M262" s="5">
        <f t="shared" si="155"/>
        <v>76</v>
      </c>
      <c r="N262" s="5">
        <v>10.2</v>
      </c>
      <c r="O262" s="10">
        <f t="shared" si="156"/>
        <v>7.8</v>
      </c>
      <c r="P262" s="7">
        <f>LOOKUP(O262,{0,6.6,6.8,7,7.2,7.4,7.6,7.8,8,8.2,8.4,8.6,8.8,9,9.2,9.4,9.6,9.9,10.2,10.3,10.4},{0,10,20,30,40,50,60,62,64,66,68,70,72,74,76,78,80,85,90,95,100})</f>
        <v>62</v>
      </c>
      <c r="Q262" s="5">
        <v>4.52</v>
      </c>
      <c r="R262" s="10">
        <f t="shared" si="157"/>
        <v>5.48</v>
      </c>
      <c r="S262" s="7">
        <f>LOOKUP(R262,{0,4.74,4.84,4.94,5.44,5.54,5.64,5.69,5.74,5.79,5.84,5.89,5.94,5.99,6.44,6.49,6.54,6.61,6.68,6.74,6.8},{0,10,20,30,40,50,60,62,64,66,68,70,72,74,76,78,80,85,90,95,100})</f>
        <v>40</v>
      </c>
      <c r="T262" s="5"/>
      <c r="U262" s="5"/>
      <c r="V262" s="5">
        <f t="shared" si="158"/>
        <v>40</v>
      </c>
      <c r="W262" s="5"/>
      <c r="X262" s="13">
        <f t="shared" si="159"/>
        <v>40.4</v>
      </c>
      <c r="Y262" s="13">
        <f t="shared" si="160"/>
        <v>57.7142857142857</v>
      </c>
      <c r="Z262" s="19"/>
    </row>
    <row r="263" ht="15.6" hidden="1" outlineLevel="2" spans="1:26">
      <c r="A263" s="5">
        <v>315</v>
      </c>
      <c r="B263" s="5">
        <v>18</v>
      </c>
      <c r="C263" s="9" t="s">
        <v>751</v>
      </c>
      <c r="D263" s="9" t="s">
        <v>46</v>
      </c>
      <c r="E263" s="5">
        <v>15.5</v>
      </c>
      <c r="F263" s="7">
        <f>LOOKUP(E263,{0,1.5,2.3,3.1,3.9,4.7,5.5,6.8,8.1,9.4,10.7,12,13.3,14.6,15.9,17.2,18.5,20.2,21.9,23.6,25.3},{0,10,20,30,40,50,60,62,64,66,68,70,72,74,76,78,80,85,90,95,100})</f>
        <v>74</v>
      </c>
      <c r="G263" s="5">
        <v>152</v>
      </c>
      <c r="H263" s="7">
        <f>LOOKUP(G263,{0,125,130,135,140,145,150,153,156,159,162,165,168,171,174,177,180,187,194,200,206},{0,10,20,30,40,50,60,62,64,66,68,70,72,74,76,78,80,85,90,95,100})</f>
        <v>60</v>
      </c>
      <c r="I263" s="5">
        <v>65</v>
      </c>
      <c r="J263" s="7">
        <f>LOOKUP(I263,{0,15,17,19,21,23,25,27,29,31,33,35,37,39,41,43,45,48,51,53,55},{0,10,20,30,40,50,60,62,64,66,68,70,72,74,76,78,80,85,90,95,100})</f>
        <v>100</v>
      </c>
      <c r="K263" s="11">
        <f>I263-55</f>
        <v>10</v>
      </c>
      <c r="L263" s="7">
        <f>LOOKUP(K263,{0,2,4,6,7,8,9,10,11,12,13},{0,1,2,3,4,5,6,7,8,9,10})</f>
        <v>7</v>
      </c>
      <c r="M263" s="5">
        <f t="shared" si="155"/>
        <v>107</v>
      </c>
      <c r="N263" s="5">
        <v>9.4</v>
      </c>
      <c r="O263" s="10">
        <f t="shared" si="156"/>
        <v>8.6</v>
      </c>
      <c r="P263" s="7">
        <f>LOOKUP(O263,{0,6.6,6.8,7,7.2,7.4,7.6,7.8,8,8.2,8.4,8.6,8.8,9,9.2,9.4,9.6,9.9,10.2,10.3,10.4},{0,10,20,30,40,50,60,62,64,66,68,70,72,74,76,78,80,85,90,95,100})</f>
        <v>70</v>
      </c>
      <c r="Q263" s="5">
        <v>4.34</v>
      </c>
      <c r="R263" s="10">
        <f t="shared" si="157"/>
        <v>5.66</v>
      </c>
      <c r="S263" s="7">
        <f>LOOKUP(R263,{0,4.74,4.84,4.94,5.44,5.54,5.64,5.69,5.74,5.79,5.84,5.89,5.94,5.99,6.44,6.49,6.54,6.61,6.68,6.74,6.8},{0,10,20,30,40,50,60,62,64,66,68,70,72,74,76,78,80,85,90,95,100})</f>
        <v>60</v>
      </c>
      <c r="T263" s="5"/>
      <c r="U263" s="5"/>
      <c r="V263" s="5">
        <f t="shared" si="158"/>
        <v>60</v>
      </c>
      <c r="W263" s="5"/>
      <c r="X263" s="13">
        <f t="shared" si="159"/>
        <v>49.4</v>
      </c>
      <c r="Y263" s="13">
        <f t="shared" si="160"/>
        <v>77.5714285714286</v>
      </c>
      <c r="Z263" s="19"/>
    </row>
    <row r="264" ht="15.6" hidden="1" outlineLevel="2" spans="1:26">
      <c r="A264" s="5">
        <v>315</v>
      </c>
      <c r="B264" s="5">
        <v>19</v>
      </c>
      <c r="C264" s="9" t="s">
        <v>752</v>
      </c>
      <c r="D264" s="9" t="s">
        <v>46</v>
      </c>
      <c r="E264" s="5">
        <v>20.5</v>
      </c>
      <c r="F264" s="7">
        <f>LOOKUP(E264,{0,1.5,2.3,3.1,3.9,4.7,5.5,6.8,8.1,9.4,10.7,12,13.3,14.6,15.9,17.2,18.5,20.2,21.9,23.6,25.3},{0,10,20,30,40,50,60,62,64,66,68,70,72,74,76,78,80,85,90,95,100})</f>
        <v>85</v>
      </c>
      <c r="G264" s="5">
        <v>168</v>
      </c>
      <c r="H264" s="7">
        <f>LOOKUP(G264,{0,125,130,135,140,145,150,153,156,159,162,165,168,171,174,177,180,187,194,200,206},{0,10,20,30,40,50,60,62,64,66,68,70,72,74,76,78,80,85,90,95,100})</f>
        <v>72</v>
      </c>
      <c r="I264" s="5">
        <v>51</v>
      </c>
      <c r="J264" s="7">
        <f>LOOKUP(I264,{0,15,17,19,21,23,25,27,29,31,33,35,37,39,41,43,45,48,51,53,55},{0,10,20,30,40,50,60,62,64,66,68,70,72,74,76,78,80,85,90,95,100})</f>
        <v>90</v>
      </c>
      <c r="K264" s="5"/>
      <c r="L264" s="16"/>
      <c r="M264" s="5">
        <f t="shared" si="155"/>
        <v>90</v>
      </c>
      <c r="N264" s="5">
        <v>9</v>
      </c>
      <c r="O264" s="10">
        <f t="shared" si="156"/>
        <v>9</v>
      </c>
      <c r="P264" s="7">
        <f>LOOKUP(O264,{0,6.6,6.8,7,7.2,7.4,7.6,7.8,8,8.2,8.4,8.6,8.8,9,9.2,9.4,9.6,9.9,10.2,10.3,10.4},{0,10,20,30,40,50,60,62,64,66,68,70,72,74,76,78,80,85,90,95,100})</f>
        <v>74</v>
      </c>
      <c r="Q264" s="5">
        <v>3.34</v>
      </c>
      <c r="R264" s="10">
        <f t="shared" si="157"/>
        <v>6.66</v>
      </c>
      <c r="S264" s="7">
        <f>LOOKUP(R264,{0,4.74,4.84,4.94,5.44,5.54,5.64,5.69,5.74,5.79,5.84,5.89,5.94,5.99,6.44,6.49,6.54,6.61,6.68,6.74,6.8},{0,10,20,30,40,50,60,62,64,66,68,70,72,74,76,78,80,85,90,95,100})</f>
        <v>85</v>
      </c>
      <c r="T264" s="5"/>
      <c r="U264" s="5"/>
      <c r="V264" s="5">
        <f t="shared" si="158"/>
        <v>85</v>
      </c>
      <c r="W264" s="5"/>
      <c r="X264" s="13">
        <f t="shared" si="159"/>
        <v>56.5</v>
      </c>
      <c r="Y264" s="13">
        <f t="shared" si="160"/>
        <v>80.7142857142857</v>
      </c>
      <c r="Z264" s="19"/>
    </row>
    <row r="265" ht="15.6" hidden="1" outlineLevel="2" spans="1:26">
      <c r="A265" s="5">
        <v>315</v>
      </c>
      <c r="B265" s="5">
        <v>20</v>
      </c>
      <c r="C265" s="8" t="s">
        <v>754</v>
      </c>
      <c r="D265" s="9" t="s">
        <v>46</v>
      </c>
      <c r="E265" s="5">
        <v>18.5</v>
      </c>
      <c r="F265" s="7">
        <f>LOOKUP(E265,{0,1.5,2.3,3.1,3.9,4.7,5.5,6.8,8.1,9.4,10.7,12,13.3,14.6,15.9,17.2,18.5,20.2,21.9,23.6,25.3},{0,10,20,30,40,50,60,62,64,66,68,70,72,74,76,78,80,85,90,95,100})</f>
        <v>80</v>
      </c>
      <c r="G265" s="5">
        <v>170</v>
      </c>
      <c r="H265" s="7">
        <f>LOOKUP(G265,{0,125,130,135,140,145,150,153,156,159,162,165,168,171,174,177,180,187,194,200,206},{0,10,20,30,40,50,60,62,64,66,68,70,72,74,76,78,80,85,90,95,100})</f>
        <v>72</v>
      </c>
      <c r="I265" s="5">
        <v>43</v>
      </c>
      <c r="J265" s="7">
        <f>LOOKUP(I265,{0,15,17,19,21,23,25,27,29,31,33,35,37,39,41,43,45,48,51,53,55},{0,10,20,30,40,50,60,62,64,66,68,70,72,74,76,78,80,85,90,95,100})</f>
        <v>78</v>
      </c>
      <c r="K265" s="5"/>
      <c r="L265" s="5"/>
      <c r="M265" s="5">
        <f t="shared" si="155"/>
        <v>78</v>
      </c>
      <c r="N265" s="5">
        <v>9.3</v>
      </c>
      <c r="O265" s="10">
        <f t="shared" si="156"/>
        <v>8.7</v>
      </c>
      <c r="P265" s="7">
        <f>LOOKUP(O265,{0,6.6,6.8,7,7.2,7.4,7.6,7.8,8,8.2,8.4,8.6,8.8,9,9.2,9.4,9.6,9.9,10.2,10.3,10.4},{0,10,20,30,40,50,60,62,64,66,68,70,72,74,76,78,80,85,90,95,100})</f>
        <v>70</v>
      </c>
      <c r="Q265" s="5">
        <v>4.3</v>
      </c>
      <c r="R265" s="10">
        <f t="shared" si="157"/>
        <v>5.7</v>
      </c>
      <c r="S265" s="7">
        <f>LOOKUP(R265,{0,4.74,4.84,4.94,5.44,5.54,5.64,5.69,5.74,5.79,5.84,5.89,5.94,5.99,6.44,6.49,6.54,6.61,6.68,6.74,6.8},{0,10,20,30,40,50,60,62,64,66,68,70,72,74,76,78,80,85,90,95,100})</f>
        <v>62</v>
      </c>
      <c r="T265" s="5"/>
      <c r="U265" s="5"/>
      <c r="V265" s="5">
        <f t="shared" si="158"/>
        <v>62</v>
      </c>
      <c r="W265" s="5"/>
      <c r="X265" s="13">
        <f t="shared" si="159"/>
        <v>49.4</v>
      </c>
      <c r="Y265" s="13">
        <f t="shared" si="160"/>
        <v>70.5714285714286</v>
      </c>
      <c r="Z265" s="19"/>
    </row>
    <row r="266" ht="15.6" hidden="1" outlineLevel="2" spans="1:26">
      <c r="A266" s="5">
        <v>315</v>
      </c>
      <c r="B266" s="5">
        <v>21</v>
      </c>
      <c r="C266" s="9" t="s">
        <v>755</v>
      </c>
      <c r="D266" s="9" t="s">
        <v>46</v>
      </c>
      <c r="E266" s="5">
        <v>16</v>
      </c>
      <c r="F266" s="7">
        <f>LOOKUP(E266,{0,1.5,2.3,3.1,3.9,4.7,5.5,6.8,8.1,9.4,10.7,12,13.3,14.6,15.9,17.2,18.5,20.2,21.9,23.6,25.3},{0,10,20,30,40,50,60,62,64,66,68,70,72,74,76,78,80,85,90,95,100})</f>
        <v>76</v>
      </c>
      <c r="G266" s="5">
        <v>192</v>
      </c>
      <c r="H266" s="7">
        <f>LOOKUP(G266,{0,125,130,135,140,145,150,153,156,159,162,165,168,171,174,177,180,187,194,200,206},{0,10,20,30,40,50,60,62,64,66,68,70,72,74,76,78,80,85,90,95,100})</f>
        <v>85</v>
      </c>
      <c r="I266" s="5">
        <v>39</v>
      </c>
      <c r="J266" s="7">
        <f>LOOKUP(I266,{0,15,17,19,21,23,25,27,29,31,33,35,37,39,41,43,45,48,51,53,55},{0,10,20,30,40,50,60,62,64,66,68,70,72,74,76,78,80,85,90,95,100})</f>
        <v>74</v>
      </c>
      <c r="K266" s="5"/>
      <c r="L266" s="5"/>
      <c r="M266" s="5">
        <f t="shared" si="155"/>
        <v>74</v>
      </c>
      <c r="N266" s="5">
        <v>8.1</v>
      </c>
      <c r="O266" s="10">
        <f t="shared" si="156"/>
        <v>9.9</v>
      </c>
      <c r="P266" s="7">
        <f>LOOKUP(O266,{0,6.6,6.8,7,7.2,7.4,7.6,7.8,8,8.2,8.4,8.6,8.8,9,9.2,9.4,9.6,9.9,10.2,10.3,10.4},{0,10,20,30,40,50,60,62,64,66,68,70,72,74,76,78,80,85,90,95,100})</f>
        <v>85</v>
      </c>
      <c r="Q266" s="5">
        <v>3.46</v>
      </c>
      <c r="R266" s="10">
        <f t="shared" si="157"/>
        <v>6.54</v>
      </c>
      <c r="S266" s="7">
        <f>LOOKUP(R266,{0,4.74,4.84,4.94,5.44,5.54,5.64,5.69,5.74,5.79,5.84,5.89,5.94,5.99,6.44,6.49,6.54,6.61,6.68,6.74,6.8},{0,10,20,30,40,50,60,62,64,66,68,70,72,74,76,78,80,85,90,95,100})</f>
        <v>80</v>
      </c>
      <c r="T266" s="5"/>
      <c r="U266" s="5"/>
      <c r="V266" s="5">
        <f t="shared" si="158"/>
        <v>80</v>
      </c>
      <c r="W266" s="5"/>
      <c r="X266" s="13">
        <f t="shared" si="159"/>
        <v>56.5</v>
      </c>
      <c r="Y266" s="13">
        <f t="shared" si="160"/>
        <v>80.7142857142857</v>
      </c>
      <c r="Z266" s="19"/>
    </row>
    <row r="267" ht="15.6" hidden="1" outlineLevel="2" spans="1:26">
      <c r="A267" s="5">
        <v>315</v>
      </c>
      <c r="B267" s="5">
        <v>22</v>
      </c>
      <c r="C267" s="9" t="s">
        <v>756</v>
      </c>
      <c r="D267" s="9" t="s">
        <v>46</v>
      </c>
      <c r="E267" s="5">
        <v>16.6</v>
      </c>
      <c r="F267" s="7">
        <f>LOOKUP(E267,{0,1.5,2.3,3.1,3.9,4.7,5.5,6.8,8.1,9.4,10.7,12,13.3,14.6,15.9,17.2,18.5,20.2,21.9,23.6,25.3},{0,10,20,30,40,50,60,62,64,66,68,70,72,74,76,78,80,85,90,95,100})</f>
        <v>76</v>
      </c>
      <c r="G267" s="5">
        <v>165</v>
      </c>
      <c r="H267" s="7">
        <f>LOOKUP(G267,{0,125,130,135,140,145,150,153,156,159,162,165,168,171,174,177,180,187,194,200,206},{0,10,20,30,40,50,60,62,64,66,68,70,72,74,76,78,80,85,90,95,100})</f>
        <v>70</v>
      </c>
      <c r="I267" s="5">
        <v>45</v>
      </c>
      <c r="J267" s="7">
        <f>LOOKUP(I267,{0,15,17,19,21,23,25,27,29,31,33,35,37,39,41,43,45,48,51,53,55},{0,10,20,30,40,50,60,62,64,66,68,70,72,74,76,78,80,85,90,95,100})</f>
        <v>80</v>
      </c>
      <c r="K267" s="5"/>
      <c r="L267" s="5"/>
      <c r="M267" s="5">
        <f t="shared" si="155"/>
        <v>80</v>
      </c>
      <c r="N267" s="5">
        <v>8.9</v>
      </c>
      <c r="O267" s="10">
        <f t="shared" si="156"/>
        <v>9.1</v>
      </c>
      <c r="P267" s="7">
        <f>LOOKUP(O267,{0,6.6,6.8,7,7.2,7.4,7.6,7.8,8,8.2,8.4,8.6,8.8,9,9.2,9.4,9.6,9.9,10.2,10.3,10.4},{0,10,20,30,40,50,60,62,64,66,68,70,72,74,76,78,80,85,90,95,100})</f>
        <v>74</v>
      </c>
      <c r="Q267" s="5">
        <v>4.13</v>
      </c>
      <c r="R267" s="10">
        <f t="shared" si="157"/>
        <v>5.87</v>
      </c>
      <c r="S267" s="7">
        <f>LOOKUP(R267,{0,4.74,4.84,4.94,5.44,5.54,5.64,5.69,5.74,5.79,5.84,5.89,5.94,5.99,6.44,6.49,6.54,6.61,6.68,6.74,6.8},{0,10,20,30,40,50,60,62,64,66,68,70,72,74,76,78,80,85,90,95,100})</f>
        <v>68</v>
      </c>
      <c r="T267" s="5"/>
      <c r="U267" s="5"/>
      <c r="V267" s="5">
        <f t="shared" si="158"/>
        <v>68</v>
      </c>
      <c r="W267" s="5"/>
      <c r="X267" s="13">
        <f t="shared" si="159"/>
        <v>51</v>
      </c>
      <c r="Y267" s="13">
        <f t="shared" si="160"/>
        <v>72.8571428571429</v>
      </c>
      <c r="Z267" s="19"/>
    </row>
    <row r="268" ht="15.6" hidden="1" outlineLevel="2" spans="1:26">
      <c r="A268" s="5">
        <v>315</v>
      </c>
      <c r="B268" s="5">
        <v>23</v>
      </c>
      <c r="C268" s="9" t="s">
        <v>757</v>
      </c>
      <c r="D268" s="9" t="s">
        <v>46</v>
      </c>
      <c r="E268" s="5">
        <v>17.6</v>
      </c>
      <c r="F268" s="7">
        <f>LOOKUP(E268,{0,1.5,2.3,3.1,3.9,4.7,5.5,6.8,8.1,9.4,10.7,12,13.3,14.6,15.9,17.2,18.5,20.2,21.9,23.6,25.3},{0,10,20,30,40,50,60,62,64,66,68,70,72,74,76,78,80,85,90,95,100})</f>
        <v>78</v>
      </c>
      <c r="G268" s="5">
        <v>162</v>
      </c>
      <c r="H268" s="7">
        <f>LOOKUP(G268,{0,125,130,135,140,145,150,153,156,159,162,165,168,171,174,177,180,187,194,200,206},{0,10,20,30,40,50,60,62,64,66,68,70,72,74,76,78,80,85,90,95,100})</f>
        <v>68</v>
      </c>
      <c r="I268" s="5">
        <v>28</v>
      </c>
      <c r="J268" s="7">
        <f>LOOKUP(I268,{0,15,17,19,21,23,25,27,29,31,33,35,37,39,41,43,45,48,51,53,55},{0,10,20,30,40,50,60,62,64,66,68,70,72,74,76,78,80,85,90,95,100})</f>
        <v>62</v>
      </c>
      <c r="K268" s="5"/>
      <c r="L268" s="5"/>
      <c r="M268" s="5">
        <f t="shared" si="155"/>
        <v>62</v>
      </c>
      <c r="N268" s="5">
        <v>10.3</v>
      </c>
      <c r="O268" s="10">
        <f t="shared" si="156"/>
        <v>7.7</v>
      </c>
      <c r="P268" s="7">
        <f>LOOKUP(O268,{0,6.6,6.8,7,7.2,7.4,7.6,7.8,8,8.2,8.4,8.6,8.8,9,9.2,9.4,9.6,9.9,10.2,10.3,10.4},{0,10,20,30,40,50,60,62,64,66,68,70,72,74,76,78,80,85,90,95,100})</f>
        <v>60</v>
      </c>
      <c r="Q268" s="5">
        <v>4.55</v>
      </c>
      <c r="R268" s="10">
        <f t="shared" si="157"/>
        <v>5.45</v>
      </c>
      <c r="S268" s="7">
        <f>LOOKUP(R268,{0,4.74,4.84,4.94,5.44,5.54,5.64,5.69,5.74,5.79,5.84,5.89,5.94,5.99,6.44,6.49,6.54,6.61,6.68,6.74,6.8},{0,10,20,30,40,50,60,62,64,66,68,70,72,74,76,78,80,85,90,95,100})</f>
        <v>40</v>
      </c>
      <c r="T268" s="5"/>
      <c r="U268" s="5"/>
      <c r="V268" s="5">
        <f t="shared" si="158"/>
        <v>40</v>
      </c>
      <c r="W268" s="5"/>
      <c r="X268" s="13">
        <f t="shared" si="159"/>
        <v>40.8</v>
      </c>
      <c r="Y268" s="13">
        <f t="shared" si="160"/>
        <v>58.2857142857143</v>
      </c>
      <c r="Z268" s="19"/>
    </row>
    <row r="269" ht="15.6" hidden="1" outlineLevel="2" spans="1:26">
      <c r="A269" s="5">
        <v>315</v>
      </c>
      <c r="B269" s="5">
        <v>24</v>
      </c>
      <c r="C269" s="9" t="s">
        <v>758</v>
      </c>
      <c r="D269" s="9" t="s">
        <v>46</v>
      </c>
      <c r="E269" s="5">
        <v>17.5</v>
      </c>
      <c r="F269" s="7">
        <f>LOOKUP(E269,{0,1.5,2.3,3.1,3.9,4.7,5.5,6.8,8.1,9.4,10.7,12,13.3,14.6,15.9,17.2,18.5,20.2,21.9,23.6,25.3},{0,10,20,30,40,50,60,62,64,66,68,70,72,74,76,78,80,85,90,95,100})</f>
        <v>78</v>
      </c>
      <c r="G269" s="5">
        <v>176</v>
      </c>
      <c r="H269" s="7">
        <f>LOOKUP(G269,{0,125,130,135,140,145,150,153,156,159,162,165,168,171,174,177,180,187,194,200,206},{0,10,20,30,40,50,60,62,64,66,68,70,72,74,76,78,80,85,90,95,100})</f>
        <v>76</v>
      </c>
      <c r="I269" s="5">
        <v>46</v>
      </c>
      <c r="J269" s="7">
        <f>LOOKUP(I269,{0,15,17,19,21,23,25,27,29,31,33,35,37,39,41,43,45,48,51,53,55},{0,10,20,30,40,50,60,62,64,66,68,70,72,74,76,78,80,85,90,95,100})</f>
        <v>80</v>
      </c>
      <c r="K269" s="5"/>
      <c r="L269" s="16"/>
      <c r="M269" s="5">
        <f t="shared" si="155"/>
        <v>80</v>
      </c>
      <c r="N269" s="5">
        <v>8.9</v>
      </c>
      <c r="O269" s="10">
        <f t="shared" si="156"/>
        <v>9.1</v>
      </c>
      <c r="P269" s="7">
        <f>LOOKUP(O269,{0,6.6,6.8,7,7.2,7.4,7.6,7.8,8,8.2,8.4,8.6,8.8,9,9.2,9.4,9.6,9.9,10.2,10.3,10.4},{0,10,20,30,40,50,60,62,64,66,68,70,72,74,76,78,80,85,90,95,100})</f>
        <v>74</v>
      </c>
      <c r="Q269" s="5">
        <v>4.54</v>
      </c>
      <c r="R269" s="10">
        <f t="shared" si="157"/>
        <v>5.46</v>
      </c>
      <c r="S269" s="7">
        <f>LOOKUP(R269,{0,4.74,4.84,4.94,5.44,5.54,5.64,5.69,5.74,5.79,5.84,5.89,5.94,5.99,6.44,6.49,6.54,6.61,6.68,6.74,6.8},{0,10,20,30,40,50,60,62,64,66,68,70,72,74,76,78,80,85,90,95,100})</f>
        <v>40</v>
      </c>
      <c r="T269" s="5"/>
      <c r="U269" s="5"/>
      <c r="V269" s="5">
        <f t="shared" si="158"/>
        <v>40</v>
      </c>
      <c r="W269" s="5"/>
      <c r="X269" s="13">
        <f t="shared" si="159"/>
        <v>46.2</v>
      </c>
      <c r="Y269" s="13">
        <f t="shared" si="160"/>
        <v>66</v>
      </c>
      <c r="Z269" s="19"/>
    </row>
    <row r="270" ht="15.6" hidden="1" outlineLevel="2" spans="1:26">
      <c r="A270" s="5">
        <v>315</v>
      </c>
      <c r="B270" s="5">
        <v>25</v>
      </c>
      <c r="C270" s="9" t="s">
        <v>759</v>
      </c>
      <c r="D270" s="9" t="s">
        <v>46</v>
      </c>
      <c r="E270" s="5">
        <v>10</v>
      </c>
      <c r="F270" s="7">
        <f>LOOKUP(E270,{0,1.5,2.3,3.1,3.9,4.7,5.5,6.8,8.1,9.4,10.7,12,13.3,14.6,15.9,17.2,18.5,20.2,21.9,23.6,25.3},{0,10,20,30,40,50,60,62,64,66,68,70,72,74,76,78,80,85,90,95,100})</f>
        <v>66</v>
      </c>
      <c r="G270" s="5">
        <v>165</v>
      </c>
      <c r="H270" s="7">
        <f>LOOKUP(G270,{0,125,130,135,140,145,150,153,156,159,162,165,168,171,174,177,180,187,194,200,206},{0,10,20,30,40,50,60,62,64,66,68,70,72,74,76,78,80,85,90,95,100})</f>
        <v>70</v>
      </c>
      <c r="I270" s="5">
        <v>48</v>
      </c>
      <c r="J270" s="7">
        <f>LOOKUP(I270,{0,15,17,19,21,23,25,27,29,31,33,35,37,39,41,43,45,48,51,53,55},{0,10,20,30,40,50,60,62,64,66,68,70,72,74,76,78,80,85,90,95,100})</f>
        <v>85</v>
      </c>
      <c r="K270" s="5"/>
      <c r="L270" s="5"/>
      <c r="M270" s="5">
        <f t="shared" si="155"/>
        <v>85</v>
      </c>
      <c r="N270" s="5">
        <v>9.2</v>
      </c>
      <c r="O270" s="10">
        <f t="shared" si="156"/>
        <v>8.8</v>
      </c>
      <c r="P270" s="7">
        <f>LOOKUP(O270,{0,6.6,6.8,7,7.2,7.4,7.6,7.8,8,8.2,8.4,8.6,8.8,9,9.2,9.4,9.6,9.9,10.2,10.3,10.4},{0,10,20,30,40,50,60,62,64,66,68,70,72,74,76,78,80,85,90,95,100})</f>
        <v>72</v>
      </c>
      <c r="Q270" s="5">
        <v>4.08</v>
      </c>
      <c r="R270" s="10">
        <f t="shared" si="157"/>
        <v>5.92</v>
      </c>
      <c r="S270" s="7">
        <f>LOOKUP(R270,{0,4.74,4.84,4.94,5.44,5.54,5.64,5.69,5.74,5.79,5.84,5.89,5.94,5.99,6.44,6.49,6.54,6.61,6.68,6.74,6.8},{0,10,20,30,40,50,60,62,64,66,68,70,72,74,76,78,80,85,90,95,100})</f>
        <v>70</v>
      </c>
      <c r="T270" s="5"/>
      <c r="U270" s="5"/>
      <c r="V270" s="5">
        <f t="shared" si="158"/>
        <v>70</v>
      </c>
      <c r="W270" s="5"/>
      <c r="X270" s="13">
        <f t="shared" si="159"/>
        <v>50.5</v>
      </c>
      <c r="Y270" s="13">
        <f t="shared" si="160"/>
        <v>72.1428571428572</v>
      </c>
      <c r="Z270" s="19"/>
    </row>
    <row r="271" ht="15.6" hidden="1" outlineLevel="2" spans="1:26">
      <c r="A271" s="5">
        <v>315</v>
      </c>
      <c r="B271" s="5">
        <v>26</v>
      </c>
      <c r="C271" s="9" t="s">
        <v>760</v>
      </c>
      <c r="D271" s="9" t="s">
        <v>46</v>
      </c>
      <c r="E271" s="5">
        <v>14</v>
      </c>
      <c r="F271" s="7">
        <f>LOOKUP(E271,{0,1.5,2.3,3.1,3.9,4.7,5.5,6.8,8.1,9.4,10.7,12,13.3,14.6,15.9,17.2,18.5,20.2,21.9,23.6,25.3},{0,10,20,30,40,50,60,62,64,66,68,70,72,74,76,78,80,85,90,95,100})</f>
        <v>72</v>
      </c>
      <c r="G271" s="5">
        <v>157</v>
      </c>
      <c r="H271" s="7">
        <f>LOOKUP(G271,{0,125,130,135,140,145,150,153,156,159,162,165,168,171,174,177,180,187,194,200,206},{0,10,20,30,40,50,60,62,64,66,68,70,72,74,76,78,80,85,90,95,100})</f>
        <v>64</v>
      </c>
      <c r="I271" s="5">
        <v>50</v>
      </c>
      <c r="J271" s="7">
        <f>LOOKUP(I271,{0,15,17,19,21,23,25,27,29,31,33,35,37,39,41,43,45,48,51,53,55},{0,10,20,30,40,50,60,62,64,66,68,70,72,74,76,78,80,85,90,95,100})</f>
        <v>85</v>
      </c>
      <c r="K271" s="5"/>
      <c r="L271" s="5"/>
      <c r="M271" s="5">
        <f t="shared" si="155"/>
        <v>85</v>
      </c>
      <c r="N271" s="5">
        <v>9.4</v>
      </c>
      <c r="O271" s="10">
        <f t="shared" si="156"/>
        <v>8.6</v>
      </c>
      <c r="P271" s="7">
        <f>LOOKUP(O271,{0,6.6,6.8,7,7.2,7.4,7.6,7.8,8,8.2,8.4,8.6,8.8,9,9.2,9.4,9.6,9.9,10.2,10.3,10.4},{0,10,20,30,40,50,60,62,64,66,68,70,72,74,76,78,80,85,90,95,100})</f>
        <v>70</v>
      </c>
      <c r="Q271" s="5">
        <v>4.07</v>
      </c>
      <c r="R271" s="10">
        <f t="shared" si="157"/>
        <v>5.93</v>
      </c>
      <c r="S271" s="7">
        <f>LOOKUP(R271,{0,4.74,4.84,4.94,5.44,5.54,5.64,5.69,5.74,5.79,5.84,5.89,5.94,5.99,6.44,6.49,6.54,6.61,6.68,6.74,6.8},{0,10,20,30,40,50,60,62,64,66,68,70,72,74,76,78,80,85,90,95,100})</f>
        <v>70</v>
      </c>
      <c r="T271" s="5"/>
      <c r="U271" s="5"/>
      <c r="V271" s="5">
        <f t="shared" si="158"/>
        <v>70</v>
      </c>
      <c r="W271" s="5"/>
      <c r="X271" s="13">
        <f t="shared" si="159"/>
        <v>50.1</v>
      </c>
      <c r="Y271" s="13">
        <f t="shared" si="160"/>
        <v>71.5714285714286</v>
      </c>
      <c r="Z271" s="19"/>
    </row>
    <row r="272" ht="15.6" hidden="1" outlineLevel="2" spans="1:26">
      <c r="A272" s="5">
        <v>315</v>
      </c>
      <c r="B272" s="5">
        <v>27</v>
      </c>
      <c r="C272" s="9" t="s">
        <v>761</v>
      </c>
      <c r="D272" s="9" t="s">
        <v>46</v>
      </c>
      <c r="E272" s="5">
        <v>15.5</v>
      </c>
      <c r="F272" s="7">
        <f>LOOKUP(E272,{0,1.5,2.3,3.1,3.9,4.7,5.5,6.8,8.1,9.4,10.7,12,13.3,14.6,15.9,17.2,18.5,20.2,21.9,23.6,25.3},{0,10,20,30,40,50,60,62,64,66,68,70,72,74,76,78,80,85,90,95,100})</f>
        <v>74</v>
      </c>
      <c r="G272" s="5">
        <v>160</v>
      </c>
      <c r="H272" s="7">
        <f>LOOKUP(G272,{0,125,130,135,140,145,150,153,156,159,162,165,168,171,174,177,180,187,194,200,206},{0,10,20,30,40,50,60,62,64,66,68,70,72,74,76,78,80,85,90,95,100})</f>
        <v>66</v>
      </c>
      <c r="I272" s="5">
        <v>45</v>
      </c>
      <c r="J272" s="7">
        <f>LOOKUP(I272,{0,15,17,19,21,23,25,27,29,31,33,35,37,39,41,43,45,48,51,53,55},{0,10,20,30,40,50,60,62,64,66,68,70,72,74,76,78,80,85,90,95,100})</f>
        <v>80</v>
      </c>
      <c r="K272" s="5"/>
      <c r="L272" s="5"/>
      <c r="M272" s="5">
        <f t="shared" si="155"/>
        <v>80</v>
      </c>
      <c r="N272" s="5">
        <v>9.5</v>
      </c>
      <c r="O272" s="10">
        <f t="shared" si="156"/>
        <v>8.5</v>
      </c>
      <c r="P272" s="7">
        <f>LOOKUP(O272,{0,6.6,6.8,7,7.2,7.4,7.6,7.8,8,8.2,8.4,8.6,8.8,9,9.2,9.4,9.6,9.9,10.2,10.3,10.4},{0,10,20,30,40,50,60,62,64,66,68,70,72,74,76,78,80,85,90,95,100})</f>
        <v>68</v>
      </c>
      <c r="Q272" s="5">
        <v>4.3</v>
      </c>
      <c r="R272" s="10">
        <f t="shared" si="157"/>
        <v>5.7</v>
      </c>
      <c r="S272" s="7">
        <f>LOOKUP(R272,{0,4.74,4.84,4.94,5.44,5.54,5.64,5.69,5.74,5.79,5.84,5.89,5.94,5.99,6.44,6.49,6.54,6.61,6.68,6.74,6.8},{0,10,20,30,40,50,60,62,64,66,68,70,72,74,76,78,80,85,90,95,100})</f>
        <v>62</v>
      </c>
      <c r="T272" s="5"/>
      <c r="U272" s="5"/>
      <c r="V272" s="5">
        <f t="shared" si="158"/>
        <v>62</v>
      </c>
      <c r="W272" s="5"/>
      <c r="X272" s="13">
        <f t="shared" si="159"/>
        <v>48</v>
      </c>
      <c r="Y272" s="13">
        <f t="shared" si="160"/>
        <v>68.5714285714286</v>
      </c>
      <c r="Z272" s="19"/>
    </row>
    <row r="273" ht="15.6" hidden="1" outlineLevel="2" spans="1:26">
      <c r="A273" s="5">
        <v>315</v>
      </c>
      <c r="B273" s="5">
        <v>28</v>
      </c>
      <c r="C273" s="9" t="s">
        <v>762</v>
      </c>
      <c r="D273" s="9" t="s">
        <v>46</v>
      </c>
      <c r="E273" s="5">
        <v>12.5</v>
      </c>
      <c r="F273" s="7">
        <f>LOOKUP(E273,{0,1.5,2.3,3.1,3.9,4.7,5.5,6.8,8.1,9.4,10.7,12,13.3,14.6,15.9,17.2,18.5,20.2,21.9,23.6,25.3},{0,10,20,30,40,50,60,62,64,66,68,70,72,74,76,78,80,85,90,95,100})</f>
        <v>70</v>
      </c>
      <c r="G273" s="5">
        <v>168</v>
      </c>
      <c r="H273" s="7">
        <f>LOOKUP(G273,{0,125,130,135,140,145,150,153,156,159,162,165,168,171,174,177,180,187,194,200,206},{0,10,20,30,40,50,60,62,64,66,68,70,72,74,76,78,80,85,90,95,100})</f>
        <v>72</v>
      </c>
      <c r="I273" s="5">
        <v>30</v>
      </c>
      <c r="J273" s="7">
        <f>LOOKUP(I273,{0,15,17,19,21,23,25,27,29,31,33,35,37,39,41,43,45,48,51,53,55},{0,10,20,30,40,50,60,62,64,66,68,70,72,74,76,78,80,85,90,95,100})</f>
        <v>64</v>
      </c>
      <c r="K273" s="5"/>
      <c r="L273" s="5"/>
      <c r="M273" s="5">
        <f t="shared" si="155"/>
        <v>64</v>
      </c>
      <c r="N273" s="5">
        <v>10.2</v>
      </c>
      <c r="O273" s="10">
        <f t="shared" si="156"/>
        <v>7.8</v>
      </c>
      <c r="P273" s="7">
        <f>LOOKUP(O273,{0,6.6,6.8,7,7.2,7.4,7.6,7.8,8,8.2,8.4,8.6,8.8,9,9.2,9.4,9.6,9.9,10.2,10.3,10.4},{0,10,20,30,40,50,60,62,64,66,68,70,72,74,76,78,80,85,90,95,100})</f>
        <v>62</v>
      </c>
      <c r="Q273" s="5">
        <v>4.24</v>
      </c>
      <c r="R273" s="10">
        <f t="shared" si="157"/>
        <v>5.76</v>
      </c>
      <c r="S273" s="7">
        <f>LOOKUP(R273,{0,4.74,4.84,4.94,5.44,5.54,5.64,5.69,5.74,5.79,5.84,5.89,5.94,5.99,6.44,6.49,6.54,6.61,6.68,6.74,6.8},{0,10,20,30,40,50,60,62,64,66,68,70,72,74,76,78,80,85,90,95,100})</f>
        <v>64</v>
      </c>
      <c r="T273" s="5"/>
      <c r="U273" s="5"/>
      <c r="V273" s="5">
        <f t="shared" si="158"/>
        <v>64</v>
      </c>
      <c r="W273" s="5"/>
      <c r="X273" s="13">
        <f t="shared" si="159"/>
        <v>45.8</v>
      </c>
      <c r="Y273" s="13">
        <f t="shared" si="160"/>
        <v>65.4285714285714</v>
      </c>
      <c r="Z273" s="19"/>
    </row>
    <row r="274" ht="15.6" hidden="1" outlineLevel="2" spans="1:26">
      <c r="A274" s="5">
        <v>315</v>
      </c>
      <c r="B274" s="5">
        <v>29</v>
      </c>
      <c r="C274" s="9" t="s">
        <v>763</v>
      </c>
      <c r="D274" s="9" t="s">
        <v>46</v>
      </c>
      <c r="E274" s="5">
        <v>18.5</v>
      </c>
      <c r="F274" s="7">
        <f>LOOKUP(E274,{0,1.5,2.3,3.1,3.9,4.7,5.5,6.8,8.1,9.4,10.7,12,13.3,14.6,15.9,17.2,18.5,20.2,21.9,23.6,25.3},{0,10,20,30,40,50,60,62,64,66,68,70,72,74,76,78,80,85,90,95,100})</f>
        <v>80</v>
      </c>
      <c r="G274" s="5">
        <v>184</v>
      </c>
      <c r="H274" s="7">
        <f>LOOKUP(G274,{0,125,130,135,140,145,150,153,156,159,162,165,168,171,174,177,180,187,194,200,206},{0,10,20,30,40,50,60,62,64,66,68,70,72,74,76,78,80,85,90,95,100})</f>
        <v>80</v>
      </c>
      <c r="I274" s="5">
        <v>38</v>
      </c>
      <c r="J274" s="7">
        <f>LOOKUP(I274,{0,15,17,19,21,23,25,27,29,31,33,35,37,39,41,43,45,48,51,53,55},{0,10,20,30,40,50,60,62,64,66,68,70,72,74,76,78,80,85,90,95,100})</f>
        <v>72</v>
      </c>
      <c r="K274" s="5"/>
      <c r="L274" s="5"/>
      <c r="M274" s="5">
        <f t="shared" si="155"/>
        <v>72</v>
      </c>
      <c r="N274" s="5">
        <v>10.2</v>
      </c>
      <c r="O274" s="10">
        <f t="shared" si="156"/>
        <v>7.8</v>
      </c>
      <c r="P274" s="7">
        <f>LOOKUP(O274,{0,6.6,6.8,7,7.2,7.4,7.6,7.8,8,8.2,8.4,8.6,8.8,9,9.2,9.4,9.6,9.9,10.2,10.3,10.4},{0,10,20,30,40,50,60,62,64,66,68,70,72,74,76,78,80,85,90,95,100})</f>
        <v>62</v>
      </c>
      <c r="Q274" s="5">
        <v>4.5</v>
      </c>
      <c r="R274" s="10">
        <f t="shared" si="157"/>
        <v>5.5</v>
      </c>
      <c r="S274" s="7">
        <f>LOOKUP(R274,{0,4.74,4.84,4.94,5.44,5.54,5.64,5.69,5.74,5.79,5.84,5.89,5.94,5.99,6.44,6.49,6.54,6.61,6.68,6.74,6.8},{0,10,20,30,40,50,60,62,64,66,68,70,72,74,76,78,80,85,90,95,100})</f>
        <v>40</v>
      </c>
      <c r="T274" s="5"/>
      <c r="U274" s="5"/>
      <c r="V274" s="5">
        <f t="shared" si="158"/>
        <v>40</v>
      </c>
      <c r="W274" s="5"/>
      <c r="X274" s="13">
        <f t="shared" si="159"/>
        <v>43.6</v>
      </c>
      <c r="Y274" s="13">
        <f t="shared" si="160"/>
        <v>62.2857142857143</v>
      </c>
      <c r="Z274" s="19"/>
    </row>
    <row r="275" ht="15.6" hidden="1" outlineLevel="2" spans="1:26">
      <c r="A275" s="5">
        <v>315</v>
      </c>
      <c r="B275" s="5">
        <v>30</v>
      </c>
      <c r="C275" s="8" t="s">
        <v>765</v>
      </c>
      <c r="D275" s="9" t="s">
        <v>46</v>
      </c>
      <c r="E275" s="5">
        <v>20.4</v>
      </c>
      <c r="F275" s="7">
        <f>LOOKUP(E275,{0,1.5,2.3,3.1,3.9,4.7,5.5,6.8,8.1,9.4,10.7,12,13.3,14.6,15.9,17.2,18.5,20.2,21.9,23.6,25.3},{0,10,20,30,40,50,60,62,64,66,68,70,72,74,76,78,80,85,90,95,100})</f>
        <v>85</v>
      </c>
      <c r="G275" s="5">
        <v>160</v>
      </c>
      <c r="H275" s="7">
        <f>LOOKUP(G275,{0,125,130,135,140,145,150,153,156,159,162,165,168,171,174,177,180,187,194,200,206},{0,10,20,30,40,50,60,62,64,66,68,70,72,74,76,78,80,85,90,95,100})</f>
        <v>66</v>
      </c>
      <c r="I275" s="5">
        <v>36</v>
      </c>
      <c r="J275" s="7">
        <f>LOOKUP(I275,{0,15,17,19,21,23,25,27,29,31,33,35,37,39,41,43,45,48,51,53,55},{0,10,20,30,40,50,60,62,64,66,68,70,72,74,76,78,80,85,90,95,100})</f>
        <v>70</v>
      </c>
      <c r="K275" s="5"/>
      <c r="L275" s="16"/>
      <c r="M275" s="5">
        <f t="shared" si="155"/>
        <v>70</v>
      </c>
      <c r="N275" s="5">
        <v>9.4</v>
      </c>
      <c r="O275" s="10">
        <f t="shared" si="156"/>
        <v>8.6</v>
      </c>
      <c r="P275" s="7">
        <f>LOOKUP(O275,{0,6.6,6.8,7,7.2,7.4,7.6,7.8,8,8.2,8.4,8.6,8.8,9,9.2,9.4,9.6,9.9,10.2,10.3,10.4},{0,10,20,30,40,50,60,62,64,66,68,70,72,74,76,78,80,85,90,95,100})</f>
        <v>70</v>
      </c>
      <c r="Q275" s="5">
        <v>4.17</v>
      </c>
      <c r="R275" s="10">
        <f t="shared" si="157"/>
        <v>5.83</v>
      </c>
      <c r="S275" s="7">
        <f>LOOKUP(R275,{0,4.74,4.84,4.94,5.44,5.54,5.64,5.69,5.74,5.79,5.84,5.89,5.94,5.99,6.44,6.49,6.54,6.61,6.68,6.74,6.8},{0,10,20,30,40,50,60,62,64,66,68,70,72,74,76,78,80,85,90,95,100})</f>
        <v>66</v>
      </c>
      <c r="T275" s="5"/>
      <c r="U275" s="5"/>
      <c r="V275" s="5">
        <f t="shared" si="158"/>
        <v>66</v>
      </c>
      <c r="W275" s="5"/>
      <c r="X275" s="13">
        <f t="shared" si="159"/>
        <v>49.3</v>
      </c>
      <c r="Y275" s="13">
        <f t="shared" si="160"/>
        <v>70.4285714285714</v>
      </c>
      <c r="Z275" s="19"/>
    </row>
    <row r="276" ht="15.6" hidden="1" outlineLevel="2" spans="1:26">
      <c r="A276" s="5">
        <v>315</v>
      </c>
      <c r="B276" s="5">
        <v>31</v>
      </c>
      <c r="C276" s="9" t="s">
        <v>766</v>
      </c>
      <c r="D276" s="9" t="s">
        <v>46</v>
      </c>
      <c r="E276" s="5">
        <v>9.3</v>
      </c>
      <c r="F276" s="7">
        <f>LOOKUP(E276,{0,1.5,2.3,3.1,3.9,4.7,5.5,6.8,8.1,9.4,10.7,12,13.3,14.6,15.9,17.2,18.5,20.2,21.9,23.6,25.3},{0,10,20,30,40,50,60,62,64,66,68,70,72,74,76,78,80,85,90,95,100})</f>
        <v>64</v>
      </c>
      <c r="G276" s="5">
        <v>125</v>
      </c>
      <c r="H276" s="7">
        <f>LOOKUP(G276,{0,125,130,135,140,145,150,153,156,159,162,165,168,171,174,177,180,187,194,200,206},{0,10,20,30,40,50,60,62,64,66,68,70,72,74,76,78,80,85,90,95,100})</f>
        <v>10</v>
      </c>
      <c r="I276" s="5">
        <v>18</v>
      </c>
      <c r="J276" s="7">
        <f>LOOKUP(I276,{0,15,17,19,21,23,25,27,29,31,33,35,37,39,41,43,45,48,51,53,55},{0,10,20,30,40,50,60,62,64,66,68,70,72,74,76,78,80,85,90,95,100})</f>
        <v>20</v>
      </c>
      <c r="K276" s="5"/>
      <c r="L276" s="5"/>
      <c r="M276" s="5">
        <f t="shared" si="155"/>
        <v>20</v>
      </c>
      <c r="N276" s="5">
        <v>16.2</v>
      </c>
      <c r="O276" s="10">
        <f t="shared" si="156"/>
        <v>1.8</v>
      </c>
      <c r="P276" s="7">
        <f>LOOKUP(O276,{0,6.6,6.8,7,7.2,7.4,7.6,7.8,8,8.2,8.4,8.6,8.8,9,9.2,9.4,9.6,9.9,10.2,10.3,10.4},{0,10,20,30,40,50,60,62,64,66,68,70,72,74,76,78,80,85,90,95,100})</f>
        <v>0</v>
      </c>
      <c r="Q276" s="5">
        <v>5.09</v>
      </c>
      <c r="R276" s="10">
        <f t="shared" si="157"/>
        <v>4.91</v>
      </c>
      <c r="S276" s="7">
        <f>LOOKUP(R276,{0,4.74,4.84,4.94,5.44,5.54,5.64,5.69,5.74,5.79,5.84,5.89,5.94,5.99,6.44,6.49,6.54,6.61,6.68,6.74,6.8},{0,10,20,30,40,50,60,62,64,66,68,70,72,74,76,78,80,85,90,95,100})</f>
        <v>20</v>
      </c>
      <c r="T276" s="5"/>
      <c r="U276" s="5"/>
      <c r="V276" s="5">
        <f t="shared" si="158"/>
        <v>20</v>
      </c>
      <c r="W276" s="5"/>
      <c r="X276" s="13">
        <f t="shared" si="159"/>
        <v>13.4</v>
      </c>
      <c r="Y276" s="13">
        <f t="shared" si="160"/>
        <v>19.1428571428571</v>
      </c>
      <c r="Z276" s="19"/>
    </row>
    <row r="277" ht="15.6" hidden="1" outlineLevel="2" spans="1:26">
      <c r="A277" s="5">
        <v>315</v>
      </c>
      <c r="B277" s="5">
        <v>32</v>
      </c>
      <c r="C277" s="9" t="s">
        <v>767</v>
      </c>
      <c r="D277" s="9" t="s">
        <v>46</v>
      </c>
      <c r="E277" s="5">
        <v>17</v>
      </c>
      <c r="F277" s="7">
        <f>LOOKUP(E277,{0,1.5,2.3,3.1,3.9,4.7,5.5,6.8,8.1,9.4,10.7,12,13.3,14.6,15.9,17.2,18.5,20.2,21.9,23.6,25.3},{0,10,20,30,40,50,60,62,64,66,68,70,72,74,76,78,80,85,90,95,100})</f>
        <v>76</v>
      </c>
      <c r="G277" s="5">
        <v>182</v>
      </c>
      <c r="H277" s="7">
        <f>LOOKUP(G277,{0,125,130,135,140,145,150,153,156,159,162,165,168,171,174,177,180,187,194,200,206},{0,10,20,30,40,50,60,62,64,66,68,70,72,74,76,78,80,85,90,95,100})</f>
        <v>80</v>
      </c>
      <c r="I277" s="5">
        <v>45</v>
      </c>
      <c r="J277" s="7">
        <f>LOOKUP(I277,{0,15,17,19,21,23,25,27,29,31,33,35,37,39,41,43,45,48,51,53,55},{0,10,20,30,40,50,60,62,64,66,68,70,72,74,76,78,80,85,90,95,100})</f>
        <v>80</v>
      </c>
      <c r="K277" s="5"/>
      <c r="L277" s="5"/>
      <c r="M277" s="5">
        <f t="shared" si="155"/>
        <v>80</v>
      </c>
      <c r="N277" s="5">
        <v>9.8</v>
      </c>
      <c r="O277" s="10">
        <f t="shared" si="156"/>
        <v>8.2</v>
      </c>
      <c r="P277" s="7">
        <f>LOOKUP(O277,{0,6.6,6.8,7,7.2,7.4,7.6,7.8,8,8.2,8.4,8.6,8.8,9,9.2,9.4,9.6,9.9,10.2,10.3,10.4},{0,10,20,30,40,50,60,62,64,66,68,70,72,74,76,78,80,85,90,95,100})</f>
        <v>66</v>
      </c>
      <c r="Q277" s="5">
        <v>5.08</v>
      </c>
      <c r="R277" s="10">
        <f t="shared" si="157"/>
        <v>4.92</v>
      </c>
      <c r="S277" s="7">
        <f>LOOKUP(R277,{0,4.74,4.84,4.94,5.44,5.54,5.64,5.69,5.74,5.79,5.84,5.89,5.94,5.99,6.44,6.49,6.54,6.61,6.68,6.74,6.8},{0,10,20,30,40,50,60,62,64,66,68,70,72,74,76,78,80,85,90,95,100})</f>
        <v>20</v>
      </c>
      <c r="T277" s="5"/>
      <c r="U277" s="5"/>
      <c r="V277" s="5">
        <f t="shared" si="158"/>
        <v>20</v>
      </c>
      <c r="W277" s="5"/>
      <c r="X277" s="13">
        <f t="shared" si="159"/>
        <v>40.8</v>
      </c>
      <c r="Y277" s="13">
        <f t="shared" si="160"/>
        <v>58.2857142857143</v>
      </c>
      <c r="Z277" s="19"/>
    </row>
    <row r="278" ht="15.6" hidden="1" outlineLevel="2" spans="1:26">
      <c r="A278" s="5">
        <v>315</v>
      </c>
      <c r="B278" s="5">
        <v>33</v>
      </c>
      <c r="C278" s="9" t="s">
        <v>768</v>
      </c>
      <c r="D278" s="9" t="s">
        <v>46</v>
      </c>
      <c r="E278" s="5">
        <v>8.2</v>
      </c>
      <c r="F278" s="7">
        <f>LOOKUP(E278,{0,1.5,2.3,3.1,3.9,4.7,5.5,6.8,8.1,9.4,10.7,12,13.3,14.6,15.9,17.2,18.5,20.2,21.9,23.6,25.3},{0,10,20,30,40,50,60,62,64,66,68,70,72,74,76,78,80,85,90,95,100})</f>
        <v>64</v>
      </c>
      <c r="G278" s="5">
        <v>200</v>
      </c>
      <c r="H278" s="7">
        <f>LOOKUP(G278,{0,125,130,135,140,145,150,153,156,159,162,165,168,171,174,177,180,187,194,200,206},{0,10,20,30,40,50,60,62,64,66,68,70,72,74,76,78,80,85,90,95,100})</f>
        <v>95</v>
      </c>
      <c r="I278" s="5">
        <v>56</v>
      </c>
      <c r="J278" s="7">
        <f>LOOKUP(I278,{0,15,17,19,21,23,25,27,29,31,33,35,37,39,41,43,45,48,51,53,55},{0,10,20,30,40,50,60,62,64,66,68,70,72,74,76,78,80,85,90,95,100})</f>
        <v>100</v>
      </c>
      <c r="K278" s="11">
        <f>I278-55</f>
        <v>1</v>
      </c>
      <c r="L278" s="7">
        <f>LOOKUP(K278,{0,2,4,6,7,8,9,10,11,12,13},{0,1,2,3,4,5,6,7,8,9,10})</f>
        <v>0</v>
      </c>
      <c r="M278" s="5">
        <f t="shared" si="155"/>
        <v>100</v>
      </c>
      <c r="N278" s="5">
        <v>9.1</v>
      </c>
      <c r="O278" s="10">
        <f t="shared" si="156"/>
        <v>8.9</v>
      </c>
      <c r="P278" s="7">
        <f>LOOKUP(O278,{0,6.6,6.8,7,7.2,7.4,7.6,7.8,8,8.2,8.4,8.6,8.8,9,9.2,9.4,9.6,9.9,10.2,10.3,10.4},{0,10,20,30,40,50,60,62,64,66,68,70,72,74,76,78,80,85,90,95,100})</f>
        <v>72</v>
      </c>
      <c r="Q278" s="5">
        <v>5.09</v>
      </c>
      <c r="R278" s="10">
        <f t="shared" si="157"/>
        <v>4.91</v>
      </c>
      <c r="S278" s="7">
        <f>LOOKUP(R278,{0,4.74,4.84,4.94,5.44,5.54,5.64,5.69,5.74,5.79,5.84,5.89,5.94,5.99,6.44,6.49,6.54,6.61,6.68,6.74,6.8},{0,10,20,30,40,50,60,62,64,66,68,70,72,74,76,78,80,85,90,95,100})</f>
        <v>20</v>
      </c>
      <c r="T278" s="5"/>
      <c r="U278" s="5"/>
      <c r="V278" s="5">
        <f t="shared" si="158"/>
        <v>20</v>
      </c>
      <c r="W278" s="5"/>
      <c r="X278" s="13">
        <f t="shared" si="159"/>
        <v>44.3</v>
      </c>
      <c r="Y278" s="13">
        <f t="shared" si="160"/>
        <v>63.2857142857143</v>
      </c>
      <c r="Z278" s="19"/>
    </row>
    <row r="279" ht="15.6" hidden="1" outlineLevel="2" spans="1:26">
      <c r="A279" s="5">
        <v>315</v>
      </c>
      <c r="B279" s="5">
        <v>34</v>
      </c>
      <c r="C279" s="9" t="s">
        <v>769</v>
      </c>
      <c r="D279" s="9" t="s">
        <v>46</v>
      </c>
      <c r="E279" s="5">
        <v>14.7</v>
      </c>
      <c r="F279" s="7">
        <f>LOOKUP(E279,{0,1.5,2.3,3.1,3.9,4.7,5.5,6.8,8.1,9.4,10.7,12,13.3,14.6,15.9,17.2,18.5,20.2,21.9,23.6,25.3},{0,10,20,30,40,50,60,62,64,66,68,70,72,74,76,78,80,85,90,95,100})</f>
        <v>74</v>
      </c>
      <c r="G279" s="5">
        <v>185</v>
      </c>
      <c r="H279" s="7">
        <f>LOOKUP(G279,{0,125,130,135,140,145,150,153,156,159,162,165,168,171,174,177,180,187,194,200,206},{0,10,20,30,40,50,60,62,64,66,68,70,72,74,76,78,80,85,90,95,100})</f>
        <v>80</v>
      </c>
      <c r="I279" s="5">
        <v>37</v>
      </c>
      <c r="J279" s="7">
        <f>LOOKUP(I279,{0,15,17,19,21,23,25,27,29,31,33,35,37,39,41,43,45,48,51,53,55},{0,10,20,30,40,50,60,62,64,66,68,70,72,74,76,78,80,85,90,95,100})</f>
        <v>72</v>
      </c>
      <c r="K279" s="5"/>
      <c r="L279" s="5"/>
      <c r="M279" s="5">
        <f t="shared" si="155"/>
        <v>72</v>
      </c>
      <c r="N279" s="5">
        <v>8.7</v>
      </c>
      <c r="O279" s="10">
        <f t="shared" si="156"/>
        <v>9.3</v>
      </c>
      <c r="P279" s="7">
        <f>LOOKUP(O279,{0,6.6,6.8,7,7.2,7.4,7.6,7.8,8,8.2,8.4,8.6,8.8,9,9.2,9.4,9.6,9.9,10.2,10.3,10.4},{0,10,20,30,40,50,60,62,64,66,68,70,72,74,76,78,80,85,90,95,100})</f>
        <v>76</v>
      </c>
      <c r="Q279" s="5">
        <v>4.03</v>
      </c>
      <c r="R279" s="10">
        <f t="shared" si="157"/>
        <v>5.97</v>
      </c>
      <c r="S279" s="7">
        <f>LOOKUP(R279,{0,4.74,4.84,4.94,5.44,5.54,5.64,5.69,5.74,5.79,5.84,5.89,5.94,5.99,6.44,6.49,6.54,6.61,6.68,6.74,6.8},{0,10,20,30,40,50,60,62,64,66,68,70,72,74,76,78,80,85,90,95,100})</f>
        <v>72</v>
      </c>
      <c r="T279" s="5"/>
      <c r="U279" s="5"/>
      <c r="V279" s="5">
        <f t="shared" si="158"/>
        <v>72</v>
      </c>
      <c r="W279" s="5"/>
      <c r="X279" s="13">
        <f t="shared" si="159"/>
        <v>52.2</v>
      </c>
      <c r="Y279" s="13">
        <f t="shared" si="160"/>
        <v>74.5714285714286</v>
      </c>
      <c r="Z279" s="19"/>
    </row>
    <row r="280" ht="15.6" hidden="1" outlineLevel="2" spans="1:26">
      <c r="A280" s="5">
        <v>315</v>
      </c>
      <c r="B280" s="5">
        <v>35</v>
      </c>
      <c r="C280" s="9" t="s">
        <v>770</v>
      </c>
      <c r="D280" s="9" t="s">
        <v>46</v>
      </c>
      <c r="E280" s="5">
        <v>24</v>
      </c>
      <c r="F280" s="7">
        <f>LOOKUP(E280,{0,1.5,2.3,3.1,3.9,4.7,5.5,6.8,8.1,9.4,10.7,12,13.3,14.6,15.9,17.2,18.5,20.2,21.9,23.6,25.3},{0,10,20,30,40,50,60,62,64,66,68,70,72,74,76,78,80,85,90,95,100})</f>
        <v>95</v>
      </c>
      <c r="G280" s="5">
        <v>175</v>
      </c>
      <c r="H280" s="7">
        <f>LOOKUP(G280,{0,125,130,135,140,145,150,153,156,159,162,165,168,171,174,177,180,187,194,200,206},{0,10,20,30,40,50,60,62,64,66,68,70,72,74,76,78,80,85,90,95,100})</f>
        <v>76</v>
      </c>
      <c r="I280" s="5">
        <v>36</v>
      </c>
      <c r="J280" s="7">
        <f>LOOKUP(I280,{0,15,17,19,21,23,25,27,29,31,33,35,37,39,41,43,45,48,51,53,55},{0,10,20,30,40,50,60,62,64,66,68,70,72,74,76,78,80,85,90,95,100})</f>
        <v>70</v>
      </c>
      <c r="K280" s="5"/>
      <c r="L280" s="5"/>
      <c r="M280" s="5">
        <f t="shared" si="155"/>
        <v>70</v>
      </c>
      <c r="N280" s="5">
        <v>9.4</v>
      </c>
      <c r="O280" s="10">
        <f t="shared" si="156"/>
        <v>8.6</v>
      </c>
      <c r="P280" s="7">
        <f>LOOKUP(O280,{0,6.6,6.8,7,7.2,7.4,7.6,7.8,8,8.2,8.4,8.6,8.8,9,9.2,9.4,9.6,9.9,10.2,10.3,10.4},{0,10,20,30,40,50,60,62,64,66,68,70,72,74,76,78,80,85,90,95,100})</f>
        <v>70</v>
      </c>
      <c r="Q280" s="5">
        <v>4.19</v>
      </c>
      <c r="R280" s="10">
        <f t="shared" si="157"/>
        <v>5.81</v>
      </c>
      <c r="S280" s="7">
        <f>LOOKUP(R280,{0,4.74,4.84,4.94,5.44,5.54,5.64,5.69,5.74,5.79,5.84,5.89,5.94,5.99,6.44,6.49,6.54,6.61,6.68,6.74,6.8},{0,10,20,30,40,50,60,62,64,66,68,70,72,74,76,78,80,85,90,95,100})</f>
        <v>66</v>
      </c>
      <c r="T280" s="5"/>
      <c r="U280" s="5"/>
      <c r="V280" s="5">
        <f t="shared" si="158"/>
        <v>66</v>
      </c>
      <c r="W280" s="5"/>
      <c r="X280" s="13">
        <f t="shared" si="159"/>
        <v>51.3</v>
      </c>
      <c r="Y280" s="13">
        <f t="shared" si="160"/>
        <v>73.2857142857143</v>
      </c>
      <c r="Z280" s="19"/>
    </row>
    <row r="281" ht="15.6" hidden="1" outlineLevel="2" spans="1:26">
      <c r="A281" s="5">
        <v>315</v>
      </c>
      <c r="B281" s="5">
        <v>36</v>
      </c>
      <c r="C281" s="9" t="s">
        <v>771</v>
      </c>
      <c r="D281" s="9" t="s">
        <v>46</v>
      </c>
      <c r="E281" s="5">
        <v>22.6</v>
      </c>
      <c r="F281" s="7">
        <f>LOOKUP(E281,{0,1.5,2.3,3.1,3.9,4.7,5.5,6.8,8.1,9.4,10.7,12,13.3,14.6,15.9,17.2,18.5,20.2,21.9,23.6,25.3},{0,10,20,30,40,50,60,62,64,66,68,70,72,74,76,78,80,85,90,95,100})</f>
        <v>90</v>
      </c>
      <c r="G281" s="5">
        <v>162</v>
      </c>
      <c r="H281" s="7">
        <f>LOOKUP(G281,{0,125,130,135,140,145,150,153,156,159,162,165,168,171,174,177,180,187,194,200,206},{0,10,20,30,40,50,60,62,64,66,68,70,72,74,76,78,80,85,90,95,100})</f>
        <v>68</v>
      </c>
      <c r="I281" s="5">
        <v>42</v>
      </c>
      <c r="J281" s="7">
        <f>LOOKUP(I281,{0,15,17,19,21,23,25,27,29,31,33,35,37,39,41,43,45,48,51,53,55},{0,10,20,30,40,50,60,62,64,66,68,70,72,74,76,78,80,85,90,95,100})</f>
        <v>76</v>
      </c>
      <c r="K281" s="5"/>
      <c r="L281" s="5"/>
      <c r="M281" s="5">
        <f t="shared" si="155"/>
        <v>76</v>
      </c>
      <c r="N281" s="5">
        <v>9.6</v>
      </c>
      <c r="O281" s="10">
        <f t="shared" si="156"/>
        <v>8.4</v>
      </c>
      <c r="P281" s="7">
        <f>LOOKUP(O281,{0,6.6,6.8,7,7.2,7.4,7.6,7.8,8,8.2,8.4,8.6,8.8,9,9.2,9.4,9.6,9.9,10.2,10.3,10.4},{0,10,20,30,40,50,60,62,64,66,68,70,72,74,76,78,80,85,90,95,100})</f>
        <v>68</v>
      </c>
      <c r="Q281" s="5">
        <v>5.1</v>
      </c>
      <c r="R281" s="10">
        <f t="shared" si="157"/>
        <v>4.9</v>
      </c>
      <c r="S281" s="7">
        <f>LOOKUP(R281,{0,4.74,4.84,4.94,5.44,5.54,5.64,5.69,5.74,5.79,5.84,5.89,5.94,5.99,6.44,6.49,6.54,6.61,6.68,6.74,6.8},{0,10,20,30,40,50,60,62,64,66,68,70,72,74,76,78,80,85,90,95,100})</f>
        <v>20</v>
      </c>
      <c r="T281" s="5"/>
      <c r="U281" s="5"/>
      <c r="V281" s="5">
        <f t="shared" si="158"/>
        <v>20</v>
      </c>
      <c r="W281" s="5"/>
      <c r="X281" s="13">
        <f t="shared" si="159"/>
        <v>41</v>
      </c>
      <c r="Y281" s="13">
        <f t="shared" si="160"/>
        <v>58.5714285714286</v>
      </c>
      <c r="Z281" s="20"/>
    </row>
    <row r="282" ht="15.6" hidden="1" outlineLevel="2" spans="1:26">
      <c r="A282" s="5">
        <v>315</v>
      </c>
      <c r="B282" s="5">
        <v>37</v>
      </c>
      <c r="C282" s="9" t="s">
        <v>772</v>
      </c>
      <c r="D282" s="9" t="s">
        <v>46</v>
      </c>
      <c r="E282" s="5">
        <v>10.3</v>
      </c>
      <c r="F282" s="7">
        <f>LOOKUP(E282,{0,1.5,2.3,3.1,3.9,4.7,5.5,6.8,8.1,9.4,10.7,12,13.3,14.6,15.9,17.2,18.5,20.2,21.9,23.6,25.3},{0,10,20,30,40,50,60,62,64,66,68,70,72,74,76,78,80,85,90,95,100})</f>
        <v>66</v>
      </c>
      <c r="G282" s="5">
        <v>168</v>
      </c>
      <c r="H282" s="7">
        <f>LOOKUP(G282,{0,125,130,135,140,145,150,153,156,159,162,165,168,171,174,177,180,187,194,200,206},{0,10,20,30,40,50,60,62,64,66,68,70,72,74,76,78,80,85,90,95,100})</f>
        <v>72</v>
      </c>
      <c r="I282" s="5">
        <v>44</v>
      </c>
      <c r="J282" s="7">
        <f>LOOKUP(I282,{0,15,17,19,21,23,25,27,29,31,33,35,37,39,41,43,45,48,51,53,55},{0,10,20,30,40,50,60,62,64,66,68,70,72,74,76,78,80,85,90,95,100})</f>
        <v>78</v>
      </c>
      <c r="K282" s="5"/>
      <c r="L282" s="5"/>
      <c r="M282" s="5">
        <f t="shared" si="155"/>
        <v>78</v>
      </c>
      <c r="N282" s="5">
        <v>9.1</v>
      </c>
      <c r="O282" s="10">
        <f t="shared" si="156"/>
        <v>8.9</v>
      </c>
      <c r="P282" s="7">
        <f>LOOKUP(O282,{0,6.6,6.8,7,7.2,7.4,7.6,7.8,8,8.2,8.4,8.6,8.8,9,9.2,9.4,9.6,9.9,10.2,10.3,10.4},{0,10,20,30,40,50,60,62,64,66,68,70,72,74,76,78,80,85,90,95,100})</f>
        <v>72</v>
      </c>
      <c r="Q282" s="5">
        <v>5.25</v>
      </c>
      <c r="R282" s="10">
        <f t="shared" si="157"/>
        <v>4.75</v>
      </c>
      <c r="S282" s="7">
        <f>LOOKUP(R282,{0,4.74,4.84,4.94,5.44,5.54,5.64,5.69,5.74,5.79,5.84,5.89,5.94,5.99,6.44,6.49,6.54,6.61,6.68,6.74,6.8},{0,10,20,30,40,50,60,62,64,66,68,70,72,74,76,78,80,85,90,95,100})</f>
        <v>10</v>
      </c>
      <c r="T282" s="5"/>
      <c r="U282" s="5"/>
      <c r="V282" s="5">
        <f t="shared" si="158"/>
        <v>10</v>
      </c>
      <c r="W282" s="5"/>
      <c r="X282" s="13">
        <f t="shared" si="159"/>
        <v>38</v>
      </c>
      <c r="Y282" s="13">
        <f t="shared" si="160"/>
        <v>54.2857142857143</v>
      </c>
      <c r="Z282" s="19"/>
    </row>
    <row r="283" ht="15.6" hidden="1" outlineLevel="2" spans="1:26">
      <c r="A283" s="5">
        <v>315</v>
      </c>
      <c r="B283" s="5">
        <v>38</v>
      </c>
      <c r="C283" s="9" t="s">
        <v>773</v>
      </c>
      <c r="D283" s="9" t="s">
        <v>46</v>
      </c>
      <c r="E283" s="5">
        <v>6.1</v>
      </c>
      <c r="F283" s="7">
        <f>LOOKUP(E283,{0,1.5,2.3,3.1,3.9,4.7,5.5,6.8,8.1,9.4,10.7,12,13.3,14.6,15.9,17.2,18.5,20.2,21.9,23.6,25.3},{0,10,20,30,40,50,60,62,64,66,68,70,72,74,76,78,80,85,90,95,100})</f>
        <v>60</v>
      </c>
      <c r="G283" s="5">
        <v>220</v>
      </c>
      <c r="H283" s="7">
        <f>LOOKUP(G283,{0,125,130,135,140,145,150,153,156,159,162,165,168,171,174,177,180,187,194,200,206},{0,10,20,30,40,50,60,62,64,66,68,70,72,74,76,78,80,85,90,95,100})</f>
        <v>100</v>
      </c>
      <c r="I283" s="5">
        <v>50</v>
      </c>
      <c r="J283" s="7">
        <f>LOOKUP(I283,{0,15,17,19,21,23,25,27,29,31,33,35,37,39,41,43,45,48,51,53,55},{0,10,20,30,40,50,60,62,64,66,68,70,72,74,76,78,80,85,90,95,100})</f>
        <v>85</v>
      </c>
      <c r="K283" s="5"/>
      <c r="L283" s="5"/>
      <c r="M283" s="5">
        <f t="shared" si="155"/>
        <v>85</v>
      </c>
      <c r="N283" s="5">
        <v>8.2</v>
      </c>
      <c r="O283" s="10">
        <f t="shared" si="156"/>
        <v>9.8</v>
      </c>
      <c r="P283" s="7">
        <f>LOOKUP(O283,{0,6.6,6.8,7,7.2,7.4,7.6,7.8,8,8.2,8.4,8.6,8.8,9,9.2,9.4,9.6,9.9,10.2,10.3,10.4},{0,10,20,30,40,50,60,62,64,66,68,70,72,74,76,78,80,85,90,95,100})</f>
        <v>80</v>
      </c>
      <c r="Q283" s="5">
        <v>3.59</v>
      </c>
      <c r="R283" s="10">
        <f t="shared" si="157"/>
        <v>6.41</v>
      </c>
      <c r="S283" s="7">
        <f>LOOKUP(R283,{0,4.74,4.84,4.94,5.44,5.54,5.64,5.69,5.74,5.79,5.84,5.89,5.94,5.99,6.44,6.49,6.54,6.61,6.68,6.74,6.8},{0,10,20,30,40,50,60,62,64,66,68,70,72,74,76,78,80,85,90,95,100})</f>
        <v>74</v>
      </c>
      <c r="T283" s="5"/>
      <c r="U283" s="5"/>
      <c r="V283" s="5">
        <f t="shared" si="158"/>
        <v>74</v>
      </c>
      <c r="W283" s="5"/>
      <c r="X283" s="13">
        <f t="shared" si="159"/>
        <v>55.3</v>
      </c>
      <c r="Y283" s="13">
        <f t="shared" si="160"/>
        <v>79</v>
      </c>
      <c r="Z283" s="19"/>
    </row>
    <row r="284" ht="15.6" hidden="1" outlineLevel="2" spans="1:26">
      <c r="A284" s="5">
        <v>315</v>
      </c>
      <c r="B284" s="5">
        <v>39</v>
      </c>
      <c r="C284" s="9" t="s">
        <v>774</v>
      </c>
      <c r="D284" s="9" t="s">
        <v>46</v>
      </c>
      <c r="E284" s="5">
        <v>10.5</v>
      </c>
      <c r="F284" s="7">
        <f>LOOKUP(E284,{0,1.5,2.3,3.1,3.9,4.7,5.5,6.8,8.1,9.4,10.7,12,13.3,14.6,15.9,17.2,18.5,20.2,21.9,23.6,25.3},{0,10,20,30,40,50,60,62,64,66,68,70,72,74,76,78,80,85,90,95,100})</f>
        <v>66</v>
      </c>
      <c r="G284" s="5">
        <v>175</v>
      </c>
      <c r="H284" s="7">
        <f>LOOKUP(G284,{0,125,130,135,140,145,150,153,156,159,162,165,168,171,174,177,180,187,194,200,206},{0,10,20,30,40,50,60,62,64,66,68,70,72,74,76,78,80,85,90,95,100})</f>
        <v>76</v>
      </c>
      <c r="I284" s="5">
        <v>50</v>
      </c>
      <c r="J284" s="7">
        <f>LOOKUP(I284,{0,15,17,19,21,23,25,27,29,31,33,35,37,39,41,43,45,48,51,53,55},{0,10,20,30,40,50,60,62,64,66,68,70,72,74,76,78,80,85,90,95,100})</f>
        <v>85</v>
      </c>
      <c r="K284" s="5"/>
      <c r="L284" s="5"/>
      <c r="M284" s="5">
        <f t="shared" si="155"/>
        <v>85</v>
      </c>
      <c r="N284" s="5">
        <v>8.4</v>
      </c>
      <c r="O284" s="10">
        <f t="shared" si="156"/>
        <v>9.6</v>
      </c>
      <c r="P284" s="7">
        <f>LOOKUP(O284,{0,6.6,6.8,7,7.2,7.4,7.6,7.8,8,8.2,8.4,8.6,8.8,9,9.2,9.4,9.6,9.9,10.2,10.3,10.4},{0,10,20,30,40,50,60,62,64,66,68,70,72,74,76,78,80,85,90,95,100})</f>
        <v>80</v>
      </c>
      <c r="Q284" s="5">
        <v>4.25</v>
      </c>
      <c r="R284" s="10">
        <f t="shared" si="157"/>
        <v>5.75</v>
      </c>
      <c r="S284" s="7">
        <f>LOOKUP(R284,{0,4.74,4.84,4.94,5.44,5.54,5.64,5.69,5.74,5.79,5.84,5.89,5.94,5.99,6.44,6.49,6.54,6.61,6.68,6.74,6.8},{0,10,20,30,40,50,60,62,64,66,68,70,72,74,76,78,80,85,90,95,100})</f>
        <v>64</v>
      </c>
      <c r="T284" s="5"/>
      <c r="U284" s="5"/>
      <c r="V284" s="5">
        <f t="shared" si="158"/>
        <v>64</v>
      </c>
      <c r="W284" s="5"/>
      <c r="X284" s="13">
        <f t="shared" si="159"/>
        <v>51.5</v>
      </c>
      <c r="Y284" s="13">
        <f t="shared" si="160"/>
        <v>73.5714285714286</v>
      </c>
      <c r="Z284" s="19"/>
    </row>
    <row r="285" ht="15.6" hidden="1" outlineLevel="2" spans="1:26">
      <c r="A285" s="5">
        <v>315</v>
      </c>
      <c r="B285" s="5">
        <v>40</v>
      </c>
      <c r="C285" s="8" t="s">
        <v>776</v>
      </c>
      <c r="D285" s="9" t="s">
        <v>46</v>
      </c>
      <c r="E285" s="5">
        <v>27</v>
      </c>
      <c r="F285" s="7">
        <f>LOOKUP(E285,{0,1.5,2.3,3.1,3.9,4.7,5.5,6.8,8.1,9.4,10.7,12,13.3,14.6,15.9,17.2,18.5,20.2,21.9,23.6,25.3},{0,10,20,30,40,50,60,62,64,66,68,70,72,74,76,78,80,85,90,95,100})</f>
        <v>100</v>
      </c>
      <c r="G285" s="5">
        <v>160</v>
      </c>
      <c r="H285" s="7">
        <f>LOOKUP(G285,{0,125,130,135,140,145,150,153,156,159,162,165,168,171,174,177,180,187,194,200,206},{0,10,20,30,40,50,60,62,64,66,68,70,72,74,76,78,80,85,90,95,100})</f>
        <v>66</v>
      </c>
      <c r="I285" s="5">
        <v>58</v>
      </c>
      <c r="J285" s="7">
        <f>LOOKUP(I285,{0,15,17,19,21,23,25,27,29,31,33,35,37,39,41,43,45,48,51,53,55},{0,10,20,30,40,50,60,62,64,66,68,70,72,74,76,78,80,85,90,95,100})</f>
        <v>100</v>
      </c>
      <c r="K285" s="11">
        <f>I285-55</f>
        <v>3</v>
      </c>
      <c r="L285" s="7">
        <f>LOOKUP(K285,{0,2,4,6,7,8,9,10,11,12,13},{0,1,2,3,4,5,6,7,8,9,10})</f>
        <v>1</v>
      </c>
      <c r="M285" s="5">
        <f t="shared" si="155"/>
        <v>101</v>
      </c>
      <c r="N285" s="5">
        <v>9.6</v>
      </c>
      <c r="O285" s="10">
        <f t="shared" si="156"/>
        <v>8.4</v>
      </c>
      <c r="P285" s="7">
        <f>LOOKUP(O285,{0,6.6,6.8,7,7.2,7.4,7.6,7.8,8,8.2,8.4,8.6,8.8,9,9.2,9.4,9.6,9.9,10.2,10.3,10.4},{0,10,20,30,40,50,60,62,64,66,68,70,72,74,76,78,80,85,90,95,100})</f>
        <v>68</v>
      </c>
      <c r="Q285" s="5">
        <v>4.19</v>
      </c>
      <c r="R285" s="10">
        <f t="shared" si="157"/>
        <v>5.81</v>
      </c>
      <c r="S285" s="7">
        <f>LOOKUP(R285,{0,4.74,4.84,4.94,5.44,5.54,5.64,5.69,5.74,5.79,5.84,5.89,5.94,5.99,6.44,6.49,6.54,6.61,6.68,6.74,6.8},{0,10,20,30,40,50,60,62,64,66,68,70,72,74,76,78,80,85,90,95,100})</f>
        <v>66</v>
      </c>
      <c r="T285" s="5"/>
      <c r="U285" s="5"/>
      <c r="V285" s="5">
        <f t="shared" si="158"/>
        <v>66</v>
      </c>
      <c r="W285" s="5"/>
      <c r="X285" s="13">
        <f t="shared" si="159"/>
        <v>53.4</v>
      </c>
      <c r="Y285" s="13">
        <f t="shared" si="160"/>
        <v>77.2857142857143</v>
      </c>
      <c r="Z285" s="19"/>
    </row>
    <row r="286" ht="15.6" hidden="1" outlineLevel="2" spans="1:26">
      <c r="A286" s="5">
        <v>315</v>
      </c>
      <c r="B286" s="5">
        <v>41</v>
      </c>
      <c r="C286" s="9" t="s">
        <v>777</v>
      </c>
      <c r="D286" s="9" t="s">
        <v>46</v>
      </c>
      <c r="E286" s="5">
        <v>12</v>
      </c>
      <c r="F286" s="7">
        <f>LOOKUP(E286,{0,1.5,2.3,3.1,3.9,4.7,5.5,6.8,8.1,9.4,10.7,12,13.3,14.6,15.9,17.2,18.5,20.2,21.9,23.6,25.3},{0,10,20,30,40,50,60,62,64,66,68,70,72,74,76,78,80,85,90,95,100})</f>
        <v>70</v>
      </c>
      <c r="G286" s="5">
        <v>178</v>
      </c>
      <c r="H286" s="7">
        <f>LOOKUP(G286,{0,125,130,135,140,145,150,153,156,159,162,165,168,171,174,177,180,187,194,200,206},{0,10,20,30,40,50,60,62,64,66,68,70,72,74,76,78,80,85,90,95,100})</f>
        <v>78</v>
      </c>
      <c r="I286" s="5">
        <v>22</v>
      </c>
      <c r="J286" s="7">
        <f>LOOKUP(I286,{0,15,17,19,21,23,25,27,29,31,33,35,37,39,41,43,45,48,51,53,55},{0,10,20,30,40,50,60,62,64,66,68,70,72,74,76,78,80,85,90,95,100})</f>
        <v>40</v>
      </c>
      <c r="K286" s="5"/>
      <c r="L286" s="5"/>
      <c r="M286" s="5">
        <f t="shared" si="155"/>
        <v>40</v>
      </c>
      <c r="N286" s="5">
        <v>9.8</v>
      </c>
      <c r="O286" s="10">
        <f t="shared" si="156"/>
        <v>8.2</v>
      </c>
      <c r="P286" s="7">
        <f>LOOKUP(O286,{0,6.6,6.8,7,7.2,7.4,7.6,7.8,8,8.2,8.4,8.6,8.8,9,9.2,9.4,9.6,9.9,10.2,10.3,10.4},{0,10,20,30,40,50,60,62,64,66,68,70,72,74,76,78,80,85,90,95,100})</f>
        <v>66</v>
      </c>
      <c r="Q286" s="5">
        <v>4.32</v>
      </c>
      <c r="R286" s="10">
        <f t="shared" si="157"/>
        <v>5.68</v>
      </c>
      <c r="S286" s="7">
        <f>LOOKUP(R286,{0,4.74,4.84,4.94,5.44,5.54,5.64,5.69,5.74,5.79,5.84,5.89,5.94,5.99,6.44,6.49,6.54,6.61,6.68,6.74,6.8},{0,10,20,30,40,50,60,62,64,66,68,70,72,74,76,78,80,85,90,95,100})</f>
        <v>60</v>
      </c>
      <c r="T286" s="5"/>
      <c r="U286" s="5"/>
      <c r="V286" s="5">
        <f t="shared" si="158"/>
        <v>60</v>
      </c>
      <c r="W286" s="5"/>
      <c r="X286" s="13">
        <f t="shared" si="159"/>
        <v>44</v>
      </c>
      <c r="Y286" s="13">
        <f t="shared" si="160"/>
        <v>62.8571428571429</v>
      </c>
      <c r="Z286" s="19"/>
    </row>
    <row r="287" ht="15.6" hidden="1" outlineLevel="2" spans="1:26">
      <c r="A287" s="5">
        <v>315</v>
      </c>
      <c r="B287" s="5">
        <v>42</v>
      </c>
      <c r="C287" s="9" t="s">
        <v>778</v>
      </c>
      <c r="D287" s="9" t="s">
        <v>46</v>
      </c>
      <c r="E287" s="5">
        <v>17.5</v>
      </c>
      <c r="F287" s="7">
        <f>LOOKUP(E287,{0,1.5,2.3,3.1,3.9,4.7,5.5,6.8,8.1,9.4,10.7,12,13.3,14.6,15.9,17.2,18.5,20.2,21.9,23.6,25.3},{0,10,20,30,40,50,60,62,64,66,68,70,72,74,76,78,80,85,90,95,100})</f>
        <v>78</v>
      </c>
      <c r="G287" s="5">
        <v>180</v>
      </c>
      <c r="H287" s="7">
        <f>LOOKUP(G287,{0,125,130,135,140,145,150,153,156,159,162,165,168,171,174,177,180,187,194,200,206},{0,10,20,30,40,50,60,62,64,66,68,70,72,74,76,78,80,85,90,95,100})</f>
        <v>80</v>
      </c>
      <c r="I287" s="5">
        <v>46</v>
      </c>
      <c r="J287" s="7">
        <f>LOOKUP(I287,{0,15,17,19,21,23,25,27,29,31,33,35,37,39,41,43,45,48,51,53,55},{0,10,20,30,40,50,60,62,64,66,68,70,72,74,76,78,80,85,90,95,100})</f>
        <v>80</v>
      </c>
      <c r="K287" s="5"/>
      <c r="L287" s="5"/>
      <c r="M287" s="5">
        <f t="shared" si="155"/>
        <v>80</v>
      </c>
      <c r="N287" s="5">
        <v>8.6</v>
      </c>
      <c r="O287" s="10">
        <f t="shared" si="156"/>
        <v>9.4</v>
      </c>
      <c r="P287" s="7">
        <f>LOOKUP(O287,{0,6.6,6.8,7,7.2,7.4,7.6,7.8,8,8.2,8.4,8.6,8.8,9,9.2,9.4,9.6,9.9,10.2,10.3,10.4},{0,10,20,30,40,50,60,62,64,66,68,70,72,74,76,78,80,85,90,95,100})</f>
        <v>78</v>
      </c>
      <c r="Q287" s="5">
        <v>4.03</v>
      </c>
      <c r="R287" s="10">
        <f t="shared" si="157"/>
        <v>5.97</v>
      </c>
      <c r="S287" s="7">
        <f>LOOKUP(R287,{0,4.74,4.84,4.94,5.44,5.54,5.64,5.69,5.74,5.79,5.84,5.89,5.94,5.99,6.44,6.49,6.54,6.61,6.68,6.74,6.8},{0,10,20,30,40,50,60,62,64,66,68,70,72,74,76,78,80,85,90,95,100})</f>
        <v>72</v>
      </c>
      <c r="T287" s="5"/>
      <c r="U287" s="5"/>
      <c r="V287" s="5">
        <f t="shared" si="158"/>
        <v>72</v>
      </c>
      <c r="W287" s="5"/>
      <c r="X287" s="13">
        <f t="shared" si="159"/>
        <v>53.8</v>
      </c>
      <c r="Y287" s="13">
        <f t="shared" si="160"/>
        <v>76.8571428571429</v>
      </c>
      <c r="Z287" s="19"/>
    </row>
    <row r="288" ht="15.6" hidden="1" outlineLevel="2" spans="1:26">
      <c r="A288" s="5">
        <v>315</v>
      </c>
      <c r="B288" s="5">
        <v>43</v>
      </c>
      <c r="C288" s="9" t="s">
        <v>779</v>
      </c>
      <c r="D288" s="9" t="s">
        <v>46</v>
      </c>
      <c r="E288" s="5">
        <v>9</v>
      </c>
      <c r="F288" s="7">
        <f>LOOKUP(E288,{0,1.5,2.3,3.1,3.9,4.7,5.5,6.8,8.1,9.4,10.7,12,13.3,14.6,15.9,17.2,18.5,20.2,21.9,23.6,25.3},{0,10,20,30,40,50,60,62,64,66,68,70,72,74,76,78,80,85,90,95,100})</f>
        <v>64</v>
      </c>
      <c r="G288" s="5">
        <v>147</v>
      </c>
      <c r="H288" s="7">
        <f>LOOKUP(G288,{0,125,130,135,140,145,150,153,156,159,162,165,168,171,174,177,180,187,194,200,206},{0,10,20,30,40,50,60,62,64,66,68,70,72,74,76,78,80,85,90,95,100})</f>
        <v>50</v>
      </c>
      <c r="I288" s="5">
        <v>39</v>
      </c>
      <c r="J288" s="7">
        <f>LOOKUP(I288,{0,15,17,19,21,23,25,27,29,31,33,35,37,39,41,43,45,48,51,53,55},{0,10,20,30,40,50,60,62,64,66,68,70,72,74,76,78,80,85,90,95,100})</f>
        <v>74</v>
      </c>
      <c r="K288" s="5"/>
      <c r="L288" s="5"/>
      <c r="M288" s="5">
        <f t="shared" si="155"/>
        <v>74</v>
      </c>
      <c r="N288" s="5">
        <v>10.6</v>
      </c>
      <c r="O288" s="10">
        <f t="shared" si="156"/>
        <v>7.4</v>
      </c>
      <c r="P288" s="7">
        <f>LOOKUP(O288,{0,6.6,6.8,7,7.2,7.4,7.6,7.8,8,8.2,8.4,8.6,8.8,9,9.2,9.4,9.6,9.9,10.2,10.3,10.4},{0,10,20,30,40,50,60,62,64,66,68,70,72,74,76,78,80,85,90,95,100})</f>
        <v>50</v>
      </c>
      <c r="Q288" s="5" t="s">
        <v>77</v>
      </c>
      <c r="R288" s="5"/>
      <c r="S288" s="5"/>
      <c r="T288" s="5"/>
      <c r="U288" s="5"/>
      <c r="V288" s="5"/>
      <c r="W288" s="14">
        <v>50</v>
      </c>
      <c r="X288" s="13">
        <f t="shared" si="159"/>
        <v>28.8</v>
      </c>
      <c r="Y288" s="13">
        <v>50</v>
      </c>
      <c r="Z288" s="19"/>
    </row>
    <row r="289" ht="15.6" hidden="1" outlineLevel="2" spans="1:26">
      <c r="A289" s="5">
        <v>315</v>
      </c>
      <c r="B289" s="5">
        <v>44</v>
      </c>
      <c r="C289" s="9" t="s">
        <v>780</v>
      </c>
      <c r="D289" s="9" t="s">
        <v>46</v>
      </c>
      <c r="E289" s="5">
        <v>18.5</v>
      </c>
      <c r="F289" s="7">
        <f>LOOKUP(E289,{0,1.5,2.3,3.1,3.9,4.7,5.5,6.8,8.1,9.4,10.7,12,13.3,14.6,15.9,17.2,18.5,20.2,21.9,23.6,25.3},{0,10,20,30,40,50,60,62,64,66,68,70,72,74,76,78,80,85,90,95,100})</f>
        <v>80</v>
      </c>
      <c r="G289" s="5">
        <v>178</v>
      </c>
      <c r="H289" s="7">
        <f>LOOKUP(G289,{0,125,130,135,140,145,150,153,156,159,162,165,168,171,174,177,180,187,194,200,206},{0,10,20,30,40,50,60,62,64,66,68,70,72,74,76,78,80,85,90,95,100})</f>
        <v>78</v>
      </c>
      <c r="I289" s="5">
        <v>48</v>
      </c>
      <c r="J289" s="7">
        <f>LOOKUP(I289,{0,15,17,19,21,23,25,27,29,31,33,35,37,39,41,43,45,48,51,53,55},{0,10,20,30,40,50,60,62,64,66,68,70,72,74,76,78,80,85,90,95,100})</f>
        <v>85</v>
      </c>
      <c r="K289" s="5"/>
      <c r="L289" s="5"/>
      <c r="M289" s="5">
        <f t="shared" si="155"/>
        <v>85</v>
      </c>
      <c r="N289" s="5">
        <v>8.2</v>
      </c>
      <c r="O289" s="10">
        <f t="shared" si="156"/>
        <v>9.8</v>
      </c>
      <c r="P289" s="7">
        <f>LOOKUP(O289,{0,6.6,6.8,7,7.2,7.4,7.6,7.8,8,8.2,8.4,8.6,8.8,9,9.2,9.4,9.6,9.9,10.2,10.3,10.4},{0,10,20,30,40,50,60,62,64,66,68,70,72,74,76,78,80,85,90,95,100})</f>
        <v>80</v>
      </c>
      <c r="Q289" s="5">
        <v>4.3</v>
      </c>
      <c r="R289" s="10">
        <f t="shared" ref="R289:R297" si="161">10-Q289</f>
        <v>5.7</v>
      </c>
      <c r="S289" s="7">
        <f>LOOKUP(R289,{0,4.74,4.84,4.94,5.44,5.54,5.64,5.69,5.74,5.79,5.84,5.89,5.94,5.99,6.44,6.49,6.54,6.61,6.68,6.74,6.8},{0,10,20,30,40,50,60,62,64,66,68,70,72,74,76,78,80,85,90,95,100})</f>
        <v>62</v>
      </c>
      <c r="T289" s="5"/>
      <c r="U289" s="5"/>
      <c r="V289" s="5">
        <f t="shared" ref="V289:V297" si="162">S289+U289</f>
        <v>62</v>
      </c>
      <c r="W289" s="5"/>
      <c r="X289" s="13">
        <f t="shared" si="159"/>
        <v>52.7</v>
      </c>
      <c r="Y289" s="13">
        <f t="shared" ref="Y289:Y297" si="163">X289/0.7+L289+U289</f>
        <v>75.2857142857143</v>
      </c>
      <c r="Z289" s="19"/>
    </row>
    <row r="290" ht="15.6" hidden="1" outlineLevel="2" spans="1:26">
      <c r="A290" s="5">
        <v>315</v>
      </c>
      <c r="B290" s="5">
        <v>45</v>
      </c>
      <c r="C290" s="9" t="s">
        <v>781</v>
      </c>
      <c r="D290" s="9" t="s">
        <v>46</v>
      </c>
      <c r="E290" s="5">
        <v>8.5</v>
      </c>
      <c r="F290" s="7">
        <f>LOOKUP(E290,{0,1.5,2.3,3.1,3.9,4.7,5.5,6.8,8.1,9.4,10.7,12,13.3,14.6,15.9,17.2,18.5,20.2,21.9,23.6,25.3},{0,10,20,30,40,50,60,62,64,66,68,70,72,74,76,78,80,85,90,95,100})</f>
        <v>64</v>
      </c>
      <c r="G290" s="5">
        <v>180</v>
      </c>
      <c r="H290" s="7">
        <f>LOOKUP(G290,{0,125,130,135,140,145,150,153,156,159,162,165,168,171,174,177,180,187,194,200,206},{0,10,20,30,40,50,60,62,64,66,68,70,72,74,76,78,80,85,90,95,100})</f>
        <v>80</v>
      </c>
      <c r="I290" s="5">
        <v>51</v>
      </c>
      <c r="J290" s="7">
        <f>LOOKUP(I290,{0,15,17,19,21,23,25,27,29,31,33,35,37,39,41,43,45,48,51,53,55},{0,10,20,30,40,50,60,62,64,66,68,70,72,74,76,78,80,85,90,95,100})</f>
        <v>90</v>
      </c>
      <c r="K290" s="5"/>
      <c r="L290" s="16"/>
      <c r="M290" s="5">
        <f t="shared" si="155"/>
        <v>90</v>
      </c>
      <c r="N290" s="5">
        <v>8.7</v>
      </c>
      <c r="O290" s="10">
        <f t="shared" si="156"/>
        <v>9.3</v>
      </c>
      <c r="P290" s="7">
        <f>LOOKUP(O290,{0,6.6,6.8,7,7.2,7.4,7.6,7.8,8,8.2,8.4,8.6,8.8,9,9.2,9.4,9.6,9.9,10.2,10.3,10.4},{0,10,20,30,40,50,60,62,64,66,68,70,72,74,76,78,80,85,90,95,100})</f>
        <v>76</v>
      </c>
      <c r="Q290" s="5">
        <v>4.14</v>
      </c>
      <c r="R290" s="10">
        <f t="shared" si="161"/>
        <v>5.86</v>
      </c>
      <c r="S290" s="7">
        <f>LOOKUP(R290,{0,4.74,4.84,4.94,5.44,5.54,5.64,5.69,5.74,5.79,5.84,5.89,5.94,5.99,6.44,6.49,6.54,6.61,6.68,6.74,6.8},{0,10,20,30,40,50,60,62,64,66,68,70,72,74,76,78,80,85,90,95,100})</f>
        <v>68</v>
      </c>
      <c r="T290" s="5"/>
      <c r="U290" s="5"/>
      <c r="V290" s="5">
        <f t="shared" si="162"/>
        <v>68</v>
      </c>
      <c r="W290" s="5"/>
      <c r="X290" s="13">
        <f t="shared" si="159"/>
        <v>52.2</v>
      </c>
      <c r="Y290" s="13">
        <f t="shared" si="163"/>
        <v>74.5714285714286</v>
      </c>
      <c r="Z290" s="19"/>
    </row>
    <row r="291" ht="15.6" hidden="1" outlineLevel="2" spans="1:26">
      <c r="A291" s="5">
        <v>315</v>
      </c>
      <c r="B291" s="5">
        <v>46</v>
      </c>
      <c r="C291" s="9" t="s">
        <v>782</v>
      </c>
      <c r="D291" s="9" t="s">
        <v>46</v>
      </c>
      <c r="E291" s="5">
        <v>23.5</v>
      </c>
      <c r="F291" s="7">
        <f>LOOKUP(E291,{0,1.5,2.3,3.1,3.9,4.7,5.5,6.8,8.1,9.4,10.7,12,13.3,14.6,15.9,17.2,18.5,20.2,21.9,23.6,25.3},{0,10,20,30,40,50,60,62,64,66,68,70,72,74,76,78,80,85,90,95,100})</f>
        <v>90</v>
      </c>
      <c r="G291" s="5">
        <v>170</v>
      </c>
      <c r="H291" s="7">
        <f>LOOKUP(G291,{0,125,130,135,140,145,150,153,156,159,162,165,168,171,174,177,180,187,194,200,206},{0,10,20,30,40,50,60,62,64,66,68,70,72,74,76,78,80,85,90,95,100})</f>
        <v>72</v>
      </c>
      <c r="I291" s="5">
        <v>35</v>
      </c>
      <c r="J291" s="7">
        <f>LOOKUP(I291,{0,15,17,19,21,23,25,27,29,31,33,35,37,39,41,43,45,48,51,53,55},{0,10,20,30,40,50,60,62,64,66,68,70,72,74,76,78,80,85,90,95,100})</f>
        <v>70</v>
      </c>
      <c r="K291" s="5"/>
      <c r="L291" s="5"/>
      <c r="M291" s="5">
        <f t="shared" si="155"/>
        <v>70</v>
      </c>
      <c r="N291" s="5">
        <v>8.7</v>
      </c>
      <c r="O291" s="10">
        <f t="shared" si="156"/>
        <v>9.3</v>
      </c>
      <c r="P291" s="7">
        <f>LOOKUP(O291,{0,6.6,6.8,7,7.2,7.4,7.6,7.8,8,8.2,8.4,8.6,8.8,9,9.2,9.4,9.6,9.9,10.2,10.3,10.4},{0,10,20,30,40,50,60,62,64,66,68,70,72,74,76,78,80,85,90,95,100})</f>
        <v>76</v>
      </c>
      <c r="Q291" s="5">
        <v>4.18</v>
      </c>
      <c r="R291" s="10">
        <f t="shared" si="161"/>
        <v>5.82</v>
      </c>
      <c r="S291" s="7">
        <f>LOOKUP(R291,{0,4.74,4.84,4.94,5.44,5.54,5.64,5.69,5.74,5.79,5.84,5.89,5.94,5.99,6.44,6.49,6.54,6.61,6.68,6.74,6.8},{0,10,20,30,40,50,60,62,64,66,68,70,72,74,76,78,80,85,90,95,100})</f>
        <v>66</v>
      </c>
      <c r="T291" s="5"/>
      <c r="U291" s="5"/>
      <c r="V291" s="5">
        <f t="shared" si="162"/>
        <v>66</v>
      </c>
      <c r="W291" s="5"/>
      <c r="X291" s="13">
        <f t="shared" si="159"/>
        <v>51.6</v>
      </c>
      <c r="Y291" s="13">
        <f t="shared" si="163"/>
        <v>73.7142857142857</v>
      </c>
      <c r="Z291" s="19"/>
    </row>
    <row r="292" ht="15.6" hidden="1" outlineLevel="2" spans="1:26">
      <c r="A292" s="5">
        <v>315</v>
      </c>
      <c r="B292" s="5">
        <v>47</v>
      </c>
      <c r="C292" s="9" t="s">
        <v>783</v>
      </c>
      <c r="D292" s="9" t="s">
        <v>46</v>
      </c>
      <c r="E292" s="5">
        <v>7</v>
      </c>
      <c r="F292" s="7">
        <f>LOOKUP(E292,{0,1.5,2.3,3.1,3.9,4.7,5.5,6.8,8.1,9.4,10.7,12,13.3,14.6,15.9,17.2,18.5,20.2,21.9,23.6,25.3},{0,10,20,30,40,50,60,62,64,66,68,70,72,74,76,78,80,85,90,95,100})</f>
        <v>62</v>
      </c>
      <c r="G292" s="5">
        <v>178</v>
      </c>
      <c r="H292" s="7">
        <f>LOOKUP(G292,{0,125,130,135,140,145,150,153,156,159,162,165,168,171,174,177,180,187,194,200,206},{0,10,20,30,40,50,60,62,64,66,68,70,72,74,76,78,80,85,90,95,100})</f>
        <v>78</v>
      </c>
      <c r="I292" s="5">
        <v>50</v>
      </c>
      <c r="J292" s="7">
        <f>LOOKUP(I292,{0,15,17,19,21,23,25,27,29,31,33,35,37,39,41,43,45,48,51,53,55},{0,10,20,30,40,50,60,62,64,66,68,70,72,74,76,78,80,85,90,95,100})</f>
        <v>85</v>
      </c>
      <c r="K292" s="5"/>
      <c r="L292" s="5"/>
      <c r="M292" s="5">
        <f t="shared" si="155"/>
        <v>85</v>
      </c>
      <c r="N292" s="5">
        <v>9.2</v>
      </c>
      <c r="O292" s="10">
        <f t="shared" si="156"/>
        <v>8.8</v>
      </c>
      <c r="P292" s="7">
        <f>LOOKUP(O292,{0,6.6,6.8,7,7.2,7.4,7.6,7.8,8,8.2,8.4,8.6,8.8,9,9.2,9.4,9.6,9.9,10.2,10.3,10.4},{0,10,20,30,40,50,60,62,64,66,68,70,72,74,76,78,80,85,90,95,100})</f>
        <v>72</v>
      </c>
      <c r="Q292" s="5">
        <v>3.38</v>
      </c>
      <c r="R292" s="10">
        <f t="shared" si="161"/>
        <v>6.62</v>
      </c>
      <c r="S292" s="7">
        <f>LOOKUP(R292,{0,4.74,4.84,4.94,5.44,5.54,5.64,5.69,5.74,5.79,5.84,5.89,5.94,5.99,6.44,6.49,6.54,6.61,6.68,6.74,6.8},{0,10,20,30,40,50,60,62,64,66,68,70,72,74,76,78,80,85,90,95,100})</f>
        <v>85</v>
      </c>
      <c r="T292" s="5"/>
      <c r="U292" s="5"/>
      <c r="V292" s="5">
        <f t="shared" si="162"/>
        <v>85</v>
      </c>
      <c r="W292" s="5"/>
      <c r="X292" s="13">
        <f t="shared" si="159"/>
        <v>53.9</v>
      </c>
      <c r="Y292" s="13">
        <f t="shared" si="163"/>
        <v>77</v>
      </c>
      <c r="Z292" s="19"/>
    </row>
    <row r="293" ht="15.6" hidden="1" outlineLevel="2" spans="1:26">
      <c r="A293" s="5">
        <v>315</v>
      </c>
      <c r="B293" s="5">
        <v>48</v>
      </c>
      <c r="C293" s="9" t="s">
        <v>784</v>
      </c>
      <c r="D293" s="9" t="s">
        <v>46</v>
      </c>
      <c r="E293" s="5">
        <v>19</v>
      </c>
      <c r="F293" s="7">
        <f>LOOKUP(E293,{0,1.5,2.3,3.1,3.9,4.7,5.5,6.8,8.1,9.4,10.7,12,13.3,14.6,15.9,17.2,18.5,20.2,21.9,23.6,25.3},{0,10,20,30,40,50,60,62,64,66,68,70,72,74,76,78,80,85,90,95,100})</f>
        <v>80</v>
      </c>
      <c r="G293" s="5">
        <v>175</v>
      </c>
      <c r="H293" s="7">
        <f>LOOKUP(G293,{0,125,130,135,140,145,150,153,156,159,162,165,168,171,174,177,180,187,194,200,206},{0,10,20,30,40,50,60,62,64,66,68,70,72,74,76,78,80,85,90,95,100})</f>
        <v>76</v>
      </c>
      <c r="I293" s="5" t="s">
        <v>77</v>
      </c>
      <c r="J293" s="7"/>
      <c r="K293" s="5"/>
      <c r="L293" s="5"/>
      <c r="M293" s="5"/>
      <c r="N293" s="5">
        <v>9.4</v>
      </c>
      <c r="O293" s="10">
        <f t="shared" si="156"/>
        <v>8.6</v>
      </c>
      <c r="P293" s="7">
        <f>LOOKUP(O293,{0,6.6,6.8,7,7.2,7.4,7.6,7.8,8,8.2,8.4,8.6,8.8,9,9.2,9.4,9.6,9.9,10.2,10.3,10.4},{0,10,20,30,40,50,60,62,64,66,68,70,72,74,76,78,80,85,90,95,100})</f>
        <v>70</v>
      </c>
      <c r="Q293" s="5">
        <v>4.27</v>
      </c>
      <c r="R293" s="10">
        <f t="shared" si="161"/>
        <v>5.73</v>
      </c>
      <c r="S293" s="7">
        <f>LOOKUP(R293,{0,4.74,4.84,4.94,5.44,5.54,5.64,5.69,5.74,5.79,5.84,5.89,5.94,5.99,6.44,6.49,6.54,6.61,6.68,6.74,6.8},{0,10,20,30,40,50,60,62,64,66,68,70,72,74,76,78,80,85,90,95,100})</f>
        <v>62</v>
      </c>
      <c r="T293" s="5"/>
      <c r="U293" s="5"/>
      <c r="V293" s="5">
        <f t="shared" si="162"/>
        <v>62</v>
      </c>
      <c r="W293" s="5"/>
      <c r="X293" s="13">
        <f t="shared" si="159"/>
        <v>42</v>
      </c>
      <c r="Y293" s="13">
        <f t="shared" si="163"/>
        <v>60</v>
      </c>
      <c r="Z293" s="19"/>
    </row>
    <row r="294" ht="15.6" hidden="1" outlineLevel="2" spans="1:26">
      <c r="A294" s="5">
        <v>315</v>
      </c>
      <c r="B294" s="5">
        <v>49</v>
      </c>
      <c r="C294" s="9" t="s">
        <v>785</v>
      </c>
      <c r="D294" s="9" t="s">
        <v>46</v>
      </c>
      <c r="E294" s="5">
        <v>20.5</v>
      </c>
      <c r="F294" s="7">
        <f>LOOKUP(E294,{0,1.5,2.3,3.1,3.9,4.7,5.5,6.8,8.1,9.4,10.7,12,13.3,14.6,15.9,17.2,18.5,20.2,21.9,23.6,25.3},{0,10,20,30,40,50,60,62,64,66,68,70,72,74,76,78,80,85,90,95,100})</f>
        <v>85</v>
      </c>
      <c r="G294" s="5">
        <v>188</v>
      </c>
      <c r="H294" s="7">
        <f>LOOKUP(G294,{0,125,130,135,140,145,150,153,156,159,162,165,168,171,174,177,180,187,194,200,206},{0,10,20,30,40,50,60,62,64,66,68,70,72,74,76,78,80,85,90,95,100})</f>
        <v>85</v>
      </c>
      <c r="I294" s="5">
        <v>48</v>
      </c>
      <c r="J294" s="7">
        <f>LOOKUP(I294,{0,15,17,19,21,23,25,27,29,31,33,35,37,39,41,43,45,48,51,53,55},{0,10,20,30,40,50,60,62,64,66,68,70,72,74,76,78,80,85,90,95,100})</f>
        <v>85</v>
      </c>
      <c r="K294" s="5"/>
      <c r="L294" s="5"/>
      <c r="M294" s="5">
        <f>J294+L294</f>
        <v>85</v>
      </c>
      <c r="N294" s="5">
        <v>8.9</v>
      </c>
      <c r="O294" s="10">
        <f t="shared" si="156"/>
        <v>9.1</v>
      </c>
      <c r="P294" s="7">
        <f>LOOKUP(O294,{0,6.6,6.8,7,7.2,7.4,7.6,7.8,8,8.2,8.4,8.6,8.8,9,9.2,9.4,9.6,9.9,10.2,10.3,10.4},{0,10,20,30,40,50,60,62,64,66,68,70,72,74,76,78,80,85,90,95,100})</f>
        <v>74</v>
      </c>
      <c r="Q294" s="5">
        <v>4.26</v>
      </c>
      <c r="R294" s="10">
        <f t="shared" si="161"/>
        <v>5.74</v>
      </c>
      <c r="S294" s="7">
        <f>LOOKUP(R294,{0,4.74,4.84,4.94,5.44,5.54,5.64,5.69,5.74,5.79,5.84,5.89,5.94,5.99,6.44,6.49,6.54,6.61,6.68,6.74,6.8},{0,10,20,30,40,50,60,62,64,66,68,70,72,74,76,78,80,85,90,95,100})</f>
        <v>64</v>
      </c>
      <c r="T294" s="5"/>
      <c r="U294" s="5"/>
      <c r="V294" s="5">
        <f t="shared" si="162"/>
        <v>64</v>
      </c>
      <c r="W294" s="5"/>
      <c r="X294" s="13">
        <f t="shared" si="159"/>
        <v>53.1</v>
      </c>
      <c r="Y294" s="13">
        <f t="shared" si="163"/>
        <v>75.8571428571428</v>
      </c>
      <c r="Z294" s="19"/>
    </row>
    <row r="295" ht="15.6" hidden="1" outlineLevel="2" spans="1:26">
      <c r="A295" s="5">
        <v>315</v>
      </c>
      <c r="B295" s="5">
        <v>50</v>
      </c>
      <c r="C295" s="21" t="s">
        <v>786</v>
      </c>
      <c r="D295" s="21" t="s">
        <v>46</v>
      </c>
      <c r="E295" s="5">
        <v>8.5</v>
      </c>
      <c r="F295" s="7">
        <f>LOOKUP(E295,{0,1.5,2.3,3.1,3.9,4.7,5.5,6.8,8.1,9.4,10.7,12,13.3,14.6,15.9,17.2,18.5,20.2,21.9,23.6,25.3},{0,10,20,30,40,50,60,62,64,66,68,70,72,74,76,78,80,85,90,95,100})</f>
        <v>64</v>
      </c>
      <c r="G295" s="5">
        <v>175</v>
      </c>
      <c r="H295" s="7">
        <f>LOOKUP(G295,{0,125,130,135,140,145,150,153,156,159,162,165,168,171,174,177,180,187,194,200,206},{0,10,20,30,40,50,60,62,64,66,68,70,72,74,76,78,80,85,90,95,100})</f>
        <v>76</v>
      </c>
      <c r="I295" s="5">
        <v>39</v>
      </c>
      <c r="J295" s="7">
        <f>LOOKUP(I295,{0,15,17,19,21,23,25,27,29,31,33,35,37,39,41,43,45,48,51,53,55},{0,10,20,30,40,50,60,62,64,66,68,70,72,74,76,78,80,85,90,95,100})</f>
        <v>74</v>
      </c>
      <c r="K295" s="5"/>
      <c r="L295" s="5"/>
      <c r="M295" s="5">
        <f>J295+L295</f>
        <v>74</v>
      </c>
      <c r="N295" s="5">
        <v>8.7</v>
      </c>
      <c r="O295" s="10">
        <f t="shared" si="156"/>
        <v>9.3</v>
      </c>
      <c r="P295" s="7">
        <f>LOOKUP(O295,{0,6.6,6.8,7,7.2,7.4,7.6,7.8,8,8.2,8.4,8.6,8.8,9,9.2,9.4,9.6,9.9,10.2,10.3,10.4},{0,10,20,30,40,50,60,62,64,66,68,70,72,74,76,78,80,85,90,95,100})</f>
        <v>76</v>
      </c>
      <c r="Q295" s="5">
        <v>4.24</v>
      </c>
      <c r="R295" s="10">
        <f t="shared" si="161"/>
        <v>5.76</v>
      </c>
      <c r="S295" s="7">
        <f>LOOKUP(R295,{0,4.74,4.84,4.94,5.44,5.54,5.64,5.69,5.74,5.79,5.84,5.89,5.94,5.99,6.44,6.49,6.54,6.61,6.68,6.74,6.8},{0,10,20,30,40,50,60,62,64,66,68,70,72,74,76,78,80,85,90,95,100})</f>
        <v>64</v>
      </c>
      <c r="T295" s="5"/>
      <c r="U295" s="5"/>
      <c r="V295" s="5">
        <f t="shared" si="162"/>
        <v>64</v>
      </c>
      <c r="W295" s="5"/>
      <c r="X295" s="13">
        <f t="shared" si="159"/>
        <v>49.4</v>
      </c>
      <c r="Y295" s="13">
        <f t="shared" si="163"/>
        <v>70.5714285714286</v>
      </c>
      <c r="Z295" s="22"/>
    </row>
    <row r="296" ht="15.6" outlineLevel="1" collapsed="1" spans="1:26">
      <c r="A296" s="6" t="s">
        <v>866</v>
      </c>
      <c r="B296" s="5"/>
      <c r="C296" s="21"/>
      <c r="D296" s="21"/>
      <c r="E296" s="5"/>
      <c r="F296" s="7">
        <f>SUBTOTAL(1,F255:F295)</f>
        <v>76.4146341463415</v>
      </c>
      <c r="G296" s="5"/>
      <c r="H296" s="7">
        <f>SUBTOTAL(1,H255:H295)</f>
        <v>71.8780487804878</v>
      </c>
      <c r="I296" s="5"/>
      <c r="J296" s="7">
        <f>SUBTOTAL(1,J255:J295)</f>
        <v>77.2</v>
      </c>
      <c r="K296" s="5"/>
      <c r="L296" s="5"/>
      <c r="M296" s="5">
        <f>SUBTOTAL(1,M255:M295)</f>
        <v>77.425</v>
      </c>
      <c r="N296" s="5"/>
      <c r="O296" s="10"/>
      <c r="P296" s="7">
        <f>SUBTOTAL(1,P255:P295)</f>
        <v>68.8048780487805</v>
      </c>
      <c r="Q296" s="5"/>
      <c r="R296" s="10"/>
      <c r="S296" s="7">
        <f>SUBTOTAL(1,S255:S295)</f>
        <v>56.5</v>
      </c>
      <c r="T296" s="5"/>
      <c r="U296" s="5"/>
      <c r="V296" s="5">
        <f>SUBTOTAL(1,V255:V295)</f>
        <v>56.5</v>
      </c>
      <c r="W296" s="5"/>
      <c r="X296" s="13">
        <f>SUBTOTAL(1,X255:X295)</f>
        <v>47.1463414634146</v>
      </c>
      <c r="Y296" s="13">
        <f>SUBTOTAL(1,Y255:Y295)</f>
        <v>67.787456445993</v>
      </c>
      <c r="Z296" s="22"/>
    </row>
    <row r="297" ht="15.6" hidden="1" outlineLevel="2" spans="1:26">
      <c r="A297" s="5">
        <v>316</v>
      </c>
      <c r="B297" s="5">
        <v>13</v>
      </c>
      <c r="C297" s="8" t="s">
        <v>801</v>
      </c>
      <c r="D297" s="9" t="s">
        <v>46</v>
      </c>
      <c r="E297" s="5">
        <v>16</v>
      </c>
      <c r="F297" s="7">
        <f>LOOKUP(E297,{0,1.5,2.3,3.1,3.9,4.7,5.5,6.8,8.1,9.4,10.7,12,13.3,14.6,15.9,17.2,18.5,20.2,21.9,23.6,25.3},{0,10,20,30,40,50,60,62,64,66,68,70,72,74,76,78,80,85,90,95,100})</f>
        <v>76</v>
      </c>
      <c r="G297" s="5">
        <v>172</v>
      </c>
      <c r="H297" s="7">
        <f>LOOKUP(G297,{0,125,130,135,140,145,150,153,156,159,162,165,168,171,174,177,180,187,194,200,206},{0,10,20,30,40,50,60,62,64,66,68,70,72,74,76,78,80,85,90,95,100})</f>
        <v>74</v>
      </c>
      <c r="I297" s="5">
        <v>48</v>
      </c>
      <c r="J297" s="7">
        <f>LOOKUP(I297,{0,15,17,19,21,23,25,27,29,31,33,35,37,39,41,43,45,48,51,53,55},{0,10,20,30,40,50,60,62,64,66,68,70,72,74,76,78,80,85,90,95,100})</f>
        <v>85</v>
      </c>
      <c r="K297" s="5"/>
      <c r="L297" s="5"/>
      <c r="M297" s="5">
        <f>J297+L297</f>
        <v>85</v>
      </c>
      <c r="N297" s="5">
        <v>9.6</v>
      </c>
      <c r="O297" s="10">
        <f>18-N297</f>
        <v>8.4</v>
      </c>
      <c r="P297" s="7">
        <f>LOOKUP(O297,{0,6.6,6.8,7,7.2,7.4,7.6,7.8,8,8.2,8.4,8.6,8.8,9,9.2,9.4,9.6,9.9,10.2,10.3,10.4},{0,10,20,30,40,50,60,62,64,66,68,70,72,74,76,78,80,85,90,95,100})</f>
        <v>68</v>
      </c>
      <c r="Q297" s="5">
        <v>4.05</v>
      </c>
      <c r="R297" s="10">
        <f>10-Q297</f>
        <v>5.95</v>
      </c>
      <c r="S297" s="7">
        <f>LOOKUP(R297,{0,4.74,4.84,4.94,5.44,5.54,5.64,5.69,5.74,5.79,5.84,5.89,5.94,5.99,6.44,6.49,6.54,6.61,6.68,6.74,6.8},{0,10,20,30,40,50,60,62,64,66,68,70,72,74,76,78,80,85,90,95,100})</f>
        <v>72</v>
      </c>
      <c r="T297" s="5"/>
      <c r="U297" s="5"/>
      <c r="V297" s="5">
        <f>S297+U297</f>
        <v>72</v>
      </c>
      <c r="W297" s="5"/>
      <c r="X297" s="13">
        <f>F297*0.1+H297*0.1+J297*0.1+P297*0.2+S297*0.2</f>
        <v>51.5</v>
      </c>
      <c r="Y297" s="13">
        <f>X297/0.7+L297+U297</f>
        <v>73.5714285714286</v>
      </c>
      <c r="Z297" s="19"/>
    </row>
    <row r="298" ht="15.6" hidden="1" outlineLevel="2" spans="1:26">
      <c r="A298" s="5">
        <v>316</v>
      </c>
      <c r="B298" s="5">
        <v>14</v>
      </c>
      <c r="C298" s="9" t="s">
        <v>802</v>
      </c>
      <c r="D298" s="9" t="s">
        <v>46</v>
      </c>
      <c r="E298" s="5">
        <v>13</v>
      </c>
      <c r="F298" s="7">
        <f>LOOKUP(E298,{0,1.5,2.3,3.1,3.9,4.7,5.5,6.8,8.1,9.4,10.7,12,13.3,14.6,15.9,17.2,18.5,20.2,21.9,23.6,25.3},{0,10,20,30,40,50,60,62,64,66,68,70,72,74,76,78,80,85,90,95,100})</f>
        <v>70</v>
      </c>
      <c r="G298" s="5">
        <v>200</v>
      </c>
      <c r="H298" s="7">
        <f>LOOKUP(G298,{0,125,130,135,140,145,150,153,156,159,162,165,168,171,174,177,180,187,194,200,206},{0,10,20,30,40,50,60,62,64,66,68,70,72,74,76,78,80,85,90,95,100})</f>
        <v>95</v>
      </c>
      <c r="I298" s="5">
        <v>43</v>
      </c>
      <c r="J298" s="7">
        <f>LOOKUP(I298,{0,15,17,19,21,23,25,27,29,31,33,35,37,39,41,43,45,48,51,53,55},{0,10,20,30,40,50,60,62,64,66,68,70,72,74,76,78,80,85,90,95,100})</f>
        <v>78</v>
      </c>
      <c r="K298" s="5"/>
      <c r="L298" s="5"/>
      <c r="M298" s="5">
        <f>J298+L298</f>
        <v>78</v>
      </c>
      <c r="N298" s="5">
        <v>7.9</v>
      </c>
      <c r="O298" s="10">
        <f>18-N298</f>
        <v>10.1</v>
      </c>
      <c r="P298" s="7">
        <f>LOOKUP(O298,{0,6.6,6.8,7,7.2,7.4,7.6,7.8,8,8.2,8.4,8.6,8.8,9,9.2,9.4,9.6,9.9,10.2,10.3,10.4},{0,10,20,30,40,50,60,62,64,66,68,70,72,74,76,78,80,85,90,95,100})</f>
        <v>85</v>
      </c>
      <c r="Q298" s="5">
        <v>4.06</v>
      </c>
      <c r="R298" s="10">
        <f>10-Q298</f>
        <v>5.94</v>
      </c>
      <c r="S298" s="7">
        <f>LOOKUP(R298,{0,4.74,4.84,4.94,5.44,5.54,5.64,5.69,5.74,5.79,5.84,5.89,5.94,5.99,6.44,6.49,6.54,6.61,6.68,6.74,6.8},{0,10,20,30,40,50,60,62,64,66,68,70,72,74,76,78,80,85,90,95,100})</f>
        <v>72</v>
      </c>
      <c r="T298" s="5"/>
      <c r="U298" s="5"/>
      <c r="V298" s="5">
        <f>S298+U298</f>
        <v>72</v>
      </c>
      <c r="W298" s="5"/>
      <c r="X298" s="13">
        <f>F298*0.1+H298*0.1+J298*0.1+P298*0.2+S298*0.2</f>
        <v>55.7</v>
      </c>
      <c r="Y298" s="13">
        <f>X298/0.7+L298+U298</f>
        <v>79.5714285714286</v>
      </c>
      <c r="Z298" s="19"/>
    </row>
    <row r="299" hidden="1" outlineLevel="2" spans="1:26">
      <c r="A299" s="5">
        <v>316</v>
      </c>
      <c r="B299" s="5">
        <v>15</v>
      </c>
      <c r="C299" s="9" t="s">
        <v>803</v>
      </c>
      <c r="D299" s="9" t="s">
        <v>46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>
        <v>50</v>
      </c>
      <c r="X299" s="13"/>
      <c r="Y299" s="13">
        <v>50</v>
      </c>
      <c r="Z299" s="19"/>
    </row>
    <row r="300" ht="15.6" hidden="1" outlineLevel="2" spans="1:26">
      <c r="A300" s="5">
        <v>316</v>
      </c>
      <c r="B300" s="5">
        <v>16</v>
      </c>
      <c r="C300" s="9" t="s">
        <v>804</v>
      </c>
      <c r="D300" s="9" t="s">
        <v>46</v>
      </c>
      <c r="E300" s="5">
        <v>19</v>
      </c>
      <c r="F300" s="7">
        <f>LOOKUP(E300,{0,1.5,2.3,3.1,3.9,4.7,5.5,6.8,8.1,9.4,10.7,12,13.3,14.6,15.9,17.2,18.5,20.2,21.9,23.6,25.3},{0,10,20,30,40,50,60,62,64,66,68,70,72,74,76,78,80,85,90,95,100})</f>
        <v>80</v>
      </c>
      <c r="G300" s="5">
        <v>175</v>
      </c>
      <c r="H300" s="7">
        <f>LOOKUP(G300,{0,125,130,135,140,145,150,153,156,159,162,165,168,171,174,177,180,187,194,200,206},{0,10,20,30,40,50,60,62,64,66,68,70,72,74,76,78,80,85,90,95,100})</f>
        <v>76</v>
      </c>
      <c r="I300" s="5">
        <v>46</v>
      </c>
      <c r="J300" s="7">
        <f>LOOKUP(I300,{0,15,17,19,21,23,25,27,29,31,33,35,37,39,41,43,45,48,51,53,55},{0,10,20,30,40,50,60,62,64,66,68,70,72,74,76,78,80,85,90,95,100})</f>
        <v>80</v>
      </c>
      <c r="K300" s="5"/>
      <c r="L300" s="5"/>
      <c r="M300" s="5">
        <f t="shared" ref="M300:M312" si="164">J300+L300</f>
        <v>80</v>
      </c>
      <c r="N300" s="5">
        <v>8.2</v>
      </c>
      <c r="O300" s="10">
        <f t="shared" ref="O300:O312" si="165">18-N300</f>
        <v>9.8</v>
      </c>
      <c r="P300" s="7">
        <f>LOOKUP(O300,{0,6.6,6.8,7,7.2,7.4,7.6,7.8,8,8.2,8.4,8.6,8.8,9,9.2,9.4,9.6,9.9,10.2,10.3,10.4},{0,10,20,30,40,50,60,62,64,66,68,70,72,74,76,78,80,85,90,95,100})</f>
        <v>80</v>
      </c>
      <c r="Q300" s="5">
        <v>3.24</v>
      </c>
      <c r="R300" s="10">
        <f t="shared" ref="R300:R312" si="166">10-Q300</f>
        <v>6.76</v>
      </c>
      <c r="S300" s="7">
        <f>LOOKUP(R300,{0,4.74,4.84,4.94,5.44,5.54,5.64,5.69,5.74,5.79,5.84,5.89,5.94,5.99,6.44,6.49,6.54,6.61,6.68,6.74,6.8},{0,10,20,30,40,50,60,62,64,66,68,70,72,74,76,78,80,85,90,95,100})</f>
        <v>95</v>
      </c>
      <c r="T300" s="5"/>
      <c r="U300" s="5"/>
      <c r="V300" s="5">
        <f t="shared" ref="V300:V312" si="167">S300+U300</f>
        <v>95</v>
      </c>
      <c r="W300" s="5"/>
      <c r="X300" s="13">
        <f t="shared" ref="X300:X312" si="168">F300*0.1+H300*0.1+J300*0.1+P300*0.2+S300*0.2</f>
        <v>58.6</v>
      </c>
      <c r="Y300" s="13">
        <f t="shared" ref="Y300:Y312" si="169">X300/0.7+L300+U300</f>
        <v>83.7142857142857</v>
      </c>
      <c r="Z300" s="19"/>
    </row>
    <row r="301" ht="15.6" hidden="1" outlineLevel="2" spans="1:26">
      <c r="A301" s="5">
        <v>316</v>
      </c>
      <c r="B301" s="5">
        <v>17</v>
      </c>
      <c r="C301" s="9" t="s">
        <v>805</v>
      </c>
      <c r="D301" s="9" t="s">
        <v>46</v>
      </c>
      <c r="E301" s="5">
        <v>6</v>
      </c>
      <c r="F301" s="7">
        <f>LOOKUP(E301,{0,1.5,2.3,3.1,3.9,4.7,5.5,6.8,8.1,9.4,10.7,12,13.3,14.6,15.9,17.2,18.5,20.2,21.9,23.6,25.3},{0,10,20,30,40,50,60,62,64,66,68,70,72,74,76,78,80,85,90,95,100})</f>
        <v>60</v>
      </c>
      <c r="G301" s="5">
        <v>185</v>
      </c>
      <c r="H301" s="7">
        <f>LOOKUP(G301,{0,125,130,135,140,145,150,153,156,159,162,165,168,171,174,177,180,187,194,200,206},{0,10,20,30,40,50,60,62,64,66,68,70,72,74,76,78,80,85,90,95,100})</f>
        <v>80</v>
      </c>
      <c r="I301" s="5">
        <v>45</v>
      </c>
      <c r="J301" s="7">
        <f>LOOKUP(I301,{0,15,17,19,21,23,25,27,29,31,33,35,37,39,41,43,45,48,51,53,55},{0,10,20,30,40,50,60,62,64,66,68,70,72,74,76,78,80,85,90,95,100})</f>
        <v>80</v>
      </c>
      <c r="K301" s="5"/>
      <c r="L301" s="5"/>
      <c r="M301" s="5">
        <f t="shared" si="164"/>
        <v>80</v>
      </c>
      <c r="N301" s="5">
        <v>8.7</v>
      </c>
      <c r="O301" s="10">
        <f t="shared" si="165"/>
        <v>9.3</v>
      </c>
      <c r="P301" s="7">
        <f>LOOKUP(O301,{0,6.6,6.8,7,7.2,7.4,7.6,7.8,8,8.2,8.4,8.6,8.8,9,9.2,9.4,9.6,9.9,10.2,10.3,10.4},{0,10,20,30,40,50,60,62,64,66,68,70,72,74,76,78,80,85,90,95,100})</f>
        <v>76</v>
      </c>
      <c r="Q301" s="5">
        <v>4.04</v>
      </c>
      <c r="R301" s="10">
        <f t="shared" si="166"/>
        <v>5.96</v>
      </c>
      <c r="S301" s="7">
        <f>LOOKUP(R301,{0,4.74,4.84,4.94,5.44,5.54,5.64,5.69,5.74,5.79,5.84,5.89,5.94,5.99,6.44,6.49,6.54,6.61,6.68,6.74,6.8},{0,10,20,30,40,50,60,62,64,66,68,70,72,74,76,78,80,85,90,95,100})</f>
        <v>72</v>
      </c>
      <c r="T301" s="5"/>
      <c r="U301" s="5"/>
      <c r="V301" s="5">
        <f t="shared" si="167"/>
        <v>72</v>
      </c>
      <c r="W301" s="5"/>
      <c r="X301" s="13">
        <f t="shared" si="168"/>
        <v>51.6</v>
      </c>
      <c r="Y301" s="13">
        <f t="shared" si="169"/>
        <v>73.7142857142857</v>
      </c>
      <c r="Z301" s="19"/>
    </row>
    <row r="302" ht="15.6" hidden="1" outlineLevel="2" spans="1:26">
      <c r="A302" s="5">
        <v>316</v>
      </c>
      <c r="B302" s="5">
        <v>18</v>
      </c>
      <c r="C302" s="9" t="s">
        <v>806</v>
      </c>
      <c r="D302" s="9" t="s">
        <v>46</v>
      </c>
      <c r="E302" s="5">
        <v>11</v>
      </c>
      <c r="F302" s="7">
        <f>LOOKUP(E302,{0,1.5,2.3,3.1,3.9,4.7,5.5,6.8,8.1,9.4,10.7,12,13.3,14.6,15.9,17.2,18.5,20.2,21.9,23.6,25.3},{0,10,20,30,40,50,60,62,64,66,68,70,72,74,76,78,80,85,90,95,100})</f>
        <v>68</v>
      </c>
      <c r="G302" s="5">
        <v>125</v>
      </c>
      <c r="H302" s="7">
        <f>LOOKUP(G302,{0,125,130,135,140,145,150,153,156,159,162,165,168,171,174,177,180,187,194,200,206},{0,10,20,30,40,50,60,62,64,66,68,70,72,74,76,78,80,85,90,95,100})</f>
        <v>10</v>
      </c>
      <c r="I302" s="5">
        <v>40</v>
      </c>
      <c r="J302" s="7">
        <f>LOOKUP(I302,{0,15,17,19,21,23,25,27,29,31,33,35,37,39,41,43,45,48,51,53,55},{0,10,20,30,40,50,60,62,64,66,68,70,72,74,76,78,80,85,90,95,100})</f>
        <v>74</v>
      </c>
      <c r="K302" s="5"/>
      <c r="L302" s="5"/>
      <c r="M302" s="5">
        <f t="shared" si="164"/>
        <v>74</v>
      </c>
      <c r="N302" s="5">
        <v>10</v>
      </c>
      <c r="O302" s="10">
        <f t="shared" si="165"/>
        <v>8</v>
      </c>
      <c r="P302" s="7">
        <f>LOOKUP(O302,{0,6.6,6.8,7,7.2,7.4,7.6,7.8,8,8.2,8.4,8.6,8.8,9,9.2,9.4,9.6,9.9,10.2,10.3,10.4},{0,10,20,30,40,50,60,62,64,66,68,70,72,74,76,78,80,85,90,95,100})</f>
        <v>64</v>
      </c>
      <c r="Q302" s="5">
        <v>5.3</v>
      </c>
      <c r="R302" s="10">
        <f t="shared" si="166"/>
        <v>4.7</v>
      </c>
      <c r="S302" s="7">
        <f>LOOKUP(R302,{0,4.74,4.84,4.94,5.44,5.54,5.64,5.69,5.74,5.79,5.84,5.89,5.94,5.99,6.44,6.49,6.54,6.61,6.68,6.74,6.8},{0,10,20,30,40,50,60,62,64,66,68,70,72,74,76,78,80,85,90,95,100})</f>
        <v>0</v>
      </c>
      <c r="T302" s="5"/>
      <c r="U302" s="5"/>
      <c r="V302" s="5">
        <f t="shared" si="167"/>
        <v>0</v>
      </c>
      <c r="W302" s="5"/>
      <c r="X302" s="13">
        <f t="shared" si="168"/>
        <v>28</v>
      </c>
      <c r="Y302" s="13">
        <f t="shared" si="169"/>
        <v>40</v>
      </c>
      <c r="Z302" s="19"/>
    </row>
    <row r="303" ht="15.6" hidden="1" outlineLevel="2" spans="1:26">
      <c r="A303" s="5">
        <v>316</v>
      </c>
      <c r="B303" s="5">
        <v>19</v>
      </c>
      <c r="C303" s="9" t="s">
        <v>807</v>
      </c>
      <c r="D303" s="9" t="s">
        <v>46</v>
      </c>
      <c r="E303" s="5">
        <v>18.5</v>
      </c>
      <c r="F303" s="7">
        <f>LOOKUP(E303,{0,1.5,2.3,3.1,3.9,4.7,5.5,6.8,8.1,9.4,10.7,12,13.3,14.6,15.9,17.2,18.5,20.2,21.9,23.6,25.3},{0,10,20,30,40,50,60,62,64,66,68,70,72,74,76,78,80,85,90,95,100})</f>
        <v>80</v>
      </c>
      <c r="G303" s="5">
        <v>163</v>
      </c>
      <c r="H303" s="7">
        <f>LOOKUP(G303,{0,125,130,135,140,145,150,153,156,159,162,165,168,171,174,177,180,187,194,200,206},{0,10,20,30,40,50,60,62,64,66,68,70,72,74,76,78,80,85,90,95,100})</f>
        <v>68</v>
      </c>
      <c r="I303" s="5">
        <v>40</v>
      </c>
      <c r="J303" s="7">
        <f>LOOKUP(I303,{0,15,17,19,21,23,25,27,29,31,33,35,37,39,41,43,45,48,51,53,55},{0,10,20,30,40,50,60,62,64,66,68,70,72,74,76,78,80,85,90,95,100})</f>
        <v>74</v>
      </c>
      <c r="K303" s="5"/>
      <c r="L303" s="5"/>
      <c r="M303" s="5">
        <f t="shared" si="164"/>
        <v>74</v>
      </c>
      <c r="N303" s="5">
        <v>9.1</v>
      </c>
      <c r="O303" s="10">
        <f t="shared" si="165"/>
        <v>8.9</v>
      </c>
      <c r="P303" s="7">
        <f>LOOKUP(O303,{0,6.6,6.8,7,7.2,7.4,7.6,7.8,8,8.2,8.4,8.6,8.8,9,9.2,9.4,9.6,9.9,10.2,10.3,10.4},{0,10,20,30,40,50,60,62,64,66,68,70,72,74,76,78,80,85,90,95,100})</f>
        <v>72</v>
      </c>
      <c r="Q303" s="5">
        <v>4.16</v>
      </c>
      <c r="R303" s="10">
        <f t="shared" si="166"/>
        <v>5.84</v>
      </c>
      <c r="S303" s="7">
        <f>LOOKUP(R303,{0,4.74,4.84,4.94,5.44,5.54,5.64,5.69,5.74,5.79,5.84,5.89,5.94,5.99,6.44,6.49,6.54,6.61,6.68,6.74,6.8},{0,10,20,30,40,50,60,62,64,66,68,70,72,74,76,78,80,85,90,95,100})</f>
        <v>68</v>
      </c>
      <c r="T303" s="5"/>
      <c r="U303" s="5"/>
      <c r="V303" s="5">
        <f t="shared" si="167"/>
        <v>68</v>
      </c>
      <c r="W303" s="5"/>
      <c r="X303" s="13">
        <f t="shared" si="168"/>
        <v>50.2</v>
      </c>
      <c r="Y303" s="13">
        <f t="shared" si="169"/>
        <v>71.7142857142857</v>
      </c>
      <c r="Z303" s="19"/>
    </row>
    <row r="304" ht="15.6" hidden="1" outlineLevel="2" spans="1:26">
      <c r="A304" s="5">
        <v>316</v>
      </c>
      <c r="B304" s="5">
        <v>20</v>
      </c>
      <c r="C304" s="9" t="s">
        <v>808</v>
      </c>
      <c r="D304" s="9" t="s">
        <v>46</v>
      </c>
      <c r="E304" s="5">
        <v>26</v>
      </c>
      <c r="F304" s="7">
        <f>LOOKUP(E304,{0,1.5,2.3,3.1,3.9,4.7,5.5,6.8,8.1,9.4,10.7,12,13.3,14.6,15.9,17.2,18.5,20.2,21.9,23.6,25.3},{0,10,20,30,40,50,60,62,64,66,68,70,72,74,76,78,80,85,90,95,100})</f>
        <v>100</v>
      </c>
      <c r="G304" s="5">
        <v>211</v>
      </c>
      <c r="H304" s="7">
        <f>LOOKUP(G304,{0,125,130,135,140,145,150,153,156,159,162,165,168,171,174,177,180,187,194,200,206},{0,10,20,30,40,50,60,62,64,66,68,70,72,74,76,78,80,85,90,95,100})</f>
        <v>100</v>
      </c>
      <c r="I304" s="5">
        <v>42</v>
      </c>
      <c r="J304" s="7">
        <f>LOOKUP(I304,{0,15,17,19,21,23,25,27,29,31,33,35,37,39,41,43,45,48,51,53,55},{0,10,20,30,40,50,60,62,64,66,68,70,72,74,76,78,80,85,90,95,100})</f>
        <v>76</v>
      </c>
      <c r="K304" s="5"/>
      <c r="L304" s="5"/>
      <c r="M304" s="5">
        <f t="shared" si="164"/>
        <v>76</v>
      </c>
      <c r="N304" s="5">
        <v>8</v>
      </c>
      <c r="O304" s="10">
        <f t="shared" si="165"/>
        <v>10</v>
      </c>
      <c r="P304" s="7">
        <f>LOOKUP(O304,{0,6.6,6.8,7,7.2,7.4,7.6,7.8,8,8.2,8.4,8.6,8.8,9,9.2,9.4,9.6,9.9,10.2,10.3,10.4},{0,10,20,30,40,50,60,62,64,66,68,70,72,74,76,78,80,85,90,95,100})</f>
        <v>85</v>
      </c>
      <c r="Q304" s="5">
        <v>3.39</v>
      </c>
      <c r="R304" s="10">
        <f t="shared" si="166"/>
        <v>6.61</v>
      </c>
      <c r="S304" s="7">
        <f>LOOKUP(R304,{0,4.74,4.84,4.94,5.44,5.54,5.64,5.69,5.74,5.79,5.84,5.89,5.94,5.99,6.44,6.49,6.54,6.61,6.68,6.74,6.8},{0,10,20,30,40,50,60,62,64,66,68,70,72,74,76,78,80,85,90,95,100})</f>
        <v>85</v>
      </c>
      <c r="T304" s="5"/>
      <c r="U304" s="5"/>
      <c r="V304" s="5">
        <f t="shared" si="167"/>
        <v>85</v>
      </c>
      <c r="W304" s="5"/>
      <c r="X304" s="13">
        <f t="shared" si="168"/>
        <v>61.6</v>
      </c>
      <c r="Y304" s="13">
        <f t="shared" si="169"/>
        <v>88</v>
      </c>
      <c r="Z304" s="19"/>
    </row>
    <row r="305" ht="15.6" hidden="1" outlineLevel="2" spans="1:26">
      <c r="A305" s="5">
        <v>316</v>
      </c>
      <c r="B305" s="5">
        <v>21</v>
      </c>
      <c r="C305" s="9" t="s">
        <v>809</v>
      </c>
      <c r="D305" s="9" t="s">
        <v>46</v>
      </c>
      <c r="E305" s="5">
        <v>27.5</v>
      </c>
      <c r="F305" s="7">
        <f>LOOKUP(E305,{0,1.5,2.3,3.1,3.9,4.7,5.5,6.8,8.1,9.4,10.7,12,13.3,14.6,15.9,17.2,18.5,20.2,21.9,23.6,25.3},{0,10,20,30,40,50,60,62,64,66,68,70,72,74,76,78,80,85,90,95,100})</f>
        <v>100</v>
      </c>
      <c r="G305" s="5">
        <v>155</v>
      </c>
      <c r="H305" s="7">
        <f>LOOKUP(G305,{0,125,130,135,140,145,150,153,156,159,162,165,168,171,174,177,180,187,194,200,206},{0,10,20,30,40,50,60,62,64,66,68,70,72,74,76,78,80,85,90,95,100})</f>
        <v>62</v>
      </c>
      <c r="I305" s="5">
        <v>30</v>
      </c>
      <c r="J305" s="7">
        <f>LOOKUP(I305,{0,15,17,19,21,23,25,27,29,31,33,35,37,39,41,43,45,48,51,53,55},{0,10,20,30,40,50,60,62,64,66,68,70,72,74,76,78,80,85,90,95,100})</f>
        <v>64</v>
      </c>
      <c r="K305" s="5"/>
      <c r="L305" s="5"/>
      <c r="M305" s="5">
        <f t="shared" si="164"/>
        <v>64</v>
      </c>
      <c r="N305" s="5">
        <v>9.9</v>
      </c>
      <c r="O305" s="10">
        <f t="shared" si="165"/>
        <v>8.1</v>
      </c>
      <c r="P305" s="7">
        <f>LOOKUP(O305,{0,6.6,6.8,7,7.2,7.4,7.6,7.8,8,8.2,8.4,8.6,8.8,9,9.2,9.4,9.6,9.9,10.2,10.3,10.4},{0,10,20,30,40,50,60,62,64,66,68,70,72,74,76,78,80,85,90,95,100})</f>
        <v>64</v>
      </c>
      <c r="Q305" s="5">
        <v>4.14</v>
      </c>
      <c r="R305" s="10">
        <f t="shared" si="166"/>
        <v>5.86</v>
      </c>
      <c r="S305" s="7">
        <f>LOOKUP(R305,{0,4.74,4.84,4.94,5.44,5.54,5.64,5.69,5.74,5.79,5.84,5.89,5.94,5.99,6.44,6.49,6.54,6.61,6.68,6.74,6.8},{0,10,20,30,40,50,60,62,64,66,68,70,72,74,76,78,80,85,90,95,100})</f>
        <v>68</v>
      </c>
      <c r="T305" s="5"/>
      <c r="U305" s="5"/>
      <c r="V305" s="5">
        <f t="shared" si="167"/>
        <v>68</v>
      </c>
      <c r="W305" s="5"/>
      <c r="X305" s="13">
        <f t="shared" si="168"/>
        <v>49</v>
      </c>
      <c r="Y305" s="13">
        <f t="shared" si="169"/>
        <v>70</v>
      </c>
      <c r="Z305" s="19"/>
    </row>
    <row r="306" ht="15.6" hidden="1" outlineLevel="2" spans="1:26">
      <c r="A306" s="5">
        <v>316</v>
      </c>
      <c r="B306" s="5">
        <v>22</v>
      </c>
      <c r="C306" s="9" t="s">
        <v>810</v>
      </c>
      <c r="D306" s="9" t="s">
        <v>46</v>
      </c>
      <c r="E306" s="5">
        <v>14</v>
      </c>
      <c r="F306" s="7">
        <f>LOOKUP(E306,{0,1.5,2.3,3.1,3.9,4.7,5.5,6.8,8.1,9.4,10.7,12,13.3,14.6,15.9,17.2,18.5,20.2,21.9,23.6,25.3},{0,10,20,30,40,50,60,62,64,66,68,70,72,74,76,78,80,85,90,95,100})</f>
        <v>72</v>
      </c>
      <c r="G306" s="5">
        <v>194</v>
      </c>
      <c r="H306" s="7">
        <f>LOOKUP(G306,{0,125,130,135,140,145,150,153,156,159,162,165,168,171,174,177,180,187,194,200,206},{0,10,20,30,40,50,60,62,64,66,68,70,72,74,76,78,80,85,90,95,100})</f>
        <v>90</v>
      </c>
      <c r="I306" s="5">
        <v>36</v>
      </c>
      <c r="J306" s="7">
        <f>LOOKUP(I306,{0,15,17,19,21,23,25,27,29,31,33,35,37,39,41,43,45,48,51,53,55},{0,10,20,30,40,50,60,62,64,66,68,70,72,74,76,78,80,85,90,95,100})</f>
        <v>70</v>
      </c>
      <c r="K306" s="5"/>
      <c r="L306" s="5"/>
      <c r="M306" s="5">
        <f t="shared" si="164"/>
        <v>70</v>
      </c>
      <c r="N306" s="5">
        <v>8.8</v>
      </c>
      <c r="O306" s="10">
        <f t="shared" si="165"/>
        <v>9.2</v>
      </c>
      <c r="P306" s="7">
        <f>LOOKUP(O306,{0,6.6,6.8,7,7.2,7.4,7.6,7.8,8,8.2,8.4,8.6,8.8,9,9.2,9.4,9.6,9.9,10.2,10.3,10.4},{0,10,20,30,40,50,60,62,64,66,68,70,72,74,76,78,80,85,90,95,100})</f>
        <v>76</v>
      </c>
      <c r="Q306" s="5">
        <v>4.5</v>
      </c>
      <c r="R306" s="10">
        <f t="shared" si="166"/>
        <v>5.5</v>
      </c>
      <c r="S306" s="7">
        <f>LOOKUP(R306,{0,4.74,4.84,4.94,5.44,5.54,5.64,5.69,5.74,5.79,5.84,5.89,5.94,5.99,6.44,6.49,6.54,6.61,6.68,6.74,6.8},{0,10,20,30,40,50,60,62,64,66,68,70,72,74,76,78,80,85,90,95,100})</f>
        <v>40</v>
      </c>
      <c r="T306" s="5"/>
      <c r="U306" s="5"/>
      <c r="V306" s="5">
        <f t="shared" si="167"/>
        <v>40</v>
      </c>
      <c r="W306" s="5"/>
      <c r="X306" s="13">
        <f t="shared" si="168"/>
        <v>46.4</v>
      </c>
      <c r="Y306" s="13">
        <f t="shared" si="169"/>
        <v>66.2857142857143</v>
      </c>
      <c r="Z306" s="19"/>
    </row>
    <row r="307" ht="15.6" hidden="1" outlineLevel="2" spans="1:26">
      <c r="A307" s="5">
        <v>316</v>
      </c>
      <c r="B307" s="5">
        <v>23</v>
      </c>
      <c r="C307" s="8" t="s">
        <v>812</v>
      </c>
      <c r="D307" s="9" t="s">
        <v>46</v>
      </c>
      <c r="E307" s="5">
        <v>15.4</v>
      </c>
      <c r="F307" s="7">
        <f>LOOKUP(E307,{0,1.5,2.3,3.1,3.9,4.7,5.5,6.8,8.1,9.4,10.7,12,13.3,14.6,15.9,17.2,18.5,20.2,21.9,23.6,25.3},{0,10,20,30,40,50,60,62,64,66,68,70,72,74,76,78,80,85,90,95,100})</f>
        <v>74</v>
      </c>
      <c r="G307" s="5">
        <v>183</v>
      </c>
      <c r="H307" s="7">
        <f>LOOKUP(G307,{0,125,130,135,140,145,150,153,156,159,162,165,168,171,174,177,180,187,194,200,206},{0,10,20,30,40,50,60,62,64,66,68,70,72,74,76,78,80,85,90,95,100})</f>
        <v>80</v>
      </c>
      <c r="I307" s="5">
        <v>44</v>
      </c>
      <c r="J307" s="7">
        <f>LOOKUP(I307,{0,15,17,19,21,23,25,27,29,31,33,35,37,39,41,43,45,48,51,53,55},{0,10,20,30,40,50,60,62,64,66,68,70,72,74,76,78,80,85,90,95,100})</f>
        <v>78</v>
      </c>
      <c r="K307" s="5"/>
      <c r="L307" s="5"/>
      <c r="M307" s="5">
        <f t="shared" si="164"/>
        <v>78</v>
      </c>
      <c r="N307" s="5">
        <v>8.3</v>
      </c>
      <c r="O307" s="10">
        <f t="shared" si="165"/>
        <v>9.7</v>
      </c>
      <c r="P307" s="7">
        <f>LOOKUP(O307,{0,6.6,6.8,7,7.2,7.4,7.6,7.8,8,8.2,8.4,8.6,8.8,9,9.2,9.4,9.6,9.9,10.2,10.3,10.4},{0,10,20,30,40,50,60,62,64,66,68,70,72,74,76,78,80,85,90,95,100})</f>
        <v>80</v>
      </c>
      <c r="Q307" s="5">
        <v>3.44</v>
      </c>
      <c r="R307" s="10">
        <f t="shared" si="166"/>
        <v>6.56</v>
      </c>
      <c r="S307" s="7">
        <f>LOOKUP(R307,{0,4.74,4.84,4.94,5.44,5.54,5.64,5.69,5.74,5.79,5.84,5.89,5.94,5.99,6.44,6.49,6.54,6.61,6.68,6.74,6.8},{0,10,20,30,40,50,60,62,64,66,68,70,72,74,76,78,80,85,90,95,100})</f>
        <v>80</v>
      </c>
      <c r="T307" s="5"/>
      <c r="U307" s="5"/>
      <c r="V307" s="5">
        <f t="shared" si="167"/>
        <v>80</v>
      </c>
      <c r="W307" s="5"/>
      <c r="X307" s="13">
        <f t="shared" si="168"/>
        <v>55.2</v>
      </c>
      <c r="Y307" s="13">
        <f t="shared" si="169"/>
        <v>78.8571428571429</v>
      </c>
      <c r="Z307" s="19"/>
    </row>
    <row r="308" ht="15.6" hidden="1" outlineLevel="2" spans="1:26">
      <c r="A308" s="5">
        <v>316</v>
      </c>
      <c r="B308" s="5">
        <v>24</v>
      </c>
      <c r="C308" s="9" t="s">
        <v>813</v>
      </c>
      <c r="D308" s="9" t="s">
        <v>46</v>
      </c>
      <c r="E308" s="5">
        <v>11.5</v>
      </c>
      <c r="F308" s="7">
        <f>LOOKUP(E308,{0,1.5,2.3,3.1,3.9,4.7,5.5,6.8,8.1,9.4,10.7,12,13.3,14.6,15.9,17.2,18.5,20.2,21.9,23.6,25.3},{0,10,20,30,40,50,60,62,64,66,68,70,72,74,76,78,80,85,90,95,100})</f>
        <v>68</v>
      </c>
      <c r="G308" s="5">
        <v>175</v>
      </c>
      <c r="H308" s="7">
        <f>LOOKUP(G308,{0,125,130,135,140,145,150,153,156,159,162,165,168,171,174,177,180,187,194,200,206},{0,10,20,30,40,50,60,62,64,66,68,70,72,74,76,78,80,85,90,95,100})</f>
        <v>76</v>
      </c>
      <c r="I308" s="5">
        <v>41</v>
      </c>
      <c r="J308" s="7">
        <f>LOOKUP(I308,{0,15,17,19,21,23,25,27,29,31,33,35,37,39,41,43,45,48,51,53,55},{0,10,20,30,40,50,60,62,64,66,68,70,72,74,76,78,80,85,90,95,100})</f>
        <v>76</v>
      </c>
      <c r="K308" s="5"/>
      <c r="L308" s="5"/>
      <c r="M308" s="5">
        <f t="shared" si="164"/>
        <v>76</v>
      </c>
      <c r="N308" s="5">
        <v>9</v>
      </c>
      <c r="O308" s="10">
        <f t="shared" si="165"/>
        <v>9</v>
      </c>
      <c r="P308" s="7">
        <f>LOOKUP(O308,{0,6.6,6.8,7,7.2,7.4,7.6,7.8,8,8.2,8.4,8.6,8.8,9,9.2,9.4,9.6,9.9,10.2,10.3,10.4},{0,10,20,30,40,50,60,62,64,66,68,70,72,74,76,78,80,85,90,95,100})</f>
        <v>74</v>
      </c>
      <c r="Q308" s="5">
        <v>4.19</v>
      </c>
      <c r="R308" s="10">
        <f t="shared" si="166"/>
        <v>5.81</v>
      </c>
      <c r="S308" s="7">
        <f>LOOKUP(R308,{0,4.74,4.84,4.94,5.44,5.54,5.64,5.69,5.74,5.79,5.84,5.89,5.94,5.99,6.44,6.49,6.54,6.61,6.68,6.74,6.8},{0,10,20,30,40,50,60,62,64,66,68,70,72,74,76,78,80,85,90,95,100})</f>
        <v>66</v>
      </c>
      <c r="T308" s="5"/>
      <c r="U308" s="5"/>
      <c r="V308" s="5">
        <f t="shared" si="167"/>
        <v>66</v>
      </c>
      <c r="W308" s="5"/>
      <c r="X308" s="13">
        <f t="shared" si="168"/>
        <v>50</v>
      </c>
      <c r="Y308" s="13">
        <f t="shared" si="169"/>
        <v>71.4285714285714</v>
      </c>
      <c r="Z308" s="20"/>
    </row>
    <row r="309" ht="15.6" hidden="1" outlineLevel="2" spans="1:26">
      <c r="A309" s="5">
        <v>316</v>
      </c>
      <c r="B309" s="5">
        <v>25</v>
      </c>
      <c r="C309" s="9" t="s">
        <v>814</v>
      </c>
      <c r="D309" s="9" t="s">
        <v>46</v>
      </c>
      <c r="E309" s="5">
        <v>21.6</v>
      </c>
      <c r="F309" s="7">
        <f>LOOKUP(E309,{0,1.5,2.3,3.1,3.9,4.7,5.5,6.8,8.1,9.4,10.7,12,13.3,14.6,15.9,17.2,18.5,20.2,21.9,23.6,25.3},{0,10,20,30,40,50,60,62,64,66,68,70,72,74,76,78,80,85,90,95,100})</f>
        <v>85</v>
      </c>
      <c r="G309" s="5">
        <v>175</v>
      </c>
      <c r="H309" s="7">
        <f>LOOKUP(G309,{0,125,130,135,140,145,150,153,156,159,162,165,168,171,174,177,180,187,194,200,206},{0,10,20,30,40,50,60,62,64,66,68,70,72,74,76,78,80,85,90,95,100})</f>
        <v>76</v>
      </c>
      <c r="I309" s="5">
        <v>46</v>
      </c>
      <c r="J309" s="7">
        <f>LOOKUP(I309,{0,15,17,19,21,23,25,27,29,31,33,35,37,39,41,43,45,48,51,53,55},{0,10,20,30,40,50,60,62,64,66,68,70,72,74,76,78,80,85,90,95,100})</f>
        <v>80</v>
      </c>
      <c r="K309" s="5"/>
      <c r="L309" s="5"/>
      <c r="M309" s="5">
        <f t="shared" si="164"/>
        <v>80</v>
      </c>
      <c r="N309" s="5">
        <v>9</v>
      </c>
      <c r="O309" s="10">
        <f t="shared" si="165"/>
        <v>9</v>
      </c>
      <c r="P309" s="7">
        <f>LOOKUP(O309,{0,6.6,6.8,7,7.2,7.4,7.6,7.8,8,8.2,8.4,8.6,8.8,9,9.2,9.4,9.6,9.9,10.2,10.3,10.4},{0,10,20,30,40,50,60,62,64,66,68,70,72,74,76,78,80,85,90,95,100})</f>
        <v>74</v>
      </c>
      <c r="Q309" s="5">
        <v>4.36</v>
      </c>
      <c r="R309" s="10">
        <f t="shared" si="166"/>
        <v>5.64</v>
      </c>
      <c r="S309" s="7">
        <f>LOOKUP(R309,{0,4.74,4.84,4.94,5.44,5.54,5.64,5.69,5.74,5.79,5.84,5.89,5.94,5.99,6.44,6.49,6.54,6.61,6.68,6.74,6.8},{0,10,20,30,40,50,60,62,64,66,68,70,72,74,76,78,80,85,90,95,100})</f>
        <v>60</v>
      </c>
      <c r="T309" s="5"/>
      <c r="U309" s="5"/>
      <c r="V309" s="5">
        <f t="shared" si="167"/>
        <v>60</v>
      </c>
      <c r="W309" s="5"/>
      <c r="X309" s="13">
        <f t="shared" si="168"/>
        <v>50.9</v>
      </c>
      <c r="Y309" s="13">
        <f t="shared" si="169"/>
        <v>72.7142857142857</v>
      </c>
      <c r="Z309" s="19"/>
    </row>
    <row r="310" ht="15.6" hidden="1" outlineLevel="2" spans="1:26">
      <c r="A310" s="5">
        <v>316</v>
      </c>
      <c r="B310" s="5">
        <v>26</v>
      </c>
      <c r="C310" s="9" t="s">
        <v>815</v>
      </c>
      <c r="D310" s="9" t="s">
        <v>46</v>
      </c>
      <c r="E310" s="5">
        <v>14</v>
      </c>
      <c r="F310" s="7">
        <f>LOOKUP(E310,{0,1.5,2.3,3.1,3.9,4.7,5.5,6.8,8.1,9.4,10.7,12,13.3,14.6,15.9,17.2,18.5,20.2,21.9,23.6,25.3},{0,10,20,30,40,50,60,62,64,66,68,70,72,74,76,78,80,85,90,95,100})</f>
        <v>72</v>
      </c>
      <c r="G310" s="5">
        <v>184</v>
      </c>
      <c r="H310" s="7">
        <f>LOOKUP(G310,{0,125,130,135,140,145,150,153,156,159,162,165,168,171,174,177,180,187,194,200,206},{0,10,20,30,40,50,60,62,64,66,68,70,72,74,76,78,80,85,90,95,100})</f>
        <v>80</v>
      </c>
      <c r="I310" s="5">
        <v>45</v>
      </c>
      <c r="J310" s="7">
        <f>LOOKUP(I310,{0,15,17,19,21,23,25,27,29,31,33,35,37,39,41,43,45,48,51,53,55},{0,10,20,30,40,50,60,62,64,66,68,70,72,74,76,78,80,85,90,95,100})</f>
        <v>80</v>
      </c>
      <c r="K310" s="5"/>
      <c r="L310" s="5"/>
      <c r="M310" s="5">
        <f t="shared" si="164"/>
        <v>80</v>
      </c>
      <c r="N310" s="5">
        <v>9.1</v>
      </c>
      <c r="O310" s="10">
        <f t="shared" si="165"/>
        <v>8.9</v>
      </c>
      <c r="P310" s="7">
        <f>LOOKUP(O310,{0,6.6,6.8,7,7.2,7.4,7.6,7.8,8,8.2,8.4,8.6,8.8,9,9.2,9.4,9.6,9.9,10.2,10.3,10.4},{0,10,20,30,40,50,60,62,64,66,68,70,72,74,76,78,80,85,90,95,100})</f>
        <v>72</v>
      </c>
      <c r="Q310" s="5">
        <v>4.08</v>
      </c>
      <c r="R310" s="10">
        <f t="shared" si="166"/>
        <v>5.92</v>
      </c>
      <c r="S310" s="7">
        <f>LOOKUP(R310,{0,4.74,4.84,4.94,5.44,5.54,5.64,5.69,5.74,5.79,5.84,5.89,5.94,5.99,6.44,6.49,6.54,6.61,6.68,6.74,6.8},{0,10,20,30,40,50,60,62,64,66,68,70,72,74,76,78,80,85,90,95,100})</f>
        <v>70</v>
      </c>
      <c r="T310" s="5"/>
      <c r="U310" s="5"/>
      <c r="V310" s="5">
        <f t="shared" si="167"/>
        <v>70</v>
      </c>
      <c r="W310" s="5"/>
      <c r="X310" s="13">
        <f t="shared" si="168"/>
        <v>51.6</v>
      </c>
      <c r="Y310" s="13">
        <f t="shared" si="169"/>
        <v>73.7142857142857</v>
      </c>
      <c r="Z310" s="19"/>
    </row>
    <row r="311" ht="15.6" hidden="1" outlineLevel="2" spans="1:26">
      <c r="A311" s="5">
        <v>316</v>
      </c>
      <c r="B311" s="5">
        <v>27</v>
      </c>
      <c r="C311" s="9" t="s">
        <v>816</v>
      </c>
      <c r="D311" s="9" t="s">
        <v>46</v>
      </c>
      <c r="E311" s="5">
        <v>3</v>
      </c>
      <c r="F311" s="7">
        <f>LOOKUP(E311,{0,1.5,2.3,3.1,3.9,4.7,5.5,6.8,8.1,9.4,10.7,12,13.3,14.6,15.9,17.2,18.5,20.2,21.9,23.6,25.3},{0,10,20,30,40,50,60,62,64,66,68,70,72,74,76,78,80,85,90,95,100})</f>
        <v>20</v>
      </c>
      <c r="G311" s="5">
        <v>164</v>
      </c>
      <c r="H311" s="7">
        <f>LOOKUP(G311,{0,125,130,135,140,145,150,153,156,159,162,165,168,171,174,177,180,187,194,200,206},{0,10,20,30,40,50,60,62,64,66,68,70,72,74,76,78,80,85,90,95,100})</f>
        <v>68</v>
      </c>
      <c r="I311" s="5">
        <v>38</v>
      </c>
      <c r="J311" s="7">
        <f>LOOKUP(I311,{0,15,17,19,21,23,25,27,29,31,33,35,37,39,41,43,45,48,51,53,55},{0,10,20,30,40,50,60,62,64,66,68,70,72,74,76,78,80,85,90,95,100})</f>
        <v>72</v>
      </c>
      <c r="K311" s="5"/>
      <c r="L311" s="5"/>
      <c r="M311" s="5">
        <f t="shared" si="164"/>
        <v>72</v>
      </c>
      <c r="N311" s="5">
        <v>9.5</v>
      </c>
      <c r="O311" s="10">
        <f t="shared" si="165"/>
        <v>8.5</v>
      </c>
      <c r="P311" s="7">
        <f>LOOKUP(O311,{0,6.6,6.8,7,7.2,7.4,7.6,7.8,8,8.2,8.4,8.6,8.8,9,9.2,9.4,9.6,9.9,10.2,10.3,10.4},{0,10,20,30,40,50,60,62,64,66,68,70,72,74,76,78,80,85,90,95,100})</f>
        <v>68</v>
      </c>
      <c r="Q311" s="5">
        <v>4.13</v>
      </c>
      <c r="R311" s="10">
        <f t="shared" si="166"/>
        <v>5.87</v>
      </c>
      <c r="S311" s="7">
        <f>LOOKUP(R311,{0,4.74,4.84,4.94,5.44,5.54,5.64,5.69,5.74,5.79,5.84,5.89,5.94,5.99,6.44,6.49,6.54,6.61,6.68,6.74,6.8},{0,10,20,30,40,50,60,62,64,66,68,70,72,74,76,78,80,85,90,95,100})</f>
        <v>68</v>
      </c>
      <c r="T311" s="5"/>
      <c r="U311" s="5"/>
      <c r="V311" s="5">
        <f t="shared" si="167"/>
        <v>68</v>
      </c>
      <c r="W311" s="5"/>
      <c r="X311" s="13">
        <f t="shared" si="168"/>
        <v>43.2</v>
      </c>
      <c r="Y311" s="13">
        <f t="shared" si="169"/>
        <v>61.7142857142857</v>
      </c>
      <c r="Z311" s="19"/>
    </row>
    <row r="312" ht="15.6" hidden="1" outlineLevel="2" spans="1:26">
      <c r="A312" s="5">
        <v>316</v>
      </c>
      <c r="B312" s="5">
        <v>28</v>
      </c>
      <c r="C312" s="9" t="s">
        <v>817</v>
      </c>
      <c r="D312" s="9" t="s">
        <v>46</v>
      </c>
      <c r="E312" s="5">
        <v>22.5</v>
      </c>
      <c r="F312" s="7">
        <f>LOOKUP(E312,{0,1.5,2.3,3.1,3.9,4.7,5.5,6.8,8.1,9.4,10.7,12,13.3,14.6,15.9,17.2,18.5,20.2,21.9,23.6,25.3},{0,10,20,30,40,50,60,62,64,66,68,70,72,74,76,78,80,85,90,95,100})</f>
        <v>90</v>
      </c>
      <c r="G312" s="5">
        <v>192</v>
      </c>
      <c r="H312" s="7">
        <f>LOOKUP(G312,{0,125,130,135,140,145,150,153,156,159,162,165,168,171,174,177,180,187,194,200,206},{0,10,20,30,40,50,60,62,64,66,68,70,72,74,76,78,80,85,90,95,100})</f>
        <v>85</v>
      </c>
      <c r="I312" s="5">
        <v>55</v>
      </c>
      <c r="J312" s="7">
        <f>LOOKUP(I312,{0,15,17,19,21,23,25,27,29,31,33,35,37,39,41,43,45,48,51,53,55},{0,10,20,30,40,50,60,62,64,66,68,70,72,74,76,78,80,85,90,95,100})</f>
        <v>100</v>
      </c>
      <c r="K312" s="5"/>
      <c r="L312" s="5"/>
      <c r="M312" s="5">
        <f t="shared" si="164"/>
        <v>100</v>
      </c>
      <c r="N312" s="5">
        <v>8.4</v>
      </c>
      <c r="O312" s="10">
        <f t="shared" si="165"/>
        <v>9.6</v>
      </c>
      <c r="P312" s="7">
        <f>LOOKUP(O312,{0,6.6,6.8,7,7.2,7.4,7.6,7.8,8,8.2,8.4,8.6,8.8,9,9.2,9.4,9.6,9.9,10.2,10.3,10.4},{0,10,20,30,40,50,60,62,64,66,68,70,72,74,76,78,80,85,90,95,100})</f>
        <v>80</v>
      </c>
      <c r="Q312" s="5">
        <v>4.58</v>
      </c>
      <c r="R312" s="10">
        <f t="shared" si="166"/>
        <v>5.42</v>
      </c>
      <c r="S312" s="7">
        <f>LOOKUP(R312,{0,4.74,4.84,4.94,5.44,5.54,5.64,5.69,5.74,5.79,5.84,5.89,5.94,5.99,6.44,6.49,6.54,6.61,6.68,6.74,6.8},{0,10,20,30,40,50,60,62,64,66,68,70,72,74,76,78,80,85,90,95,100})</f>
        <v>30</v>
      </c>
      <c r="T312" s="5"/>
      <c r="U312" s="5"/>
      <c r="V312" s="5">
        <f t="shared" si="167"/>
        <v>30</v>
      </c>
      <c r="W312" s="5"/>
      <c r="X312" s="13">
        <f t="shared" si="168"/>
        <v>49.5</v>
      </c>
      <c r="Y312" s="13">
        <f t="shared" si="169"/>
        <v>70.7142857142857</v>
      </c>
      <c r="Z312" s="19"/>
    </row>
    <row r="313" hidden="1" outlineLevel="2" spans="1:26">
      <c r="A313" s="5">
        <v>316</v>
      </c>
      <c r="B313" s="5">
        <v>29</v>
      </c>
      <c r="C313" s="9" t="s">
        <v>818</v>
      </c>
      <c r="D313" s="9" t="s">
        <v>46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>
        <v>50</v>
      </c>
      <c r="X313" s="13"/>
      <c r="Y313" s="13">
        <v>50</v>
      </c>
      <c r="Z313" s="19"/>
    </row>
    <row r="314" ht="15.6" hidden="1" outlineLevel="2" spans="1:26">
      <c r="A314" s="5">
        <v>316</v>
      </c>
      <c r="B314" s="5">
        <v>30</v>
      </c>
      <c r="C314" s="9" t="s">
        <v>819</v>
      </c>
      <c r="D314" s="9" t="s">
        <v>46</v>
      </c>
      <c r="E314" s="5">
        <v>29.8</v>
      </c>
      <c r="F314" s="7">
        <f>LOOKUP(E314,{0,1.5,2.3,3.1,3.9,4.7,5.5,6.8,8.1,9.4,10.7,12,13.3,14.6,15.9,17.2,18.5,20.2,21.9,23.6,25.3},{0,10,20,30,40,50,60,62,64,66,68,70,72,74,76,78,80,85,90,95,100})</f>
        <v>100</v>
      </c>
      <c r="G314" s="5">
        <v>220</v>
      </c>
      <c r="H314" s="7">
        <f>LOOKUP(G314,{0,125,130,135,140,145,150,153,156,159,162,165,168,171,174,177,180,187,194,200,206},{0,10,20,30,40,50,60,62,64,66,68,70,72,74,76,78,80,85,90,95,100})</f>
        <v>100</v>
      </c>
      <c r="I314" s="5">
        <v>34</v>
      </c>
      <c r="J314" s="7">
        <f>LOOKUP(I314,{0,15,17,19,21,23,25,27,29,31,33,35,37,39,41,43,45,48,51,53,55},{0,10,20,30,40,50,60,62,64,66,68,70,72,74,76,78,80,85,90,95,100})</f>
        <v>68</v>
      </c>
      <c r="K314" s="5"/>
      <c r="L314" s="5"/>
      <c r="M314" s="5">
        <f t="shared" ref="M314:M317" si="170">J314+L314</f>
        <v>68</v>
      </c>
      <c r="N314" s="5">
        <v>7.8</v>
      </c>
      <c r="O314" s="10">
        <f t="shared" ref="O314:O317" si="171">18-N314</f>
        <v>10.2</v>
      </c>
      <c r="P314" s="7">
        <f>LOOKUP(O314,{0,6.6,6.8,7,7.2,7.4,7.6,7.8,8,8.2,8.4,8.6,8.8,9,9.2,9.4,9.6,9.9,10.2,10.3,10.4},{0,10,20,30,40,50,60,62,64,66,68,70,72,74,76,78,80,85,90,95,100})</f>
        <v>90</v>
      </c>
      <c r="Q314" s="5">
        <v>3.37</v>
      </c>
      <c r="R314" s="10">
        <f t="shared" ref="R314:R317" si="172">10-Q314</f>
        <v>6.63</v>
      </c>
      <c r="S314" s="7">
        <f>LOOKUP(R314,{0,4.74,4.84,4.94,5.44,5.54,5.64,5.69,5.74,5.79,5.84,5.89,5.94,5.99,6.44,6.49,6.54,6.61,6.68,6.74,6.8},{0,10,20,30,40,50,60,62,64,66,68,70,72,74,76,78,80,85,90,95,100})</f>
        <v>85</v>
      </c>
      <c r="T314" s="5"/>
      <c r="U314" s="5"/>
      <c r="V314" s="5">
        <f t="shared" ref="V314:V317" si="173">S314+U314</f>
        <v>85</v>
      </c>
      <c r="W314" s="5"/>
      <c r="X314" s="13">
        <f t="shared" ref="X314:X317" si="174">F314*0.1+H314*0.1+J314*0.1+P314*0.2+S314*0.2</f>
        <v>61.8</v>
      </c>
      <c r="Y314" s="13">
        <f t="shared" ref="Y314:Y317" si="175">X314/0.7+L314+U314</f>
        <v>88.2857142857143</v>
      </c>
      <c r="Z314" s="19"/>
    </row>
    <row r="315" ht="15.6" hidden="1" outlineLevel="2" spans="1:26">
      <c r="A315" s="5">
        <v>316</v>
      </c>
      <c r="B315" s="5">
        <v>31</v>
      </c>
      <c r="C315" s="9" t="s">
        <v>820</v>
      </c>
      <c r="D315" s="9" t="s">
        <v>46</v>
      </c>
      <c r="E315" s="5">
        <v>8.2</v>
      </c>
      <c r="F315" s="7">
        <f>LOOKUP(E315,{0,1.5,2.3,3.1,3.9,4.7,5.5,6.8,8.1,9.4,10.7,12,13.3,14.6,15.9,17.2,18.5,20.2,21.9,23.6,25.3},{0,10,20,30,40,50,60,62,64,66,68,70,72,74,76,78,80,85,90,95,100})</f>
        <v>64</v>
      </c>
      <c r="G315" s="5">
        <v>182</v>
      </c>
      <c r="H315" s="7">
        <f>LOOKUP(G315,{0,125,130,135,140,145,150,153,156,159,162,165,168,171,174,177,180,187,194,200,206},{0,10,20,30,40,50,60,62,64,66,68,70,72,74,76,78,80,85,90,95,100})</f>
        <v>80</v>
      </c>
      <c r="I315" s="5">
        <v>41</v>
      </c>
      <c r="J315" s="7">
        <f>LOOKUP(I315,{0,15,17,19,21,23,25,27,29,31,33,35,37,39,41,43,45,48,51,53,55},{0,10,20,30,40,50,60,62,64,66,68,70,72,74,76,78,80,85,90,95,100})</f>
        <v>76</v>
      </c>
      <c r="K315" s="5"/>
      <c r="L315" s="5"/>
      <c r="M315" s="5">
        <f t="shared" si="170"/>
        <v>76</v>
      </c>
      <c r="N315" s="5">
        <v>8.4</v>
      </c>
      <c r="O315" s="10">
        <f t="shared" si="171"/>
        <v>9.6</v>
      </c>
      <c r="P315" s="7">
        <f>LOOKUP(O315,{0,6.6,6.8,7,7.2,7.4,7.6,7.8,8,8.2,8.4,8.6,8.8,9,9.2,9.4,9.6,9.9,10.2,10.3,10.4},{0,10,20,30,40,50,60,62,64,66,68,70,72,74,76,78,80,85,90,95,100})</f>
        <v>80</v>
      </c>
      <c r="Q315" s="5">
        <v>4.13</v>
      </c>
      <c r="R315" s="10">
        <f t="shared" si="172"/>
        <v>5.87</v>
      </c>
      <c r="S315" s="7">
        <f>LOOKUP(R315,{0,4.74,4.84,4.94,5.44,5.54,5.64,5.69,5.74,5.79,5.84,5.89,5.94,5.99,6.44,6.49,6.54,6.61,6.68,6.74,6.8},{0,10,20,30,40,50,60,62,64,66,68,70,72,74,76,78,80,85,90,95,100})</f>
        <v>68</v>
      </c>
      <c r="T315" s="5"/>
      <c r="U315" s="5"/>
      <c r="V315" s="5">
        <f t="shared" si="173"/>
        <v>68</v>
      </c>
      <c r="W315" s="5"/>
      <c r="X315" s="13">
        <f t="shared" si="174"/>
        <v>51.6</v>
      </c>
      <c r="Y315" s="13">
        <f t="shared" si="175"/>
        <v>73.7142857142857</v>
      </c>
      <c r="Z315" s="19"/>
    </row>
    <row r="316" ht="15.6" hidden="1" outlineLevel="2" spans="1:26">
      <c r="A316" s="5">
        <v>316</v>
      </c>
      <c r="B316" s="5">
        <v>32</v>
      </c>
      <c r="C316" s="8" t="s">
        <v>822</v>
      </c>
      <c r="D316" s="9" t="s">
        <v>46</v>
      </c>
      <c r="E316" s="5">
        <v>21.5</v>
      </c>
      <c r="F316" s="7">
        <f>LOOKUP(E316,{0,1.5,2.3,3.1,3.9,4.7,5.5,6.8,8.1,9.4,10.7,12,13.3,14.6,15.9,17.2,18.5,20.2,21.9,23.6,25.3},{0,10,20,30,40,50,60,62,64,66,68,70,72,74,76,78,80,85,90,95,100})</f>
        <v>85</v>
      </c>
      <c r="G316" s="5">
        <v>174</v>
      </c>
      <c r="H316" s="7">
        <f>LOOKUP(G316,{0,125,130,135,140,145,150,153,156,159,162,165,168,171,174,177,180,187,194,200,206},{0,10,20,30,40,50,60,62,64,66,68,70,72,74,76,78,80,85,90,95,100})</f>
        <v>76</v>
      </c>
      <c r="I316" s="5">
        <v>48</v>
      </c>
      <c r="J316" s="7">
        <f>LOOKUP(I316,{0,15,17,19,21,23,25,27,29,31,33,35,37,39,41,43,45,48,51,53,55},{0,10,20,30,40,50,60,62,64,66,68,70,72,74,76,78,80,85,90,95,100})</f>
        <v>85</v>
      </c>
      <c r="K316" s="5"/>
      <c r="L316" s="5"/>
      <c r="M316" s="5">
        <f t="shared" si="170"/>
        <v>85</v>
      </c>
      <c r="N316" s="5">
        <v>9.7</v>
      </c>
      <c r="O316" s="10">
        <f t="shared" si="171"/>
        <v>8.3</v>
      </c>
      <c r="P316" s="7">
        <f>LOOKUP(O316,{0,6.6,6.8,7,7.2,7.4,7.6,7.8,8,8.2,8.4,8.6,8.8,9,9.2,9.4,9.6,9.9,10.2,10.3,10.4},{0,10,20,30,40,50,60,62,64,66,68,70,72,74,76,78,80,85,90,95,100})</f>
        <v>66</v>
      </c>
      <c r="Q316" s="5">
        <v>4.11</v>
      </c>
      <c r="R316" s="10">
        <f t="shared" si="172"/>
        <v>5.89</v>
      </c>
      <c r="S316" s="7">
        <f>LOOKUP(R316,{0,4.74,4.84,4.94,5.44,5.54,5.64,5.69,5.74,5.79,5.84,5.89,5.94,5.99,6.44,6.49,6.54,6.61,6.68,6.74,6.8},{0,10,20,30,40,50,60,62,64,66,68,70,72,74,76,78,80,85,90,95,100})</f>
        <v>70</v>
      </c>
      <c r="T316" s="5"/>
      <c r="U316" s="5"/>
      <c r="V316" s="5">
        <f t="shared" si="173"/>
        <v>70</v>
      </c>
      <c r="W316" s="5"/>
      <c r="X316" s="13">
        <f t="shared" si="174"/>
        <v>51.8</v>
      </c>
      <c r="Y316" s="13">
        <f t="shared" si="175"/>
        <v>74</v>
      </c>
      <c r="Z316" s="19"/>
    </row>
    <row r="317" ht="15.6" hidden="1" outlineLevel="2" spans="1:26">
      <c r="A317" s="5">
        <v>316</v>
      </c>
      <c r="B317" s="5">
        <v>33</v>
      </c>
      <c r="C317" s="9" t="s">
        <v>823</v>
      </c>
      <c r="D317" s="9" t="s">
        <v>46</v>
      </c>
      <c r="E317" s="5">
        <v>18.5</v>
      </c>
      <c r="F317" s="7">
        <f>LOOKUP(E317,{0,1.5,2.3,3.1,3.9,4.7,5.5,6.8,8.1,9.4,10.7,12,13.3,14.6,15.9,17.2,18.5,20.2,21.9,23.6,25.3},{0,10,20,30,40,50,60,62,64,66,68,70,72,74,76,78,80,85,90,95,100})</f>
        <v>80</v>
      </c>
      <c r="G317" s="5">
        <v>180</v>
      </c>
      <c r="H317" s="7">
        <f>LOOKUP(G317,{0,125,130,135,140,145,150,153,156,159,162,165,168,171,174,177,180,187,194,200,206},{0,10,20,30,40,50,60,62,64,66,68,70,72,74,76,78,80,85,90,95,100})</f>
        <v>80</v>
      </c>
      <c r="I317" s="5">
        <v>49</v>
      </c>
      <c r="J317" s="7">
        <f>LOOKUP(I317,{0,15,17,19,21,23,25,27,29,31,33,35,37,39,41,43,45,48,51,53,55},{0,10,20,30,40,50,60,62,64,66,68,70,72,74,76,78,80,85,90,95,100})</f>
        <v>85</v>
      </c>
      <c r="K317" s="5"/>
      <c r="L317" s="5"/>
      <c r="M317" s="5">
        <f t="shared" si="170"/>
        <v>85</v>
      </c>
      <c r="N317" s="5">
        <v>9.1</v>
      </c>
      <c r="O317" s="10">
        <f t="shared" si="171"/>
        <v>8.9</v>
      </c>
      <c r="P317" s="7">
        <f>LOOKUP(O317,{0,6.6,6.8,7,7.2,7.4,7.6,7.8,8,8.2,8.4,8.6,8.8,9,9.2,9.4,9.6,9.9,10.2,10.3,10.4},{0,10,20,30,40,50,60,62,64,66,68,70,72,74,76,78,80,85,90,95,100})</f>
        <v>72</v>
      </c>
      <c r="Q317" s="5">
        <v>4.2</v>
      </c>
      <c r="R317" s="10">
        <f t="shared" si="172"/>
        <v>5.8</v>
      </c>
      <c r="S317" s="7">
        <f>LOOKUP(R317,{0,4.74,4.84,4.94,5.44,5.54,5.64,5.69,5.74,5.79,5.84,5.89,5.94,5.99,6.44,6.49,6.54,6.61,6.68,6.74,6.8},{0,10,20,30,40,50,60,62,64,66,68,70,72,74,76,78,80,85,90,95,100})</f>
        <v>66</v>
      </c>
      <c r="T317" s="5"/>
      <c r="U317" s="5"/>
      <c r="V317" s="5">
        <f t="shared" si="173"/>
        <v>66</v>
      </c>
      <c r="W317" s="5"/>
      <c r="X317" s="13">
        <f t="shared" si="174"/>
        <v>52.1</v>
      </c>
      <c r="Y317" s="13">
        <f t="shared" si="175"/>
        <v>74.4285714285714</v>
      </c>
      <c r="Z317" s="19"/>
    </row>
    <row r="318" hidden="1" outlineLevel="2" spans="1:26">
      <c r="A318" s="5">
        <v>316</v>
      </c>
      <c r="B318" s="5">
        <v>34</v>
      </c>
      <c r="C318" s="9" t="s">
        <v>824</v>
      </c>
      <c r="D318" s="9" t="s">
        <v>46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>
        <v>50</v>
      </c>
      <c r="X318" s="13"/>
      <c r="Y318" s="13">
        <v>50</v>
      </c>
      <c r="Z318" s="19"/>
    </row>
    <row r="319" ht="15.6" hidden="1" outlineLevel="2" spans="1:26">
      <c r="A319" s="5">
        <v>316</v>
      </c>
      <c r="B319" s="5">
        <v>35</v>
      </c>
      <c r="C319" s="9" t="s">
        <v>825</v>
      </c>
      <c r="D319" s="9" t="s">
        <v>46</v>
      </c>
      <c r="E319" s="5">
        <v>9.5</v>
      </c>
      <c r="F319" s="7">
        <f>LOOKUP(E319,{0,1.5,2.3,3.1,3.9,4.7,5.5,6.8,8.1,9.4,10.7,12,13.3,14.6,15.9,17.2,18.5,20.2,21.9,23.6,25.3},{0,10,20,30,40,50,60,62,64,66,68,70,72,74,76,78,80,85,90,95,100})</f>
        <v>66</v>
      </c>
      <c r="G319" s="5">
        <v>169</v>
      </c>
      <c r="H319" s="7">
        <f>LOOKUP(G319,{0,125,130,135,140,145,150,153,156,159,162,165,168,171,174,177,180,187,194,200,206},{0,10,20,30,40,50,60,62,64,66,68,70,72,74,76,78,80,85,90,95,100})</f>
        <v>72</v>
      </c>
      <c r="I319" s="5">
        <v>32</v>
      </c>
      <c r="J319" s="7">
        <f>LOOKUP(I319,{0,15,17,19,21,23,25,27,29,31,33,35,37,39,41,43,45,48,51,53,55},{0,10,20,30,40,50,60,62,64,66,68,70,72,74,76,78,80,85,90,95,100})</f>
        <v>66</v>
      </c>
      <c r="K319" s="5"/>
      <c r="L319" s="5"/>
      <c r="M319" s="5">
        <f t="shared" ref="M319:M321" si="176">J319+L319</f>
        <v>66</v>
      </c>
      <c r="N319" s="5">
        <v>9.1</v>
      </c>
      <c r="O319" s="10">
        <f t="shared" ref="O319:O321" si="177">18-N319</f>
        <v>8.9</v>
      </c>
      <c r="P319" s="7">
        <f>LOOKUP(O319,{0,6.6,6.8,7,7.2,7.4,7.6,7.8,8,8.2,8.4,8.6,8.8,9,9.2,9.4,9.6,9.9,10.2,10.3,10.4},{0,10,20,30,40,50,60,62,64,66,68,70,72,74,76,78,80,85,90,95,100})</f>
        <v>72</v>
      </c>
      <c r="Q319" s="5">
        <v>4.25</v>
      </c>
      <c r="R319" s="10">
        <f t="shared" ref="R319:R321" si="178">10-Q319</f>
        <v>5.75</v>
      </c>
      <c r="S319" s="7">
        <f>LOOKUP(R319,{0,4.74,4.84,4.94,5.44,5.54,5.64,5.69,5.74,5.79,5.84,5.89,5.94,5.99,6.44,6.49,6.54,6.61,6.68,6.74,6.8},{0,10,20,30,40,50,60,62,64,66,68,70,72,74,76,78,80,85,90,95,100})</f>
        <v>64</v>
      </c>
      <c r="T319" s="5"/>
      <c r="U319" s="5"/>
      <c r="V319" s="5">
        <f t="shared" ref="V319:V321" si="179">S319+U319</f>
        <v>64</v>
      </c>
      <c r="W319" s="5"/>
      <c r="X319" s="13">
        <f t="shared" ref="X319:X321" si="180">F319*0.1+H319*0.1+J319*0.1+P319*0.2+S319*0.2</f>
        <v>47.6</v>
      </c>
      <c r="Y319" s="13">
        <f t="shared" ref="Y319:Y321" si="181">X319/0.7+L319+U319</f>
        <v>68</v>
      </c>
      <c r="Z319" s="19"/>
    </row>
    <row r="320" ht="15.6" hidden="1" outlineLevel="2" spans="1:26">
      <c r="A320" s="5">
        <v>316</v>
      </c>
      <c r="B320" s="5">
        <v>36</v>
      </c>
      <c r="C320" s="9" t="s">
        <v>826</v>
      </c>
      <c r="D320" s="9" t="s">
        <v>46</v>
      </c>
      <c r="E320" s="5">
        <v>16</v>
      </c>
      <c r="F320" s="7">
        <f>LOOKUP(E320,{0,1.5,2.3,3.1,3.9,4.7,5.5,6.8,8.1,9.4,10.7,12,13.3,14.6,15.9,17.2,18.5,20.2,21.9,23.6,25.3},{0,10,20,30,40,50,60,62,64,66,68,70,72,74,76,78,80,85,90,95,100})</f>
        <v>76</v>
      </c>
      <c r="G320" s="5">
        <v>160</v>
      </c>
      <c r="H320" s="7">
        <f>LOOKUP(G320,{0,125,130,135,140,145,150,153,156,159,162,165,168,171,174,177,180,187,194,200,206},{0,10,20,30,40,50,60,62,64,66,68,70,72,74,76,78,80,85,90,95,100})</f>
        <v>66</v>
      </c>
      <c r="I320" s="5">
        <v>49</v>
      </c>
      <c r="J320" s="7">
        <f>LOOKUP(I320,{0,15,17,19,21,23,25,27,29,31,33,35,37,39,41,43,45,48,51,53,55},{0,10,20,30,40,50,60,62,64,66,68,70,72,74,76,78,80,85,90,95,100})</f>
        <v>85</v>
      </c>
      <c r="K320" s="5"/>
      <c r="L320" s="5"/>
      <c r="M320" s="5">
        <f t="shared" si="176"/>
        <v>85</v>
      </c>
      <c r="N320" s="5">
        <v>8.7</v>
      </c>
      <c r="O320" s="10">
        <f t="shared" si="177"/>
        <v>9.3</v>
      </c>
      <c r="P320" s="7">
        <f>LOOKUP(O320,{0,6.6,6.8,7,7.2,7.4,7.6,7.8,8,8.2,8.4,8.6,8.8,9,9.2,9.4,9.6,9.9,10.2,10.3,10.4},{0,10,20,30,40,50,60,62,64,66,68,70,72,74,76,78,80,85,90,95,100})</f>
        <v>76</v>
      </c>
      <c r="Q320" s="5">
        <v>4</v>
      </c>
      <c r="R320" s="10">
        <f t="shared" si="178"/>
        <v>6</v>
      </c>
      <c r="S320" s="7">
        <f>LOOKUP(R320,{0,4.74,4.84,4.94,5.44,5.54,5.64,5.69,5.74,5.79,5.84,5.89,5.94,5.99,6.44,6.49,6.54,6.61,6.68,6.74,6.8},{0,10,20,30,40,50,60,62,64,66,68,70,72,74,76,78,80,85,90,95,100})</f>
        <v>74</v>
      </c>
      <c r="T320" s="5"/>
      <c r="U320" s="5"/>
      <c r="V320" s="5">
        <f t="shared" si="179"/>
        <v>74</v>
      </c>
      <c r="W320" s="5"/>
      <c r="X320" s="13">
        <f t="shared" si="180"/>
        <v>52.7</v>
      </c>
      <c r="Y320" s="13">
        <f t="shared" si="181"/>
        <v>75.2857142857143</v>
      </c>
      <c r="Z320" s="19"/>
    </row>
    <row r="321" ht="15.6" hidden="1" outlineLevel="2" spans="1:26">
      <c r="A321" s="5">
        <v>316</v>
      </c>
      <c r="B321" s="5">
        <v>37</v>
      </c>
      <c r="C321" s="9" t="s">
        <v>827</v>
      </c>
      <c r="D321" s="9" t="s">
        <v>46</v>
      </c>
      <c r="E321" s="5">
        <v>18</v>
      </c>
      <c r="F321" s="7">
        <f>LOOKUP(E321,{0,1.5,2.3,3.1,3.9,4.7,5.5,6.8,8.1,9.4,10.7,12,13.3,14.6,15.9,17.2,18.5,20.2,21.9,23.6,25.3},{0,10,20,30,40,50,60,62,64,66,68,70,72,74,76,78,80,85,90,95,100})</f>
        <v>78</v>
      </c>
      <c r="G321" s="5">
        <v>185</v>
      </c>
      <c r="H321" s="7">
        <f>LOOKUP(G321,{0,125,130,135,140,145,150,153,156,159,162,165,168,171,174,177,180,187,194,200,206},{0,10,20,30,40,50,60,62,64,66,68,70,72,74,76,78,80,85,90,95,100})</f>
        <v>80</v>
      </c>
      <c r="I321" s="5">
        <v>41</v>
      </c>
      <c r="J321" s="7">
        <f>LOOKUP(I321,{0,15,17,19,21,23,25,27,29,31,33,35,37,39,41,43,45,48,51,53,55},{0,10,20,30,40,50,60,62,64,66,68,70,72,74,76,78,80,85,90,95,100})</f>
        <v>76</v>
      </c>
      <c r="K321" s="5"/>
      <c r="L321" s="5"/>
      <c r="M321" s="5">
        <f t="shared" si="176"/>
        <v>76</v>
      </c>
      <c r="N321" s="5">
        <v>8.5</v>
      </c>
      <c r="O321" s="10">
        <f t="shared" si="177"/>
        <v>9.5</v>
      </c>
      <c r="P321" s="7">
        <f>LOOKUP(O321,{0,6.6,6.8,7,7.2,7.4,7.6,7.8,8,8.2,8.4,8.6,8.8,9,9.2,9.4,9.6,9.9,10.2,10.3,10.4},{0,10,20,30,40,50,60,62,64,66,68,70,72,74,76,78,80,85,90,95,100})</f>
        <v>78</v>
      </c>
      <c r="Q321" s="5">
        <v>4.03</v>
      </c>
      <c r="R321" s="10">
        <f t="shared" si="178"/>
        <v>5.97</v>
      </c>
      <c r="S321" s="7">
        <f>LOOKUP(R321,{0,4.74,4.84,4.94,5.44,5.54,5.64,5.69,5.74,5.79,5.84,5.89,5.94,5.99,6.44,6.49,6.54,6.61,6.68,6.74,6.8},{0,10,20,30,40,50,60,62,64,66,68,70,72,74,76,78,80,85,90,95,100})</f>
        <v>72</v>
      </c>
      <c r="T321" s="5"/>
      <c r="U321" s="5"/>
      <c r="V321" s="5">
        <f t="shared" si="179"/>
        <v>72</v>
      </c>
      <c r="W321" s="5"/>
      <c r="X321" s="13">
        <f t="shared" si="180"/>
        <v>53.4</v>
      </c>
      <c r="Y321" s="13">
        <f t="shared" si="181"/>
        <v>76.2857142857143</v>
      </c>
      <c r="Z321" s="19"/>
    </row>
    <row r="322" hidden="1" outlineLevel="2" spans="1:26">
      <c r="A322" s="5">
        <v>316</v>
      </c>
      <c r="B322" s="5">
        <v>38</v>
      </c>
      <c r="C322" s="9" t="s">
        <v>828</v>
      </c>
      <c r="D322" s="9" t="s">
        <v>46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>
        <v>50</v>
      </c>
      <c r="X322" s="18"/>
      <c r="Y322" s="13">
        <v>50</v>
      </c>
      <c r="Z322" s="20"/>
    </row>
    <row r="323" ht="15.6" hidden="1" outlineLevel="2" spans="1:26">
      <c r="A323" s="5">
        <v>316</v>
      </c>
      <c r="B323" s="5">
        <v>39</v>
      </c>
      <c r="C323" s="9" t="s">
        <v>829</v>
      </c>
      <c r="D323" s="9" t="s">
        <v>46</v>
      </c>
      <c r="E323" s="5">
        <v>15</v>
      </c>
      <c r="F323" s="7">
        <f>LOOKUP(E323,{0,1.5,2.3,3.1,3.9,4.7,5.5,6.8,8.1,9.4,10.7,12,13.3,14.6,15.9,17.2,18.5,20.2,21.9,23.6,25.3},{0,10,20,30,40,50,60,62,64,66,68,70,72,74,76,78,80,85,90,95,100})</f>
        <v>74</v>
      </c>
      <c r="G323" s="5">
        <v>182</v>
      </c>
      <c r="H323" s="7">
        <f>LOOKUP(G323,{0,125,130,135,140,145,150,153,156,159,162,165,168,171,174,177,180,187,194,200,206},{0,10,20,30,40,50,60,62,64,66,68,70,72,74,76,78,80,85,90,95,100})</f>
        <v>80</v>
      </c>
      <c r="I323" s="5">
        <v>48</v>
      </c>
      <c r="J323" s="7">
        <f>LOOKUP(I323,{0,15,17,19,21,23,25,27,29,31,33,35,37,39,41,43,45,48,51,53,55},{0,10,20,30,40,50,60,62,64,66,68,70,72,74,76,78,80,85,90,95,100})</f>
        <v>85</v>
      </c>
      <c r="K323" s="5"/>
      <c r="L323" s="5"/>
      <c r="M323" s="5">
        <f t="shared" ref="M323:M329" si="182">J323+L323</f>
        <v>85</v>
      </c>
      <c r="N323" s="5">
        <v>9.1</v>
      </c>
      <c r="O323" s="10">
        <f t="shared" ref="O323:O329" si="183">18-N323</f>
        <v>8.9</v>
      </c>
      <c r="P323" s="7">
        <f>LOOKUP(O323,{0,6.6,6.8,7,7.2,7.4,7.6,7.8,8,8.2,8.4,8.6,8.8,9,9.2,9.4,9.6,9.9,10.2,10.3,10.4},{0,10,20,30,40,50,60,62,64,66,68,70,72,74,76,78,80,85,90,95,100})</f>
        <v>72</v>
      </c>
      <c r="Q323" s="5">
        <v>4.11</v>
      </c>
      <c r="R323" s="10">
        <f t="shared" ref="R323:R329" si="184">10-Q323</f>
        <v>5.89</v>
      </c>
      <c r="S323" s="7">
        <f>LOOKUP(R323,{0,4.74,4.84,4.94,5.44,5.54,5.64,5.69,5.74,5.79,5.84,5.89,5.94,5.99,6.44,6.49,6.54,6.61,6.68,6.74,6.8},{0,10,20,30,40,50,60,62,64,66,68,70,72,74,76,78,80,85,90,95,100})</f>
        <v>70</v>
      </c>
      <c r="T323" s="5"/>
      <c r="U323" s="5"/>
      <c r="V323" s="5">
        <f t="shared" ref="V323:V329" si="185">S323+U323</f>
        <v>70</v>
      </c>
      <c r="W323" s="5"/>
      <c r="X323" s="13">
        <f t="shared" ref="X323:X329" si="186">F323*0.1+H323*0.1+J323*0.1+P323*0.2+S323*0.2</f>
        <v>52.3</v>
      </c>
      <c r="Y323" s="13">
        <f t="shared" ref="Y323:Y329" si="187">X323/0.7+L323+U323</f>
        <v>74.7142857142857</v>
      </c>
      <c r="Z323" s="19"/>
    </row>
    <row r="324" ht="15.6" hidden="1" outlineLevel="2" spans="1:26">
      <c r="A324" s="5">
        <v>316</v>
      </c>
      <c r="B324" s="5">
        <v>40</v>
      </c>
      <c r="C324" s="9" t="s">
        <v>830</v>
      </c>
      <c r="D324" s="9" t="s">
        <v>46</v>
      </c>
      <c r="E324" s="5">
        <v>12.5</v>
      </c>
      <c r="F324" s="7">
        <f>LOOKUP(E324,{0,1.5,2.3,3.1,3.9,4.7,5.5,6.8,8.1,9.4,10.7,12,13.3,14.6,15.9,17.2,18.5,20.2,21.9,23.6,25.3},{0,10,20,30,40,50,60,62,64,66,68,70,72,74,76,78,80,85,90,95,100})</f>
        <v>70</v>
      </c>
      <c r="G324" s="5">
        <v>170</v>
      </c>
      <c r="H324" s="7">
        <f>LOOKUP(G324,{0,125,130,135,140,145,150,153,156,159,162,165,168,171,174,177,180,187,194,200,206},{0,10,20,30,40,50,60,62,64,66,68,70,72,74,76,78,80,85,90,95,100})</f>
        <v>72</v>
      </c>
      <c r="I324" s="5">
        <v>37</v>
      </c>
      <c r="J324" s="7">
        <f>LOOKUP(I324,{0,15,17,19,21,23,25,27,29,31,33,35,37,39,41,43,45,48,51,53,55},{0,10,20,30,40,50,60,62,64,66,68,70,72,74,76,78,80,85,90,95,100})</f>
        <v>72</v>
      </c>
      <c r="K324" s="5"/>
      <c r="L324" s="5"/>
      <c r="M324" s="5">
        <f t="shared" si="182"/>
        <v>72</v>
      </c>
      <c r="N324" s="5">
        <v>10</v>
      </c>
      <c r="O324" s="10">
        <f t="shared" si="183"/>
        <v>8</v>
      </c>
      <c r="P324" s="7">
        <f>LOOKUP(O324,{0,6.6,6.8,7,7.2,7.4,7.6,7.8,8,8.2,8.4,8.6,8.8,9,9.2,9.4,9.6,9.9,10.2,10.3,10.4},{0,10,20,30,40,50,60,62,64,66,68,70,72,74,76,78,80,85,90,95,100})</f>
        <v>64</v>
      </c>
      <c r="Q324" s="5">
        <v>4.4</v>
      </c>
      <c r="R324" s="10">
        <f t="shared" si="184"/>
        <v>5.6</v>
      </c>
      <c r="S324" s="7">
        <f>LOOKUP(R324,{0,4.74,4.84,4.94,5.44,5.54,5.64,5.69,5.74,5.79,5.84,5.89,5.94,5.99,6.44,6.49,6.54,6.61,6.68,6.74,6.8},{0,10,20,30,40,50,60,62,64,66,68,70,72,74,76,78,80,85,90,95,100})</f>
        <v>50</v>
      </c>
      <c r="T324" s="5"/>
      <c r="U324" s="5"/>
      <c r="V324" s="5">
        <f t="shared" si="185"/>
        <v>50</v>
      </c>
      <c r="W324" s="5"/>
      <c r="X324" s="13">
        <f t="shared" si="186"/>
        <v>44.2</v>
      </c>
      <c r="Y324" s="13">
        <f t="shared" si="187"/>
        <v>63.1428571428572</v>
      </c>
      <c r="Z324" s="19"/>
    </row>
    <row r="325" ht="15.6" hidden="1" outlineLevel="2" spans="1:26">
      <c r="A325" s="5">
        <v>316</v>
      </c>
      <c r="B325" s="5">
        <v>41</v>
      </c>
      <c r="C325" s="8" t="s">
        <v>832</v>
      </c>
      <c r="D325" s="9" t="s">
        <v>46</v>
      </c>
      <c r="E325" s="5">
        <v>22</v>
      </c>
      <c r="F325" s="7">
        <f>LOOKUP(E325,{0,1.5,2.3,3.1,3.9,4.7,5.5,6.8,8.1,9.4,10.7,12,13.3,14.6,15.9,17.2,18.5,20.2,21.9,23.6,25.3},{0,10,20,30,40,50,60,62,64,66,68,70,72,74,76,78,80,85,90,95,100})</f>
        <v>90</v>
      </c>
      <c r="G325" s="5">
        <v>165</v>
      </c>
      <c r="H325" s="7">
        <f>LOOKUP(G325,{0,125,130,135,140,145,150,153,156,159,162,165,168,171,174,177,180,187,194,200,206},{0,10,20,30,40,50,60,62,64,66,68,70,72,74,76,78,80,85,90,95,100})</f>
        <v>70</v>
      </c>
      <c r="I325" s="5">
        <v>20</v>
      </c>
      <c r="J325" s="7">
        <f>LOOKUP(I325,{0,15,17,19,21,23,25,27,29,31,33,35,37,39,41,43,45,48,51,53,55},{0,10,20,30,40,50,60,62,64,66,68,70,72,74,76,78,80,85,90,95,100})</f>
        <v>30</v>
      </c>
      <c r="K325" s="5"/>
      <c r="L325" s="5"/>
      <c r="M325" s="5">
        <f t="shared" si="182"/>
        <v>30</v>
      </c>
      <c r="N325" s="5">
        <v>9.8</v>
      </c>
      <c r="O325" s="10">
        <f t="shared" si="183"/>
        <v>8.2</v>
      </c>
      <c r="P325" s="7">
        <f>LOOKUP(O325,{0,6.6,6.8,7,7.2,7.4,7.6,7.8,8,8.2,8.4,8.6,8.8,9,9.2,9.4,9.6,9.9,10.2,10.3,10.4},{0,10,20,30,40,50,60,62,64,66,68,70,72,74,76,78,80,85,90,95,100})</f>
        <v>66</v>
      </c>
      <c r="Q325" s="5">
        <v>4.12</v>
      </c>
      <c r="R325" s="10">
        <f t="shared" si="184"/>
        <v>5.88</v>
      </c>
      <c r="S325" s="7">
        <f>LOOKUP(R325,{0,4.74,4.84,4.94,5.44,5.54,5.64,5.69,5.74,5.79,5.84,5.89,5.94,5.99,6.44,6.49,6.54,6.61,6.68,6.74,6.8},{0,10,20,30,40,50,60,62,64,66,68,70,72,74,76,78,80,85,90,95,100})</f>
        <v>68</v>
      </c>
      <c r="T325" s="5"/>
      <c r="U325" s="5"/>
      <c r="V325" s="5">
        <f t="shared" si="185"/>
        <v>68</v>
      </c>
      <c r="W325" s="5"/>
      <c r="X325" s="13">
        <f t="shared" si="186"/>
        <v>45.8</v>
      </c>
      <c r="Y325" s="13">
        <f t="shared" si="187"/>
        <v>65.4285714285714</v>
      </c>
      <c r="Z325" s="19"/>
    </row>
    <row r="326" ht="15.6" hidden="1" outlineLevel="2" spans="1:26">
      <c r="A326" s="5">
        <v>316</v>
      </c>
      <c r="B326" s="5">
        <v>42</v>
      </c>
      <c r="C326" s="9" t="s">
        <v>833</v>
      </c>
      <c r="D326" s="9" t="s">
        <v>46</v>
      </c>
      <c r="E326" s="5">
        <v>27.6</v>
      </c>
      <c r="F326" s="7">
        <f>LOOKUP(E326,{0,1.5,2.3,3.1,3.9,4.7,5.5,6.8,8.1,9.4,10.7,12,13.3,14.6,15.9,17.2,18.5,20.2,21.9,23.6,25.3},{0,10,20,30,40,50,60,62,64,66,68,70,72,74,76,78,80,85,90,95,100})</f>
        <v>100</v>
      </c>
      <c r="G326" s="5">
        <v>209</v>
      </c>
      <c r="H326" s="7">
        <f>LOOKUP(G326,{0,125,130,135,140,145,150,153,156,159,162,165,168,171,174,177,180,187,194,200,206},{0,10,20,30,40,50,60,62,64,66,68,70,72,74,76,78,80,85,90,95,100})</f>
        <v>100</v>
      </c>
      <c r="I326" s="5">
        <v>49</v>
      </c>
      <c r="J326" s="7">
        <f>LOOKUP(I326,{0,15,17,19,21,23,25,27,29,31,33,35,37,39,41,43,45,48,51,53,55},{0,10,20,30,40,50,60,62,64,66,68,70,72,74,76,78,80,85,90,95,100})</f>
        <v>85</v>
      </c>
      <c r="K326" s="5"/>
      <c r="L326" s="5"/>
      <c r="M326" s="5">
        <f t="shared" si="182"/>
        <v>85</v>
      </c>
      <c r="N326" s="5">
        <v>7.8</v>
      </c>
      <c r="O326" s="10">
        <f t="shared" si="183"/>
        <v>10.2</v>
      </c>
      <c r="P326" s="7">
        <f>LOOKUP(O326,{0,6.6,6.8,7,7.2,7.4,7.6,7.8,8,8.2,8.4,8.6,8.8,9,9.2,9.4,9.6,9.9,10.2,10.3,10.4},{0,10,20,30,40,50,60,62,64,66,68,70,72,74,76,78,80,85,90,95,100})</f>
        <v>90</v>
      </c>
      <c r="Q326" s="5">
        <v>4.05</v>
      </c>
      <c r="R326" s="10">
        <f t="shared" si="184"/>
        <v>5.95</v>
      </c>
      <c r="S326" s="7">
        <f>LOOKUP(R326,{0,4.74,4.84,4.94,5.44,5.54,5.64,5.69,5.74,5.79,5.84,5.89,5.94,5.99,6.44,6.49,6.54,6.61,6.68,6.74,6.8},{0,10,20,30,40,50,60,62,64,66,68,70,72,74,76,78,80,85,90,95,100})</f>
        <v>72</v>
      </c>
      <c r="T326" s="5"/>
      <c r="U326" s="5"/>
      <c r="V326" s="5">
        <f t="shared" si="185"/>
        <v>72</v>
      </c>
      <c r="W326" s="5"/>
      <c r="X326" s="13">
        <f t="shared" si="186"/>
        <v>60.9</v>
      </c>
      <c r="Y326" s="13">
        <f t="shared" si="187"/>
        <v>87</v>
      </c>
      <c r="Z326" s="19"/>
    </row>
    <row r="327" ht="15.6" hidden="1" outlineLevel="2" spans="1:26">
      <c r="A327" s="5">
        <v>316</v>
      </c>
      <c r="B327" s="5">
        <v>43</v>
      </c>
      <c r="C327" s="9" t="s">
        <v>834</v>
      </c>
      <c r="D327" s="9" t="s">
        <v>46</v>
      </c>
      <c r="E327" s="5">
        <v>26.5</v>
      </c>
      <c r="F327" s="7">
        <f>LOOKUP(E327,{0,1.5,2.3,3.1,3.9,4.7,5.5,6.8,8.1,9.4,10.7,12,13.3,14.6,15.9,17.2,18.5,20.2,21.9,23.6,25.3},{0,10,20,30,40,50,60,62,64,66,68,70,72,74,76,78,80,85,90,95,100})</f>
        <v>100</v>
      </c>
      <c r="G327" s="5">
        <v>193</v>
      </c>
      <c r="H327" s="7">
        <f>LOOKUP(G327,{0,125,130,135,140,145,150,153,156,159,162,165,168,171,174,177,180,187,194,200,206},{0,10,20,30,40,50,60,62,64,66,68,70,72,74,76,78,80,85,90,95,100})</f>
        <v>85</v>
      </c>
      <c r="I327" s="5">
        <v>51</v>
      </c>
      <c r="J327" s="7">
        <f>LOOKUP(I327,{0,15,17,19,21,23,25,27,29,31,33,35,37,39,41,43,45,48,51,53,55},{0,10,20,30,40,50,60,62,64,66,68,70,72,74,76,78,80,85,90,95,100})</f>
        <v>90</v>
      </c>
      <c r="K327" s="5"/>
      <c r="L327" s="5"/>
      <c r="M327" s="5">
        <f t="shared" si="182"/>
        <v>90</v>
      </c>
      <c r="N327" s="5">
        <v>8.5</v>
      </c>
      <c r="O327" s="10">
        <f t="shared" si="183"/>
        <v>9.5</v>
      </c>
      <c r="P327" s="7">
        <f>LOOKUP(O327,{0,6.6,6.8,7,7.2,7.4,7.6,7.8,8,8.2,8.4,8.6,8.8,9,9.2,9.4,9.6,9.9,10.2,10.3,10.4},{0,10,20,30,40,50,60,62,64,66,68,70,72,74,76,78,80,85,90,95,100})</f>
        <v>78</v>
      </c>
      <c r="Q327" s="5">
        <v>4.1</v>
      </c>
      <c r="R327" s="10">
        <f t="shared" si="184"/>
        <v>5.9</v>
      </c>
      <c r="S327" s="7">
        <f>LOOKUP(R327,{0,4.74,4.84,4.94,5.44,5.54,5.64,5.69,5.74,5.79,5.84,5.89,5.94,5.99,6.44,6.49,6.54,6.61,6.68,6.74,6.8},{0,10,20,30,40,50,60,62,64,66,68,70,72,74,76,78,80,85,90,95,100})</f>
        <v>70</v>
      </c>
      <c r="T327" s="5"/>
      <c r="U327" s="5"/>
      <c r="V327" s="5">
        <f t="shared" si="185"/>
        <v>70</v>
      </c>
      <c r="W327" s="5"/>
      <c r="X327" s="13">
        <f t="shared" si="186"/>
        <v>57.1</v>
      </c>
      <c r="Y327" s="13">
        <f t="shared" si="187"/>
        <v>81.5714285714286</v>
      </c>
      <c r="Z327" s="19"/>
    </row>
    <row r="328" ht="15.6" hidden="1" outlineLevel="2" spans="1:26">
      <c r="A328" s="5">
        <v>316</v>
      </c>
      <c r="B328" s="5">
        <v>44</v>
      </c>
      <c r="C328" s="9" t="s">
        <v>835</v>
      </c>
      <c r="D328" s="9" t="s">
        <v>46</v>
      </c>
      <c r="E328" s="5">
        <v>12.5</v>
      </c>
      <c r="F328" s="7">
        <f>LOOKUP(E328,{0,1.5,2.3,3.1,3.9,4.7,5.5,6.8,8.1,9.4,10.7,12,13.3,14.6,15.9,17.2,18.5,20.2,21.9,23.6,25.3},{0,10,20,30,40,50,60,62,64,66,68,70,72,74,76,78,80,85,90,95,100})</f>
        <v>70</v>
      </c>
      <c r="G328" s="5">
        <v>170</v>
      </c>
      <c r="H328" s="7">
        <f>LOOKUP(G328,{0,125,130,135,140,145,150,153,156,159,162,165,168,171,174,177,180,187,194,200,206},{0,10,20,30,40,50,60,62,64,66,68,70,72,74,76,78,80,85,90,95,100})</f>
        <v>72</v>
      </c>
      <c r="I328" s="5">
        <v>45</v>
      </c>
      <c r="J328" s="7">
        <f>LOOKUP(I328,{0,15,17,19,21,23,25,27,29,31,33,35,37,39,41,43,45,48,51,53,55},{0,10,20,30,40,50,60,62,64,66,68,70,72,74,76,78,80,85,90,95,100})</f>
        <v>80</v>
      </c>
      <c r="K328" s="5"/>
      <c r="L328" s="5"/>
      <c r="M328" s="5">
        <f t="shared" si="182"/>
        <v>80</v>
      </c>
      <c r="N328" s="5">
        <v>9</v>
      </c>
      <c r="O328" s="10">
        <f t="shared" si="183"/>
        <v>9</v>
      </c>
      <c r="P328" s="7">
        <f>LOOKUP(O328,{0,6.6,6.8,7,7.2,7.4,7.6,7.8,8,8.2,8.4,8.6,8.8,9,9.2,9.4,9.6,9.9,10.2,10.3,10.4},{0,10,20,30,40,50,60,62,64,66,68,70,72,74,76,78,80,85,90,95,100})</f>
        <v>74</v>
      </c>
      <c r="Q328" s="5">
        <v>4.14</v>
      </c>
      <c r="R328" s="10">
        <f t="shared" si="184"/>
        <v>5.86</v>
      </c>
      <c r="S328" s="7">
        <f>LOOKUP(R328,{0,4.74,4.84,4.94,5.44,5.54,5.64,5.69,5.74,5.79,5.84,5.89,5.94,5.99,6.44,6.49,6.54,6.61,6.68,6.74,6.8},{0,10,20,30,40,50,60,62,64,66,68,70,72,74,76,78,80,85,90,95,100})</f>
        <v>68</v>
      </c>
      <c r="T328" s="5"/>
      <c r="U328" s="5"/>
      <c r="V328" s="5">
        <f t="shared" si="185"/>
        <v>68</v>
      </c>
      <c r="W328" s="5"/>
      <c r="X328" s="13">
        <f t="shared" si="186"/>
        <v>50.6</v>
      </c>
      <c r="Y328" s="13">
        <f t="shared" si="187"/>
        <v>72.2857142857143</v>
      </c>
      <c r="Z328" s="19"/>
    </row>
    <row r="329" ht="15.6" hidden="1" outlineLevel="2" spans="1:26">
      <c r="A329" s="5">
        <v>316</v>
      </c>
      <c r="B329" s="5">
        <v>45</v>
      </c>
      <c r="C329" s="9" t="s">
        <v>836</v>
      </c>
      <c r="D329" s="9" t="s">
        <v>46</v>
      </c>
      <c r="E329" s="5">
        <v>7</v>
      </c>
      <c r="F329" s="7">
        <f>LOOKUP(E329,{0,1.5,2.3,3.1,3.9,4.7,5.5,6.8,8.1,9.4,10.7,12,13.3,14.6,15.9,17.2,18.5,20.2,21.9,23.6,25.3},{0,10,20,30,40,50,60,62,64,66,68,70,72,74,76,78,80,85,90,95,100})</f>
        <v>62</v>
      </c>
      <c r="G329" s="5">
        <v>130</v>
      </c>
      <c r="H329" s="7">
        <f>LOOKUP(G329,{0,125,130,135,140,145,150,153,156,159,162,165,168,171,174,177,180,187,194,200,206},{0,10,20,30,40,50,60,62,64,66,68,70,72,74,76,78,80,85,90,95,100})</f>
        <v>20</v>
      </c>
      <c r="I329" s="5">
        <v>29</v>
      </c>
      <c r="J329" s="7">
        <f>LOOKUP(I329,{0,15,17,19,21,23,25,27,29,31,33,35,37,39,41,43,45,48,51,53,55},{0,10,20,30,40,50,60,62,64,66,68,70,72,74,76,78,80,85,90,95,100})</f>
        <v>64</v>
      </c>
      <c r="K329" s="5"/>
      <c r="L329" s="5"/>
      <c r="M329" s="5">
        <f t="shared" si="182"/>
        <v>64</v>
      </c>
      <c r="N329" s="5">
        <v>10</v>
      </c>
      <c r="O329" s="10">
        <f t="shared" si="183"/>
        <v>8</v>
      </c>
      <c r="P329" s="7">
        <f>LOOKUP(O329,{0,6.6,6.8,7,7.2,7.4,7.6,7.8,8,8.2,8.4,8.6,8.8,9,9.2,9.4,9.6,9.9,10.2,10.3,10.4},{0,10,20,30,40,50,60,62,64,66,68,70,72,74,76,78,80,85,90,95,100})</f>
        <v>64</v>
      </c>
      <c r="Q329" s="5">
        <v>4.17</v>
      </c>
      <c r="R329" s="10">
        <f t="shared" si="184"/>
        <v>5.83</v>
      </c>
      <c r="S329" s="7">
        <f>LOOKUP(R329,{0,4.74,4.84,4.94,5.44,5.54,5.64,5.69,5.74,5.79,5.84,5.89,5.94,5.99,6.44,6.49,6.54,6.61,6.68,6.74,6.8},{0,10,20,30,40,50,60,62,64,66,68,70,72,74,76,78,80,85,90,95,100})</f>
        <v>66</v>
      </c>
      <c r="T329" s="5"/>
      <c r="U329" s="5"/>
      <c r="V329" s="5">
        <f t="shared" si="185"/>
        <v>66</v>
      </c>
      <c r="W329" s="5"/>
      <c r="X329" s="13">
        <f t="shared" si="186"/>
        <v>40.6</v>
      </c>
      <c r="Y329" s="13">
        <f t="shared" si="187"/>
        <v>58</v>
      </c>
      <c r="Z329" s="19"/>
    </row>
    <row r="330" hidden="1" outlineLevel="2" spans="1:26">
      <c r="A330" s="5">
        <v>316</v>
      </c>
      <c r="B330" s="5">
        <v>46</v>
      </c>
      <c r="C330" s="9" t="s">
        <v>837</v>
      </c>
      <c r="D330" s="9" t="s">
        <v>46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>
        <v>50</v>
      </c>
      <c r="X330" s="13"/>
      <c r="Y330" s="13">
        <v>50</v>
      </c>
      <c r="Z330" s="19"/>
    </row>
    <row r="331" ht="15.6" hidden="1" outlineLevel="2" spans="1:26">
      <c r="A331" s="5">
        <v>316</v>
      </c>
      <c r="B331" s="5">
        <v>47</v>
      </c>
      <c r="C331" s="9" t="s">
        <v>838</v>
      </c>
      <c r="D331" s="9" t="s">
        <v>46</v>
      </c>
      <c r="E331" s="5">
        <v>14.5</v>
      </c>
      <c r="F331" s="7">
        <f>LOOKUP(E331,{0,1.5,2.3,3.1,3.9,4.7,5.5,6.8,8.1,9.4,10.7,12,13.3,14.6,15.9,17.2,18.5,20.2,21.9,23.6,25.3},{0,10,20,30,40,50,60,62,64,66,68,70,72,74,76,78,80,85,90,95,100})</f>
        <v>72</v>
      </c>
      <c r="G331" s="5">
        <v>140</v>
      </c>
      <c r="H331" s="7">
        <f>LOOKUP(G331,{0,125,130,135,140,145,150,153,156,159,162,165,168,171,174,177,180,187,194,200,206},{0,10,20,30,40,50,60,62,64,66,68,70,72,74,76,78,80,85,90,95,100})</f>
        <v>40</v>
      </c>
      <c r="I331" s="5">
        <v>35</v>
      </c>
      <c r="J331" s="7">
        <f>LOOKUP(I331,{0,15,17,19,21,23,25,27,29,31,33,35,37,39,41,43,45,48,51,53,55},{0,10,20,30,40,50,60,62,64,66,68,70,72,74,76,78,80,85,90,95,100})</f>
        <v>70</v>
      </c>
      <c r="K331" s="5"/>
      <c r="L331" s="5"/>
      <c r="M331" s="5">
        <f>J331+L331</f>
        <v>70</v>
      </c>
      <c r="N331" s="5">
        <v>9.7</v>
      </c>
      <c r="O331" s="10">
        <f>18-N331</f>
        <v>8.3</v>
      </c>
      <c r="P331" s="7">
        <f>LOOKUP(O331,{0,6.6,6.8,7,7.2,7.4,7.6,7.8,8,8.2,8.4,8.6,8.8,9,9.2,9.4,9.6,9.9,10.2,10.3,10.4},{0,10,20,30,40,50,60,62,64,66,68,70,72,74,76,78,80,85,90,95,100})</f>
        <v>66</v>
      </c>
      <c r="Q331" s="5">
        <v>5.49</v>
      </c>
      <c r="R331" s="10">
        <f>10-Q331</f>
        <v>4.51</v>
      </c>
      <c r="S331" s="7">
        <f>LOOKUP(R331,{0,4.74,4.84,4.94,5.44,5.54,5.64,5.69,5.74,5.79,5.84,5.89,5.94,5.99,6.44,6.49,6.54,6.61,6.68,6.74,6.8},{0,10,20,30,40,50,60,62,64,66,68,70,72,74,76,78,80,85,90,95,100})</f>
        <v>0</v>
      </c>
      <c r="T331" s="5"/>
      <c r="U331" s="5"/>
      <c r="V331" s="5">
        <f>S331+U331</f>
        <v>0</v>
      </c>
      <c r="W331" s="5"/>
      <c r="X331" s="13">
        <f>F331*0.1+H331*0.1+J331*0.1+P331*0.2+S331*0.2</f>
        <v>31.4</v>
      </c>
      <c r="Y331" s="13">
        <f>X331/0.7+L331+U331</f>
        <v>44.8571428571429</v>
      </c>
      <c r="Z331" s="20"/>
    </row>
    <row r="332" ht="15.6" hidden="1" outlineLevel="2" spans="1:26">
      <c r="A332" s="5">
        <v>316</v>
      </c>
      <c r="B332" s="5">
        <v>48</v>
      </c>
      <c r="C332" s="9" t="s">
        <v>839</v>
      </c>
      <c r="D332" s="9" t="s">
        <v>46</v>
      </c>
      <c r="E332" s="5">
        <v>20.6</v>
      </c>
      <c r="F332" s="7">
        <f>LOOKUP(E332,{0,1.5,2.3,3.1,3.9,4.7,5.5,6.8,8.1,9.4,10.7,12,13.3,14.6,15.9,17.2,18.5,20.2,21.9,23.6,25.3},{0,10,20,30,40,50,60,62,64,66,68,70,72,74,76,78,80,85,90,95,100})</f>
        <v>85</v>
      </c>
      <c r="G332" s="5">
        <v>175</v>
      </c>
      <c r="H332" s="7">
        <f>LOOKUP(G332,{0,125,130,135,140,145,150,153,156,159,162,165,168,171,174,177,180,187,194,200,206},{0,10,20,30,40,50,60,62,64,66,68,70,72,74,76,78,80,85,90,95,100})</f>
        <v>76</v>
      </c>
      <c r="I332" s="5">
        <v>47</v>
      </c>
      <c r="J332" s="7">
        <f>LOOKUP(I332,{0,15,17,19,21,23,25,27,29,31,33,35,37,39,41,43,45,48,51,53,55},{0,10,20,30,40,50,60,62,64,66,68,70,72,74,76,78,80,85,90,95,100})</f>
        <v>80</v>
      </c>
      <c r="K332" s="5"/>
      <c r="L332" s="5"/>
      <c r="M332" s="5">
        <f>J332+L332</f>
        <v>80</v>
      </c>
      <c r="N332" s="5">
        <v>9</v>
      </c>
      <c r="O332" s="10">
        <f>18-N332</f>
        <v>9</v>
      </c>
      <c r="P332" s="7">
        <f>LOOKUP(O332,{0,6.6,6.8,7,7.2,7.4,7.6,7.8,8,8.2,8.4,8.6,8.8,9,9.2,9.4,9.6,9.9,10.2,10.3,10.4},{0,10,20,30,40,50,60,62,64,66,68,70,72,74,76,78,80,85,90,95,100})</f>
        <v>74</v>
      </c>
      <c r="Q332" s="5">
        <v>3.48</v>
      </c>
      <c r="R332" s="10">
        <f>10-Q332</f>
        <v>6.52</v>
      </c>
      <c r="S332" s="7">
        <f>LOOKUP(R332,{0,4.74,4.84,4.94,5.44,5.54,5.64,5.69,5.74,5.79,5.84,5.89,5.94,5.99,6.44,6.49,6.54,6.61,6.68,6.74,6.8},{0,10,20,30,40,50,60,62,64,66,68,70,72,74,76,78,80,85,90,95,100})</f>
        <v>78</v>
      </c>
      <c r="T332" s="5"/>
      <c r="U332" s="5"/>
      <c r="V332" s="5">
        <f>S332+U332</f>
        <v>78</v>
      </c>
      <c r="W332" s="5"/>
      <c r="X332" s="13">
        <f>F332*0.1+H332*0.1+J332*0.1+P332*0.2+S332*0.2</f>
        <v>54.5</v>
      </c>
      <c r="Y332" s="13">
        <f>X332/0.7+L332+U332</f>
        <v>77.8571428571429</v>
      </c>
      <c r="Z332" s="19"/>
    </row>
    <row r="333" ht="15.6" outlineLevel="1" collapsed="1" spans="1:26">
      <c r="A333" s="6" t="s">
        <v>867</v>
      </c>
      <c r="B333" s="5"/>
      <c r="C333" s="9"/>
      <c r="D333" s="9"/>
      <c r="E333" s="5"/>
      <c r="F333" s="7">
        <f>SUBTOTAL(1,F297:F332)</f>
        <v>77</v>
      </c>
      <c r="G333" s="5"/>
      <c r="H333" s="7">
        <f>SUBTOTAL(1,H297:H332)</f>
        <v>73.8387096774194</v>
      </c>
      <c r="I333" s="5"/>
      <c r="J333" s="7">
        <f>SUBTOTAL(1,J297:J332)</f>
        <v>76.258064516129</v>
      </c>
      <c r="K333" s="5"/>
      <c r="L333" s="5"/>
      <c r="M333" s="5">
        <f>SUBTOTAL(1,M297:M332)</f>
        <v>76.258064516129</v>
      </c>
      <c r="N333" s="5"/>
      <c r="O333" s="10"/>
      <c r="P333" s="7">
        <f>SUBTOTAL(1,P297:P332)</f>
        <v>74.1935483870968</v>
      </c>
      <c r="Q333" s="5"/>
      <c r="R333" s="10"/>
      <c r="S333" s="7">
        <f>SUBTOTAL(1,S297:S332)</f>
        <v>64.0967741935484</v>
      </c>
      <c r="T333" s="5"/>
      <c r="U333" s="5"/>
      <c r="V333" s="5">
        <f>SUBTOTAL(1,V297:V332)</f>
        <v>64.0967741935484</v>
      </c>
      <c r="W333" s="5"/>
      <c r="X333" s="13">
        <f>SUBTOTAL(1,X297:X332)</f>
        <v>50.3677419354839</v>
      </c>
      <c r="Y333" s="13">
        <f>SUBTOTAL(1,Y297:Y332)</f>
        <v>68.9047619047619</v>
      </c>
      <c r="Z333" s="19"/>
    </row>
    <row r="334" ht="15.6" spans="1:26">
      <c r="A334" s="6" t="s">
        <v>868</v>
      </c>
      <c r="B334" s="5"/>
      <c r="C334" s="9"/>
      <c r="D334" s="9"/>
      <c r="E334" s="5"/>
      <c r="F334" s="7">
        <f>SUBTOTAL(1,F2:F332)</f>
        <v>76.1654929577465</v>
      </c>
      <c r="G334" s="5"/>
      <c r="H334" s="7">
        <f>SUBTOTAL(1,H2:H332)</f>
        <v>72.846975088968</v>
      </c>
      <c r="I334" s="5"/>
      <c r="J334" s="7">
        <f>SUBTOTAL(1,J2:J332)</f>
        <v>76.6340579710145</v>
      </c>
      <c r="K334" s="5"/>
      <c r="L334" s="5"/>
      <c r="M334" s="5">
        <f>SUBTOTAL(1,M2:M332)</f>
        <v>76.713768115942</v>
      </c>
      <c r="N334" s="5"/>
      <c r="O334" s="10"/>
      <c r="P334" s="7">
        <f>SUBTOTAL(1,P2:P332)</f>
        <v>70.5093632958801</v>
      </c>
      <c r="Q334" s="5"/>
      <c r="R334" s="10"/>
      <c r="S334" s="7">
        <f>SUBTOTAL(1,S2:S332)</f>
        <v>59.6466165413534</v>
      </c>
      <c r="T334" s="5"/>
      <c r="U334" s="5"/>
      <c r="V334" s="5">
        <f>SUBTOTAL(1,V2:V332)</f>
        <v>59.6578947368421</v>
      </c>
      <c r="W334" s="5"/>
      <c r="X334" s="13">
        <f>SUBTOTAL(1,X2:X332)</f>
        <v>47.0382142857143</v>
      </c>
      <c r="Y334" s="13">
        <f>SUBTOTAL(1,Y2:Y332)</f>
        <v>66.2577737719693</v>
      </c>
      <c r="Z334" s="19"/>
    </row>
  </sheetData>
  <autoFilter ref="A1:Z333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abSelected="1" workbookViewId="0">
      <selection activeCell="K16" sqref="K16"/>
    </sheetView>
  </sheetViews>
  <sheetFormatPr defaultColWidth="8.88888888888889" defaultRowHeight="14.4"/>
  <cols>
    <col min="4" max="4" width="12.8888888888889" style="1"/>
  </cols>
  <sheetData>
    <row r="1" spans="1:1">
      <c r="A1" t="s">
        <v>869</v>
      </c>
    </row>
    <row r="2" spans="1:1">
      <c r="A2" t="s">
        <v>870</v>
      </c>
    </row>
    <row r="3" spans="1:4">
      <c r="A3">
        <v>310</v>
      </c>
      <c r="B3">
        <v>10</v>
      </c>
      <c r="C3" t="s">
        <v>467</v>
      </c>
      <c r="D3" s="1">
        <v>107.142857142857</v>
      </c>
    </row>
    <row r="4" spans="1:4">
      <c r="A4">
        <v>313</v>
      </c>
      <c r="B4">
        <v>5</v>
      </c>
      <c r="C4" t="s">
        <v>631</v>
      </c>
      <c r="D4" s="1">
        <v>103.571428571429</v>
      </c>
    </row>
    <row r="5" spans="1:4">
      <c r="A5">
        <v>309</v>
      </c>
      <c r="B5">
        <v>5</v>
      </c>
      <c r="C5" t="s">
        <v>409</v>
      </c>
      <c r="D5" s="1">
        <v>102.142857142857</v>
      </c>
    </row>
    <row r="6" spans="1:4">
      <c r="A6">
        <v>311</v>
      </c>
      <c r="B6">
        <v>33</v>
      </c>
      <c r="C6" t="s">
        <v>548</v>
      </c>
      <c r="D6" s="1">
        <v>99.4285714285714</v>
      </c>
    </row>
    <row r="7" spans="1:4">
      <c r="A7">
        <v>312</v>
      </c>
      <c r="B7">
        <v>21</v>
      </c>
      <c r="C7" t="s">
        <v>595</v>
      </c>
      <c r="D7" s="1">
        <v>96.8571428571429</v>
      </c>
    </row>
    <row r="8" spans="1:4">
      <c r="A8">
        <v>304</v>
      </c>
      <c r="B8">
        <v>9</v>
      </c>
      <c r="C8" t="s">
        <v>156</v>
      </c>
      <c r="D8" s="1">
        <v>95.1428571428572</v>
      </c>
    </row>
    <row r="9" spans="1:4">
      <c r="A9">
        <v>305</v>
      </c>
      <c r="B9">
        <v>1</v>
      </c>
      <c r="C9" t="s">
        <v>185</v>
      </c>
      <c r="D9" s="1">
        <v>94.2857142857143</v>
      </c>
    </row>
    <row r="10" spans="1:4">
      <c r="A10">
        <v>312</v>
      </c>
      <c r="B10">
        <v>16</v>
      </c>
      <c r="C10" t="s">
        <v>590</v>
      </c>
      <c r="D10" s="1">
        <v>93.1428571428572</v>
      </c>
    </row>
    <row r="11" spans="1:4">
      <c r="A11">
        <v>308</v>
      </c>
      <c r="B11">
        <v>6</v>
      </c>
      <c r="C11" t="s">
        <v>357</v>
      </c>
      <c r="D11" s="1">
        <v>92.7142857142857</v>
      </c>
    </row>
    <row r="12" spans="1:4">
      <c r="A12">
        <v>305</v>
      </c>
      <c r="B12">
        <v>3</v>
      </c>
      <c r="C12" t="s">
        <v>187</v>
      </c>
      <c r="D12" s="1">
        <v>92.4285714285714</v>
      </c>
    </row>
    <row r="13" spans="1:4">
      <c r="A13">
        <v>309</v>
      </c>
      <c r="B13">
        <v>22</v>
      </c>
      <c r="C13" t="s">
        <v>428</v>
      </c>
      <c r="D13" s="1">
        <v>91.4285714285714</v>
      </c>
    </row>
    <row r="14" spans="1:4">
      <c r="A14">
        <v>306</v>
      </c>
      <c r="B14">
        <v>17</v>
      </c>
      <c r="C14" t="s">
        <v>259</v>
      </c>
      <c r="D14" s="1">
        <v>90.8571428571429</v>
      </c>
    </row>
    <row r="15" spans="1:4">
      <c r="A15">
        <v>311</v>
      </c>
      <c r="B15">
        <v>29</v>
      </c>
      <c r="C15" t="s">
        <v>544</v>
      </c>
      <c r="D15" s="1">
        <v>90.7142857142857</v>
      </c>
    </row>
    <row r="16" spans="1:4">
      <c r="A16">
        <v>309</v>
      </c>
      <c r="B16">
        <v>27</v>
      </c>
      <c r="C16" t="s">
        <v>433</v>
      </c>
      <c r="D16" s="1">
        <v>90.5714285714286</v>
      </c>
    </row>
    <row r="17" spans="1:4">
      <c r="A17">
        <v>311</v>
      </c>
      <c r="B17">
        <v>46</v>
      </c>
      <c r="C17" t="s">
        <v>562</v>
      </c>
      <c r="D17" s="1">
        <v>90.2857142857143</v>
      </c>
    </row>
    <row r="18" spans="1:4">
      <c r="A18">
        <v>311</v>
      </c>
      <c r="B18">
        <v>37</v>
      </c>
      <c r="C18" t="s">
        <v>553</v>
      </c>
      <c r="D18" s="1">
        <v>89.4285714285714</v>
      </c>
    </row>
    <row r="20" spans="1:24">
      <c r="A20">
        <v>313</v>
      </c>
      <c r="B20">
        <v>27</v>
      </c>
      <c r="C20" t="s">
        <v>655</v>
      </c>
      <c r="D20" s="1">
        <v>99.4285714285714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>
        <v>308</v>
      </c>
      <c r="B21">
        <v>27</v>
      </c>
      <c r="C21" t="s">
        <v>380</v>
      </c>
      <c r="D21" s="1">
        <v>95.7142857142857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>
        <v>301</v>
      </c>
      <c r="B22">
        <v>38</v>
      </c>
      <c r="C22" t="s">
        <v>51</v>
      </c>
      <c r="D22" s="1">
        <v>95.2857142857143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>
        <v>306</v>
      </c>
      <c r="B23">
        <v>35</v>
      </c>
      <c r="C23" t="s">
        <v>279</v>
      </c>
      <c r="D23" s="1">
        <v>91.8571428571429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>
        <v>311</v>
      </c>
      <c r="B24">
        <v>51</v>
      </c>
      <c r="C24" t="s">
        <v>568</v>
      </c>
      <c r="D24" s="1">
        <v>89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>
        <v>316</v>
      </c>
      <c r="B25">
        <v>30</v>
      </c>
      <c r="C25" t="s">
        <v>819</v>
      </c>
      <c r="D25" s="1">
        <v>88.2857142857143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>
        <v>316</v>
      </c>
      <c r="B26">
        <v>20</v>
      </c>
      <c r="C26" t="s">
        <v>808</v>
      </c>
      <c r="D26" s="1">
        <v>88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>
        <v>316</v>
      </c>
      <c r="B27">
        <v>42</v>
      </c>
      <c r="C27" t="s">
        <v>833</v>
      </c>
      <c r="D27" s="1">
        <v>87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>
        <v>308</v>
      </c>
      <c r="B28">
        <v>39</v>
      </c>
      <c r="C28" t="s">
        <v>393</v>
      </c>
      <c r="D28" s="1">
        <v>86.4285714285714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>
        <v>313</v>
      </c>
      <c r="B29">
        <v>17</v>
      </c>
      <c r="C29" t="s">
        <v>645</v>
      </c>
      <c r="D29" s="1">
        <v>86.4285714285714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>
        <v>302</v>
      </c>
      <c r="B30">
        <v>39</v>
      </c>
      <c r="C30" t="s">
        <v>100</v>
      </c>
      <c r="D30" s="1">
        <v>86.2857142857143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>
        <v>306</v>
      </c>
      <c r="B31">
        <v>45</v>
      </c>
      <c r="C31" t="s">
        <v>290</v>
      </c>
      <c r="D31" s="1">
        <v>86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>
        <v>302</v>
      </c>
      <c r="B32">
        <v>36</v>
      </c>
      <c r="C32" t="s">
        <v>97</v>
      </c>
      <c r="D32" s="1">
        <v>85.7142857142857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>
        <v>305</v>
      </c>
      <c r="B33">
        <v>43</v>
      </c>
      <c r="C33" t="s">
        <v>231</v>
      </c>
      <c r="D33" s="1">
        <v>85.4285714285714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>
        <v>301</v>
      </c>
      <c r="B34">
        <v>40</v>
      </c>
      <c r="C34" t="s">
        <v>53</v>
      </c>
      <c r="D34" s="1">
        <v>85.2857142857143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>
        <v>310</v>
      </c>
      <c r="B35">
        <v>49</v>
      </c>
      <c r="C35" t="s">
        <v>510</v>
      </c>
      <c r="D35" s="1">
        <v>84.7142857142857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原始数据</vt:lpstr>
      <vt:lpstr>数据处理总</vt:lpstr>
      <vt:lpstr>平均值总</vt:lpstr>
      <vt:lpstr>数据男</vt:lpstr>
      <vt:lpstr>平均值男</vt:lpstr>
      <vt:lpstr>数据女</vt:lpstr>
      <vt:lpstr>平均值女</vt:lpstr>
      <vt:lpstr>总分前16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50616</cp:lastModifiedBy>
  <dcterms:created xsi:type="dcterms:W3CDTF">2006-09-13T11:21:00Z</dcterms:created>
  <dcterms:modified xsi:type="dcterms:W3CDTF">2023-04-04T00:51:01Z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1FCCC6F3F5AB480888B8EDC38E9BF17A</vt:lpwstr>
  </property>
  <property fmtid="{D5CDD505-2E9C-101B-9397-08002B2CF9AE}" pid="3" name="KSOProductBuildVer">
    <vt:lpwstr>2052-11.1.0.12980</vt:lpwstr>
  </property>
</Properties>
</file>